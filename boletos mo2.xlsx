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<sst xmlns="http://schemas.openxmlformats.org/spreadsheetml/2006/main" count="15881" uniqueCount="1499">
  <si>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</si>
  <si>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</si>
  <si>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</si>
  <si>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</si>
  <si>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</si>
  <si>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</si>
  <si>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</si>
  <si>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</si>
  <si>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</si>
  <si>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</si>
  <si>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</si>
  <si>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</si>
  <si>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</si>
  <si>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</si>
  <si>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</si>
  <si>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</si>
  <si>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</si>
  <si>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</si>
  <si>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</si>
  <si>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</si>
  <si>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</si>
  <si>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</si>
  <si>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</si>
  <si>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</si>
  <si>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</si>
  <si>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</si>
  <si>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</si>
  <si>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</si>
  <si>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</si>
  <si>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</si>
  <si>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</si>
  <si>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</si>
  <si>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</si>
  <si>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</si>
  <si>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</si>
  <si>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</si>
  <si>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</si>
  <si>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</si>
  <si>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</si>
  <si>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</si>
  <si>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</si>
  <si>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</si>
  <si>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</si>
  <si>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</si>
  <si>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</si>
  <si>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</si>
  <si>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</si>
  <si>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</si>
  <si>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</si>
  <si>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</si>
  <si>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</si>
  <si>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</si>
  <si>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</si>
  <si>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</si>
  <si>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</si>
  <si>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</si>
  <si>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</si>
  <si>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</si>
  <si>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</si>
  <si>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</si>
  <si>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</si>
  <si>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</si>
  <si>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</si>
  <si>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</si>
  <si>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</si>
  <si>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</si>
  <si>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</si>
  <si>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</si>
  <si>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</si>
  <si>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</si>
  <si>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</si>
  <si>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</si>
  <si>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</si>
  <si>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</si>
  <si>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</si>
  <si>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</si>
  <si>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</si>
  <si>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</si>
  <si>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</si>
  <si>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</si>
  <si>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</si>
  <si>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</si>
  <si>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</si>
  <si>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</si>
  <si>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</si>
  <si>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</si>
  <si>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</si>
  <si>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</si>
  <si>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</si>
  <si>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</si>
  <si>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</si>
  <si>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</si>
  <si>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</si>
  <si>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</si>
  <si>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</si>
  <si>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</si>
  <si>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</si>
  <si>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</si>
  <si>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</si>
  <si>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</si>
  <si>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</si>
  <si>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</si>
  <si>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</si>
  <si>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</si>
  <si>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</si>
  <si>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</si>
  <si>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</si>
  <si>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</si>
  <si>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</si>
  <si>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</si>
  <si>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</si>
  <si>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</si>
  <si>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</si>
  <si>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</si>
  <si>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</si>
  <si>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</si>
  <si>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</si>
  <si>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</si>
  <si>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</si>
  <si>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</si>
  <si>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</si>
  <si>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</si>
  <si>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</si>
  <si>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</si>
  <si>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</si>
  <si>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</si>
  <si>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</si>
  <si>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</si>
  <si>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</si>
  <si>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</si>
  <si>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</si>
  <si>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</si>
  <si>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</si>
  <si>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</si>
  <si>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</si>
  <si>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</si>
  <si>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</si>
  <si>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</si>
  <si>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</si>
  <si>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</si>
  <si>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</si>
  <si>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</si>
  <si>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</si>
  <si>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</si>
  <si>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</si>
  <si>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</si>
  <si>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</si>
  <si>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</si>
  <si>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</si>
  <si>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</si>
  <si>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</si>
  <si>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</si>
  <si>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</si>
  <si>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</si>
  <si>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</si>
  <si>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</si>
  <si>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</si>
  <si>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</si>
  <si>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</si>
  <si>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</si>
  <si>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</si>
  <si>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</si>
  <si>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</si>
  <si>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</si>
  <si>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</si>
  <si>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</si>
  <si>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</si>
  <si>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</si>
  <si>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</si>
  <si>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</si>
  <si>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</si>
  <si>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</si>
  <si>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</si>
  <si>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</si>
  <si>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</si>
  <si>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</si>
  <si>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</si>
  <si>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</si>
  <si>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</si>
  <si>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</si>
  <si>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</si>
  <si>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</si>
  <si>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</si>
  <si>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</si>
  <si>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</si>
  <si>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</si>
  <si>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</si>
  <si>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</si>
  <si>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</si>
  <si>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</si>
  <si>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</si>
  <si>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</si>
  <si>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</si>
  <si>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</si>
  <si>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</si>
  <si>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</si>
  <si>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</si>
  <si>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</si>
  <si>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</si>
  <si>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</si>
  <si>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</si>
  <si>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</si>
  <si>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</si>
  <si>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</si>
  <si>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</si>
  <si>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</si>
  <si>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</si>
  <si>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</si>
  <si>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</si>
  <si>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</si>
  <si>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</si>
  <si>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</si>
  <si>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</si>
  <si>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</si>
  <si>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</si>
  <si>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</si>
  <si>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</si>
  <si>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</si>
  <si>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</si>
  <si>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</si>
  <si>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</si>
  <si>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</si>
  <si>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</si>
  <si>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</si>
  <si>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</si>
  <si>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</si>
  <si>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</si>
  <si>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</si>
  <si>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</si>
  <si>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</si>
  <si>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</si>
  <si>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</si>
  <si>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</si>
  <si>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</si>
  <si>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</si>
  <si>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</si>
  <si>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</si>
  <si>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</si>
  <si>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</si>
  <si>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</si>
  <si>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</si>
  <si>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</si>
  <si>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</si>
  <si>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</si>
  <si>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</si>
  <si>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</si>
  <si>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</si>
  <si>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</si>
  <si>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</si>
  <si>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</si>
  <si>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</si>
  <si>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</si>
  <si>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</si>
  <si>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</si>
  <si>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</si>
  <si>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</si>
  <si>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</si>
  <si>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</si>
  <si>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</si>
  <si>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</si>
  <si>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</si>
  <si>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</si>
  <si>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</si>
  <si>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</si>
  <si>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</si>
  <si>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</si>
  <si>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</si>
  <si>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</si>
  <si>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</si>
  <si>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</si>
  <si>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</si>
  <si>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</si>
  <si>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</si>
  <si>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</si>
  <si>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</si>
  <si>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</si>
  <si>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</si>
  <si>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</si>
  <si>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</si>
  <si>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</si>
  <si>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</si>
  <si>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</si>
  <si>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</si>
  <si>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</si>
  <si>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</si>
  <si>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</si>
  <si>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</si>
  <si>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</si>
  <si>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</si>
  <si>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</si>
  <si>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</si>
  <si>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</si>
  <si>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</si>
  <si>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</si>
  <si>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</si>
  <si>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</si>
  <si>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</si>
  <si>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</si>
  <si>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</si>
  <si>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</si>
  <si>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</si>
  <si>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</si>
  <si>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</si>
  <si>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</si>
  <si>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</si>
  <si>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</si>
  <si>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</si>
  <si>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</si>
  <si>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</si>
  <si>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</si>
  <si>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</si>
  <si>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</si>
  <si>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</si>
  <si>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</si>
  <si>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</si>
  <si>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</si>
  <si>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</si>
  <si>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</si>
  <si>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</si>
  <si>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</si>
  <si>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</si>
  <si>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</si>
  <si>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</si>
  <si>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</si>
  <si>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</si>
  <si>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</si>
  <si>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</si>
  <si>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</si>
  <si>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</si>
  <si>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</si>
  <si>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</si>
  <si>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</si>
  <si>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</si>
  <si>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</si>
  <si>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</si>
  <si>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</si>
  <si>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</si>
  <si>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</si>
  <si>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</si>
  <si>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</si>
  <si>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</si>
  <si>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</si>
  <si>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</si>
  <si>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</si>
  <si>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</si>
  <si>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</si>
  <si>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</si>
  <si>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</si>
  <si>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</si>
  <si>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</si>
  <si>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</si>
  <si>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</si>
  <si>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</si>
  <si>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</si>
  <si>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</si>
  <si>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</si>
  <si>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</si>
  <si>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</si>
  <si>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</si>
  <si>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</si>
  <si>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</si>
  <si>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</si>
  <si>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</si>
  <si>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</si>
  <si>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</si>
  <si>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</si>
  <si>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</si>
  <si>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</si>
  <si>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</si>
  <si>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</si>
  <si>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</si>
  <si>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</si>
  <si>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</si>
  <si>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</si>
  <si>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</si>
  <si>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</si>
  <si>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</si>
  <si>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</si>
  <si>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</si>
  <si>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</si>
  <si>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</si>
  <si>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</si>
  <si>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</si>
  <si>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</si>
  <si>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</si>
  <si>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</si>
  <si>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</si>
  <si>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</si>
  <si>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</si>
  <si>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</si>
  <si>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</si>
  <si>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</si>
  <si>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</si>
  <si>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</si>
  <si>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</si>
  <si>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</si>
  <si>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</si>
  <si>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</si>
  <si>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</si>
  <si>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</si>
  <si>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</si>
  <si>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</si>
  <si>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</si>
  <si>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</si>
  <si>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</si>
  <si>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</si>
  <si>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</si>
  <si>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</si>
  <si>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</si>
  <si>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</si>
  <si>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</si>
  <si>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</si>
  <si>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</si>
  <si>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</si>
  <si>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</si>
  <si>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</si>
  <si>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</si>
  <si>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</si>
  <si>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</si>
  <si>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</si>
  <si>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</si>
  <si>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</si>
  <si>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</si>
  <si>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</si>
  <si>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</si>
  <si>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</si>
  <si>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</si>
  <si>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</si>
  <si>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</si>
  <si>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</si>
  <si>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</si>
  <si>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</si>
  <si>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</si>
  <si>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</si>
  <si>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</si>
  <si>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</si>
  <si>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</si>
  <si>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</si>
  <si>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</si>
  <si>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</si>
  <si>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</si>
  <si>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</si>
  <si>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</si>
  <si>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</si>
  <si>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</si>
  <si>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</si>
  <si>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</si>
  <si>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</si>
  <si>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</si>
  <si>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</si>
  <si>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</si>
  <si>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</si>
  <si>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</si>
  <si>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</si>
  <si>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</si>
  <si>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</si>
  <si>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</si>
  <si>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</si>
  <si>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</si>
  <si>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</si>
  <si>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</si>
  <si>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</si>
  <si>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</si>
  <si>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</si>
  <si>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</si>
  <si>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</si>
  <si>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</si>
  <si>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</si>
  <si>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</si>
  <si>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</si>
  <si>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</si>
  <si>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</si>
  <si>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</si>
  <si>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</si>
  <si>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</si>
  <si>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</si>
  <si>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</si>
  <si>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</si>
  <si>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</si>
  <si>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</si>
  <si>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</si>
  <si>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</si>
  <si>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</si>
  <si>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</si>
  <si>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</si>
  <si>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</si>
  <si>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</si>
  <si>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</si>
  <si>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</si>
  <si>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</si>
  <si>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</si>
  <si>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</si>
  <si>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</si>
  <si>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</si>
  <si>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</si>
  <si>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</si>
  <si>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</si>
  <si>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</si>
  <si>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</si>
  <si>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</si>
  <si>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</si>
  <si>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</si>
  <si>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</si>
  <si>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</si>
  <si>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</si>
  <si>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</si>
  <si>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</si>
  <si>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</si>
  <si>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</si>
  <si>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</si>
  <si>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</si>
  <si>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</si>
  <si>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</si>
  <si>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</si>
  <si>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</si>
  <si>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</si>
  <si>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</si>
  <si>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</si>
  <si>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</si>
  <si>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</si>
  <si>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</si>
  <si>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</si>
  <si>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</si>
  <si>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</si>
  <si>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</si>
  <si>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</si>
  <si>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</si>
  <si>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</si>
  <si>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</si>
  <si>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</si>
  <si>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</si>
  <si>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</si>
  <si>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</si>
  <si>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</si>
  <si>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</si>
  <si>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</si>
  <si>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</si>
  <si>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</si>
  <si>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</si>
  <si>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</si>
  <si>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</si>
  <si>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</si>
  <si>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</si>
  <si>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</si>
  <si>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</si>
  <si>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</si>
  <si>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</si>
  <si>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</si>
  <si>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</si>
  <si>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</si>
  <si>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</si>
  <si>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</si>
  <si>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</si>
  <si>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</si>
  <si>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</si>
  <si>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</si>
  <si>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</si>
  <si>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</si>
  <si>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</si>
  <si>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</si>
  <si>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</si>
  <si>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</si>
  <si>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</si>
  <si>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</si>
  <si>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</si>
  <si>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</si>
  <si>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</si>
  <si>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</si>
  <si>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</si>
  <si>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</si>
  <si>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</si>
  <si>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</si>
  <si>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</si>
  <si>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</si>
  <si>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</si>
  <si>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</si>
  <si>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</si>
  <si>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</si>
  <si>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</si>
  <si>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</si>
  <si>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</si>
  <si>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</si>
  <si>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</si>
  <si>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</si>
  <si>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</si>
  <si>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</si>
  <si>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</si>
  <si>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</si>
  <si>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</si>
  <si>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</si>
  <si>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</si>
  <si>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</si>
  <si>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</si>
  <si>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</si>
  <si>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</si>
  <si>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</si>
  <si>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</si>
  <si>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</si>
  <si>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</si>
  <si>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</si>
  <si>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</si>
  <si>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</si>
  <si>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</si>
  <si>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</si>
  <si>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</si>
  <si>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</si>
  <si>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</si>
  <si>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</si>
  <si>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</si>
  <si>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</si>
  <si>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</si>
  <si>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</si>
  <si>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</si>
  <si>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</si>
  <si>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</si>
  <si>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</si>
  <si>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</si>
  <si>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</si>
  <si>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</si>
  <si>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</si>
  <si>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</si>
  <si>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</si>
  <si>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</si>
  <si>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</si>
  <si>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</si>
  <si>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</si>
  <si>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</si>
  <si>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</si>
  <si>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</si>
  <si>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</si>
  <si>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</si>
  <si>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</si>
  <si>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</si>
  <si>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</si>
  <si>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</si>
  <si>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</si>
  <si>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</si>
  <si>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</si>
  <si>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</si>
  <si>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</si>
  <si>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</si>
  <si>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</si>
  <si>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</si>
  <si>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</si>
  <si>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</si>
  <si>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</si>
  <si>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</si>
  <si>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</si>
  <si>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</si>
  <si>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</si>
  <si>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</si>
  <si>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</si>
  <si>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</si>
  <si>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</si>
  <si>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</si>
  <si>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</si>
  <si>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</si>
  <si>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</si>
  <si>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</si>
  <si>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</si>
  <si>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</si>
  <si>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</si>
  <si>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</si>
  <si>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</si>
  <si>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</si>
  <si>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</si>
  <si>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</si>
  <si>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</si>
  <si>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</si>
  <si>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</si>
  <si>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</si>
  <si>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</si>
  <si>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</si>
  <si>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</si>
  <si>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</si>
  <si>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</si>
  <si>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1890993 ELLEN</t>
  </si>
  <si>
    <t xml:space="preserve">NF 1169404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</si>
  <si>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</si>
  <si>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</si>
  <si>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</si>
  <si>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</si>
  <si>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</si>
  <si>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</si>
  <si>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</si>
  <si>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</si>
  <si>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</si>
  <si>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</si>
  <si>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</si>
  <si>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</si>
  <si>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</si>
  <si>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</si>
  <si>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</si>
  <si>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</si>
  <si>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</si>
  <si>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</si>
  <si>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</si>
  <si>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</si>
  <si>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</si>
  <si>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</si>
  <si>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</si>
  <si>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</si>
  <si>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</si>
  <si>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</si>
  <si>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</si>
  <si>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</si>
  <si>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</si>
  <si>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</si>
  <si>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</si>
  <si>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</si>
  <si>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</si>
  <si>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</si>
  <si>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</si>
  <si>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</si>
  <si>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</si>
  <si>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</si>
  <si>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</si>
  <si>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</si>
  <si>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</si>
  <si>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</si>
  <si>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</si>
  <si>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</si>
  <si>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</si>
  <si>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</si>
  <si>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</si>
  <si>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</si>
  <si>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</si>
  <si>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</si>
  <si>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</si>
  <si>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</si>
  <si>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</si>
  <si>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</si>
  <si>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</si>
  <si>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</si>
  <si>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</si>
  <si>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</si>
  <si>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</si>
  <si>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</si>
  <si>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</si>
  <si>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</si>
  <si>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</si>
  <si>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</si>
  <si>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</si>
  <si>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NF 888702 REF TARIFA AMBEV - ELLEN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</si>
  <si>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</si>
  <si>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</si>
  <si>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</si>
  <si>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</si>
  <si>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</si>
  <si>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</si>
  <si>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</si>
  <si>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</si>
  <si>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</si>
  <si>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</si>
  <si>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</si>
  <si>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</si>
  <si>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</si>
  <si>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</si>
  <si>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</si>
  <si>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</si>
  <si>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</si>
  <si>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</si>
  <si>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</si>
  <si>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</si>
  <si>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</si>
  <si>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</si>
  <si>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</si>
  <si>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</si>
  <si>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</si>
  <si>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</si>
  <si>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</si>
  <si>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</si>
  <si>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</si>
  <si>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</si>
  <si>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</si>
  <si>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</si>
  <si>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</si>
  <si>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</si>
  <si>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</si>
  <si>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</si>
  <si>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</si>
  <si>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</si>
  <si>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</si>
  <si>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</si>
  <si>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</si>
  <si>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</si>
  <si>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</si>
  <si>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</si>
  <si>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</si>
  <si>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</si>
  <si>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</si>
  <si>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</si>
  <si>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</si>
  <si>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</si>
  <si>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</si>
  <si>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</si>
  <si>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</si>
  <si>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</si>
  <si>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</si>
  <si>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</si>
  <si>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</si>
  <si>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</si>
  <si>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</si>
  <si>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</si>
  <si>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</si>
  <si>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</si>
  <si>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</si>
  <si>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</si>
  <si>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</si>
  <si>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</si>
  <si>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</si>
  <si>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</si>
  <si>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</si>
  <si>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</si>
  <si>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</si>
  <si>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</si>
  <si>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</si>
  <si>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</si>
  <si>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</si>
  <si>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</si>
  <si>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</si>
  <si>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</si>
  <si>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NF 312916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</si>
  <si>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</si>
  <si>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</si>
  <si>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</si>
  <si>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</si>
  <si>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</si>
  <si>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</si>
  <si>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</si>
  <si>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</si>
  <si>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</si>
  <si>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</si>
  <si>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</si>
  <si>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</si>
  <si>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</si>
  <si>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</si>
  <si>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</si>
  <si>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</si>
  <si>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</si>
  <si>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</si>
  <si>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</si>
  <si>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</si>
  <si>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COMPRAS - 15L DE AÇAI - PG NO P 21/7/26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</si>
  <si>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</si>
  <si>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</si>
  <si>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</si>
  <si>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</si>
  <si>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</si>
  <si>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</si>
  <si>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</si>
  <si>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</si>
  <si>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</si>
  <si>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</si>
  <si>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</si>
  <si>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</si>
  <si>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</si>
  <si>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</si>
  <si>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</si>
  <si>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</si>
  <si>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</si>
  <si>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</si>
  <si>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</si>
  <si>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</si>
  <si>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</si>
  <si>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</si>
  <si>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</si>
  <si>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</si>
  <si>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</si>
  <si>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</si>
  <si>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</si>
  <si>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</si>
  <si>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</si>
  <si>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</si>
  <si>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</si>
  <si>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</si>
  <si>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</si>
  <si>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</si>
  <si>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</si>
  <si>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</si>
  <si>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</si>
  <si>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</si>
  <si>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</si>
  <si>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</si>
  <si>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</si>
  <si>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</si>
  <si>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</si>
  <si>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</si>
  <si>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</si>
  <si>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</si>
  <si>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</si>
  <si>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</si>
  <si>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</si>
  <si>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</si>
  <si>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</si>
  <si>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</si>
  <si>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</si>
  <si>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</si>
  <si>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</si>
  <si>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</si>
  <si>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</si>
  <si>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</si>
  <si>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</si>
  <si>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</si>
  <si>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</si>
  <si>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</si>
  <si>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</si>
  <si>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</si>
  <si>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</si>
  <si>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</si>
  <si>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</si>
  <si>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</si>
  <si>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</si>
  <si>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</si>
  <si>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</si>
  <si>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</si>
  <si>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</si>
  <si>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</si>
  <si>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</si>
  <si>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</si>
  <si>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</si>
  <si>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</si>
  <si>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</si>
  <si>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</si>
  <si>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</si>
  <si>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</si>
  <si>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</si>
  <si>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</si>
  <si>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</si>
  <si>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</si>
  <si>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</si>
  <si>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</si>
  <si>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</si>
  <si>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</si>
  <si>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</si>
  <si>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</si>
  <si>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</si>
  <si>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</si>
  <si>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</si>
  <si>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</si>
  <si>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</si>
  <si>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</si>
  <si>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</si>
  <si>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</si>
  <si>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</si>
  <si>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</si>
  <si>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</si>
  <si>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</si>
  <si>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</si>
  <si>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</si>
  <si>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</si>
  <si>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</si>
  <si>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</si>
  <si>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</si>
  <si>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</si>
  <si>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</si>
  <si>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</si>
  <si>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</si>
  <si>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</si>
  <si>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</si>
  <si>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</si>
  <si>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</si>
  <si>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</si>
  <si>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</si>
  <si>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</si>
  <si>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</si>
  <si>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</si>
  <si>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</si>
  <si>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</si>
  <si>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</si>
  <si>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</si>
  <si>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</si>
  <si>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</si>
  <si>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</si>
  <si>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</si>
  <si>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</si>
  <si>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</si>
  <si>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</si>
  <si>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</si>
  <si>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</si>
  <si>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</si>
  <si>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</si>
  <si>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</si>
  <si>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</si>
  <si>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</si>
  <si>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</si>
  <si>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</si>
  <si>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</si>
  <si>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</si>
  <si>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</si>
  <si>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</si>
  <si>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</si>
  <si>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</si>
  <si>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</si>
  <si>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</si>
  <si>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</si>
  <si>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</si>
  <si>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</si>
  <si>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</si>
  <si>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</si>
  <si>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</si>
  <si>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</si>
  <si>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</si>
  <si>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</si>
  <si>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</si>
  <si>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</si>
  <si>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</si>
  <si>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</si>
  <si>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</si>
  <si>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</si>
  <si>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</si>
  <si>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</si>
  <si>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</si>
  <si>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</si>
  <si>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</si>
  <si>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</si>
  <si>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</si>
  <si>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</si>
  <si>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</si>
  <si>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</si>
  <si>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</si>
  <si>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</si>
  <si>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</si>
  <si>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</si>
  <si>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</si>
  <si>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</si>
  <si>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</si>
  <si>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</si>
  <si>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</si>
  <si>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</si>
  <si>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</si>
  <si>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</si>
  <si>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</si>
  <si>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</si>
  <si>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</si>
  <si>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</si>
  <si>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</si>
  <si>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</si>
  <si>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</si>
  <si>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</si>
  <si>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</si>
  <si>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</si>
  <si>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</si>
  <si>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</si>
  <si>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</si>
  <si>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</si>
  <si>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</si>
  <si>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</si>
  <si>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</si>
  <si>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</si>
  <si>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</si>
  <si>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</si>
  <si>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</si>
  <si>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</si>
  <si>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</si>
  <si>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</si>
  <si>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</si>
  <si>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</si>
  <si>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</si>
  <si>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</si>
  <si>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</si>
  <si>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</si>
  <si>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</si>
  <si>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</si>
  <si>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</si>
  <si>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</si>
  <si>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</si>
  <si>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</si>
  <si>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</si>
  <si>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</si>
  <si>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</si>
  <si>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</si>
  <si>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</si>
  <si>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</si>
  <si>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</si>
  <si>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</si>
  <si>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</si>
  <si>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</si>
  <si>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</si>
  <si>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</si>
  <si>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</si>
  <si>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</si>
  <si>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</si>
  <si>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</si>
  <si>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</si>
  <si>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</si>
  <si>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</si>
  <si>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</si>
  <si>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</si>
  <si>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</si>
  <si>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</si>
  <si>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</si>
  <si>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</si>
  <si>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</si>
  <si>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</si>
  <si>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</si>
  <si>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</si>
  <si>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</si>
  <si>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</si>
  <si>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</si>
  <si>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</si>
  <si>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</si>
  <si>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</si>
  <si>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</si>
  <si>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</si>
  <si>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</si>
  <si>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</si>
  <si>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</si>
  <si>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</si>
  <si>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</si>
  <si>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</si>
  <si>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</si>
  <si>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</si>
  <si>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</si>
  <si>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</si>
  <si>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</si>
  <si>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</si>
  <si>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</si>
  <si>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</si>
  <si>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</si>
  <si>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</si>
  <si>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</si>
  <si>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</si>
  <si>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</si>
  <si>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</si>
  <si>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</si>
  <si>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</si>
  <si>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</si>
  <si>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</si>
  <si>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</si>
  <si>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</si>
  <si>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</si>
  <si>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</si>
  <si>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</si>
  <si>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</si>
  <si>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</si>
  <si>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</si>
  <si>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</si>
  <si>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</si>
  <si>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</si>
  <si>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</si>
  <si>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</si>
  <si>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</si>
  <si>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</si>
  <si>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</si>
  <si>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</si>
  <si>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</si>
  <si>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</si>
  <si>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</si>
  <si>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</si>
  <si>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</si>
  <si>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</si>
  <si>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</si>
  <si>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</si>
  <si>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</si>
  <si>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</si>
  <si>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</si>
  <si>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</si>
  <si>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</si>
  <si>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</si>
  <si>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</si>
  <si>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</si>
  <si>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</si>
  <si>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</si>
  <si>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</si>
  <si>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</si>
  <si>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</si>
  <si>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</si>
  <si>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</si>
  <si>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</si>
  <si>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</si>
  <si>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</si>
  <si>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</si>
  <si>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</si>
  <si>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</si>
  <si>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</si>
  <si>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</si>
  <si>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</si>
  <si>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</si>
  <si>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</si>
  <si>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</si>
  <si>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</si>
  <si>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</si>
  <si>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</si>
  <si>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</si>
  <si>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</si>
  <si>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</si>
  <si>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</si>
  <si>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</si>
  <si>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</si>
  <si>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</si>
  <si>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</si>
  <si>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</si>
  <si>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</si>
  <si>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</si>
  <si>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</si>
  <si>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</si>
  <si>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</si>
  <si>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</si>
  <si>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</si>
  <si>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EMPRESTIMO PARC 33/42 INICIO 26.12.23 A 26.05.27</t>
  </si>
  <si>
    <t xml:space="preserve">NF 3231 ELLEN</t>
  </si>
  <si>
    <t xml:space="preserve">NF 1709601 ELLEN</t>
  </si>
  <si>
    <t xml:space="preserve">NF 330057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</si>
  <si>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</si>
  <si>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</si>
  <si>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</si>
  <si>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</si>
  <si>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</si>
  <si>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</si>
  <si>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</si>
  <si>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</si>
  <si>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</si>
  <si>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</si>
  <si>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</si>
  <si>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</si>
  <si>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</si>
  <si>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</si>
  <si>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</si>
  <si>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</si>
  <si>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689222 ELLEN</t>
  </si>
  <si>
    <t xml:space="preserve">NF 689224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</si>
  <si>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</si>
  <si>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</si>
  <si>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</si>
  <si>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</si>
  <si>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</si>
  <si>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</si>
  <si>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</si>
  <si>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</si>
  <si>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</si>
  <si>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</si>
  <si>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</si>
  <si>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</si>
  <si>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</si>
  <si>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</si>
  <si>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</si>
  <si>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</si>
  <si>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</si>
  <si>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</si>
  <si>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</si>
  <si>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</si>
  <si>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NF 44054 ELLEN</t>
  </si>
  <si>
    <t xml:space="preserve">NF 668739 ELLEN</t>
  </si>
  <si>
    <t xml:space="preserve">NF 2310769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</si>
  <si>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</si>
  <si>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</si>
  <si>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</si>
  <si>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</si>
  <si>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</si>
  <si>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</si>
  <si>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</si>
  <si>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</si>
  <si>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</si>
  <si>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</si>
  <si>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</si>
  <si>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</si>
  <si>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</si>
  <si>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</si>
  <si>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</si>
  <si>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</si>
  <si>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</si>
  <si>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</si>
  <si>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</si>
  <si>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</si>
  <si>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</si>
  <si>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</si>
  <si>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</si>
  <si>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</si>
  <si>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</si>
  <si>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</si>
  <si>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</si>
  <si>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PARC 08/10 MATR 101674 IPTU MO2 - KEILA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</si>
  <si>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</si>
  <si>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</si>
  <si>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</si>
  <si>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</si>
  <si>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</si>
  <si>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</si>
  <si>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</si>
  <si>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</si>
  <si>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</si>
  <si>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</si>
  <si>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</si>
  <si>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</si>
  <si>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</si>
  <si>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</si>
  <si>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</si>
  <si>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</si>
  <si>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</si>
  <si>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</si>
  <si>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</si>
  <si>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</si>
  <si>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</si>
  <si>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</si>
  <si>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</si>
  <si>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</si>
  <si>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</si>
  <si>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</si>
  <si>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</si>
  <si>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</si>
  <si>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</si>
  <si>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</si>
  <si>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</si>
  <si>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</si>
  <si>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</si>
  <si>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</si>
  <si>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</si>
  <si>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</si>
  <si>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</si>
  <si>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</si>
  <si>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</si>
  <si>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</si>
  <si>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</si>
  <si>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</si>
  <si>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</si>
  <si>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</si>
  <si>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</si>
  <si>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</si>
  <si>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</si>
  <si>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</si>
  <si>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</si>
  <si>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</si>
  <si>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</si>
  <si>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</si>
  <si>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</si>
  <si>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</si>
  <si>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</si>
  <si>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</si>
  <si>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</si>
  <si>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</si>
  <si>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</si>
  <si>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</si>
  <si>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</si>
  <si>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</si>
  <si>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</si>
  <si>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</si>
  <si>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</si>
  <si>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</si>
  <si>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</si>
  <si>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</si>
  <si>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</si>
  <si>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</si>
  <si>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</si>
  <si>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</si>
  <si>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</si>
  <si>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</si>
  <si>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</si>
  <si>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</si>
  <si>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</si>
  <si>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</si>
  <si>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</si>
  <si>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</si>
  <si>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</si>
  <si>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</si>
  <si>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</si>
  <si>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</si>
  <si>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</si>
  <si>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</si>
  <si>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</si>
  <si>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</si>
  <si>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</si>
  <si>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</si>
  <si>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</si>
  <si>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</si>
  <si>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</si>
  <si>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</si>
  <si>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</si>
  <si>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</si>
  <si>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</si>
  <si>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</si>
  <si>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</si>
  <si>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</si>
  <si>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</si>
  <si>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</si>
  <si>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</si>
  <si>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</si>
  <si>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</si>
  <si>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</si>
  <si>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</si>
  <si>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</si>
  <si>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</si>
  <si>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</si>
  <si>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</si>
  <si>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</si>
  <si>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</si>
  <si>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</si>
  <si>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</si>
  <si>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</si>
  <si>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</si>
  <si>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</si>
  <si>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</si>
  <si>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</si>
  <si>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</si>
  <si>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</si>
  <si>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</si>
  <si>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</si>
  <si>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</si>
  <si>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</si>
  <si>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</si>
  <si>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</si>
  <si>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</si>
  <si>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</si>
  <si>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</si>
  <si>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</si>
  <si>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</si>
  <si>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</si>
  <si>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</si>
  <si>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02805138000193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</si>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</sst>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1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46199</v>
      </c>
      <c r="C543" s="11" t="n">
        <v>46206</v>
      </c>
      <c r="D543" s="10" t="n">
        <v>1642</v>
      </c>
      <c r="E543" s="12" t="s">
        <v>210</v>
      </c>
      <c r="F543" s="10" t="n">
        <v>24</v>
      </c>
      <c r="G543" s="12" t="s">
        <v>77</v>
      </c>
      <c r="H543" s="10" t="n">
        <v>2110101</v>
      </c>
      <c r="I543" s="12" t="s">
        <v>33</v>
      </c>
      <c r="J543" s="10" t="n">
        <v>1309652</v>
      </c>
      <c r="L543" s="10" t="n">
        <v>1029069</v>
      </c>
      <c r="M543" s="12" t="s">
        <v>83</v>
      </c>
      <c r="N543" s="12" t="s">
        <v>54</v>
      </c>
      <c r="P543" s="10" t="n">
        <v>113</v>
      </c>
      <c r="Q543" s="12" t="s">
        <v>36</v>
      </c>
      <c r="R543" s="12" t="s">
        <v>48</v>
      </c>
      <c r="S543" s="10" t="n">
        <v>1130101</v>
      </c>
      <c r="T543" s="12" t="s">
        <v>49</v>
      </c>
      <c r="U543" s="13" t="n">
        <v>305.38</v>
      </c>
      <c r="W543" s="13" t="n">
        <v>0</v>
      </c>
      <c r="X543" s="12" t="s">
        <v>651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1699</v>
      </c>
      <c r="E544" s="12" t="s">
        <v>208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1310401</v>
      </c>
      <c r="L544" s="10" t="n">
        <v>305929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1184.07</v>
      </c>
      <c r="W544" s="13" t="n">
        <v>0</v>
      </c>
      <c r="X544" s="12" t="s">
        <v>652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46200</v>
      </c>
      <c r="C545" s="11" t="n">
        <v>46206</v>
      </c>
      <c r="D545" s="10" t="n">
        <v>1666</v>
      </c>
      <c r="E545" s="12" t="s">
        <v>206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1312641</v>
      </c>
      <c r="L545" s="10" t="n">
        <v>175251</v>
      </c>
      <c r="M545" s="12" t="s">
        <v>83</v>
      </c>
      <c r="N545" s="12" t="s">
        <v>35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5761.35</v>
      </c>
      <c r="W545" s="13" t="n">
        <v>0</v>
      </c>
      <c r="X545" s="12" t="s">
        <v>653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1695</v>
      </c>
      <c r="E546" s="12" t="s">
        <v>351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1312835</v>
      </c>
      <c r="L546" s="10" t="n">
        <v>18889</v>
      </c>
      <c r="M546" s="12" t="s">
        <v>83</v>
      </c>
      <c r="N546" s="12" t="s">
        <v>54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796.74</v>
      </c>
      <c r="W546" s="13" t="n">
        <v>0</v>
      </c>
      <c r="X546" s="12" t="s">
        <v>654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1625</v>
      </c>
      <c r="E547" s="12" t="s">
        <v>248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1313051</v>
      </c>
      <c r="L547" s="10" t="n">
        <v>14560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1997.03</v>
      </c>
      <c r="W547" s="13" t="n">
        <v>0</v>
      </c>
      <c r="X547" s="12" t="s">
        <v>655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46206</v>
      </c>
      <c r="D548" s="10" t="n">
        <v>1815</v>
      </c>
      <c r="E548" s="12" t="s">
        <v>164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1321695</v>
      </c>
      <c r="L548" s="10" t="n">
        <v>175255</v>
      </c>
      <c r="M548" s="12" t="s">
        <v>83</v>
      </c>
      <c r="N548" s="12" t="s">
        <v>35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371.88</v>
      </c>
      <c r="W548" s="13" t="n">
        <v>0</v>
      </c>
      <c r="X548" s="12" t="s">
        <v>656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1621</v>
      </c>
      <c r="E549" s="12" t="s">
        <v>212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1321849</v>
      </c>
      <c r="L549" s="10" t="n">
        <v>877177</v>
      </c>
      <c r="M549" s="12" t="s">
        <v>83</v>
      </c>
      <c r="N549" s="12" t="s">
        <v>54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2177.83</v>
      </c>
      <c r="W549" s="13" t="n">
        <v>0</v>
      </c>
      <c r="X549" s="12" t="s">
        <v>657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1321861</v>
      </c>
      <c r="L550" s="10" t="n">
        <v>175257</v>
      </c>
      <c r="M550" s="12" t="s">
        <v>83</v>
      </c>
      <c r="N550" s="12" t="s">
        <v>35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1.55</v>
      </c>
      <c r="W550" s="13" t="n">
        <v>0</v>
      </c>
      <c r="X550" s="12" t="s">
        <v>658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46203</v>
      </c>
      <c r="C551" s="11" t="n">
        <v>46206</v>
      </c>
      <c r="D551" s="10" t="n">
        <v>1695</v>
      </c>
      <c r="E551" s="12" t="s">
        <v>351</v>
      </c>
      <c r="F551" s="10" t="n">
        <v>34</v>
      </c>
      <c r="G551" s="12" t="s">
        <v>97</v>
      </c>
      <c r="H551" s="10" t="n">
        <v>2110101</v>
      </c>
      <c r="I551" s="12" t="s">
        <v>33</v>
      </c>
      <c r="J551" s="10" t="n">
        <v>1330221</v>
      </c>
      <c r="L551" s="10" t="n">
        <v>178148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534.44</v>
      </c>
      <c r="W551" s="13" t="n">
        <v>0</v>
      </c>
      <c r="X551" s="12" t="s">
        <v>659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46206</v>
      </c>
      <c r="C552" s="11" t="n">
        <v>46206</v>
      </c>
      <c r="D552" s="10" t="n">
        <v>34</v>
      </c>
      <c r="E552" s="12" t="s">
        <v>241</v>
      </c>
      <c r="F552" s="10" t="n">
        <v>11</v>
      </c>
      <c r="G552" s="12" t="s">
        <v>501</v>
      </c>
      <c r="H552" s="10" t="n">
        <v>2110405</v>
      </c>
      <c r="I552" s="12" t="s">
        <v>41</v>
      </c>
      <c r="J552" s="10" t="n">
        <v>1344469</v>
      </c>
      <c r="L552" s="10" t="n">
        <v>180481</v>
      </c>
      <c r="M552" s="12" t="s">
        <v>83</v>
      </c>
      <c r="N552" s="12" t="s">
        <v>35</v>
      </c>
      <c r="P552" s="10" t="n">
        <v>101</v>
      </c>
      <c r="Q552" s="12" t="s">
        <v>42</v>
      </c>
      <c r="R552" s="12" t="s">
        <v>56</v>
      </c>
      <c r="S552" s="10" t="n">
        <v>4210231</v>
      </c>
      <c r="T552" s="12" t="s">
        <v>660</v>
      </c>
      <c r="U552" s="13" t="n">
        <v>1217.33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46195</v>
      </c>
      <c r="C581" s="11" t="n">
        <v>46207</v>
      </c>
      <c r="D581" s="10" t="n">
        <v>1705</v>
      </c>
      <c r="E581" s="12" t="s">
        <v>119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1290023</v>
      </c>
      <c r="L581" s="10" t="n">
        <v>172326</v>
      </c>
      <c r="M581" s="12" t="s">
        <v>83</v>
      </c>
      <c r="N581" s="12" t="s">
        <v>35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467.76</v>
      </c>
      <c r="W581" s="13" t="n">
        <v>0</v>
      </c>
      <c r="X581" s="12" t="s">
        <v>676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46167</v>
      </c>
      <c r="C582" s="11" t="n">
        <v>46207</v>
      </c>
      <c r="D582" s="10" t="n">
        <v>10011</v>
      </c>
      <c r="E582" s="12" t="s">
        <v>292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1151538</v>
      </c>
      <c r="L582" s="10" t="n">
        <v>33745</v>
      </c>
      <c r="M582" s="12" t="s">
        <v>62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938.27</v>
      </c>
      <c r="W582" s="13" t="n">
        <v>0</v>
      </c>
      <c r="X582" s="12" t="s">
        <v>353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1290006</v>
      </c>
      <c r="L583" s="10" t="n">
        <v>1169404</v>
      </c>
      <c r="M583" s="12" t="s">
        <v>83</v>
      </c>
      <c r="N583" s="12" t="s">
        <v>54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50.85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46213</v>
      </c>
      <c r="D668" s="10" t="n">
        <v>1621</v>
      </c>
      <c r="E668" s="12" t="s">
        <v>212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1345477</v>
      </c>
      <c r="L668" s="10" t="n">
        <v>180727</v>
      </c>
      <c r="M668" s="12" t="s">
        <v>83</v>
      </c>
      <c r="N668" s="12" t="s">
        <v>35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1.55</v>
      </c>
      <c r="W668" s="13" t="n">
        <v>0</v>
      </c>
      <c r="X668" s="12" t="s">
        <v>743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1720</v>
      </c>
      <c r="E669" s="12" t="s">
        <v>744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1290433</v>
      </c>
      <c r="L669" s="10" t="n">
        <v>47502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603.5</v>
      </c>
      <c r="W669" s="13" t="n">
        <v>0</v>
      </c>
      <c r="X669" s="12" t="s">
        <v>745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46195</v>
      </c>
      <c r="C670" s="11" t="n">
        <v>46213</v>
      </c>
      <c r="D670" s="10" t="n">
        <v>1678</v>
      </c>
      <c r="E670" s="12" t="s">
        <v>746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1290565</v>
      </c>
      <c r="L670" s="10" t="n">
        <v>161137</v>
      </c>
      <c r="M670" s="12" t="s">
        <v>83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592.5</v>
      </c>
      <c r="W670" s="13" t="n">
        <v>0</v>
      </c>
      <c r="X670" s="12" t="s">
        <v>747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46198</v>
      </c>
      <c r="C671" s="11" t="n">
        <v>46213</v>
      </c>
      <c r="D671" s="10" t="n">
        <v>1218</v>
      </c>
      <c r="E671" s="12" t="s">
        <v>579</v>
      </c>
      <c r="F671" s="10" t="n">
        <v>24</v>
      </c>
      <c r="G671" s="12" t="s">
        <v>77</v>
      </c>
      <c r="H671" s="10" t="n">
        <v>2110101</v>
      </c>
      <c r="I671" s="12" t="s">
        <v>33</v>
      </c>
      <c r="J671" s="10" t="n">
        <v>1305945</v>
      </c>
      <c r="L671" s="10" t="n">
        <v>9495</v>
      </c>
      <c r="M671" s="12" t="s">
        <v>74</v>
      </c>
      <c r="N671" s="12" t="s">
        <v>54</v>
      </c>
      <c r="P671" s="10" t="n">
        <v>113</v>
      </c>
      <c r="Q671" s="12" t="s">
        <v>36</v>
      </c>
      <c r="R671" s="12" t="s">
        <v>48</v>
      </c>
      <c r="S671" s="10" t="n">
        <v>1130101</v>
      </c>
      <c r="T671" s="12" t="s">
        <v>49</v>
      </c>
      <c r="U671" s="13" t="n">
        <v>531.2</v>
      </c>
      <c r="W671" s="13" t="n">
        <v>0</v>
      </c>
      <c r="X671" s="12" t="s">
        <v>580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1242</v>
      </c>
      <c r="E672" s="12" t="s">
        <v>748</v>
      </c>
      <c r="F672" s="10" t="n">
        <v>46</v>
      </c>
      <c r="G672" s="12" t="s">
        <v>285</v>
      </c>
      <c r="H672" s="10" t="n">
        <v>2110405</v>
      </c>
      <c r="I672" s="12" t="s">
        <v>41</v>
      </c>
      <c r="J672" s="10" t="n">
        <v>1309772</v>
      </c>
      <c r="L672" s="10" t="n">
        <v>6022</v>
      </c>
      <c r="M672" s="12" t="s">
        <v>83</v>
      </c>
      <c r="N672" s="12" t="s">
        <v>35</v>
      </c>
      <c r="P672" s="10" t="n">
        <v>101</v>
      </c>
      <c r="Q672" s="12" t="s">
        <v>42</v>
      </c>
      <c r="R672" s="12" t="s">
        <v>100</v>
      </c>
      <c r="S672" s="10" t="n">
        <v>4210317</v>
      </c>
      <c r="T672" s="12" t="s">
        <v>749</v>
      </c>
      <c r="U672" s="13" t="n">
        <v>160</v>
      </c>
      <c r="W672" s="13" t="n">
        <v>0</v>
      </c>
      <c r="X672" s="12" t="s">
        <v>750</v>
      </c>
      <c r="Z672" s="1" t="str">
        <f aca="false">IF($T672="","",IFERROR(INDEX('Resumo Grupos'!$AC$3:$AC$200,MATCH($T672,'Resumo Grupos'!$AB$3:$AB$200,0)),"n/d"))</f>
        <v>Salários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46199</v>
      </c>
      <c r="C673" s="11" t="n">
        <v>46213</v>
      </c>
      <c r="D673" s="10" t="n">
        <v>1699</v>
      </c>
      <c r="E673" s="12" t="s">
        <v>208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1310401</v>
      </c>
      <c r="L673" s="10" t="n">
        <v>305929</v>
      </c>
      <c r="M673" s="12" t="s">
        <v>74</v>
      </c>
      <c r="N673" s="12" t="s">
        <v>54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1184.07</v>
      </c>
      <c r="W673" s="13" t="n">
        <v>0</v>
      </c>
      <c r="X673" s="12" t="s">
        <v>652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46200</v>
      </c>
      <c r="C674" s="11" t="n">
        <v>46213</v>
      </c>
      <c r="D674" s="10" t="n">
        <v>1666</v>
      </c>
      <c r="E674" s="12" t="s">
        <v>206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1312648</v>
      </c>
      <c r="L674" s="10" t="n">
        <v>175252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5621.36</v>
      </c>
      <c r="W674" s="13" t="n">
        <v>0</v>
      </c>
      <c r="X674" s="12" t="s">
        <v>653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46202</v>
      </c>
      <c r="C675" s="11" t="n">
        <v>46213</v>
      </c>
      <c r="D675" s="10" t="n">
        <v>1815</v>
      </c>
      <c r="E675" s="12" t="s">
        <v>164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1321697</v>
      </c>
      <c r="L675" s="10" t="n">
        <v>175256</v>
      </c>
      <c r="M675" s="12" t="s">
        <v>83</v>
      </c>
      <c r="N675" s="12" t="s">
        <v>35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371.88</v>
      </c>
      <c r="W675" s="13" t="n">
        <v>0</v>
      </c>
      <c r="X675" s="12"/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1642</v>
      </c>
      <c r="E676" s="12" t="s">
        <v>210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1343794</v>
      </c>
      <c r="L676" s="10" t="n">
        <v>1030058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279.82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1609</v>
      </c>
      <c r="E677" s="12" t="s">
        <v>90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1344581</v>
      </c>
      <c r="L677" s="10" t="n">
        <v>5765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430.3</v>
      </c>
      <c r="W677" s="13" t="n">
        <v>0</v>
      </c>
      <c r="X677" s="12" t="s">
        <v>752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10089</v>
      </c>
      <c r="E678" s="12" t="s">
        <v>753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1345178</v>
      </c>
      <c r="L678" s="10" t="n">
        <v>890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368.4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1345469</v>
      </c>
      <c r="L679" s="10" t="n">
        <v>888702</v>
      </c>
      <c r="M679" s="12" t="s">
        <v>83</v>
      </c>
      <c r="N679" s="12" t="s">
        <v>54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2293.67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753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754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2110405</v>
      </c>
      <c r="I777" s="1" t="s">
        <v>41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46216</v>
      </c>
      <c r="C785" s="15" t="n">
        <v>46223</v>
      </c>
      <c r="D785" s="16" t="n">
        <v>1626</v>
      </c>
      <c r="E785" s="1" t="s">
        <v>82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1393879</v>
      </c>
      <c r="L785" s="16" t="n">
        <v>312916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368.05</v>
      </c>
      <c r="W785" s="17" t="n">
        <v>0</v>
      </c>
      <c r="X785" s="1" t="s">
        <v>822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46210</v>
      </c>
      <c r="C786" s="15" t="n">
        <v>46223</v>
      </c>
      <c r="D786" s="16" t="n">
        <v>703</v>
      </c>
      <c r="E786" s="1" t="s">
        <v>823</v>
      </c>
      <c r="F786" s="16" t="n">
        <v>24</v>
      </c>
      <c r="G786" s="1" t="s">
        <v>77</v>
      </c>
      <c r="H786" s="16" t="n">
        <v>2110101</v>
      </c>
      <c r="I786" s="1" t="s">
        <v>33</v>
      </c>
      <c r="J786" s="16" t="n">
        <v>1365044</v>
      </c>
      <c r="L786" s="16" t="n">
        <v>102073</v>
      </c>
      <c r="M786" s="1" t="s">
        <v>83</v>
      </c>
      <c r="N786" s="1" t="s">
        <v>54</v>
      </c>
      <c r="P786" s="16" t="n">
        <v>113</v>
      </c>
      <c r="Q786" s="1" t="s">
        <v>36</v>
      </c>
      <c r="R786" s="1" t="s">
        <v>48</v>
      </c>
      <c r="S786" s="16" t="n">
        <v>1130101</v>
      </c>
      <c r="T786" s="1" t="s">
        <v>49</v>
      </c>
      <c r="U786" s="17" t="n">
        <v>374.1</v>
      </c>
      <c r="W786" s="17" t="n">
        <v>0</v>
      </c>
      <c r="X786" s="1" t="s">
        <v>824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46211</v>
      </c>
      <c r="C787" s="15" t="n">
        <v>46223</v>
      </c>
      <c r="D787" s="16" t="n">
        <v>10028</v>
      </c>
      <c r="E787" s="1" t="s">
        <v>439</v>
      </c>
      <c r="F787" s="16" t="n">
        <v>24</v>
      </c>
      <c r="G787" s="1" t="s">
        <v>77</v>
      </c>
      <c r="H787" s="16" t="n">
        <v>2110405</v>
      </c>
      <c r="I787" s="1" t="s">
        <v>41</v>
      </c>
      <c r="J787" s="16" t="n">
        <v>1370757</v>
      </c>
      <c r="L787" s="16" t="n">
        <v>184341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100</v>
      </c>
      <c r="S787" s="16" t="n">
        <v>4210315</v>
      </c>
      <c r="T787" s="1" t="s">
        <v>257</v>
      </c>
      <c r="U787" s="17" t="n">
        <v>595.9</v>
      </c>
      <c r="W787" s="17" t="n">
        <v>0</v>
      </c>
      <c r="X787" s="1" t="s">
        <v>440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46217</v>
      </c>
      <c r="C790" s="15" t="n">
        <v>46223</v>
      </c>
      <c r="D790" s="16" t="n">
        <v>1631</v>
      </c>
      <c r="E790" s="1" t="s">
        <v>266</v>
      </c>
      <c r="F790" s="16" t="n">
        <v>24</v>
      </c>
      <c r="G790" s="1" t="s">
        <v>77</v>
      </c>
      <c r="H790" s="16" t="n">
        <v>1110203</v>
      </c>
      <c r="I790" s="1" t="s">
        <v>108</v>
      </c>
      <c r="J790" s="16" t="n">
        <v>1397440</v>
      </c>
      <c r="L790" s="16" t="n">
        <v>187938</v>
      </c>
      <c r="M790" s="1" t="s">
        <v>83</v>
      </c>
      <c r="N790" s="1" t="s">
        <v>35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361.6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1328</v>
      </c>
      <c r="E791" s="1" t="s">
        <v>92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1397692</v>
      </c>
      <c r="L791" s="16" t="n">
        <v>188004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216.75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1947</v>
      </c>
      <c r="E792" s="1" t="s">
        <v>426</v>
      </c>
      <c r="F792" s="16" t="n">
        <v>34</v>
      </c>
      <c r="G792" s="1" t="s">
        <v>97</v>
      </c>
      <c r="H792" s="16" t="n">
        <v>1110203</v>
      </c>
      <c r="I792" s="1" t="s">
        <v>108</v>
      </c>
      <c r="J792" s="16" t="n">
        <v>1397918</v>
      </c>
      <c r="L792" s="16" t="n">
        <v>188036</v>
      </c>
      <c r="M792" s="1" t="s">
        <v>83</v>
      </c>
      <c r="N792" s="1" t="s">
        <v>35</v>
      </c>
      <c r="P792" s="16" t="n">
        <v>101</v>
      </c>
      <c r="Q792" s="1" t="s">
        <v>42</v>
      </c>
      <c r="R792" s="1" t="s">
        <v>454</v>
      </c>
      <c r="S792" s="16" t="n">
        <v>2110707</v>
      </c>
      <c r="T792" s="1" t="s">
        <v>455</v>
      </c>
      <c r="U792" s="17" t="n">
        <v>1596.41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Impostos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1397919</v>
      </c>
      <c r="L793" s="16" t="n">
        <v>188037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100</v>
      </c>
      <c r="S793" s="16" t="n">
        <v>4210303</v>
      </c>
      <c r="T793" s="1" t="s">
        <v>427</v>
      </c>
      <c r="U793" s="17" t="n">
        <v>1128.04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1397922</v>
      </c>
      <c r="L794" s="16" t="n">
        <v>188038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4210302</v>
      </c>
      <c r="T794" s="1" t="s">
        <v>429</v>
      </c>
      <c r="U794" s="17" t="n">
        <v>2788.06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46220</v>
      </c>
      <c r="C795" s="15" t="n">
        <v>46223</v>
      </c>
      <c r="D795" s="16" t="n">
        <v>10035</v>
      </c>
      <c r="E795" s="1" t="s">
        <v>96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1412007</v>
      </c>
      <c r="L795" s="16" t="n">
        <v>190402</v>
      </c>
      <c r="M795" s="1" t="s">
        <v>83</v>
      </c>
      <c r="N795" s="1" t="s">
        <v>35</v>
      </c>
      <c r="P795" s="16" t="n">
        <v>113</v>
      </c>
      <c r="Q795" s="1" t="s">
        <v>36</v>
      </c>
      <c r="R795" s="1" t="s">
        <v>48</v>
      </c>
      <c r="S795" s="16" t="n">
        <v>1130101</v>
      </c>
      <c r="T795" s="1" t="s">
        <v>49</v>
      </c>
      <c r="U795" s="17" t="n">
        <v>228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46223</v>
      </c>
      <c r="C796" s="15" t="n">
        <v>46223</v>
      </c>
      <c r="D796" s="16" t="n">
        <v>17</v>
      </c>
      <c r="E796" s="1" t="s">
        <v>436</v>
      </c>
      <c r="F796" s="16" t="n">
        <v>24</v>
      </c>
      <c r="G796" s="1" t="s">
        <v>77</v>
      </c>
      <c r="H796" s="16" t="n">
        <v>1110203</v>
      </c>
      <c r="I796" s="1" t="s">
        <v>108</v>
      </c>
      <c r="J796" s="16" t="n">
        <v>1423828</v>
      </c>
      <c r="L796" s="16" t="n">
        <v>190895</v>
      </c>
      <c r="M796" s="1" t="s">
        <v>83</v>
      </c>
      <c r="N796" s="1" t="s">
        <v>35</v>
      </c>
      <c r="P796" s="16" t="n">
        <v>102</v>
      </c>
      <c r="Q796" s="1" t="s">
        <v>282</v>
      </c>
      <c r="R796" s="1" t="s">
        <v>43</v>
      </c>
      <c r="S796" s="16" t="n">
        <v>4220199</v>
      </c>
      <c r="T796" s="1" t="s">
        <v>44</v>
      </c>
      <c r="U796" s="17" t="n">
        <v>620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Pagamentos outros não operacionais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33</v>
      </c>
      <c r="E797" s="1" t="s">
        <v>272</v>
      </c>
      <c r="F797" s="16" t="n">
        <v>34</v>
      </c>
      <c r="G797" s="1" t="s">
        <v>97</v>
      </c>
      <c r="H797" s="16" t="n">
        <v>1110203</v>
      </c>
      <c r="I797" s="1" t="s">
        <v>108</v>
      </c>
      <c r="J797" s="16" t="n">
        <v>1424244</v>
      </c>
      <c r="L797" s="16" t="n">
        <v>190900</v>
      </c>
      <c r="M797" s="1" t="s">
        <v>83</v>
      </c>
      <c r="N797" s="1" t="s">
        <v>35</v>
      </c>
      <c r="P797" s="16" t="n">
        <v>101</v>
      </c>
      <c r="Q797" s="1" t="s">
        <v>42</v>
      </c>
      <c r="R797" s="1" t="s">
        <v>364</v>
      </c>
      <c r="S797" s="16" t="n">
        <v>4210107</v>
      </c>
      <c r="T797" s="1" t="s">
        <v>441</v>
      </c>
      <c r="U797" s="17" t="n">
        <v>138.43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46224</v>
      </c>
      <c r="C808" s="15" t="n">
        <v>46224</v>
      </c>
      <c r="D808" s="16" t="n">
        <v>48</v>
      </c>
      <c r="E808" s="1" t="s">
        <v>132</v>
      </c>
      <c r="F808" s="16" t="n">
        <v>13</v>
      </c>
      <c r="G808" s="1" t="s">
        <v>133</v>
      </c>
      <c r="H808" s="16" t="n">
        <v>2110101</v>
      </c>
      <c r="I808" s="1" t="s">
        <v>33</v>
      </c>
      <c r="J808" s="16" t="n">
        <v>1429592</v>
      </c>
      <c r="L808" s="16" t="n">
        <v>2556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210</v>
      </c>
      <c r="W808" s="17" t="n">
        <v>210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46217</v>
      </c>
      <c r="C809" s="15" t="n">
        <v>46224</v>
      </c>
      <c r="D809" s="16" t="n">
        <v>1642</v>
      </c>
      <c r="E809" s="1" t="s">
        <v>210</v>
      </c>
      <c r="F809" s="16" t="n">
        <v>24</v>
      </c>
      <c r="G809" s="1" t="s">
        <v>77</v>
      </c>
      <c r="H809" s="16" t="n">
        <v>2110101</v>
      </c>
      <c r="I809" s="1" t="s">
        <v>33</v>
      </c>
      <c r="J809" s="16" t="n">
        <v>1396745</v>
      </c>
      <c r="L809" s="16" t="n">
        <v>1031749</v>
      </c>
      <c r="M809" s="1" t="s">
        <v>83</v>
      </c>
      <c r="N809" s="1" t="s">
        <v>54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261.92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46219</v>
      </c>
      <c r="C810" s="15" t="n">
        <v>46224</v>
      </c>
      <c r="D810" s="16" t="n">
        <v>10009</v>
      </c>
      <c r="E810" s="1" t="s">
        <v>417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1406007</v>
      </c>
      <c r="L810" s="16" t="n">
        <v>189277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712.57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46220</v>
      </c>
      <c r="C811" s="15" t="n">
        <v>46224</v>
      </c>
      <c r="D811" s="16" t="n">
        <v>1899</v>
      </c>
      <c r="E811" s="1" t="s">
        <v>194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1410473</v>
      </c>
      <c r="L811" s="16" t="n">
        <v>190060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184.9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46221</v>
      </c>
      <c r="C812" s="15" t="n">
        <v>46224</v>
      </c>
      <c r="D812" s="16" t="n">
        <v>642</v>
      </c>
      <c r="E812" s="1" t="s">
        <v>130</v>
      </c>
      <c r="F812" s="16" t="n">
        <v>24</v>
      </c>
      <c r="G812" s="1" t="s">
        <v>77</v>
      </c>
      <c r="H812" s="16" t="n">
        <v>1110203</v>
      </c>
      <c r="I812" s="1" t="s">
        <v>108</v>
      </c>
      <c r="J812" s="16" t="n">
        <v>1414961</v>
      </c>
      <c r="L812" s="16" t="n">
        <v>190754</v>
      </c>
      <c r="M812" s="1" t="s">
        <v>83</v>
      </c>
      <c r="N812" s="1" t="s">
        <v>35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180</v>
      </c>
      <c r="W812" s="17" t="n">
        <v>0</v>
      </c>
      <c r="X812" s="1" t="s">
        <v>847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48</v>
      </c>
      <c r="E813" s="1" t="s">
        <v>132</v>
      </c>
      <c r="F813" s="16" t="n">
        <v>34</v>
      </c>
      <c r="G813" s="1" t="s">
        <v>97</v>
      </c>
      <c r="H813" s="16" t="n">
        <v>2110101</v>
      </c>
      <c r="I813" s="1" t="s">
        <v>33</v>
      </c>
      <c r="J813" s="16" t="n">
        <v>1429010</v>
      </c>
      <c r="L813" s="16" t="n">
        <v>2554</v>
      </c>
      <c r="M813" s="1" t="s">
        <v>83</v>
      </c>
      <c r="N813" s="1" t="s">
        <v>54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1446.94</v>
      </c>
      <c r="W813" s="17" t="n">
        <v>0</v>
      </c>
      <c r="X813" s="1" t="s">
        <v>395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1037</v>
      </c>
      <c r="E814" s="1" t="s">
        <v>139</v>
      </c>
      <c r="F814" s="16" t="n">
        <v>34</v>
      </c>
      <c r="G814" s="1" t="s">
        <v>97</v>
      </c>
      <c r="H814" s="16" t="n">
        <v>1110203</v>
      </c>
      <c r="I814" s="1" t="s">
        <v>108</v>
      </c>
      <c r="J814" s="16" t="n">
        <v>1429221</v>
      </c>
      <c r="L814" s="16" t="n">
        <v>191683</v>
      </c>
      <c r="M814" s="1" t="s">
        <v>83</v>
      </c>
      <c r="N814" s="1" t="s">
        <v>35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190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34</v>
      </c>
      <c r="G815" s="1" t="s">
        <v>97</v>
      </c>
      <c r="H815" s="16" t="n">
        <v>2110101</v>
      </c>
      <c r="I815" s="1" t="s">
        <v>33</v>
      </c>
      <c r="J815" s="16" t="n">
        <v>1429542</v>
      </c>
      <c r="L815" s="16" t="n">
        <v>2555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55</v>
      </c>
      <c r="W815" s="17" t="n">
        <v>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46230</v>
      </c>
      <c r="C925" s="15" t="n">
        <v>46233</v>
      </c>
      <c r="D925" s="1" t="n">
        <v>218</v>
      </c>
      <c r="E925" s="1" t="s">
        <v>723</v>
      </c>
      <c r="F925" s="1" t="n">
        <v>34</v>
      </c>
      <c r="G925" s="1" t="s">
        <v>97</v>
      </c>
      <c r="H925" s="1" t="n">
        <v>1110203</v>
      </c>
      <c r="I925" s="1" t="s">
        <v>108</v>
      </c>
      <c r="J925" s="1" t="n">
        <v>1459566</v>
      </c>
      <c r="L925" s="1" t="n">
        <v>197540</v>
      </c>
      <c r="M925" s="1" t="s">
        <v>83</v>
      </c>
      <c r="N925" s="1" t="s">
        <v>35</v>
      </c>
      <c r="P925" s="1" t="n">
        <v>101</v>
      </c>
      <c r="Q925" s="1" t="s">
        <v>42</v>
      </c>
      <c r="R925" s="1" t="s">
        <v>100</v>
      </c>
      <c r="S925" s="1" t="n">
        <v>4210301</v>
      </c>
      <c r="T925" s="1" t="s">
        <v>230</v>
      </c>
      <c r="U925" s="17" t="n">
        <v>260.64</v>
      </c>
      <c r="W925" s="1" t="n">
        <v>0</v>
      </c>
      <c r="X925" s="1" t="s">
        <v>942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46212</v>
      </c>
      <c r="C926" s="15" t="n">
        <v>46233</v>
      </c>
      <c r="D926" s="1" t="n">
        <v>1612</v>
      </c>
      <c r="E926" s="1" t="s">
        <v>76</v>
      </c>
      <c r="F926" s="1" t="n">
        <v>24</v>
      </c>
      <c r="G926" s="1" t="s">
        <v>77</v>
      </c>
      <c r="H926" s="1" t="n">
        <v>2110101</v>
      </c>
      <c r="I926" s="1" t="s">
        <v>33</v>
      </c>
      <c r="J926" s="1" t="n">
        <v>1374035</v>
      </c>
      <c r="L926" s="1" t="n">
        <v>2299705</v>
      </c>
      <c r="M926" s="1" t="s">
        <v>74</v>
      </c>
      <c r="N926" s="1" t="s">
        <v>54</v>
      </c>
      <c r="P926" s="1" t="n">
        <v>113</v>
      </c>
      <c r="Q926" s="1" t="s">
        <v>36</v>
      </c>
      <c r="R926" s="1" t="s">
        <v>48</v>
      </c>
      <c r="S926" s="1" t="n">
        <v>1130101</v>
      </c>
      <c r="T926" s="1" t="s">
        <v>49</v>
      </c>
      <c r="U926" s="17" t="n">
        <v>658.6</v>
      </c>
      <c r="W926" s="1" t="n">
        <v>0</v>
      </c>
      <c r="X926" s="1" t="s">
        <v>871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1374249</v>
      </c>
      <c r="L927" s="1" t="n">
        <v>2299703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377.46</v>
      </c>
      <c r="W927" s="1" t="n">
        <v>0</v>
      </c>
      <c r="X927" s="1" t="s">
        <v>872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46213</v>
      </c>
      <c r="C928" s="15" t="n">
        <v>46233</v>
      </c>
      <c r="D928" s="1" t="n">
        <v>1667</v>
      </c>
      <c r="E928" s="1" t="s">
        <v>82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1376812</v>
      </c>
      <c r="L928" s="1" t="n">
        <v>396261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321.77</v>
      </c>
      <c r="W928" s="1" t="n">
        <v>0</v>
      </c>
      <c r="X928" s="1" t="s">
        <v>874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1107</v>
      </c>
      <c r="E929" s="1" t="s">
        <v>204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1376909</v>
      </c>
      <c r="L929" s="1" t="n">
        <v>426652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682.63</v>
      </c>
      <c r="W929" s="1" t="n">
        <v>0</v>
      </c>
      <c r="X929" s="1" t="s">
        <v>875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822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46225</v>
      </c>
      <c r="C1054" s="15" t="n">
        <v>46240</v>
      </c>
      <c r="D1054" s="1" t="n">
        <v>1152</v>
      </c>
      <c r="E1054" s="1" t="s">
        <v>718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1435813</v>
      </c>
      <c r="L1054" s="1" t="n">
        <v>193974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1040</v>
      </c>
      <c r="W1054" s="1" t="n">
        <v>1040</v>
      </c>
      <c r="X1054" s="1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1705</v>
      </c>
      <c r="E1055" s="1" t="s">
        <v>119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1435833</v>
      </c>
      <c r="L1055" s="1" t="n">
        <v>193984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1717.19</v>
      </c>
      <c r="W1055" s="1" t="n">
        <v>1717.19</v>
      </c>
      <c r="X1055" s="1" t="s">
        <v>1027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1435843</v>
      </c>
      <c r="L1056" s="1" t="n">
        <v>193986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203.42</v>
      </c>
      <c r="W1056" s="1" t="n">
        <v>203.42</v>
      </c>
      <c r="X1056" s="1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46232</v>
      </c>
      <c r="C1057" s="15" t="n">
        <v>46240</v>
      </c>
      <c r="D1057" s="1" t="n">
        <v>1739</v>
      </c>
      <c r="E1057" s="1" t="s">
        <v>1029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1468979</v>
      </c>
      <c r="L1057" s="1" t="n">
        <v>198994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306.18</v>
      </c>
      <c r="W1057" s="1" t="n">
        <v>306.18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580.9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381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727.23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830.88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459.25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628.2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589.5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485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899.5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1900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4131.7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99</v>
      </c>
      <c r="F1158" s="1" t="n">
        <v>34</v>
      </c>
      <c r="G1158" s="1" t="s">
        <v>97</v>
      </c>
      <c r="H1158" s="1" t="n">
        <v>2110405</v>
      </c>
      <c r="I1158" s="1" t="s">
        <v>41</v>
      </c>
      <c r="J1158" s="1" t="n">
        <v>1567058</v>
      </c>
      <c r="L1158" s="1" t="n">
        <v>213954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100</v>
      </c>
      <c r="S1158" s="1" t="n">
        <v>4210301</v>
      </c>
      <c r="T1158" s="1" t="s">
        <v>230</v>
      </c>
      <c r="U1158" s="17" t="n">
        <v>400</v>
      </c>
      <c r="W1158" s="1" t="n">
        <v>400</v>
      </c>
      <c r="X1158" s="1" t="s">
        <v>1117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229</v>
      </c>
      <c r="F1159" s="1" t="n">
        <v>34</v>
      </c>
      <c r="G1159" s="1" t="s">
        <v>97</v>
      </c>
      <c r="H1159" s="1" t="n">
        <v>2110405</v>
      </c>
      <c r="I1159" s="1" t="s">
        <v>41</v>
      </c>
      <c r="J1159" s="1" t="n">
        <v>1567061</v>
      </c>
      <c r="L1159" s="1" t="n">
        <v>213957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100</v>
      </c>
      <c r="S1159" s="1" t="n">
        <v>4210301</v>
      </c>
      <c r="T1159" s="1" t="s">
        <v>230</v>
      </c>
      <c r="U1159" s="17" t="n">
        <v>200</v>
      </c>
      <c r="W1159" s="1" t="n">
        <v>200</v>
      </c>
      <c r="X1159" s="1" t="s">
        <v>1117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103</v>
      </c>
      <c r="F1160" s="1" t="n">
        <v>34</v>
      </c>
      <c r="G1160" s="1" t="s">
        <v>97</v>
      </c>
      <c r="H1160" s="1" t="n">
        <v>2110405</v>
      </c>
      <c r="I1160" s="1" t="s">
        <v>41</v>
      </c>
      <c r="J1160" s="1" t="n">
        <v>1567069</v>
      </c>
      <c r="L1160" s="1" t="n">
        <v>213961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100</v>
      </c>
      <c r="S1160" s="1" t="n">
        <v>4210301</v>
      </c>
      <c r="T1160" s="1" t="s">
        <v>230</v>
      </c>
      <c r="U1160" s="17" t="n">
        <v>1000</v>
      </c>
      <c r="W1160" s="1" t="n">
        <v>1000</v>
      </c>
      <c r="X1160" s="1" t="s">
        <v>1117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105</v>
      </c>
      <c r="F1161" s="1" t="n">
        <v>34</v>
      </c>
      <c r="G1161" s="1" t="s">
        <v>97</v>
      </c>
      <c r="H1161" s="1" t="n">
        <v>2110405</v>
      </c>
      <c r="I1161" s="1" t="s">
        <v>41</v>
      </c>
      <c r="J1161" s="1" t="n">
        <v>1567071</v>
      </c>
      <c r="L1161" s="1" t="n">
        <v>213963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100</v>
      </c>
      <c r="S1161" s="1" t="n">
        <v>4210301</v>
      </c>
      <c r="T1161" s="1" t="s">
        <v>230</v>
      </c>
      <c r="U1161" s="17" t="n">
        <v>600</v>
      </c>
      <c r="W1161" s="1" t="n">
        <v>600</v>
      </c>
      <c r="X1161" s="1" t="s">
        <v>1117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239</v>
      </c>
      <c r="F1162" s="1" t="n">
        <v>34</v>
      </c>
      <c r="G1162" s="1" t="s">
        <v>97</v>
      </c>
      <c r="H1162" s="1" t="n">
        <v>2110405</v>
      </c>
      <c r="I1162" s="1" t="s">
        <v>41</v>
      </c>
      <c r="J1162" s="1" t="n">
        <v>1567072</v>
      </c>
      <c r="L1162" s="1" t="n">
        <v>213964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100</v>
      </c>
      <c r="S1162" s="1" t="n">
        <v>4210301</v>
      </c>
      <c r="T1162" s="1" t="s">
        <v>230</v>
      </c>
      <c r="U1162" s="17" t="n">
        <v>400</v>
      </c>
      <c r="W1162" s="1" t="n">
        <v>400</v>
      </c>
      <c r="X1162" s="1" t="s">
        <v>1117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236</v>
      </c>
      <c r="F1163" s="1" t="n">
        <v>34</v>
      </c>
      <c r="G1163" s="1" t="s">
        <v>97</v>
      </c>
      <c r="H1163" s="1" t="n">
        <v>2110405</v>
      </c>
      <c r="I1163" s="1" t="s">
        <v>41</v>
      </c>
      <c r="J1163" s="1" t="n">
        <v>1567076</v>
      </c>
      <c r="L1163" s="1" t="n">
        <v>213966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100</v>
      </c>
      <c r="S1163" s="1" t="n">
        <v>4210301</v>
      </c>
      <c r="T1163" s="1" t="s">
        <v>230</v>
      </c>
      <c r="U1163" s="17" t="n">
        <v>400</v>
      </c>
      <c r="W1163" s="1" t="n">
        <v>400</v>
      </c>
      <c r="X1163" s="1" t="s">
        <v>1117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1091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1545262</v>
      </c>
      <c r="L1164" s="1" t="n">
        <v>210891</v>
      </c>
      <c r="M1164" s="1" t="s">
        <v>83</v>
      </c>
      <c r="N1164" s="1" t="s">
        <v>35</v>
      </c>
      <c r="P1164" s="1" t="n">
        <v>101</v>
      </c>
      <c r="Q1164" s="1" t="s">
        <v>42</v>
      </c>
      <c r="R1164" s="1" t="s">
        <v>48</v>
      </c>
      <c r="S1164" s="1" t="n">
        <v>1130101</v>
      </c>
      <c r="T1164" s="1" t="s">
        <v>49</v>
      </c>
      <c r="U1164" s="17" t="n">
        <v>585</v>
      </c>
      <c r="W1164" s="1" t="n">
        <v>585</v>
      </c>
      <c r="X1164" s="1" t="s">
        <v>1118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449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1415299</v>
      </c>
      <c r="L1165" s="1" t="n">
        <v>1124</v>
      </c>
      <c r="M1165" s="1" t="s">
        <v>83</v>
      </c>
      <c r="N1165" s="1" t="s">
        <v>35</v>
      </c>
      <c r="P1165" s="1" t="n">
        <v>101</v>
      </c>
      <c r="Q1165" s="1" t="s">
        <v>42</v>
      </c>
      <c r="R1165" s="1" t="s">
        <v>100</v>
      </c>
      <c r="S1165" s="1" t="n">
        <v>4210319</v>
      </c>
      <c r="T1165" s="1" t="s">
        <v>450</v>
      </c>
      <c r="U1165" s="17" t="n">
        <v>55</v>
      </c>
      <c r="W1165" s="1" t="n">
        <v>55</v>
      </c>
      <c r="X1165" s="1" t="s">
        <v>1119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160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1423840</v>
      </c>
      <c r="L1166" s="1" t="n">
        <v>190896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945.12</v>
      </c>
      <c r="W1166" s="1" t="n">
        <v>945.12</v>
      </c>
      <c r="X1166" s="1" t="s">
        <v>1120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46238</v>
      </c>
      <c r="C1167" s="15" t="n">
        <v>46248</v>
      </c>
      <c r="D1167" s="1" t="n">
        <v>1683</v>
      </c>
      <c r="E1167" s="1" t="s">
        <v>369</v>
      </c>
      <c r="F1167" s="1" t="n">
        <v>34</v>
      </c>
      <c r="G1167" s="1" t="s">
        <v>97</v>
      </c>
      <c r="H1167" s="1" t="n">
        <v>1110203</v>
      </c>
      <c r="I1167" s="1" t="s">
        <v>108</v>
      </c>
      <c r="J1167" s="1" t="n">
        <v>1498983</v>
      </c>
      <c r="L1167" s="1" t="n">
        <v>203336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144.5</v>
      </c>
      <c r="W1167" s="1" t="n">
        <v>144.5</v>
      </c>
      <c r="X1167" s="1" t="s">
        <v>371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1921</v>
      </c>
      <c r="E1168" s="1" t="s">
        <v>166</v>
      </c>
      <c r="F1168" s="1" t="n">
        <v>24</v>
      </c>
      <c r="G1168" s="1" t="s">
        <v>77</v>
      </c>
      <c r="H1168" s="1" t="n">
        <v>2110405</v>
      </c>
      <c r="I1168" s="1" t="s">
        <v>41</v>
      </c>
      <c r="J1168" s="1" t="n">
        <v>1443816</v>
      </c>
      <c r="L1168" s="1" t="n">
        <v>195257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581.65</v>
      </c>
      <c r="W1168" s="1" t="n">
        <v>581.65</v>
      </c>
      <c r="X1168" s="1" t="s">
        <v>1121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1666</v>
      </c>
      <c r="E1169" s="1" t="s">
        <v>206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1443874</v>
      </c>
      <c r="L1169" s="1" t="n">
        <v>195268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6409.6</v>
      </c>
      <c r="W1169" s="1" t="n">
        <v>6409.6</v>
      </c>
      <c r="X1169" s="1" t="s">
        <v>962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1608</v>
      </c>
      <c r="E1170" s="1" t="s">
        <v>201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1444853</v>
      </c>
      <c r="L1170" s="1" t="n">
        <v>195494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1111.12</v>
      </c>
      <c r="W1170" s="1" t="n">
        <v>1111.12</v>
      </c>
      <c r="X1170" s="1" t="s">
        <v>1122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46227</v>
      </c>
      <c r="C1171" s="15" t="n">
        <v>46248</v>
      </c>
      <c r="D1171" s="1" t="n">
        <v>1700</v>
      </c>
      <c r="E1171" s="1" t="s">
        <v>1039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1444978</v>
      </c>
      <c r="L1171" s="1" t="n">
        <v>195524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690</v>
      </c>
      <c r="W1171" s="1" t="n">
        <v>690</v>
      </c>
      <c r="X1171" s="1" t="s">
        <v>1040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46228</v>
      </c>
      <c r="C1172" s="15" t="n">
        <v>46248</v>
      </c>
      <c r="D1172" s="1" t="n">
        <v>1635</v>
      </c>
      <c r="E1172" s="1" t="s">
        <v>117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1448485</v>
      </c>
      <c r="L1172" s="1" t="n">
        <v>196062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740.52</v>
      </c>
      <c r="W1172" s="1" t="n">
        <v>740.52</v>
      </c>
      <c r="X1172" s="1" t="s">
        <v>1042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46235</v>
      </c>
      <c r="C1173" s="15" t="n">
        <v>46248</v>
      </c>
      <c r="D1173" s="1" t="n">
        <v>1749</v>
      </c>
      <c r="E1173" s="1" t="s">
        <v>512</v>
      </c>
      <c r="F1173" s="1" t="n">
        <v>24</v>
      </c>
      <c r="G1173" s="1" t="s">
        <v>77</v>
      </c>
      <c r="H1173" s="1" t="n">
        <v>2110405</v>
      </c>
      <c r="I1173" s="1" t="s">
        <v>41</v>
      </c>
      <c r="J1173" s="1" t="n">
        <v>1482084</v>
      </c>
      <c r="L1173" s="1" t="n">
        <v>201176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2975.9</v>
      </c>
      <c r="W1173" s="1" t="n">
        <v>2975.9</v>
      </c>
      <c r="X1173" s="1" t="s">
        <v>1123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46237</v>
      </c>
      <c r="C1174" s="15" t="n">
        <v>46248</v>
      </c>
      <c r="D1174" s="1" t="n">
        <v>1683</v>
      </c>
      <c r="E1174" s="1" t="s">
        <v>369</v>
      </c>
      <c r="F1174" s="1" t="n">
        <v>34</v>
      </c>
      <c r="G1174" s="1" t="s">
        <v>97</v>
      </c>
      <c r="H1174" s="1" t="n">
        <v>2110405</v>
      </c>
      <c r="I1174" s="1" t="s">
        <v>41</v>
      </c>
      <c r="J1174" s="1" t="n">
        <v>1493066</v>
      </c>
      <c r="L1174" s="1" t="n">
        <v>202461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120</v>
      </c>
      <c r="W1174" s="1" t="n">
        <v>120</v>
      </c>
      <c r="X1174" s="1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332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1503637</v>
      </c>
      <c r="L1175" s="1" t="n">
        <v>204152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2347.2</v>
      </c>
      <c r="W1175" s="1" t="n">
        <v>2347.2</v>
      </c>
      <c r="X1175" s="1" t="s">
        <v>1124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1508136</v>
      </c>
      <c r="L1176" s="1" t="n">
        <v>204884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184</v>
      </c>
      <c r="W1176" s="1" t="n">
        <v>184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132</v>
      </c>
      <c r="F1177" s="1" t="n">
        <v>13</v>
      </c>
      <c r="G1177" s="1" t="s">
        <v>133</v>
      </c>
      <c r="H1177" s="1" t="n">
        <v>2110101</v>
      </c>
      <c r="I1177" s="1" t="s">
        <v>33</v>
      </c>
      <c r="J1177" s="1" t="n">
        <v>1545625</v>
      </c>
      <c r="L1177" s="1" t="n">
        <v>2603</v>
      </c>
      <c r="M1177" s="1" t="s">
        <v>83</v>
      </c>
      <c r="N1177" s="1" t="s">
        <v>54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225</v>
      </c>
      <c r="W1177" s="1" t="n">
        <v>0</v>
      </c>
      <c r="X1177" s="1" t="s">
        <v>1125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1513263</v>
      </c>
      <c r="L1178" s="1" t="n">
        <v>205740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497.91</v>
      </c>
      <c r="W1178" s="1" t="n">
        <v>497.91</v>
      </c>
      <c r="X1178" s="1" t="s">
        <v>1126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400</v>
      </c>
      <c r="F1179" s="1" t="n">
        <v>24</v>
      </c>
      <c r="G1179" s="1" t="s">
        <v>77</v>
      </c>
      <c r="H1179" s="1" t="n">
        <v>2110405</v>
      </c>
      <c r="I1179" s="1" t="s">
        <v>41</v>
      </c>
      <c r="J1179" s="1" t="n">
        <v>1513967</v>
      </c>
      <c r="L1179" s="1" t="n">
        <v>205910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250</v>
      </c>
      <c r="W1179" s="1" t="n">
        <v>250</v>
      </c>
      <c r="X1179" s="1" t="s">
        <v>1127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250</v>
      </c>
      <c r="F1180" s="1" t="n">
        <v>24</v>
      </c>
      <c r="G1180" s="1" t="s">
        <v>77</v>
      </c>
      <c r="H1180" s="1" t="n">
        <v>2110405</v>
      </c>
      <c r="I1180" s="1" t="s">
        <v>41</v>
      </c>
      <c r="J1180" s="1" t="n">
        <v>1514128</v>
      </c>
      <c r="L1180" s="1" t="n">
        <v>205960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1023.98</v>
      </c>
      <c r="W1180" s="1" t="n">
        <v>1023.98</v>
      </c>
      <c r="X1180" s="1" t="s">
        <v>1128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206</v>
      </c>
      <c r="F1181" s="1" t="n">
        <v>24</v>
      </c>
      <c r="G1181" s="1" t="s">
        <v>77</v>
      </c>
      <c r="H1181" s="1" t="n">
        <v>2110405</v>
      </c>
      <c r="I1181" s="1" t="s">
        <v>41</v>
      </c>
      <c r="J1181" s="1" t="n">
        <v>1529108</v>
      </c>
      <c r="L1181" s="1" t="n">
        <v>207934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4470.03</v>
      </c>
      <c r="W1181" s="1" t="n">
        <v>4470.03</v>
      </c>
      <c r="X1181" s="1" t="s">
        <v>1129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1530025</v>
      </c>
      <c r="L1182" s="1" t="n">
        <v>208184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216.5</v>
      </c>
      <c r="W1182" s="1" t="n">
        <v>216.5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1530030</v>
      </c>
      <c r="L1183" s="1" t="n">
        <v>208186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136</v>
      </c>
      <c r="W1183" s="1" t="n">
        <v>136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130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1534769</v>
      </c>
      <c r="L1184" s="1" t="n">
        <v>209420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17" t="n">
        <v>240</v>
      </c>
      <c r="W1184" s="1" t="n">
        <v>240</v>
      </c>
      <c r="X1184" s="1" t="s">
        <v>1130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132</v>
      </c>
      <c r="F1185" s="1" t="n">
        <v>34</v>
      </c>
      <c r="G1185" s="1" t="s">
        <v>97</v>
      </c>
      <c r="H1185" s="1" t="n">
        <v>2110101</v>
      </c>
      <c r="I1185" s="1" t="s">
        <v>33</v>
      </c>
      <c r="J1185" s="1" t="n">
        <v>1546719</v>
      </c>
      <c r="L1185" s="1" t="n">
        <v>2604</v>
      </c>
      <c r="M1185" s="1" t="s">
        <v>83</v>
      </c>
      <c r="N1185" s="1" t="s">
        <v>54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17" t="n">
        <v>115</v>
      </c>
      <c r="W1185" s="1" t="n">
        <v>115</v>
      </c>
      <c r="X1185" s="1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132</v>
      </c>
      <c r="F1186" s="1" t="n">
        <v>34</v>
      </c>
      <c r="G1186" s="1" t="s">
        <v>97</v>
      </c>
      <c r="H1186" s="1" t="n">
        <v>2110101</v>
      </c>
      <c r="I1186" s="1" t="s">
        <v>33</v>
      </c>
      <c r="J1186" s="1" t="n">
        <v>1546864</v>
      </c>
      <c r="L1186" s="1" t="n">
        <v>2605</v>
      </c>
      <c r="M1186" s="1" t="s">
        <v>83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1899.7</v>
      </c>
      <c r="W1186" s="1" t="n">
        <v>1899.7</v>
      </c>
      <c r="X1186" s="1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139</v>
      </c>
      <c r="F1187" s="1" t="n">
        <v>34</v>
      </c>
      <c r="G1187" s="1" t="s">
        <v>97</v>
      </c>
      <c r="H1187" s="1" t="n">
        <v>2110405</v>
      </c>
      <c r="I1187" s="1" t="s">
        <v>41</v>
      </c>
      <c r="J1187" s="1" t="n">
        <v>1546883</v>
      </c>
      <c r="L1187" s="1" t="n">
        <v>211309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399</v>
      </c>
      <c r="W1187" s="1" t="n">
        <v>399</v>
      </c>
      <c r="X1187" s="1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369</v>
      </c>
      <c r="F1188" s="1" t="n">
        <v>34</v>
      </c>
      <c r="G1188" s="1" t="s">
        <v>97</v>
      </c>
      <c r="H1188" s="1" t="n">
        <v>2110405</v>
      </c>
      <c r="I1188" s="1" t="s">
        <v>41</v>
      </c>
      <c r="J1188" s="1" t="n">
        <v>1551207</v>
      </c>
      <c r="L1188" s="1" t="n">
        <v>211669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117</v>
      </c>
      <c r="W1188" s="1" t="n">
        <v>117</v>
      </c>
      <c r="X1188" s="1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369</v>
      </c>
      <c r="F1189" s="1" t="n">
        <v>34</v>
      </c>
      <c r="G1189" s="1" t="s">
        <v>97</v>
      </c>
      <c r="H1189" s="1" t="n">
        <v>2110405</v>
      </c>
      <c r="I1189" s="1" t="s">
        <v>41</v>
      </c>
      <c r="J1189" s="1" t="n">
        <v>1551209</v>
      </c>
      <c r="L1189" s="1" t="n">
        <v>211671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79</v>
      </c>
      <c r="W1189" s="1" t="n">
        <v>79</v>
      </c>
      <c r="X1189" s="1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359</v>
      </c>
      <c r="F1190" s="1" t="n">
        <v>24</v>
      </c>
      <c r="G1190" s="1" t="s">
        <v>77</v>
      </c>
      <c r="H1190" s="1" t="n">
        <v>2110405</v>
      </c>
      <c r="I1190" s="1" t="s">
        <v>41</v>
      </c>
      <c r="J1190" s="1" t="n">
        <v>808550</v>
      </c>
      <c r="L1190" s="1" t="n">
        <v>2026</v>
      </c>
      <c r="M1190" s="1" t="s">
        <v>47</v>
      </c>
      <c r="N1190" s="1" t="s">
        <v>35</v>
      </c>
      <c r="P1190" s="1" t="n">
        <v>101</v>
      </c>
      <c r="Q1190" s="1" t="s">
        <v>42</v>
      </c>
      <c r="R1190" s="1" t="s">
        <v>360</v>
      </c>
      <c r="S1190" s="1" t="n">
        <v>4210401</v>
      </c>
      <c r="T1190" s="1" t="s">
        <v>361</v>
      </c>
      <c r="U1190" s="17" t="n">
        <v>228.88</v>
      </c>
      <c r="W1190" s="1" t="n">
        <v>228.88</v>
      </c>
      <c r="X1190" s="1" t="s">
        <v>1134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363</v>
      </c>
      <c r="F1191" s="1" t="n">
        <v>34</v>
      </c>
      <c r="G1191" s="1" t="s">
        <v>97</v>
      </c>
      <c r="H1191" s="1" t="n">
        <v>2110405</v>
      </c>
      <c r="I1191" s="1" t="s">
        <v>41</v>
      </c>
      <c r="J1191" s="1" t="n">
        <v>954215</v>
      </c>
      <c r="L1191" s="1" t="n">
        <v>126220</v>
      </c>
      <c r="M1191" s="1" t="s">
        <v>53</v>
      </c>
      <c r="N1191" s="1" t="s">
        <v>35</v>
      </c>
      <c r="P1191" s="1" t="n">
        <v>101</v>
      </c>
      <c r="Q1191" s="1" t="s">
        <v>42</v>
      </c>
      <c r="R1191" s="1" t="s">
        <v>364</v>
      </c>
      <c r="S1191" s="1" t="n">
        <v>4210111</v>
      </c>
      <c r="T1191" s="1" t="s">
        <v>365</v>
      </c>
      <c r="U1191" s="17" t="n">
        <v>5700</v>
      </c>
      <c r="W1191" s="1" t="n">
        <v>5700</v>
      </c>
      <c r="X1191" s="1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690</v>
      </c>
      <c r="F1192" s="1" t="n">
        <v>24</v>
      </c>
      <c r="G1192" s="1" t="s">
        <v>77</v>
      </c>
      <c r="H1192" s="1" t="n">
        <v>2110101</v>
      </c>
      <c r="I1192" s="1" t="s">
        <v>33</v>
      </c>
      <c r="J1192" s="1" t="n">
        <v>1339965</v>
      </c>
      <c r="L1192" s="1" t="n">
        <v>4467</v>
      </c>
      <c r="M1192" s="1" t="s">
        <v>53</v>
      </c>
      <c r="N1192" s="1" t="s">
        <v>54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819.53</v>
      </c>
      <c r="W1192" s="1" t="n">
        <v>819.53</v>
      </c>
      <c r="X1192" s="1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197</v>
      </c>
      <c r="F1193" s="1" t="n">
        <v>24</v>
      </c>
      <c r="G1193" s="1" t="s">
        <v>77</v>
      </c>
      <c r="H1193" s="1" t="n">
        <v>2110405</v>
      </c>
      <c r="I1193" s="1" t="s">
        <v>41</v>
      </c>
      <c r="J1193" s="1" t="n">
        <v>1439439</v>
      </c>
      <c r="L1193" s="1" t="n">
        <v>194551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1006.03</v>
      </c>
      <c r="W1193" s="1" t="n">
        <v>1006.03</v>
      </c>
      <c r="X1193" s="1" t="s">
        <v>1050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119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1477956</v>
      </c>
      <c r="L1194" s="1" t="n">
        <v>200506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2636.73</v>
      </c>
      <c r="W1194" s="1" t="n">
        <v>2636.73</v>
      </c>
      <c r="X1194" s="1" t="s">
        <v>1135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119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1478071</v>
      </c>
      <c r="L1195" s="1" t="n">
        <v>200520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45.18</v>
      </c>
      <c r="W1195" s="1" t="n">
        <v>45.18</v>
      </c>
      <c r="X1195" s="1" t="s">
        <v>1136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119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1478135</v>
      </c>
      <c r="L1196" s="1" t="n">
        <v>200534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327.46</v>
      </c>
      <c r="W1196" s="1" t="n">
        <v>327.46</v>
      </c>
      <c r="X1196" s="1" t="s">
        <v>1137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119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1478170</v>
      </c>
      <c r="L1197" s="1" t="n">
        <v>200545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190.71</v>
      </c>
      <c r="W1197" s="1" t="n">
        <v>190.71</v>
      </c>
      <c r="X1197" s="1" t="s">
        <v>1138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119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1478184</v>
      </c>
      <c r="L1198" s="1" t="n">
        <v>200546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538.46</v>
      </c>
      <c r="W1198" s="1" t="n">
        <v>538.46</v>
      </c>
      <c r="X1198" s="1" t="s">
        <v>1139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351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1493384</v>
      </c>
      <c r="L1199" s="1" t="n">
        <v>202558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1563.41</v>
      </c>
      <c r="W1199" s="1" t="n">
        <v>1563.41</v>
      </c>
      <c r="X1199" s="1" t="s">
        <v>1052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128</v>
      </c>
      <c r="F1200" s="1" t="n">
        <v>24</v>
      </c>
      <c r="G1200" s="1" t="s">
        <v>77</v>
      </c>
      <c r="H1200" s="1" t="n">
        <v>2110405</v>
      </c>
      <c r="I1200" s="1" t="s">
        <v>41</v>
      </c>
      <c r="J1200" s="1" t="n">
        <v>1529239</v>
      </c>
      <c r="L1200" s="1" t="n">
        <v>207984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2918.55</v>
      </c>
      <c r="W1200" s="1" t="n">
        <v>2918.55</v>
      </c>
      <c r="X1200" s="1" t="s">
        <v>1140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248</v>
      </c>
      <c r="F1201" s="1" t="n">
        <v>24</v>
      </c>
      <c r="G1201" s="1" t="s">
        <v>77</v>
      </c>
      <c r="H1201" s="1" t="n">
        <v>2110405</v>
      </c>
      <c r="I1201" s="1" t="s">
        <v>41</v>
      </c>
      <c r="J1201" s="1" t="n">
        <v>1529969</v>
      </c>
      <c r="L1201" s="1" t="n">
        <v>208173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4599.9</v>
      </c>
      <c r="W1201" s="1" t="n">
        <v>4599.9</v>
      </c>
      <c r="X1201" s="1" t="s">
        <v>1141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132</v>
      </c>
      <c r="F1202" s="1" t="n">
        <v>13</v>
      </c>
      <c r="G1202" s="1" t="s">
        <v>133</v>
      </c>
      <c r="H1202" s="1" t="n">
        <v>2110101</v>
      </c>
      <c r="I1202" s="1" t="s">
        <v>33</v>
      </c>
      <c r="J1202" s="1" t="n">
        <v>1552260</v>
      </c>
      <c r="L1202" s="1" t="n">
        <v>2606</v>
      </c>
      <c r="M1202" s="1" t="s">
        <v>83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270</v>
      </c>
      <c r="W1202" s="1" t="n">
        <v>270</v>
      </c>
      <c r="X1202" s="1" t="s">
        <v>1142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552</v>
      </c>
      <c r="F1203" s="1" t="n">
        <v>13</v>
      </c>
      <c r="G1203" s="1" t="s">
        <v>133</v>
      </c>
      <c r="H1203" s="1" t="n">
        <v>2110405</v>
      </c>
      <c r="I1203" s="1" t="s">
        <v>41</v>
      </c>
      <c r="J1203" s="1" t="n">
        <v>1560878</v>
      </c>
      <c r="L1203" s="1" t="n">
        <v>212909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200</v>
      </c>
      <c r="W1203" s="1" t="n">
        <v>200</v>
      </c>
      <c r="X1203" s="1" t="s">
        <v>1143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351</v>
      </c>
      <c r="F1204" s="1" t="n">
        <v>34</v>
      </c>
      <c r="G1204" s="1" t="s">
        <v>97</v>
      </c>
      <c r="H1204" s="1" t="n">
        <v>2110405</v>
      </c>
      <c r="I1204" s="1" t="s">
        <v>41</v>
      </c>
      <c r="J1204" s="1" t="n">
        <v>1570913</v>
      </c>
      <c r="L1204" s="1" t="n">
        <v>214488</v>
      </c>
      <c r="M1204" s="1" t="s">
        <v>83</v>
      </c>
      <c r="N1204" s="1" t="s">
        <v>35</v>
      </c>
      <c r="P1204" s="1" t="n">
        <v>101</v>
      </c>
      <c r="Q1204" s="1" t="s">
        <v>42</v>
      </c>
      <c r="R1204" s="1" t="s">
        <v>48</v>
      </c>
      <c r="S1204" s="1" t="n">
        <v>1130101</v>
      </c>
      <c r="T1204" s="1" t="s">
        <v>49</v>
      </c>
      <c r="U1204" s="17" t="n">
        <v>718.8</v>
      </c>
      <c r="W1204" s="1" t="n">
        <v>718.8</v>
      </c>
      <c r="X1204" s="1" t="s">
        <v>1144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88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1415259</v>
      </c>
      <c r="L1205" s="1" t="n">
        <v>190807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1415.72</v>
      </c>
      <c r="W1205" s="1" t="n">
        <v>1415.72</v>
      </c>
      <c r="X1205" s="1" t="s">
        <v>1063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88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1415308</v>
      </c>
      <c r="L1206" s="1" t="n">
        <v>190812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1144.36</v>
      </c>
      <c r="W1206" s="1" t="n">
        <v>1144.36</v>
      </c>
      <c r="X1206" s="1" t="s">
        <v>1064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175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1424101</v>
      </c>
      <c r="L1207" s="1" t="n">
        <v>190899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676.98</v>
      </c>
      <c r="W1207" s="1" t="n">
        <v>676.98</v>
      </c>
      <c r="X1207" s="1" t="s">
        <v>984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119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1424522</v>
      </c>
      <c r="L1208" s="1" t="n">
        <v>190902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114.61</v>
      </c>
      <c r="W1208" s="1" t="n">
        <v>114.61</v>
      </c>
      <c r="X1208" s="1" t="s">
        <v>1145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1495128</v>
      </c>
      <c r="L1209" s="1" t="n">
        <v>202739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416.64</v>
      </c>
      <c r="W1209" s="1" t="n">
        <v>416.64</v>
      </c>
      <c r="X1209" s="1" t="s">
        <v>1069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212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1504565</v>
      </c>
      <c r="L1210" s="1" t="n">
        <v>204362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2448.61</v>
      </c>
      <c r="W1210" s="1" t="n">
        <v>2448.61</v>
      </c>
      <c r="X1210" s="1" t="s">
        <v>1146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410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1529023</v>
      </c>
      <c r="L1211" s="1" t="n">
        <v>207921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364.47</v>
      </c>
      <c r="W1211" s="1" t="n">
        <v>364.47</v>
      </c>
      <c r="X1211" s="1" t="s">
        <v>1147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266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1529983</v>
      </c>
      <c r="L1212" s="1" t="n">
        <v>208174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284.93</v>
      </c>
      <c r="W1212" s="1" t="n">
        <v>284.93</v>
      </c>
      <c r="X1212" s="1" t="s">
        <v>1148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126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1529991</v>
      </c>
      <c r="L1213" s="1" t="n">
        <v>208179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48</v>
      </c>
      <c r="S1213" s="1" t="n">
        <v>1130101</v>
      </c>
      <c r="T1213" s="1" t="s">
        <v>49</v>
      </c>
      <c r="U1213" s="17" t="n">
        <v>138</v>
      </c>
      <c r="W1213" s="1" t="n">
        <v>138</v>
      </c>
      <c r="X1213" s="1" t="s">
        <v>1149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212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1530003</v>
      </c>
      <c r="L1214" s="1" t="n">
        <v>208181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1125.94</v>
      </c>
      <c r="W1214" s="1" t="n">
        <v>1125.94</v>
      </c>
      <c r="X1214" s="1" t="s">
        <v>1150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422</v>
      </c>
      <c r="F1215" s="1" t="n">
        <v>24</v>
      </c>
      <c r="G1215" s="1" t="s">
        <v>77</v>
      </c>
      <c r="H1215" s="1" t="n">
        <v>2110405</v>
      </c>
      <c r="I1215" s="1" t="s">
        <v>41</v>
      </c>
      <c r="J1215" s="1" t="n">
        <v>1532636</v>
      </c>
      <c r="L1215" s="1" t="n">
        <v>208920</v>
      </c>
      <c r="M1215" s="1" t="s">
        <v>83</v>
      </c>
      <c r="N1215" s="1" t="s">
        <v>35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17" t="n">
        <v>304.02</v>
      </c>
      <c r="W1215" s="1" t="n">
        <v>304.02</v>
      </c>
      <c r="X1215" s="1" t="s">
        <v>1151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92</v>
      </c>
      <c r="F1216" s="1" t="n">
        <v>24</v>
      </c>
      <c r="G1216" s="1" t="s">
        <v>77</v>
      </c>
      <c r="H1216" s="1" t="n">
        <v>2110405</v>
      </c>
      <c r="I1216" s="1" t="s">
        <v>41</v>
      </c>
      <c r="J1216" s="1" t="n">
        <v>1532692</v>
      </c>
      <c r="L1216" s="1" t="n">
        <v>208928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279.65</v>
      </c>
      <c r="W1216" s="1" t="n">
        <v>279.65</v>
      </c>
      <c r="X1216" s="1" t="s">
        <v>1152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194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1543532</v>
      </c>
      <c r="L1217" s="1" t="n">
        <v>210484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317.18</v>
      </c>
      <c r="W1217" s="1" t="n">
        <v>317.18</v>
      </c>
      <c r="X1217" s="1" t="s">
        <v>1153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96</v>
      </c>
      <c r="F1218" s="1" t="n">
        <v>34</v>
      </c>
      <c r="G1218" s="1" t="s">
        <v>97</v>
      </c>
      <c r="H1218" s="1" t="n">
        <v>2110405</v>
      </c>
      <c r="I1218" s="1" t="s">
        <v>41</v>
      </c>
      <c r="J1218" s="1" t="n">
        <v>1547294</v>
      </c>
      <c r="L1218" s="1" t="n">
        <v>211353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183</v>
      </c>
      <c r="W1218" s="1" t="n">
        <v>183</v>
      </c>
      <c r="X1218" s="1" t="s">
        <v>1154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132</v>
      </c>
      <c r="F1219" s="1" t="n">
        <v>13</v>
      </c>
      <c r="G1219" s="1" t="s">
        <v>133</v>
      </c>
      <c r="H1219" s="1" t="n">
        <v>2110101</v>
      </c>
      <c r="I1219" s="1" t="s">
        <v>33</v>
      </c>
      <c r="J1219" s="1" t="n">
        <v>1562623</v>
      </c>
      <c r="L1219" s="1" t="n">
        <v>2609</v>
      </c>
      <c r="M1219" s="1" t="s">
        <v>83</v>
      </c>
      <c r="N1219" s="1" t="s">
        <v>54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225</v>
      </c>
      <c r="W1219" s="1" t="n">
        <v>225</v>
      </c>
      <c r="X1219" s="1" t="s">
        <v>1155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552</v>
      </c>
      <c r="F1220" s="1" t="n">
        <v>13</v>
      </c>
      <c r="G1220" s="1" t="s">
        <v>133</v>
      </c>
      <c r="H1220" s="1" t="n">
        <v>2110405</v>
      </c>
      <c r="I1220" s="1" t="s">
        <v>41</v>
      </c>
      <c r="J1220" s="1" t="n">
        <v>1566626</v>
      </c>
      <c r="L1220" s="1" t="n">
        <v>213850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140</v>
      </c>
      <c r="W1220" s="1" t="n">
        <v>140</v>
      </c>
      <c r="X1220" s="1" t="s">
        <v>1156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272</v>
      </c>
      <c r="F1221" s="1" t="n">
        <v>34</v>
      </c>
      <c r="G1221" s="1" t="s">
        <v>97</v>
      </c>
      <c r="H1221" s="1" t="n">
        <v>2110405</v>
      </c>
      <c r="I1221" s="1" t="s">
        <v>41</v>
      </c>
      <c r="J1221" s="1" t="n">
        <v>1345312</v>
      </c>
      <c r="L1221" s="1" t="n">
        <v>180690</v>
      </c>
      <c r="M1221" s="1" t="s">
        <v>74</v>
      </c>
      <c r="N1221" s="1" t="s">
        <v>35</v>
      </c>
      <c r="P1221" s="1" t="n">
        <v>101</v>
      </c>
      <c r="Q1221" s="1" t="s">
        <v>42</v>
      </c>
      <c r="R1221" s="1" t="s">
        <v>56</v>
      </c>
      <c r="S1221" s="1" t="n">
        <v>4210203</v>
      </c>
      <c r="T1221" s="1" t="s">
        <v>664</v>
      </c>
      <c r="U1221" s="17" t="n">
        <v>247.27</v>
      </c>
      <c r="W1221" s="1" t="n">
        <v>247.27</v>
      </c>
      <c r="X1221" s="1" t="s">
        <v>815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764</v>
      </c>
      <c r="F1222" s="1" t="n">
        <v>24</v>
      </c>
      <c r="G1222" s="1" t="s">
        <v>77</v>
      </c>
      <c r="H1222" s="1" t="n">
        <v>2110405</v>
      </c>
      <c r="I1222" s="1" t="s">
        <v>41</v>
      </c>
      <c r="J1222" s="1" t="n">
        <v>1401284</v>
      </c>
      <c r="L1222" s="1" t="n">
        <v>188463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479.64</v>
      </c>
      <c r="W1222" s="1" t="n">
        <v>479.64</v>
      </c>
      <c r="X1222" s="1" t="s">
        <v>1157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723</v>
      </c>
      <c r="F1223" s="1" t="n">
        <v>34</v>
      </c>
      <c r="G1223" s="1" t="s">
        <v>97</v>
      </c>
      <c r="H1223" s="1" t="n">
        <v>2110405</v>
      </c>
      <c r="I1223" s="1" t="s">
        <v>41</v>
      </c>
      <c r="J1223" s="1" t="n">
        <v>1459578</v>
      </c>
      <c r="L1223" s="1" t="n">
        <v>197545</v>
      </c>
      <c r="M1223" s="1" t="s">
        <v>74</v>
      </c>
      <c r="N1223" s="1" t="s">
        <v>35</v>
      </c>
      <c r="P1223" s="1" t="n">
        <v>101</v>
      </c>
      <c r="Q1223" s="1" t="s">
        <v>42</v>
      </c>
      <c r="R1223" s="1" t="s">
        <v>100</v>
      </c>
      <c r="S1223" s="1" t="n">
        <v>4210301</v>
      </c>
      <c r="T1223" s="1" t="s">
        <v>230</v>
      </c>
      <c r="U1223" s="17" t="n">
        <v>102</v>
      </c>
      <c r="W1223" s="1" t="n">
        <v>102</v>
      </c>
      <c r="X1223" s="1" t="s">
        <v>1158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132</v>
      </c>
      <c r="F1224" s="1" t="n">
        <v>34</v>
      </c>
      <c r="G1224" s="1" t="s">
        <v>97</v>
      </c>
      <c r="H1224" s="1" t="n">
        <v>2110101</v>
      </c>
      <c r="I1224" s="1" t="s">
        <v>33</v>
      </c>
      <c r="J1224" s="1" t="n">
        <v>1567601</v>
      </c>
      <c r="L1224" s="1" t="n">
        <v>2610</v>
      </c>
      <c r="M1224" s="1" t="s">
        <v>83</v>
      </c>
      <c r="N1224" s="1" t="s">
        <v>54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17" t="n">
        <v>200</v>
      </c>
      <c r="W1224" s="1" t="n">
        <v>200</v>
      </c>
      <c r="X1224" s="1" t="s">
        <v>1159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132</v>
      </c>
      <c r="F1225" s="1" t="n">
        <v>34</v>
      </c>
      <c r="G1225" s="1" t="s">
        <v>97</v>
      </c>
      <c r="H1225" s="1" t="n">
        <v>2110101</v>
      </c>
      <c r="I1225" s="1" t="s">
        <v>33</v>
      </c>
      <c r="J1225" s="1" t="n">
        <v>1567627</v>
      </c>
      <c r="L1225" s="1" t="n">
        <v>2611</v>
      </c>
      <c r="M1225" s="1" t="s">
        <v>83</v>
      </c>
      <c r="N1225" s="1" t="s">
        <v>54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1404</v>
      </c>
      <c r="W1225" s="1" t="n">
        <v>1404</v>
      </c>
      <c r="X1225" s="1" t="s">
        <v>1094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139</v>
      </c>
      <c r="F1226" s="1" t="n">
        <v>34</v>
      </c>
      <c r="G1226" s="1" t="s">
        <v>97</v>
      </c>
      <c r="H1226" s="1" t="n">
        <v>2110405</v>
      </c>
      <c r="I1226" s="1" t="s">
        <v>41</v>
      </c>
      <c r="J1226" s="1" t="n">
        <v>1567641</v>
      </c>
      <c r="L1226" s="1" t="n">
        <v>214044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190</v>
      </c>
      <c r="W1226" s="1" t="n">
        <v>190</v>
      </c>
      <c r="X1226" s="1" t="s">
        <v>1160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160</v>
      </c>
      <c r="F1227" s="1" t="n">
        <v>24</v>
      </c>
      <c r="G1227" s="1" t="s">
        <v>77</v>
      </c>
      <c r="H1227" s="1" t="n">
        <v>2110101</v>
      </c>
      <c r="I1227" s="1" t="s">
        <v>33</v>
      </c>
      <c r="J1227" s="1" t="n">
        <v>1393698</v>
      </c>
      <c r="L1227" s="1" t="n">
        <v>1962669</v>
      </c>
      <c r="M1227" s="1" t="s">
        <v>71</v>
      </c>
      <c r="N1227" s="1" t="s">
        <v>54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1504.06</v>
      </c>
      <c r="W1227" s="1" t="n">
        <v>1504.06</v>
      </c>
      <c r="X1227" s="1" t="s">
        <v>928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117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1436017</v>
      </c>
      <c r="L1228" s="1" t="n">
        <v>194028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17" t="n">
        <v>109.51</v>
      </c>
      <c r="W1228" s="1" t="n">
        <v>109.51</v>
      </c>
      <c r="X1228" s="1" t="s">
        <v>1014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94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1478654</v>
      </c>
      <c r="L1229" s="1" t="n">
        <v>200647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17" t="n">
        <v>1190.19</v>
      </c>
      <c r="W1229" s="1" t="n">
        <v>1190.19</v>
      </c>
      <c r="X1229" s="1" t="s">
        <v>1102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117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1508906</v>
      </c>
      <c r="L1230" s="1" t="n">
        <v>205075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491.46</v>
      </c>
      <c r="W1230" s="1" t="n">
        <v>491.46</v>
      </c>
      <c r="X1230" s="1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94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1513489</v>
      </c>
      <c r="L1231" s="1" t="n">
        <v>205788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1275.54</v>
      </c>
      <c r="W1231" s="1" t="n">
        <v>1275.54</v>
      </c>
      <c r="X1231" s="1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197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1529142</v>
      </c>
      <c r="L1232" s="1" t="n">
        <v>207962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48</v>
      </c>
      <c r="S1232" s="1" t="n">
        <v>1130101</v>
      </c>
      <c r="T1232" s="1" t="s">
        <v>49</v>
      </c>
      <c r="U1232" s="17" t="n">
        <v>349</v>
      </c>
      <c r="W1232" s="1" t="n">
        <v>349</v>
      </c>
      <c r="X1232" s="1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220</v>
      </c>
      <c r="F1233" s="1" t="n">
        <v>34</v>
      </c>
      <c r="G1233" s="1" t="s">
        <v>97</v>
      </c>
      <c r="H1233" s="1" t="n">
        <v>2110405</v>
      </c>
      <c r="I1233" s="1" t="s">
        <v>41</v>
      </c>
      <c r="J1233" s="1" t="n">
        <v>1551748</v>
      </c>
      <c r="L1233" s="1" t="n">
        <v>211764</v>
      </c>
      <c r="M1233" s="1" t="s">
        <v>83</v>
      </c>
      <c r="N1233" s="1" t="s">
        <v>35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899.5</v>
      </c>
      <c r="W1233" s="1" t="n">
        <v>899.5</v>
      </c>
      <c r="X1233" s="1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132</v>
      </c>
      <c r="F1234" s="1" t="n">
        <v>13</v>
      </c>
      <c r="G1234" s="1" t="s">
        <v>133</v>
      </c>
      <c r="H1234" s="1" t="n">
        <v>2110101</v>
      </c>
      <c r="I1234" s="1" t="s">
        <v>33</v>
      </c>
      <c r="J1234" s="1" t="n">
        <v>1572278</v>
      </c>
      <c r="L1234" s="1" t="n">
        <v>2612</v>
      </c>
      <c r="M1234" s="1" t="s">
        <v>83</v>
      </c>
      <c r="N1234" s="1" t="s">
        <v>54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225</v>
      </c>
      <c r="W1234" s="1" t="n">
        <v>225</v>
      </c>
      <c r="X1234" s="1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300</v>
      </c>
      <c r="F1235" s="1" t="n">
        <v>24</v>
      </c>
      <c r="G1235" s="1" t="s">
        <v>77</v>
      </c>
      <c r="H1235" s="1" t="n">
        <v>1110203</v>
      </c>
      <c r="I1235" s="1" t="s">
        <v>108</v>
      </c>
      <c r="J1235" s="1" t="n">
        <v>1423737</v>
      </c>
      <c r="L1235" s="1" t="n">
        <v>190894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381</v>
      </c>
      <c r="W1235" s="1" t="n">
        <v>0</v>
      </c>
      <c r="X1235" s="1" t="s">
        <v>1025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272</v>
      </c>
      <c r="F1236" s="1" t="n">
        <v>34</v>
      </c>
      <c r="G1236" s="1" t="s">
        <v>97</v>
      </c>
      <c r="H1236" s="1" t="n">
        <v>1110203</v>
      </c>
      <c r="I1236" s="1" t="s">
        <v>108</v>
      </c>
      <c r="J1236" s="1" t="n">
        <v>1424244</v>
      </c>
      <c r="L1236" s="1" t="n">
        <v>190900</v>
      </c>
      <c r="M1236" s="1" t="s">
        <v>74</v>
      </c>
      <c r="N1236" s="1" t="s">
        <v>35</v>
      </c>
      <c r="P1236" s="1" t="n">
        <v>101</v>
      </c>
      <c r="Q1236" s="1" t="s">
        <v>42</v>
      </c>
      <c r="R1236" s="1" t="s">
        <v>364</v>
      </c>
      <c r="S1236" s="1" t="n">
        <v>4210107</v>
      </c>
      <c r="T1236" s="1" t="s">
        <v>441</v>
      </c>
      <c r="U1236" s="17" t="n">
        <v>154.85</v>
      </c>
      <c r="W1236" s="1" t="n">
        <v>0</v>
      </c>
      <c r="X1236" s="1" t="s">
        <v>834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254</v>
      </c>
      <c r="F1237" s="1" t="n">
        <v>24</v>
      </c>
      <c r="G1237" s="1" t="s">
        <v>77</v>
      </c>
      <c r="H1237" s="1" t="n">
        <v>1110203</v>
      </c>
      <c r="I1237" s="1" t="s">
        <v>108</v>
      </c>
      <c r="J1237" s="1" t="n">
        <v>1424640</v>
      </c>
      <c r="L1237" s="1" t="n">
        <v>190910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446.28</v>
      </c>
      <c r="W1237" s="1" t="n">
        <v>0</v>
      </c>
      <c r="X1237" s="1" t="s">
        <v>1065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164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1508968</v>
      </c>
      <c r="L1238" s="1" t="n">
        <v>205091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628.2</v>
      </c>
      <c r="W1238" s="1" t="n">
        <v>0</v>
      </c>
      <c r="X1238" s="1" t="s">
        <v>1111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305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1514357</v>
      </c>
      <c r="L1239" s="1" t="n">
        <v>205997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382.62</v>
      </c>
      <c r="W1239" s="1" t="n">
        <v>0</v>
      </c>
      <c r="X1239" s="1" t="s">
        <v>1166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305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1514435</v>
      </c>
      <c r="L1240" s="1" t="n">
        <v>206011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56</v>
      </c>
      <c r="S1240" s="1" t="n">
        <v>4210299</v>
      </c>
      <c r="T1240" s="1" t="s">
        <v>115</v>
      </c>
      <c r="U1240" s="17" t="n">
        <v>520.47</v>
      </c>
      <c r="W1240" s="1" t="n">
        <v>0</v>
      </c>
      <c r="X1240" s="1" t="s">
        <v>1167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439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1370757</v>
      </c>
      <c r="L1241" s="1" t="n">
        <v>184341</v>
      </c>
      <c r="M1241" s="1" t="s">
        <v>74</v>
      </c>
      <c r="N1241" s="1" t="s">
        <v>35</v>
      </c>
      <c r="P1241" s="1" t="n">
        <v>101</v>
      </c>
      <c r="Q1241" s="1" t="s">
        <v>42</v>
      </c>
      <c r="R1241" s="1" t="s">
        <v>100</v>
      </c>
      <c r="S1241" s="1" t="n">
        <v>4210315</v>
      </c>
      <c r="T1241" s="1" t="s">
        <v>257</v>
      </c>
      <c r="U1241" s="17" t="n">
        <v>595.9</v>
      </c>
      <c r="W1241" s="1" t="n">
        <v>0</v>
      </c>
      <c r="X1241" s="1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412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1541948</v>
      </c>
      <c r="L1242" s="1" t="n">
        <v>210400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149</v>
      </c>
      <c r="W1242" s="1" t="n">
        <v>0</v>
      </c>
      <c r="X1242" s="1" t="s">
        <v>1168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90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1545670</v>
      </c>
      <c r="L1243" s="1" t="n">
        <v>211059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597.4</v>
      </c>
      <c r="W1243" s="1" t="n">
        <v>0</v>
      </c>
      <c r="X1243" s="1" t="s">
        <v>1169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426</v>
      </c>
      <c r="F1244" s="1" t="n">
        <v>34</v>
      </c>
      <c r="G1244" s="1" t="s">
        <v>97</v>
      </c>
      <c r="H1244" s="1" t="n">
        <v>2110405</v>
      </c>
      <c r="I1244" s="1" t="s">
        <v>41</v>
      </c>
      <c r="J1244" s="1" t="n">
        <v>1561649</v>
      </c>
      <c r="L1244" s="1" t="n">
        <v>7</v>
      </c>
      <c r="M1244" s="1" t="s">
        <v>83</v>
      </c>
      <c r="N1244" s="1" t="s">
        <v>35</v>
      </c>
      <c r="P1244" s="1" t="n">
        <v>101</v>
      </c>
      <c r="Q1244" s="1" t="s">
        <v>42</v>
      </c>
      <c r="R1244" s="1" t="s">
        <v>454</v>
      </c>
      <c r="S1244" s="1" t="n">
        <v>2110707</v>
      </c>
      <c r="T1244" s="1" t="s">
        <v>455</v>
      </c>
      <c r="U1244" s="17" t="n">
        <v>1877.14</v>
      </c>
      <c r="W1244" s="1" t="n">
        <v>0</v>
      </c>
      <c r="X1244" s="1" t="s">
        <v>1170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130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1566521</v>
      </c>
      <c r="L1245" s="1" t="n">
        <v>213833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204</v>
      </c>
      <c r="W1245" s="1" t="n">
        <v>0</v>
      </c>
      <c r="X1245" s="1" t="s">
        <v>1171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436</v>
      </c>
      <c r="F1246" s="1" t="n">
        <v>24</v>
      </c>
      <c r="G1246" s="1" t="s">
        <v>77</v>
      </c>
      <c r="H1246" s="1" t="n">
        <v>2110405</v>
      </c>
      <c r="I1246" s="1" t="s">
        <v>41</v>
      </c>
      <c r="J1246" s="1" t="n">
        <v>1572226</v>
      </c>
      <c r="L1246" s="1" t="n">
        <v>214781</v>
      </c>
      <c r="M1246" s="1" t="s">
        <v>83</v>
      </c>
      <c r="N1246" s="1" t="s">
        <v>35</v>
      </c>
      <c r="P1246" s="1" t="n">
        <v>101</v>
      </c>
      <c r="Q1246" s="1" t="s">
        <v>42</v>
      </c>
      <c r="R1246" s="1" t="s">
        <v>43</v>
      </c>
      <c r="S1246" s="1" t="n">
        <v>4220199</v>
      </c>
      <c r="T1246" s="1" t="s">
        <v>44</v>
      </c>
      <c r="U1246" s="17" t="n">
        <v>620</v>
      </c>
      <c r="W1246" s="1" t="n">
        <v>0</v>
      </c>
      <c r="X1246" s="1" t="s">
        <v>1172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426</v>
      </c>
      <c r="F1247" s="1" t="n">
        <v>34</v>
      </c>
      <c r="G1247" s="1" t="s">
        <v>97</v>
      </c>
      <c r="H1247" s="1" t="n">
        <v>2110405</v>
      </c>
      <c r="I1247" s="1" t="s">
        <v>41</v>
      </c>
      <c r="J1247" s="1" t="n">
        <v>1572579</v>
      </c>
      <c r="L1247" s="1" t="n">
        <v>214849</v>
      </c>
      <c r="M1247" s="1" t="s">
        <v>83</v>
      </c>
      <c r="N1247" s="1" t="s">
        <v>35</v>
      </c>
      <c r="P1247" s="1" t="n">
        <v>101</v>
      </c>
      <c r="Q1247" s="1" t="s">
        <v>42</v>
      </c>
      <c r="R1247" s="1" t="s">
        <v>100</v>
      </c>
      <c r="S1247" s="1" t="n">
        <v>4210303</v>
      </c>
      <c r="T1247" s="1" t="s">
        <v>427</v>
      </c>
      <c r="U1247" s="17" t="n">
        <v>1097.42</v>
      </c>
      <c r="W1247" s="1" t="n">
        <v>0</v>
      </c>
      <c r="X1247" s="1" t="s">
        <v>1173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426</v>
      </c>
      <c r="F1248" s="1" t="n">
        <v>34</v>
      </c>
      <c r="G1248" s="1" t="s">
        <v>97</v>
      </c>
      <c r="H1248" s="1" t="n">
        <v>2110405</v>
      </c>
      <c r="I1248" s="1" t="s">
        <v>41</v>
      </c>
      <c r="J1248" s="1" t="n">
        <v>1572645</v>
      </c>
      <c r="L1248" s="1" t="n">
        <v>214863</v>
      </c>
      <c r="M1248" s="1" t="s">
        <v>83</v>
      </c>
      <c r="N1248" s="1" t="s">
        <v>35</v>
      </c>
      <c r="P1248" s="1" t="n">
        <v>101</v>
      </c>
      <c r="Q1248" s="1" t="s">
        <v>42</v>
      </c>
      <c r="R1248" s="1" t="s">
        <v>100</v>
      </c>
      <c r="S1248" s="1" t="n">
        <v>4210302</v>
      </c>
      <c r="T1248" s="1" t="s">
        <v>429</v>
      </c>
      <c r="U1248" s="17" t="n">
        <v>2846.45</v>
      </c>
      <c r="W1248" s="1" t="n">
        <v>0</v>
      </c>
      <c r="X1248" s="1" t="s">
        <v>1174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272</v>
      </c>
      <c r="F1249" s="1" t="n">
        <v>34</v>
      </c>
      <c r="G1249" s="1" t="s">
        <v>97</v>
      </c>
      <c r="H1249" s="1" t="n">
        <v>2110405</v>
      </c>
      <c r="I1249" s="1" t="s">
        <v>41</v>
      </c>
      <c r="J1249" s="1" t="n">
        <v>1572837</v>
      </c>
      <c r="L1249" s="1" t="n">
        <v>214902</v>
      </c>
      <c r="M1249" s="1" t="s">
        <v>83</v>
      </c>
      <c r="N1249" s="1" t="s">
        <v>35</v>
      </c>
      <c r="P1249" s="1" t="n">
        <v>101</v>
      </c>
      <c r="Q1249" s="1" t="s">
        <v>42</v>
      </c>
      <c r="R1249" s="1" t="s">
        <v>537</v>
      </c>
      <c r="S1249" s="1" t="n">
        <v>1140101</v>
      </c>
      <c r="T1249" s="1" t="s">
        <v>538</v>
      </c>
      <c r="U1249" s="17" t="n">
        <v>56.51</v>
      </c>
      <c r="W1249" s="1" t="n">
        <v>0</v>
      </c>
      <c r="X1249" s="1" t="s">
        <v>1175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46197</v>
      </c>
      <c r="C1250" s="15" t="n">
        <v>46255</v>
      </c>
      <c r="D1250" s="1" t="n">
        <v>607</v>
      </c>
      <c r="E1250" s="1" t="s">
        <v>254</v>
      </c>
      <c r="F1250" s="1" t="n">
        <v>24</v>
      </c>
      <c r="G1250" s="1" t="s">
        <v>77</v>
      </c>
      <c r="H1250" s="1" t="n">
        <v>2110101</v>
      </c>
      <c r="I1250" s="1" t="s">
        <v>33</v>
      </c>
      <c r="J1250" s="1" t="n">
        <v>1300232</v>
      </c>
      <c r="L1250" s="1" t="n">
        <v>10860</v>
      </c>
      <c r="M1250" s="1" t="s">
        <v>53</v>
      </c>
      <c r="N1250" s="1" t="s">
        <v>54</v>
      </c>
      <c r="P1250" s="1" t="n">
        <v>113</v>
      </c>
      <c r="Q1250" s="1" t="s">
        <v>36</v>
      </c>
      <c r="R1250" s="1" t="s">
        <v>48</v>
      </c>
      <c r="S1250" s="1" t="n">
        <v>1130101</v>
      </c>
      <c r="T1250" s="1" t="s">
        <v>49</v>
      </c>
      <c r="U1250" s="17" t="n">
        <v>1361.81</v>
      </c>
      <c r="W1250" s="1" t="n">
        <v>0</v>
      </c>
      <c r="X1250" s="1" t="s">
        <v>763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46227</v>
      </c>
      <c r="C1251" s="15" t="n">
        <v>46255</v>
      </c>
      <c r="D1251" s="1" t="n">
        <v>1700</v>
      </c>
      <c r="E1251" s="1" t="s">
        <v>1039</v>
      </c>
      <c r="F1251" s="1" t="n">
        <v>24</v>
      </c>
      <c r="G1251" s="1" t="s">
        <v>77</v>
      </c>
      <c r="H1251" s="1" t="n">
        <v>1110203</v>
      </c>
      <c r="I1251" s="1" t="s">
        <v>108</v>
      </c>
      <c r="J1251" s="1" t="n">
        <v>1444985</v>
      </c>
      <c r="L1251" s="1" t="n">
        <v>195527</v>
      </c>
      <c r="M1251" s="1" t="s">
        <v>83</v>
      </c>
      <c r="N1251" s="1" t="s">
        <v>35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690</v>
      </c>
      <c r="W1251" s="1" t="n">
        <v>0</v>
      </c>
      <c r="X1251" s="1" t="s">
        <v>1040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46241</v>
      </c>
      <c r="C1252" s="15" t="n">
        <v>46255</v>
      </c>
      <c r="D1252" s="1" t="n">
        <v>1705</v>
      </c>
      <c r="E1252" s="1" t="s">
        <v>119</v>
      </c>
      <c r="F1252" s="1" t="n">
        <v>24</v>
      </c>
      <c r="G1252" s="1" t="s">
        <v>77</v>
      </c>
      <c r="H1252" s="1" t="n">
        <v>2110405</v>
      </c>
      <c r="I1252" s="1" t="s">
        <v>41</v>
      </c>
      <c r="J1252" s="1" t="n">
        <v>1514101</v>
      </c>
      <c r="L1252" s="1" t="n">
        <v>205950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540.41</v>
      </c>
      <c r="W1252" s="1" t="n">
        <v>0</v>
      </c>
      <c r="X1252" s="1" t="s">
        <v>1176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119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1514107</v>
      </c>
      <c r="L1253" s="1" t="n">
        <v>205952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3289.2</v>
      </c>
      <c r="W1253" s="1" t="n">
        <v>0</v>
      </c>
      <c r="X1253" s="1" t="s">
        <v>1177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119</v>
      </c>
      <c r="F1254" s="1" t="n">
        <v>24</v>
      </c>
      <c r="G1254" s="1" t="s">
        <v>77</v>
      </c>
      <c r="H1254" s="1" t="n">
        <v>2110405</v>
      </c>
      <c r="I1254" s="1" t="s">
        <v>41</v>
      </c>
      <c r="J1254" s="1" t="n">
        <v>1514108</v>
      </c>
      <c r="L1254" s="1" t="n">
        <v>205953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201.65</v>
      </c>
      <c r="W1254" s="1" t="n">
        <v>0</v>
      </c>
      <c r="X1254" s="1" t="s">
        <v>1178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10019</v>
      </c>
      <c r="E1255" s="1" t="s">
        <v>250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1514129</v>
      </c>
      <c r="L1255" s="1" t="n">
        <v>205961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1023.97</v>
      </c>
      <c r="W1255" s="1" t="n">
        <v>0</v>
      </c>
      <c r="X1255" s="1" t="s">
        <v>1128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46244</v>
      </c>
      <c r="C1256" s="15" t="n">
        <v>46255</v>
      </c>
      <c r="D1256" s="1" t="n">
        <v>1666</v>
      </c>
      <c r="E1256" s="1" t="s">
        <v>206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1529112</v>
      </c>
      <c r="L1256" s="1" t="n">
        <v>207948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4470.03</v>
      </c>
      <c r="W1256" s="1" t="n">
        <v>0</v>
      </c>
      <c r="X1256" s="1" t="s">
        <v>1129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46248</v>
      </c>
      <c r="C1257" s="15" t="n">
        <v>46255</v>
      </c>
      <c r="D1257" s="1" t="n">
        <v>581</v>
      </c>
      <c r="E1257" s="1" t="s">
        <v>126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1546120</v>
      </c>
      <c r="L1257" s="1" t="n">
        <v>211242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195</v>
      </c>
      <c r="W1257" s="1" t="n">
        <v>0</v>
      </c>
      <c r="X1257" s="1" t="s">
        <v>1179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1152</v>
      </c>
      <c r="E1258" s="1" t="s">
        <v>718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1546133</v>
      </c>
      <c r="L1258" s="1" t="n">
        <v>211246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17" t="n">
        <v>1045</v>
      </c>
      <c r="W1258" s="1" t="n">
        <v>0</v>
      </c>
      <c r="X1258" s="1" t="s">
        <v>1180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1608</v>
      </c>
      <c r="E1259" s="1" t="s">
        <v>201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1547042</v>
      </c>
      <c r="L1259" s="1" t="n">
        <v>211329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48</v>
      </c>
      <c r="S1259" s="1" t="n">
        <v>1130101</v>
      </c>
      <c r="T1259" s="1" t="s">
        <v>49</v>
      </c>
      <c r="U1259" s="17" t="n">
        <v>877.23</v>
      </c>
      <c r="W1259" s="1" t="n">
        <v>0</v>
      </c>
      <c r="X1259" s="1" t="s">
        <v>1181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1123</v>
      </c>
      <c r="E1260" s="1" t="s">
        <v>388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1547537</v>
      </c>
      <c r="L1260" s="1" t="n">
        <v>211371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460</v>
      </c>
      <c r="W1260" s="1" t="n">
        <v>0</v>
      </c>
      <c r="X1260" s="1" t="s">
        <v>1182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1650</v>
      </c>
      <c r="E1261" s="1" t="s">
        <v>390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1547627</v>
      </c>
      <c r="L1261" s="1" t="n">
        <v>211383</v>
      </c>
      <c r="M1261" s="1" t="s">
        <v>83</v>
      </c>
      <c r="N1261" s="1" t="s">
        <v>35</v>
      </c>
      <c r="P1261" s="1" t="n">
        <v>113</v>
      </c>
      <c r="Q1261" s="1" t="s">
        <v>36</v>
      </c>
      <c r="R1261" s="1" t="s">
        <v>48</v>
      </c>
      <c r="S1261" s="1" t="n">
        <v>1130101</v>
      </c>
      <c r="T1261" s="1" t="s">
        <v>49</v>
      </c>
      <c r="U1261" s="17" t="n">
        <v>571.73</v>
      </c>
      <c r="W1261" s="1" t="n">
        <v>0</v>
      </c>
      <c r="X1261" s="1" t="s">
        <v>1183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46251</v>
      </c>
      <c r="C1262" s="15" t="n">
        <v>46255</v>
      </c>
      <c r="D1262" s="1" t="n">
        <v>1363</v>
      </c>
      <c r="E1262" s="1" t="s">
        <v>171</v>
      </c>
      <c r="F1262" s="1" t="n">
        <v>24</v>
      </c>
      <c r="G1262" s="1" t="s">
        <v>77</v>
      </c>
      <c r="H1262" s="1" t="n">
        <v>2110405</v>
      </c>
      <c r="I1262" s="1" t="s">
        <v>41</v>
      </c>
      <c r="J1262" s="1" t="n">
        <v>1560892</v>
      </c>
      <c r="L1262" s="1" t="n">
        <v>212914</v>
      </c>
      <c r="M1262" s="1" t="s">
        <v>83</v>
      </c>
      <c r="N1262" s="1" t="s">
        <v>35</v>
      </c>
      <c r="P1262" s="1" t="n">
        <v>113</v>
      </c>
      <c r="Q1262" s="1" t="s">
        <v>36</v>
      </c>
      <c r="R1262" s="1" t="s">
        <v>48</v>
      </c>
      <c r="S1262" s="1" t="n">
        <v>1130101</v>
      </c>
      <c r="T1262" s="1" t="s">
        <v>49</v>
      </c>
      <c r="U1262" s="17" t="n">
        <v>142</v>
      </c>
      <c r="W1262" s="1" t="n">
        <v>0</v>
      </c>
      <c r="X1262" s="1" t="s">
        <v>1184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46252</v>
      </c>
      <c r="C1263" s="15" t="n">
        <v>46255</v>
      </c>
      <c r="D1263" s="1" t="n">
        <v>1899</v>
      </c>
      <c r="E1263" s="1" t="s">
        <v>194</v>
      </c>
      <c r="F1263" s="1" t="n">
        <v>24</v>
      </c>
      <c r="G1263" s="1" t="s">
        <v>77</v>
      </c>
      <c r="H1263" s="1" t="n">
        <v>2110405</v>
      </c>
      <c r="I1263" s="1" t="s">
        <v>41</v>
      </c>
      <c r="J1263" s="1" t="n">
        <v>1566550</v>
      </c>
      <c r="L1263" s="1" t="n">
        <v>213836</v>
      </c>
      <c r="M1263" s="1" t="s">
        <v>83</v>
      </c>
      <c r="N1263" s="1" t="s">
        <v>35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237.74</v>
      </c>
      <c r="W1263" s="1" t="n">
        <v>0</v>
      </c>
      <c r="X1263" s="1" t="s">
        <v>1185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46226</v>
      </c>
      <c r="C1264" s="15" t="n">
        <v>46256</v>
      </c>
      <c r="D1264" s="1" t="n">
        <v>957</v>
      </c>
      <c r="E1264" s="1" t="s">
        <v>554</v>
      </c>
      <c r="F1264" s="1" t="n">
        <v>24</v>
      </c>
      <c r="G1264" s="1" t="s">
        <v>77</v>
      </c>
      <c r="H1264" s="1" t="n">
        <v>1110203</v>
      </c>
      <c r="I1264" s="1" t="s">
        <v>108</v>
      </c>
      <c r="J1264" s="1" t="n">
        <v>1438918</v>
      </c>
      <c r="L1264" s="1" t="n">
        <v>194429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17" t="n">
        <v>1501.38</v>
      </c>
      <c r="W1264" s="1" t="n">
        <v>0</v>
      </c>
      <c r="X1264" s="1" t="s">
        <v>1097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46226</v>
      </c>
      <c r="C1265" s="15" t="n">
        <v>46256</v>
      </c>
      <c r="D1265" s="1" t="n">
        <v>10011</v>
      </c>
      <c r="E1265" s="1" t="s">
        <v>292</v>
      </c>
      <c r="F1265" s="1" t="n">
        <v>24</v>
      </c>
      <c r="G1265" s="1" t="s">
        <v>77</v>
      </c>
      <c r="H1265" s="1" t="n">
        <v>1110203</v>
      </c>
      <c r="I1265" s="1" t="s">
        <v>108</v>
      </c>
      <c r="J1265" s="1" t="n">
        <v>1438959</v>
      </c>
      <c r="L1265" s="1" t="n">
        <v>194439</v>
      </c>
      <c r="M1265" s="1" t="s">
        <v>83</v>
      </c>
      <c r="N1265" s="1" t="s">
        <v>35</v>
      </c>
      <c r="P1265" s="1" t="n">
        <v>113</v>
      </c>
      <c r="Q1265" s="1" t="s">
        <v>36</v>
      </c>
      <c r="R1265" s="1" t="s">
        <v>48</v>
      </c>
      <c r="S1265" s="1" t="n">
        <v>1130101</v>
      </c>
      <c r="T1265" s="1" t="s">
        <v>49</v>
      </c>
      <c r="U1265" s="17" t="n">
        <v>591.07</v>
      </c>
      <c r="W1265" s="1" t="n">
        <v>0</v>
      </c>
      <c r="X1265" s="1" t="s">
        <v>1098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46226</v>
      </c>
      <c r="C1266" s="15" t="n">
        <v>46256</v>
      </c>
      <c r="D1266" s="1" t="n">
        <v>1659</v>
      </c>
      <c r="E1266" s="1" t="s">
        <v>197</v>
      </c>
      <c r="F1266" s="1" t="n">
        <v>24</v>
      </c>
      <c r="G1266" s="1" t="s">
        <v>77</v>
      </c>
      <c r="H1266" s="1" t="n">
        <v>1110203</v>
      </c>
      <c r="I1266" s="1" t="s">
        <v>108</v>
      </c>
      <c r="J1266" s="1" t="n">
        <v>1439443</v>
      </c>
      <c r="L1266" s="1" t="n">
        <v>194553</v>
      </c>
      <c r="M1266" s="1" t="s">
        <v>83</v>
      </c>
      <c r="N1266" s="1" t="s">
        <v>35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17" t="n">
        <v>1006.03</v>
      </c>
      <c r="W1266" s="1" t="n">
        <v>0</v>
      </c>
      <c r="X1266" s="1" t="s">
        <v>1050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46237</v>
      </c>
      <c r="C1267" s="15" t="n">
        <v>46256</v>
      </c>
      <c r="D1267" s="1" t="n">
        <v>1695</v>
      </c>
      <c r="E1267" s="1" t="s">
        <v>351</v>
      </c>
      <c r="F1267" s="1" t="n">
        <v>24</v>
      </c>
      <c r="G1267" s="1" t="s">
        <v>77</v>
      </c>
      <c r="H1267" s="1" t="n">
        <v>1110203</v>
      </c>
      <c r="I1267" s="1" t="s">
        <v>108</v>
      </c>
      <c r="J1267" s="1" t="n">
        <v>1493386</v>
      </c>
      <c r="L1267" s="1" t="n">
        <v>202559</v>
      </c>
      <c r="M1267" s="1" t="s">
        <v>83</v>
      </c>
      <c r="N1267" s="1" t="s">
        <v>35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1563.4</v>
      </c>
      <c r="W1267" s="1" t="n">
        <v>0</v>
      </c>
      <c r="X1267" s="1" t="s">
        <v>1052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46245</v>
      </c>
      <c r="C1268" s="15" t="n">
        <v>46256</v>
      </c>
      <c r="D1268" s="1" t="n">
        <v>1672</v>
      </c>
      <c r="E1268" s="1" t="s">
        <v>302</v>
      </c>
      <c r="F1268" s="1" t="n">
        <v>24</v>
      </c>
      <c r="G1268" s="1" t="s">
        <v>77</v>
      </c>
      <c r="H1268" s="1" t="n">
        <v>2110405</v>
      </c>
      <c r="I1268" s="1" t="s">
        <v>41</v>
      </c>
      <c r="J1268" s="1" t="n">
        <v>1532287</v>
      </c>
      <c r="L1268" s="1" t="n">
        <v>208717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2852.4</v>
      </c>
      <c r="W1268" s="1" t="n">
        <v>0</v>
      </c>
      <c r="X1268" s="1" t="s">
        <v>1186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46249</v>
      </c>
      <c r="C1269" s="15" t="n">
        <v>46256</v>
      </c>
      <c r="D1269" s="1" t="n">
        <v>1815</v>
      </c>
      <c r="E1269" s="1" t="s">
        <v>164</v>
      </c>
      <c r="F1269" s="1" t="n">
        <v>24</v>
      </c>
      <c r="G1269" s="1" t="s">
        <v>77</v>
      </c>
      <c r="H1269" s="1" t="n">
        <v>2110405</v>
      </c>
      <c r="I1269" s="1" t="s">
        <v>41</v>
      </c>
      <c r="J1269" s="1" t="n">
        <v>1552111</v>
      </c>
      <c r="L1269" s="1" t="n">
        <v>211829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511.98</v>
      </c>
      <c r="W1269" s="1" t="n">
        <v>0</v>
      </c>
      <c r="X1269" s="1" t="s">
        <v>1187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46251</v>
      </c>
      <c r="C1270" s="15" t="n">
        <v>46256</v>
      </c>
      <c r="D1270" s="1" t="n">
        <v>1625</v>
      </c>
      <c r="E1270" s="1" t="s">
        <v>248</v>
      </c>
      <c r="F1270" s="1" t="n">
        <v>24</v>
      </c>
      <c r="G1270" s="1" t="s">
        <v>77</v>
      </c>
      <c r="H1270" s="1" t="n">
        <v>2110405</v>
      </c>
      <c r="I1270" s="1" t="s">
        <v>41</v>
      </c>
      <c r="J1270" s="1" t="n">
        <v>1562614</v>
      </c>
      <c r="L1270" s="1" t="n">
        <v>213260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3472.5</v>
      </c>
      <c r="W1270" s="1" t="n">
        <v>0</v>
      </c>
      <c r="X1270" s="1" t="s">
        <v>1188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46247</v>
      </c>
      <c r="C1271" s="15" t="n">
        <v>46257</v>
      </c>
      <c r="D1271" s="1" t="n">
        <v>1723</v>
      </c>
      <c r="E1271" s="1" t="s">
        <v>332</v>
      </c>
      <c r="F1271" s="1" t="n">
        <v>24</v>
      </c>
      <c r="G1271" s="1" t="s">
        <v>77</v>
      </c>
      <c r="H1271" s="1" t="n">
        <v>2110405</v>
      </c>
      <c r="I1271" s="1" t="s">
        <v>41</v>
      </c>
      <c r="J1271" s="1" t="n">
        <v>1542621</v>
      </c>
      <c r="L1271" s="1" t="n">
        <v>210451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3814.8</v>
      </c>
      <c r="W1271" s="1" t="n">
        <v>0</v>
      </c>
      <c r="X1271" s="1" t="s">
        <v>1189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46258</v>
      </c>
      <c r="D1272" s="1" t="n">
        <v>1626</v>
      </c>
      <c r="E1272" s="1" t="s">
        <v>82</v>
      </c>
      <c r="F1272" s="1" t="n">
        <v>24</v>
      </c>
      <c r="G1272" s="1" t="s">
        <v>77</v>
      </c>
      <c r="H1272" s="1" t="n">
        <v>1110203</v>
      </c>
      <c r="I1272" s="1" t="s">
        <v>108</v>
      </c>
      <c r="J1272" s="1" t="n">
        <v>1495138</v>
      </c>
      <c r="L1272" s="1" t="n">
        <v>202740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416.64</v>
      </c>
      <c r="W1272" s="1" t="n">
        <v>0</v>
      </c>
      <c r="X1272" s="1" t="s">
        <v>1069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46239</v>
      </c>
      <c r="C1273" s="15" t="n">
        <v>46258</v>
      </c>
      <c r="D1273" s="1" t="n">
        <v>1637</v>
      </c>
      <c r="E1273" s="1" t="s">
        <v>764</v>
      </c>
      <c r="F1273" s="1" t="n">
        <v>24</v>
      </c>
      <c r="G1273" s="1" t="s">
        <v>77</v>
      </c>
      <c r="H1273" s="1" t="n">
        <v>1110203</v>
      </c>
      <c r="I1273" s="1" t="s">
        <v>108</v>
      </c>
      <c r="J1273" s="1" t="n">
        <v>1503883</v>
      </c>
      <c r="L1273" s="1" t="n">
        <v>204193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1184.7</v>
      </c>
      <c r="W1273" s="1" t="n">
        <v>0</v>
      </c>
      <c r="X1273" s="1" t="s">
        <v>1190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46241</v>
      </c>
      <c r="C1274" s="15" t="n">
        <v>46258</v>
      </c>
      <c r="D1274" s="1" t="n">
        <v>1705</v>
      </c>
      <c r="E1274" s="1" t="s">
        <v>119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1514104</v>
      </c>
      <c r="L1274" s="1" t="n">
        <v>205951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268.07</v>
      </c>
      <c r="W1274" s="1" t="n">
        <v>0</v>
      </c>
      <c r="X1274" s="1" t="s">
        <v>1191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46241</v>
      </c>
      <c r="C1275" s="15" t="n">
        <v>46258</v>
      </c>
      <c r="D1275" s="1" t="n">
        <v>1705</v>
      </c>
      <c r="E1275" s="1" t="s">
        <v>119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1514114</v>
      </c>
      <c r="L1275" s="1" t="n">
        <v>205954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360.51</v>
      </c>
      <c r="W1275" s="1" t="n">
        <v>0</v>
      </c>
      <c r="X1275" s="1" t="s">
        <v>1192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46244</v>
      </c>
      <c r="C1276" s="15" t="n">
        <v>46258</v>
      </c>
      <c r="D1276" s="1" t="n">
        <v>1789</v>
      </c>
      <c r="E1276" s="1" t="s">
        <v>485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1529680</v>
      </c>
      <c r="L1276" s="1" t="n">
        <v>208120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364</v>
      </c>
      <c r="S1276" s="1" t="n">
        <v>4210112</v>
      </c>
      <c r="T1276" s="1" t="s">
        <v>486</v>
      </c>
      <c r="U1276" s="17" t="n">
        <v>10645.93</v>
      </c>
      <c r="W1276" s="1" t="n">
        <v>0</v>
      </c>
      <c r="X1276" s="1" t="s">
        <v>1193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46244</v>
      </c>
      <c r="C1277" s="15" t="n">
        <v>46258</v>
      </c>
      <c r="D1277" s="1" t="n">
        <v>1789</v>
      </c>
      <c r="E1277" s="1" t="s">
        <v>485</v>
      </c>
      <c r="F1277" s="1" t="n">
        <v>24</v>
      </c>
      <c r="G1277" s="1" t="s">
        <v>77</v>
      </c>
      <c r="H1277" s="1" t="n">
        <v>2110405</v>
      </c>
      <c r="I1277" s="1" t="s">
        <v>41</v>
      </c>
      <c r="J1277" s="1" t="n">
        <v>1529702</v>
      </c>
      <c r="L1277" s="1" t="n">
        <v>208128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364</v>
      </c>
      <c r="S1277" s="1" t="n">
        <v>4210112</v>
      </c>
      <c r="T1277" s="1" t="s">
        <v>486</v>
      </c>
      <c r="U1277" s="17" t="n">
        <v>109.86</v>
      </c>
      <c r="W1277" s="1" t="n">
        <v>0</v>
      </c>
      <c r="X1277" s="1" t="s">
        <v>1194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46248</v>
      </c>
      <c r="C1278" s="15" t="n">
        <v>46258</v>
      </c>
      <c r="D1278" s="1" t="n">
        <v>1621</v>
      </c>
      <c r="E1278" s="1" t="s">
        <v>212</v>
      </c>
      <c r="F1278" s="1" t="n">
        <v>24</v>
      </c>
      <c r="G1278" s="1" t="s">
        <v>77</v>
      </c>
      <c r="H1278" s="1" t="n">
        <v>2110405</v>
      </c>
      <c r="I1278" s="1" t="s">
        <v>41</v>
      </c>
      <c r="J1278" s="1" t="n">
        <v>1546198</v>
      </c>
      <c r="L1278" s="1" t="n">
        <v>211261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3733.25</v>
      </c>
      <c r="W1278" s="1" t="n">
        <v>0</v>
      </c>
      <c r="X1278" s="1" t="s">
        <v>1195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46252</v>
      </c>
      <c r="C1279" s="15" t="n">
        <v>46258</v>
      </c>
      <c r="D1279" s="1" t="n">
        <v>1328</v>
      </c>
      <c r="E1279" s="1" t="s">
        <v>92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1566671</v>
      </c>
      <c r="L1279" s="1" t="n">
        <v>213858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301.95</v>
      </c>
      <c r="W1279" s="1" t="n">
        <v>0</v>
      </c>
      <c r="X1279" s="1" t="s">
        <v>1196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46013</v>
      </c>
      <c r="C1280" s="15" t="n">
        <v>46259</v>
      </c>
      <c r="D1280" s="1" t="n">
        <v>17</v>
      </c>
      <c r="E1280" s="1" t="s">
        <v>436</v>
      </c>
      <c r="F1280" s="1" t="n">
        <v>48</v>
      </c>
      <c r="G1280" s="1" t="s">
        <v>503</v>
      </c>
      <c r="H1280" s="1" t="n">
        <v>2110405</v>
      </c>
      <c r="I1280" s="1" t="s">
        <v>41</v>
      </c>
      <c r="J1280" s="1" t="n">
        <v>660421</v>
      </c>
      <c r="L1280" s="1" t="n">
        <v>86128</v>
      </c>
      <c r="M1280" s="1" t="s">
        <v>596</v>
      </c>
      <c r="N1280" s="1" t="s">
        <v>35</v>
      </c>
      <c r="P1280" s="1" t="n">
        <v>101</v>
      </c>
      <c r="Q1280" s="1" t="s">
        <v>42</v>
      </c>
      <c r="R1280" s="1" t="s">
        <v>43</v>
      </c>
      <c r="S1280" s="1" t="n">
        <v>4220199</v>
      </c>
      <c r="T1280" s="1" t="s">
        <v>44</v>
      </c>
      <c r="U1280" s="17" t="n">
        <v>362.14</v>
      </c>
      <c r="W1280" s="1" t="n">
        <v>0</v>
      </c>
      <c r="X1280" s="1" t="s">
        <v>505</v>
      </c>
      <c r="Z1280" s="1" t="str">
        <f aca="false">IF($T1280="","",IFERROR(INDEX('Resumo Grupos'!$AC$3:$AC$200,MATCH($T1280,'Resumo Grupos'!$AB$3:$AB$200,0)),"n/d"))</f>
        <v>Pagamentos outros não operacionais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46029</v>
      </c>
      <c r="C1281" s="15" t="n">
        <v>46259</v>
      </c>
      <c r="D1281" s="1" t="n">
        <v>17</v>
      </c>
      <c r="E1281" s="1" t="s">
        <v>436</v>
      </c>
      <c r="F1281" s="1" t="n">
        <v>48</v>
      </c>
      <c r="G1281" s="1" t="s">
        <v>503</v>
      </c>
      <c r="H1281" s="1" t="n">
        <v>2110405</v>
      </c>
      <c r="I1281" s="1" t="s">
        <v>41</v>
      </c>
      <c r="J1281" s="1" t="n">
        <v>660305</v>
      </c>
      <c r="L1281" s="1" t="n">
        <v>86116</v>
      </c>
      <c r="M1281" s="1" t="s">
        <v>596</v>
      </c>
      <c r="N1281" s="1" t="s">
        <v>35</v>
      </c>
      <c r="P1281" s="1" t="n">
        <v>101</v>
      </c>
      <c r="Q1281" s="1" t="s">
        <v>42</v>
      </c>
      <c r="R1281" s="1" t="s">
        <v>43</v>
      </c>
      <c r="S1281" s="1" t="n">
        <v>4220199</v>
      </c>
      <c r="T1281" s="1" t="s">
        <v>44</v>
      </c>
      <c r="U1281" s="17" t="n">
        <v>84.03</v>
      </c>
      <c r="W1281" s="1" t="n">
        <v>0</v>
      </c>
      <c r="X1281" s="1" t="s">
        <v>504</v>
      </c>
      <c r="Z1281" s="1" t="str">
        <f aca="false">IF($T1281="","",IFERROR(INDEX('Resumo Grupos'!$AC$3:$AC$200,MATCH($T1281,'Resumo Grupos'!$AB$3:$AB$200,0)),"n/d"))</f>
        <v>Pagamentos outros não operacionais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46205</v>
      </c>
      <c r="C1282" s="15" t="n">
        <v>46259</v>
      </c>
      <c r="D1282" s="1" t="n">
        <v>1217</v>
      </c>
      <c r="E1282" s="1" t="s">
        <v>690</v>
      </c>
      <c r="F1282" s="1" t="n">
        <v>24</v>
      </c>
      <c r="G1282" s="1" t="s">
        <v>77</v>
      </c>
      <c r="H1282" s="1" t="n">
        <v>2110101</v>
      </c>
      <c r="I1282" s="1" t="s">
        <v>33</v>
      </c>
      <c r="J1282" s="1" t="n">
        <v>1339965</v>
      </c>
      <c r="L1282" s="1" t="n">
        <v>4467</v>
      </c>
      <c r="M1282" s="1" t="s">
        <v>47</v>
      </c>
      <c r="N1282" s="1" t="s">
        <v>54</v>
      </c>
      <c r="P1282" s="1" t="n">
        <v>113</v>
      </c>
      <c r="Q1282" s="1" t="s">
        <v>36</v>
      </c>
      <c r="R1282" s="1" t="s">
        <v>48</v>
      </c>
      <c r="S1282" s="1" t="n">
        <v>1130101</v>
      </c>
      <c r="T1282" s="1" t="s">
        <v>49</v>
      </c>
      <c r="U1282" s="17" t="n">
        <v>818.55</v>
      </c>
      <c r="W1282" s="1" t="n">
        <v>0</v>
      </c>
      <c r="X1282" s="1" t="s">
        <v>691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46243</v>
      </c>
      <c r="C1283" s="15" t="n">
        <v>46259</v>
      </c>
      <c r="D1283" s="1" t="n">
        <v>17</v>
      </c>
      <c r="E1283" s="1" t="s">
        <v>436</v>
      </c>
      <c r="F1283" s="1" t="n">
        <v>48</v>
      </c>
      <c r="G1283" s="1" t="s">
        <v>503</v>
      </c>
      <c r="H1283" s="1" t="n">
        <v>2110405</v>
      </c>
      <c r="I1283" s="1" t="s">
        <v>41</v>
      </c>
      <c r="J1283" s="1" t="n">
        <v>1551938</v>
      </c>
      <c r="L1283" s="1" t="n">
        <v>211786</v>
      </c>
      <c r="M1283" s="1" t="s">
        <v>83</v>
      </c>
      <c r="N1283" s="1" t="s">
        <v>35</v>
      </c>
      <c r="P1283" s="1" t="n">
        <v>101</v>
      </c>
      <c r="Q1283" s="1" t="s">
        <v>42</v>
      </c>
      <c r="R1283" s="1" t="s">
        <v>43</v>
      </c>
      <c r="S1283" s="1" t="n">
        <v>4220199</v>
      </c>
      <c r="T1283" s="1" t="s">
        <v>44</v>
      </c>
      <c r="U1283" s="17" t="n">
        <v>52.52</v>
      </c>
      <c r="W1283" s="1" t="n">
        <v>0</v>
      </c>
      <c r="X1283" s="1" t="s">
        <v>1197</v>
      </c>
      <c r="Z1283" s="1" t="str">
        <f aca="false">IF($T1283="","",IFERROR(INDEX('Resumo Grupos'!$AC$3:$AC$200,MATCH($T1283,'Resumo Grupos'!$AB$3:$AB$200,0)),"n/d"))</f>
        <v>Pagamentos outros não operacionais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46249</v>
      </c>
      <c r="C1284" s="15" t="n">
        <v>46259</v>
      </c>
      <c r="D1284" s="1" t="n">
        <v>17</v>
      </c>
      <c r="E1284" s="1" t="s">
        <v>436</v>
      </c>
      <c r="F1284" s="1" t="n">
        <v>48</v>
      </c>
      <c r="G1284" s="1" t="s">
        <v>503</v>
      </c>
      <c r="H1284" s="1" t="n">
        <v>2110405</v>
      </c>
      <c r="I1284" s="1" t="s">
        <v>41</v>
      </c>
      <c r="J1284" s="1" t="n">
        <v>1551945</v>
      </c>
      <c r="L1284" s="1" t="n">
        <v>211789</v>
      </c>
      <c r="M1284" s="1" t="s">
        <v>83</v>
      </c>
      <c r="N1284" s="1" t="s">
        <v>35</v>
      </c>
      <c r="P1284" s="1" t="n">
        <v>101</v>
      </c>
      <c r="Q1284" s="1" t="s">
        <v>42</v>
      </c>
      <c r="R1284" s="1" t="s">
        <v>43</v>
      </c>
      <c r="S1284" s="1" t="n">
        <v>4220199</v>
      </c>
      <c r="T1284" s="1" t="s">
        <v>44</v>
      </c>
      <c r="U1284" s="17" t="n">
        <v>595.39</v>
      </c>
      <c r="W1284" s="1" t="n">
        <v>0</v>
      </c>
      <c r="X1284" s="1" t="s">
        <v>1198</v>
      </c>
      <c r="Z1284" s="1" t="str">
        <f aca="false">IF($T1284="","",IFERROR(INDEX('Resumo Grupos'!$AC$3:$AC$200,MATCH($T1284,'Resumo Grupos'!$AB$3:$AB$200,0)),"n/d"))</f>
        <v>Pagamentos outros não operacionais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46252</v>
      </c>
      <c r="C1285" s="15" t="n">
        <v>46259</v>
      </c>
      <c r="D1285" s="1" t="n">
        <v>1642</v>
      </c>
      <c r="E1285" s="1" t="s">
        <v>210</v>
      </c>
      <c r="F1285" s="1" t="n">
        <v>24</v>
      </c>
      <c r="G1285" s="1" t="s">
        <v>77</v>
      </c>
      <c r="H1285" s="1" t="n">
        <v>2110405</v>
      </c>
      <c r="I1285" s="1" t="s">
        <v>41</v>
      </c>
      <c r="J1285" s="1" t="n">
        <v>1566648</v>
      </c>
      <c r="L1285" s="1" t="n">
        <v>213853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512.38</v>
      </c>
      <c r="W1285" s="1" t="n">
        <v>0</v>
      </c>
      <c r="X1285" s="1" t="s">
        <v>1199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46023</v>
      </c>
      <c r="C1286" s="15" t="n">
        <v>46260</v>
      </c>
      <c r="D1286" s="1" t="n">
        <v>515</v>
      </c>
      <c r="E1286" s="1" t="s">
        <v>143</v>
      </c>
      <c r="F1286" s="1" t="n">
        <v>34</v>
      </c>
      <c r="G1286" s="1" t="s">
        <v>97</v>
      </c>
      <c r="H1286" s="1" t="n">
        <v>2110405</v>
      </c>
      <c r="I1286" s="1" t="s">
        <v>41</v>
      </c>
      <c r="J1286" s="1" t="n">
        <v>1012266</v>
      </c>
      <c r="L1286" s="1" t="n">
        <v>133812</v>
      </c>
      <c r="M1286" s="1" t="s">
        <v>596</v>
      </c>
      <c r="N1286" s="1" t="s">
        <v>35</v>
      </c>
      <c r="P1286" s="1" t="n">
        <v>101</v>
      </c>
      <c r="Q1286" s="1" t="s">
        <v>42</v>
      </c>
      <c r="R1286" s="1" t="s">
        <v>295</v>
      </c>
      <c r="S1286" s="1" t="n">
        <v>2110901</v>
      </c>
      <c r="T1286" s="1" t="s">
        <v>296</v>
      </c>
      <c r="U1286" s="17" t="n">
        <v>4168.41</v>
      </c>
      <c r="W1286" s="1" t="n">
        <v>0</v>
      </c>
      <c r="X1286" s="1" t="s">
        <v>1200</v>
      </c>
      <c r="Z1286" s="1" t="str">
        <f aca="false">IF($T1286="","",IFERROR(INDEX('Resumo Grupos'!$AC$3:$AC$200,MATCH($T1286,'Resumo Grupos'!$AB$3:$AB$200,0)),"n/d"))</f>
        <v>Empréstimo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46247</v>
      </c>
      <c r="C1287" s="15" t="n">
        <v>46260</v>
      </c>
      <c r="D1287" s="1" t="n">
        <v>1635</v>
      </c>
      <c r="E1287" s="1" t="s">
        <v>117</v>
      </c>
      <c r="F1287" s="1" t="n">
        <v>24</v>
      </c>
      <c r="G1287" s="1" t="s">
        <v>77</v>
      </c>
      <c r="H1287" s="1" t="n">
        <v>2110405</v>
      </c>
      <c r="I1287" s="1" t="s">
        <v>41</v>
      </c>
      <c r="J1287" s="1" t="n">
        <v>1541010</v>
      </c>
      <c r="L1287" s="1" t="n">
        <v>210258</v>
      </c>
      <c r="M1287" s="1" t="s">
        <v>83</v>
      </c>
      <c r="N1287" s="1" t="s">
        <v>35</v>
      </c>
      <c r="P1287" s="1" t="n">
        <v>113</v>
      </c>
      <c r="Q1287" s="1" t="s">
        <v>36</v>
      </c>
      <c r="R1287" s="1" t="s">
        <v>48</v>
      </c>
      <c r="S1287" s="1" t="n">
        <v>1130101</v>
      </c>
      <c r="T1287" s="1" t="s">
        <v>49</v>
      </c>
      <c r="U1287" s="17" t="n">
        <v>600</v>
      </c>
      <c r="W1287" s="1" t="n">
        <v>0</v>
      </c>
      <c r="X1287" s="1" t="s">
        <v>1201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46241</v>
      </c>
      <c r="C1288" s="15" t="n">
        <v>46260</v>
      </c>
      <c r="D1288" s="1" t="n">
        <v>1613</v>
      </c>
      <c r="E1288" s="1" t="s">
        <v>94</v>
      </c>
      <c r="F1288" s="1" t="n">
        <v>24</v>
      </c>
      <c r="G1288" s="1" t="s">
        <v>77</v>
      </c>
      <c r="H1288" s="1" t="n">
        <v>2110405</v>
      </c>
      <c r="I1288" s="1" t="s">
        <v>41</v>
      </c>
      <c r="J1288" s="1" t="n">
        <v>1513496</v>
      </c>
      <c r="L1288" s="1" t="n">
        <v>205790</v>
      </c>
      <c r="M1288" s="1" t="s">
        <v>83</v>
      </c>
      <c r="N1288" s="1" t="s">
        <v>35</v>
      </c>
      <c r="P1288" s="1" t="n">
        <v>113</v>
      </c>
      <c r="Q1288" s="1" t="s">
        <v>36</v>
      </c>
      <c r="R1288" s="1" t="s">
        <v>48</v>
      </c>
      <c r="S1288" s="1" t="n">
        <v>1130101</v>
      </c>
      <c r="T1288" s="1" t="s">
        <v>49</v>
      </c>
      <c r="U1288" s="17" t="n">
        <v>1275.53</v>
      </c>
      <c r="W1288" s="1" t="n">
        <v>0</v>
      </c>
      <c r="X1288" s="1" t="s">
        <v>1162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46244</v>
      </c>
      <c r="C1289" s="15" t="n">
        <v>46260</v>
      </c>
      <c r="D1289" s="1" t="n">
        <v>1659</v>
      </c>
      <c r="E1289" s="1" t="s">
        <v>197</v>
      </c>
      <c r="F1289" s="1" t="n">
        <v>24</v>
      </c>
      <c r="G1289" s="1" t="s">
        <v>77</v>
      </c>
      <c r="H1289" s="1" t="n">
        <v>2110405</v>
      </c>
      <c r="I1289" s="1" t="s">
        <v>41</v>
      </c>
      <c r="J1289" s="1" t="n">
        <v>1529145</v>
      </c>
      <c r="L1289" s="1" t="n">
        <v>207965</v>
      </c>
      <c r="M1289" s="1" t="s">
        <v>83</v>
      </c>
      <c r="N1289" s="1" t="s">
        <v>35</v>
      </c>
      <c r="P1289" s="1" t="n">
        <v>113</v>
      </c>
      <c r="Q1289" s="1" t="s">
        <v>36</v>
      </c>
      <c r="R1289" s="1" t="s">
        <v>48</v>
      </c>
      <c r="S1289" s="1" t="n">
        <v>1130101</v>
      </c>
      <c r="T1289" s="1" t="s">
        <v>49</v>
      </c>
      <c r="U1289" s="17" t="n">
        <v>349</v>
      </c>
      <c r="W1289" s="1" t="n">
        <v>0</v>
      </c>
      <c r="X1289" s="1" t="s">
        <v>1163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46246</v>
      </c>
      <c r="C1290" s="15" t="n">
        <v>46260</v>
      </c>
      <c r="D1290" s="1" t="n">
        <v>1608</v>
      </c>
      <c r="E1290" s="1" t="s">
        <v>201</v>
      </c>
      <c r="F1290" s="1" t="n">
        <v>24</v>
      </c>
      <c r="G1290" s="1" t="s">
        <v>77</v>
      </c>
      <c r="H1290" s="1" t="n">
        <v>2110405</v>
      </c>
      <c r="I1290" s="1" t="s">
        <v>41</v>
      </c>
      <c r="J1290" s="1" t="n">
        <v>1534791</v>
      </c>
      <c r="L1290" s="1" t="n">
        <v>209426</v>
      </c>
      <c r="M1290" s="1" t="s">
        <v>83</v>
      </c>
      <c r="N1290" s="1" t="s">
        <v>35</v>
      </c>
      <c r="P1290" s="1" t="n">
        <v>113</v>
      </c>
      <c r="Q1290" s="1" t="s">
        <v>36</v>
      </c>
      <c r="R1290" s="1" t="s">
        <v>48</v>
      </c>
      <c r="S1290" s="1" t="n">
        <v>1130101</v>
      </c>
      <c r="T1290" s="1" t="s">
        <v>49</v>
      </c>
      <c r="U1290" s="17" t="n">
        <v>1279.58</v>
      </c>
      <c r="W1290" s="1" t="n">
        <v>0</v>
      </c>
      <c r="X1290" s="1" t="s">
        <v>1202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46246</v>
      </c>
      <c r="C1291" s="15" t="n">
        <v>46260</v>
      </c>
      <c r="D1291" s="1" t="n">
        <v>1634</v>
      </c>
      <c r="E1291" s="1" t="s">
        <v>261</v>
      </c>
      <c r="F1291" s="1" t="n">
        <v>24</v>
      </c>
      <c r="G1291" s="1" t="s">
        <v>77</v>
      </c>
      <c r="H1291" s="1" t="n">
        <v>2110405</v>
      </c>
      <c r="I1291" s="1" t="s">
        <v>41</v>
      </c>
      <c r="J1291" s="1" t="n">
        <v>1535480</v>
      </c>
      <c r="L1291" s="1" t="n">
        <v>209568</v>
      </c>
      <c r="M1291" s="1" t="s">
        <v>83</v>
      </c>
      <c r="N1291" s="1" t="s">
        <v>35</v>
      </c>
      <c r="P1291" s="1" t="n">
        <v>113</v>
      </c>
      <c r="Q1291" s="1" t="s">
        <v>36</v>
      </c>
      <c r="R1291" s="1" t="s">
        <v>48</v>
      </c>
      <c r="S1291" s="1" t="n">
        <v>1130101</v>
      </c>
      <c r="T1291" s="1" t="s">
        <v>49</v>
      </c>
      <c r="U1291" s="17" t="n">
        <v>700.7</v>
      </c>
      <c r="W1291" s="1" t="n">
        <v>0</v>
      </c>
      <c r="X1291" s="1" t="s">
        <v>1203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46247</v>
      </c>
      <c r="C1292" s="15" t="n">
        <v>46260</v>
      </c>
      <c r="D1292" s="1" t="n">
        <v>1734</v>
      </c>
      <c r="E1292" s="1" t="s">
        <v>489</v>
      </c>
      <c r="F1292" s="1" t="n">
        <v>24</v>
      </c>
      <c r="G1292" s="1" t="s">
        <v>77</v>
      </c>
      <c r="H1292" s="1" t="n">
        <v>2110405</v>
      </c>
      <c r="I1292" s="1" t="s">
        <v>41</v>
      </c>
      <c r="J1292" s="1" t="n">
        <v>1542967</v>
      </c>
      <c r="L1292" s="1" t="n">
        <v>210465</v>
      </c>
      <c r="M1292" s="1" t="s">
        <v>83</v>
      </c>
      <c r="N1292" s="1" t="s">
        <v>35</v>
      </c>
      <c r="P1292" s="1" t="n">
        <v>113</v>
      </c>
      <c r="Q1292" s="1" t="s">
        <v>36</v>
      </c>
      <c r="R1292" s="1" t="s">
        <v>48</v>
      </c>
      <c r="S1292" s="1" t="n">
        <v>1130101</v>
      </c>
      <c r="T1292" s="1" t="s">
        <v>49</v>
      </c>
      <c r="U1292" s="17" t="n">
        <v>1050.07</v>
      </c>
      <c r="W1292" s="1" t="n">
        <v>0</v>
      </c>
      <c r="X1292" s="1" t="s">
        <v>1204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46248</v>
      </c>
      <c r="C1293" s="15" t="n">
        <v>46260</v>
      </c>
      <c r="D1293" s="1" t="n">
        <v>1613</v>
      </c>
      <c r="E1293" s="1" t="s">
        <v>94</v>
      </c>
      <c r="F1293" s="1" t="n">
        <v>24</v>
      </c>
      <c r="G1293" s="1" t="s">
        <v>77</v>
      </c>
      <c r="H1293" s="1" t="n">
        <v>2110405</v>
      </c>
      <c r="I1293" s="1" t="s">
        <v>41</v>
      </c>
      <c r="J1293" s="1" t="n">
        <v>1547477</v>
      </c>
      <c r="L1293" s="1" t="n">
        <v>211362</v>
      </c>
      <c r="M1293" s="1" t="s">
        <v>83</v>
      </c>
      <c r="N1293" s="1" t="s">
        <v>35</v>
      </c>
      <c r="P1293" s="1" t="n">
        <v>113</v>
      </c>
      <c r="Q1293" s="1" t="s">
        <v>36</v>
      </c>
      <c r="R1293" s="1" t="s">
        <v>48</v>
      </c>
      <c r="S1293" s="1" t="n">
        <v>1130101</v>
      </c>
      <c r="T1293" s="1" t="s">
        <v>49</v>
      </c>
      <c r="U1293" s="17" t="n">
        <v>1164.76</v>
      </c>
      <c r="W1293" s="1" t="n">
        <v>0</v>
      </c>
      <c r="X1293" s="1" t="s">
        <v>1205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46254</v>
      </c>
      <c r="C1294" s="22" t="n">
        <v>46260</v>
      </c>
      <c r="D1294" s="1" t="n">
        <v>754</v>
      </c>
      <c r="E1294" s="1" t="s">
        <v>128</v>
      </c>
      <c r="F1294" s="1" t="n">
        <v>24</v>
      </c>
      <c r="G1294" s="1" t="s">
        <v>77</v>
      </c>
      <c r="H1294" s="1" t="n">
        <v>2110405</v>
      </c>
      <c r="I1294" s="1" t="s">
        <v>41</v>
      </c>
      <c r="J1294" s="1" t="n">
        <v>1576251</v>
      </c>
      <c r="L1294" s="1" t="n">
        <v>215402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1293.6</v>
      </c>
      <c r="W1294" s="1" t="n">
        <v>0</v>
      </c>
      <c r="X1294" s="1" t="s">
        <v>1206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2</v>
      </c>
      <c r="B1295" s="22" t="n">
        <v>46254</v>
      </c>
      <c r="C1295" s="22" t="n">
        <v>46260</v>
      </c>
      <c r="D1295" s="1" t="n">
        <v>48</v>
      </c>
      <c r="E1295" s="1" t="s">
        <v>132</v>
      </c>
      <c r="F1295" s="1" t="n">
        <v>24</v>
      </c>
      <c r="G1295" s="1" t="s">
        <v>77</v>
      </c>
      <c r="H1295" s="1" t="n">
        <v>2110101</v>
      </c>
      <c r="I1295" s="1" t="s">
        <v>33</v>
      </c>
      <c r="J1295" s="1" t="n">
        <v>1576425</v>
      </c>
      <c r="L1295" s="1" t="n">
        <v>2617</v>
      </c>
      <c r="M1295" s="1" t="s">
        <v>83</v>
      </c>
      <c r="N1295" s="1" t="s">
        <v>54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300</v>
      </c>
      <c r="W1295" s="1" t="n">
        <v>0</v>
      </c>
      <c r="X1295" s="1" t="s">
        <v>1207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2</v>
      </c>
      <c r="B1296" s="22" t="n">
        <v>46240</v>
      </c>
      <c r="C1296" s="22" t="n">
        <v>46261</v>
      </c>
      <c r="D1296" s="1" t="n">
        <v>1815</v>
      </c>
      <c r="E1296" s="1" t="s">
        <v>164</v>
      </c>
      <c r="F1296" s="1" t="n">
        <v>24</v>
      </c>
      <c r="G1296" s="1" t="s">
        <v>77</v>
      </c>
      <c r="H1296" s="1" t="n">
        <v>2110405</v>
      </c>
      <c r="I1296" s="1" t="s">
        <v>41</v>
      </c>
      <c r="J1296" s="1" t="n">
        <v>1508981</v>
      </c>
      <c r="L1296" s="1" t="n">
        <v>205093</v>
      </c>
      <c r="M1296" s="1" t="s">
        <v>83</v>
      </c>
      <c r="N1296" s="1" t="s">
        <v>35</v>
      </c>
      <c r="P1296" s="1" t="n">
        <v>113</v>
      </c>
      <c r="Q1296" s="1" t="s">
        <v>36</v>
      </c>
      <c r="R1296" s="1" t="s">
        <v>48</v>
      </c>
      <c r="S1296" s="1" t="n">
        <v>1130101</v>
      </c>
      <c r="T1296" s="1" t="s">
        <v>49</v>
      </c>
      <c r="U1296" s="1" t="n">
        <v>628.19</v>
      </c>
      <c r="W1296" s="1" t="n">
        <v>0</v>
      </c>
      <c r="X1296" s="1" t="s">
        <v>1111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2</v>
      </c>
      <c r="B1297" s="22" t="n">
        <v>46241</v>
      </c>
      <c r="C1297" s="22" t="n">
        <v>46261</v>
      </c>
      <c r="D1297" s="1" t="n">
        <v>794</v>
      </c>
      <c r="E1297" s="1" t="s">
        <v>305</v>
      </c>
      <c r="F1297" s="1" t="n">
        <v>24</v>
      </c>
      <c r="G1297" s="1" t="s">
        <v>77</v>
      </c>
      <c r="H1297" s="1" t="n">
        <v>2110405</v>
      </c>
      <c r="I1297" s="1" t="s">
        <v>41</v>
      </c>
      <c r="J1297" s="1" t="n">
        <v>1514359</v>
      </c>
      <c r="L1297" s="1" t="n">
        <v>205999</v>
      </c>
      <c r="M1297" s="1" t="s">
        <v>83</v>
      </c>
      <c r="N1297" s="1" t="s">
        <v>35</v>
      </c>
      <c r="P1297" s="1" t="n">
        <v>113</v>
      </c>
      <c r="Q1297" s="1" t="s">
        <v>36</v>
      </c>
      <c r="R1297" s="1" t="s">
        <v>48</v>
      </c>
      <c r="S1297" s="1" t="n">
        <v>1130101</v>
      </c>
      <c r="T1297" s="1" t="s">
        <v>49</v>
      </c>
      <c r="U1297" s="1" t="n">
        <v>382.62</v>
      </c>
      <c r="W1297" s="1" t="n">
        <v>0</v>
      </c>
      <c r="X1297" s="1" t="s">
        <v>1166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46241</v>
      </c>
      <c r="C1298" s="22" t="n">
        <v>46261</v>
      </c>
      <c r="D1298" s="1" t="n">
        <v>794</v>
      </c>
      <c r="E1298" s="1" t="s">
        <v>305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1514438</v>
      </c>
      <c r="L1298" s="1" t="n">
        <v>206013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56</v>
      </c>
      <c r="S1298" s="1" t="n">
        <v>4210299</v>
      </c>
      <c r="T1298" s="1" t="s">
        <v>115</v>
      </c>
      <c r="U1298" s="1" t="n">
        <v>520.47</v>
      </c>
      <c r="W1298" s="1" t="n">
        <v>0</v>
      </c>
      <c r="X1298" s="1" t="s">
        <v>1167</v>
      </c>
      <c r="Z1298" s="1" t="str">
        <f aca="false">IF($T1298="","",IFERROR(INDEX('Resumo Grupos'!$AC$3:$AC$200,MATCH($T1298,'Resumo Grupos'!$AB$3:$AB$200,0)),"n/d"))</f>
        <v>Despesa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2</v>
      </c>
      <c r="B1299" s="22" t="n">
        <v>46247</v>
      </c>
      <c r="C1299" s="22" t="n">
        <v>46261</v>
      </c>
      <c r="D1299" s="1" t="n">
        <v>1608</v>
      </c>
      <c r="E1299" s="1" t="s">
        <v>201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1540761</v>
      </c>
      <c r="L1299" s="1" t="n">
        <v>210177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692.26</v>
      </c>
      <c r="W1299" s="1" t="n">
        <v>0</v>
      </c>
      <c r="X1299" s="1" t="s">
        <v>1208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2</v>
      </c>
      <c r="B1300" s="22" t="n">
        <v>46247</v>
      </c>
      <c r="C1300" s="22" t="n">
        <v>46261</v>
      </c>
      <c r="D1300" s="1" t="n">
        <v>1667</v>
      </c>
      <c r="E1300" s="1" t="s">
        <v>82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1540922</v>
      </c>
      <c r="L1300" s="1" t="n">
        <v>210242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668.77</v>
      </c>
      <c r="W1300" s="1" t="n">
        <v>0</v>
      </c>
      <c r="X1300" s="1" t="s">
        <v>1209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2</v>
      </c>
      <c r="B1301" s="22" t="n">
        <v>46247</v>
      </c>
      <c r="C1301" s="22" t="n">
        <v>46261</v>
      </c>
      <c r="D1301" s="1" t="n">
        <v>1740</v>
      </c>
      <c r="E1301" s="1" t="s">
        <v>410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1541224</v>
      </c>
      <c r="L1301" s="1" t="n">
        <v>210282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386.74</v>
      </c>
      <c r="W1301" s="1" t="n">
        <v>0</v>
      </c>
      <c r="X1301" s="1" t="s">
        <v>1210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46261</v>
      </c>
      <c r="D1302" s="1" t="n">
        <v>1601</v>
      </c>
      <c r="E1302" s="1" t="s">
        <v>175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1543874</v>
      </c>
      <c r="L1302" s="1" t="n">
        <v>210525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436.02</v>
      </c>
      <c r="W1302" s="1" t="n">
        <v>0</v>
      </c>
      <c r="X1302" s="1" t="s">
        <v>1211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2</v>
      </c>
      <c r="B1303" s="22" t="n">
        <v>46252</v>
      </c>
      <c r="C1303" s="22" t="n">
        <v>46261</v>
      </c>
      <c r="D1303" s="1" t="n">
        <v>1196</v>
      </c>
      <c r="E1303" s="1" t="s">
        <v>1212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1566579</v>
      </c>
      <c r="L1303" s="1" t="n">
        <v>213841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855.99</v>
      </c>
      <c r="W1303" s="1" t="n">
        <v>0</v>
      </c>
      <c r="X1303" s="1" t="s">
        <v>1213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2</v>
      </c>
      <c r="B1304" s="22" t="n">
        <v>46252</v>
      </c>
      <c r="C1304" s="22" t="n">
        <v>46261</v>
      </c>
      <c r="D1304" s="1" t="n">
        <v>1671</v>
      </c>
      <c r="E1304" s="1" t="s">
        <v>88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1567127</v>
      </c>
      <c r="L1304" s="1" t="n">
        <v>213978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48</v>
      </c>
      <c r="S1304" s="1" t="n">
        <v>1130101</v>
      </c>
      <c r="T1304" s="1" t="s">
        <v>49</v>
      </c>
      <c r="U1304" s="1" t="n">
        <v>793.82</v>
      </c>
      <c r="W1304" s="1" t="n">
        <v>0</v>
      </c>
      <c r="X1304" s="1" t="s">
        <v>1214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2</v>
      </c>
      <c r="B1305" s="22" t="n">
        <v>46244</v>
      </c>
      <c r="C1305" s="22" t="n">
        <v>46262</v>
      </c>
      <c r="D1305" s="1" t="n">
        <v>1666</v>
      </c>
      <c r="E1305" s="1" t="s">
        <v>206</v>
      </c>
      <c r="F1305" s="1" t="n">
        <v>24</v>
      </c>
      <c r="G1305" s="1" t="s">
        <v>77</v>
      </c>
      <c r="H1305" s="1" t="n">
        <v>2110405</v>
      </c>
      <c r="I1305" s="1" t="s">
        <v>41</v>
      </c>
      <c r="J1305" s="1" t="n">
        <v>1529119</v>
      </c>
      <c r="L1305" s="1" t="n">
        <v>207951</v>
      </c>
      <c r="M1305" s="1" t="s">
        <v>83</v>
      </c>
      <c r="N1305" s="1" t="s">
        <v>35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4605.48</v>
      </c>
      <c r="W1305" s="1" t="n">
        <v>0</v>
      </c>
      <c r="X1305" s="1" t="s">
        <v>1129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2</v>
      </c>
      <c r="B1306" s="22" t="n">
        <v>46248</v>
      </c>
      <c r="C1306" s="22" t="n">
        <v>46262</v>
      </c>
      <c r="D1306" s="1" t="n">
        <v>1705</v>
      </c>
      <c r="E1306" s="1" t="s">
        <v>119</v>
      </c>
      <c r="F1306" s="1" t="n">
        <v>24</v>
      </c>
      <c r="G1306" s="1" t="s">
        <v>77</v>
      </c>
      <c r="H1306" s="1" t="n">
        <v>2110405</v>
      </c>
      <c r="I1306" s="1" t="s">
        <v>41</v>
      </c>
      <c r="J1306" s="1" t="n">
        <v>1546022</v>
      </c>
      <c r="L1306" s="1" t="n">
        <v>211208</v>
      </c>
      <c r="M1306" s="1" t="s">
        <v>83</v>
      </c>
      <c r="N1306" s="1" t="s">
        <v>35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50.85</v>
      </c>
      <c r="W1306" s="1" t="n">
        <v>0</v>
      </c>
      <c r="X1306" s="1" t="s">
        <v>1215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46248</v>
      </c>
      <c r="C1307" s="22" t="n">
        <v>46262</v>
      </c>
      <c r="D1307" s="1" t="n">
        <v>1705</v>
      </c>
      <c r="E1307" s="1" t="s">
        <v>119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1546035</v>
      </c>
      <c r="L1307" s="1" t="n">
        <v>211216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620.26</v>
      </c>
      <c r="W1307" s="1" t="n">
        <v>0</v>
      </c>
      <c r="X1307" s="1" t="s">
        <v>1216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2</v>
      </c>
      <c r="B1308" s="22" t="n">
        <v>46248</v>
      </c>
      <c r="C1308" s="22" t="n">
        <v>46262</v>
      </c>
      <c r="D1308" s="1" t="n">
        <v>1705</v>
      </c>
      <c r="E1308" s="1" t="s">
        <v>119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1546067</v>
      </c>
      <c r="L1308" s="1" t="n">
        <v>211225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48</v>
      </c>
      <c r="S1308" s="1" t="n">
        <v>1130101</v>
      </c>
      <c r="T1308" s="1" t="s">
        <v>49</v>
      </c>
      <c r="U1308" s="1" t="n">
        <v>2148.12</v>
      </c>
      <c r="W1308" s="1" t="n">
        <v>0</v>
      </c>
      <c r="X1308" s="1" t="s">
        <v>1217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2</v>
      </c>
      <c r="B1309" s="22" t="n">
        <v>46252</v>
      </c>
      <c r="C1309" s="22" t="n">
        <v>46262</v>
      </c>
      <c r="D1309" s="1" t="n">
        <v>1699</v>
      </c>
      <c r="E1309" s="1" t="s">
        <v>208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1568208</v>
      </c>
      <c r="L1309" s="1" t="n">
        <v>214137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474.75</v>
      </c>
      <c r="W1309" s="1" t="n">
        <v>0</v>
      </c>
      <c r="X1309" s="1" t="s">
        <v>1218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2</v>
      </c>
      <c r="B1310" s="22" t="n">
        <v>46253</v>
      </c>
      <c r="C1310" s="22" t="n">
        <v>46262</v>
      </c>
      <c r="D1310" s="1" t="n">
        <v>1723</v>
      </c>
      <c r="E1310" s="1" t="s">
        <v>332</v>
      </c>
      <c r="F1310" s="1" t="n">
        <v>24</v>
      </c>
      <c r="G1310" s="1" t="s">
        <v>77</v>
      </c>
      <c r="H1310" s="1" t="n">
        <v>2110405</v>
      </c>
      <c r="I1310" s="1" t="s">
        <v>41</v>
      </c>
      <c r="J1310" s="1" t="n">
        <v>1572402</v>
      </c>
      <c r="L1310" s="1" t="n">
        <v>214810</v>
      </c>
      <c r="M1310" s="1" t="s">
        <v>83</v>
      </c>
      <c r="N1310" s="1" t="s">
        <v>35</v>
      </c>
      <c r="P1310" s="1" t="n">
        <v>113</v>
      </c>
      <c r="Q1310" s="1" t="s">
        <v>36</v>
      </c>
      <c r="R1310" s="1" t="s">
        <v>48</v>
      </c>
      <c r="S1310" s="1" t="n">
        <v>1130101</v>
      </c>
      <c r="T1310" s="1" t="s">
        <v>49</v>
      </c>
      <c r="U1310" s="1" t="n">
        <v>2334.75</v>
      </c>
      <c r="W1310" s="1" t="n">
        <v>0</v>
      </c>
      <c r="X1310" s="1" t="s">
        <v>1219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2</v>
      </c>
      <c r="B1311" s="22" t="n">
        <v>46248</v>
      </c>
      <c r="C1311" s="22" t="n">
        <v>46263</v>
      </c>
      <c r="D1311" s="1" t="n">
        <v>1718</v>
      </c>
      <c r="E1311" s="1" t="s">
        <v>199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1547746</v>
      </c>
      <c r="L1311" s="1" t="n">
        <v>211393</v>
      </c>
      <c r="M1311" s="1" t="s">
        <v>83</v>
      </c>
      <c r="N1311" s="1" t="s">
        <v>35</v>
      </c>
      <c r="P1311" s="1" t="n">
        <v>113</v>
      </c>
      <c r="Q1311" s="1" t="s">
        <v>36</v>
      </c>
      <c r="R1311" s="1" t="s">
        <v>48</v>
      </c>
      <c r="S1311" s="1" t="n">
        <v>1130101</v>
      </c>
      <c r="T1311" s="1" t="s">
        <v>49</v>
      </c>
      <c r="U1311" s="1" t="n">
        <v>706.56</v>
      </c>
      <c r="W1311" s="1" t="n">
        <v>0</v>
      </c>
      <c r="X1311" s="1" t="s">
        <v>1220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2</v>
      </c>
      <c r="B1312" s="22" t="n">
        <v>46249</v>
      </c>
      <c r="C1312" s="22" t="n">
        <v>46263</v>
      </c>
      <c r="D1312" s="1" t="n">
        <v>1718</v>
      </c>
      <c r="E1312" s="1" t="s">
        <v>199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1551482</v>
      </c>
      <c r="L1312" s="1" t="n">
        <v>211716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1422.67</v>
      </c>
      <c r="W1312" s="1" t="n">
        <v>0</v>
      </c>
      <c r="X1312" s="1" t="s">
        <v>1221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2</v>
      </c>
      <c r="B1313" s="22" t="n">
        <v>46165</v>
      </c>
      <c r="C1313" s="22" t="n">
        <v>46264</v>
      </c>
      <c r="D1313" s="1" t="n">
        <v>639</v>
      </c>
      <c r="E1313" s="1" t="s">
        <v>443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1141287</v>
      </c>
      <c r="L1313" s="1" t="n">
        <v>151507</v>
      </c>
      <c r="M1313" s="1" t="s">
        <v>74</v>
      </c>
      <c r="N1313" s="1" t="s">
        <v>35</v>
      </c>
      <c r="P1313" s="1" t="n">
        <v>101</v>
      </c>
      <c r="Q1313" s="1" t="s">
        <v>42</v>
      </c>
      <c r="R1313" s="1" t="s">
        <v>56</v>
      </c>
      <c r="S1313" s="1" t="n">
        <v>4210216</v>
      </c>
      <c r="T1313" s="1" t="s">
        <v>444</v>
      </c>
      <c r="U1313" s="1" t="n">
        <v>420</v>
      </c>
      <c r="W1313" s="1" t="n">
        <v>0</v>
      </c>
      <c r="X1313" s="1" t="s">
        <v>862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2</v>
      </c>
      <c r="B1314" s="22" t="n">
        <v>46223</v>
      </c>
      <c r="C1314" s="22" t="n">
        <v>46264</v>
      </c>
      <c r="D1314" s="1" t="n">
        <v>607</v>
      </c>
      <c r="E1314" s="1" t="s">
        <v>254</v>
      </c>
      <c r="F1314" s="1" t="n">
        <v>24</v>
      </c>
      <c r="G1314" s="1" t="s">
        <v>77</v>
      </c>
      <c r="H1314" s="1" t="n">
        <v>1110203</v>
      </c>
      <c r="I1314" s="1" t="s">
        <v>108</v>
      </c>
      <c r="J1314" s="1" t="n">
        <v>1424650</v>
      </c>
      <c r="L1314" s="1" t="n">
        <v>190911</v>
      </c>
      <c r="M1314" s="1" t="s">
        <v>83</v>
      </c>
      <c r="N1314" s="1" t="s">
        <v>35</v>
      </c>
      <c r="P1314" s="1" t="n">
        <v>113</v>
      </c>
      <c r="Q1314" s="1" t="s">
        <v>36</v>
      </c>
      <c r="R1314" s="1" t="s">
        <v>48</v>
      </c>
      <c r="S1314" s="1" t="n">
        <v>1130101</v>
      </c>
      <c r="T1314" s="1" t="s">
        <v>49</v>
      </c>
      <c r="U1314" s="1" t="n">
        <v>446.28</v>
      </c>
      <c r="W1314" s="1" t="n">
        <v>0</v>
      </c>
      <c r="X1314" s="1" t="s">
        <v>1065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2</v>
      </c>
      <c r="B1315" s="22" t="n">
        <v>46239</v>
      </c>
      <c r="C1315" s="22" t="n">
        <v>46265</v>
      </c>
      <c r="D1315" s="1" t="n">
        <v>1637</v>
      </c>
      <c r="E1315" s="1" t="s">
        <v>764</v>
      </c>
      <c r="F1315" s="1" t="n">
        <v>24</v>
      </c>
      <c r="G1315" s="1" t="s">
        <v>77</v>
      </c>
      <c r="H1315" s="1" t="n">
        <v>1110203</v>
      </c>
      <c r="I1315" s="1" t="s">
        <v>108</v>
      </c>
      <c r="J1315" s="1" t="n">
        <v>1503906</v>
      </c>
      <c r="L1315" s="1" t="n">
        <v>204194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1220.6</v>
      </c>
      <c r="W1315" s="1" t="n">
        <v>0</v>
      </c>
      <c r="X1315" s="1" t="s">
        <v>1222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2</v>
      </c>
      <c r="B1316" s="22" t="n">
        <v>46251</v>
      </c>
      <c r="C1316" s="22" t="n">
        <v>46265</v>
      </c>
      <c r="D1316" s="1" t="n">
        <v>1683</v>
      </c>
      <c r="E1316" s="1" t="s">
        <v>369</v>
      </c>
      <c r="F1316" s="1" t="n">
        <v>34</v>
      </c>
      <c r="G1316" s="1" t="s">
        <v>97</v>
      </c>
      <c r="H1316" s="1" t="n">
        <v>2110405</v>
      </c>
      <c r="I1316" s="1" t="s">
        <v>41</v>
      </c>
      <c r="J1316" s="1" t="n">
        <v>1560849</v>
      </c>
      <c r="L1316" s="1" t="n">
        <v>212901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97.5</v>
      </c>
      <c r="W1316" s="1" t="n">
        <v>0</v>
      </c>
      <c r="X1316" s="1" t="s">
        <v>371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2</v>
      </c>
      <c r="B1317" s="22" t="n">
        <v>46252</v>
      </c>
      <c r="C1317" s="22" t="n">
        <v>46265</v>
      </c>
      <c r="D1317" s="1" t="n">
        <v>1683</v>
      </c>
      <c r="E1317" s="1" t="s">
        <v>369</v>
      </c>
      <c r="F1317" s="1" t="n">
        <v>34</v>
      </c>
      <c r="G1317" s="1" t="s">
        <v>97</v>
      </c>
      <c r="H1317" s="1" t="n">
        <v>2110405</v>
      </c>
      <c r="I1317" s="1" t="s">
        <v>41</v>
      </c>
      <c r="J1317" s="1" t="n">
        <v>1566494</v>
      </c>
      <c r="L1317" s="1" t="n">
        <v>213829</v>
      </c>
      <c r="M1317" s="1" t="s">
        <v>83</v>
      </c>
      <c r="N1317" s="1" t="s">
        <v>35</v>
      </c>
      <c r="P1317" s="1" t="n">
        <v>113</v>
      </c>
      <c r="Q1317" s="1" t="s">
        <v>36</v>
      </c>
      <c r="R1317" s="1" t="s">
        <v>48</v>
      </c>
      <c r="S1317" s="1" t="n">
        <v>1130101</v>
      </c>
      <c r="T1317" s="1" t="s">
        <v>49</v>
      </c>
      <c r="U1317" s="1" t="n">
        <v>151</v>
      </c>
      <c r="W1317" s="1" t="n">
        <v>0</v>
      </c>
      <c r="X1317" s="1" t="s">
        <v>371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2</v>
      </c>
      <c r="B1318" s="22" t="n">
        <v>46252</v>
      </c>
      <c r="C1318" s="22" t="n">
        <v>46265</v>
      </c>
      <c r="D1318" s="1" t="n">
        <v>1675</v>
      </c>
      <c r="E1318" s="1" t="s">
        <v>263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1566792</v>
      </c>
      <c r="L1318" s="1" t="n">
        <v>213876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470.34</v>
      </c>
      <c r="W1318" s="1" t="n">
        <v>0</v>
      </c>
      <c r="X1318" s="1" t="s">
        <v>1223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2</v>
      </c>
      <c r="B1319" s="22" t="n">
        <v>46253</v>
      </c>
      <c r="C1319" s="22" t="n">
        <v>46265</v>
      </c>
      <c r="D1319" s="1" t="n">
        <v>1616</v>
      </c>
      <c r="E1319" s="1" t="s">
        <v>80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1570894</v>
      </c>
      <c r="L1319" s="1" t="n">
        <v>214483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431.3</v>
      </c>
      <c r="W1319" s="1" t="n">
        <v>0</v>
      </c>
      <c r="X1319" s="1" t="s">
        <v>1224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2</v>
      </c>
      <c r="B1320" s="22" t="n">
        <v>46253</v>
      </c>
      <c r="C1320" s="22" t="n">
        <v>46265</v>
      </c>
      <c r="D1320" s="1" t="n">
        <v>1616</v>
      </c>
      <c r="E1320" s="1" t="s">
        <v>80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1570971</v>
      </c>
      <c r="L1320" s="1" t="n">
        <v>214491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606.55</v>
      </c>
      <c r="W1320" s="1" t="n">
        <v>0</v>
      </c>
      <c r="X1320" s="1" t="s">
        <v>1225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2</v>
      </c>
      <c r="B1321" s="22" t="n">
        <v>46254</v>
      </c>
      <c r="C1321" s="22" t="n">
        <v>46265</v>
      </c>
      <c r="D1321" s="1" t="n">
        <v>1683</v>
      </c>
      <c r="E1321" s="1" t="s">
        <v>369</v>
      </c>
      <c r="F1321" s="1" t="n">
        <v>34</v>
      </c>
      <c r="G1321" s="1" t="s">
        <v>97</v>
      </c>
      <c r="H1321" s="1" t="n">
        <v>2110405</v>
      </c>
      <c r="I1321" s="1" t="s">
        <v>41</v>
      </c>
      <c r="J1321" s="1" t="n">
        <v>1576184</v>
      </c>
      <c r="L1321" s="1" t="n">
        <v>215382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156</v>
      </c>
      <c r="W1321" s="1" t="n">
        <v>0</v>
      </c>
      <c r="X1321" s="1" t="s">
        <v>371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2</v>
      </c>
      <c r="B1322" s="22" t="n">
        <v>45992</v>
      </c>
      <c r="C1322" s="22" t="n">
        <v>46266</v>
      </c>
      <c r="D1322" s="1" t="n">
        <v>983</v>
      </c>
      <c r="E1322" s="1" t="s">
        <v>31</v>
      </c>
      <c r="F1322" s="1" t="n">
        <v>47</v>
      </c>
      <c r="G1322" s="1" t="s">
        <v>32</v>
      </c>
      <c r="H1322" s="1" t="n">
        <v>2110101</v>
      </c>
      <c r="I1322" s="1" t="s">
        <v>33</v>
      </c>
      <c r="J1322" s="1" t="n">
        <v>361903</v>
      </c>
      <c r="L1322" s="1" t="n">
        <v>47174</v>
      </c>
      <c r="M1322" s="1" t="s">
        <v>1226</v>
      </c>
      <c r="N1322" s="1" t="s">
        <v>35</v>
      </c>
      <c r="P1322" s="1" t="n">
        <v>113</v>
      </c>
      <c r="Q1322" s="1" t="s">
        <v>36</v>
      </c>
      <c r="R1322" s="1" t="s">
        <v>37</v>
      </c>
      <c r="S1322" s="1" t="n">
        <v>1240103</v>
      </c>
      <c r="T1322" s="1" t="s">
        <v>38</v>
      </c>
      <c r="U1322" s="1" t="n">
        <v>1898</v>
      </c>
      <c r="W1322" s="1" t="n">
        <v>0</v>
      </c>
      <c r="X1322" s="1" t="s">
        <v>1227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2</v>
      </c>
      <c r="B1323" s="22" t="n">
        <v>46055</v>
      </c>
      <c r="C1323" s="22" t="n">
        <v>46266</v>
      </c>
      <c r="D1323" s="1" t="n">
        <v>10039</v>
      </c>
      <c r="E1323" s="1" t="s">
        <v>70</v>
      </c>
      <c r="F1323" s="1" t="n">
        <v>47</v>
      </c>
      <c r="G1323" s="1" t="s">
        <v>32</v>
      </c>
      <c r="H1323" s="1" t="n">
        <v>2110405</v>
      </c>
      <c r="I1323" s="1" t="s">
        <v>41</v>
      </c>
      <c r="J1323" s="1" t="n">
        <v>846832</v>
      </c>
      <c r="L1323" s="1" t="n">
        <v>111506</v>
      </c>
      <c r="M1323" s="1" t="s">
        <v>34</v>
      </c>
      <c r="N1323" s="1" t="s">
        <v>35</v>
      </c>
      <c r="P1323" s="1" t="n">
        <v>113</v>
      </c>
      <c r="Q1323" s="1" t="s">
        <v>36</v>
      </c>
      <c r="R1323" s="1" t="s">
        <v>56</v>
      </c>
      <c r="S1323" s="1" t="n">
        <v>4210227</v>
      </c>
      <c r="T1323" s="1" t="s">
        <v>63</v>
      </c>
      <c r="U1323" s="1" t="n">
        <v>378.82</v>
      </c>
      <c r="W1323" s="1" t="n">
        <v>0</v>
      </c>
      <c r="X1323" s="1" t="s">
        <v>1228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2</v>
      </c>
      <c r="B1324" s="22" t="n">
        <v>46196</v>
      </c>
      <c r="C1324" s="22" t="n">
        <v>46266</v>
      </c>
      <c r="D1324" s="1" t="n">
        <v>875</v>
      </c>
      <c r="E1324" s="1" t="s">
        <v>73</v>
      </c>
      <c r="F1324" s="1" t="n">
        <v>47</v>
      </c>
      <c r="G1324" s="1" t="s">
        <v>32</v>
      </c>
      <c r="H1324" s="1" t="n">
        <v>2110101</v>
      </c>
      <c r="I1324" s="1" t="s">
        <v>33</v>
      </c>
      <c r="J1324" s="1" t="n">
        <v>1295066</v>
      </c>
      <c r="L1324" s="1" t="n">
        <v>173322</v>
      </c>
      <c r="M1324" s="1" t="s">
        <v>62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1290.16</v>
      </c>
      <c r="W1324" s="1" t="n">
        <v>0</v>
      </c>
      <c r="X1324" s="1" t="s">
        <v>1229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2</v>
      </c>
      <c r="B1325" s="22" t="n">
        <v>46226</v>
      </c>
      <c r="C1325" s="22" t="n">
        <v>46266</v>
      </c>
      <c r="D1325" s="1" t="n">
        <v>957</v>
      </c>
      <c r="E1325" s="1" t="s">
        <v>554</v>
      </c>
      <c r="F1325" s="1" t="n">
        <v>24</v>
      </c>
      <c r="G1325" s="1" t="s">
        <v>77</v>
      </c>
      <c r="H1325" s="1" t="n">
        <v>1110203</v>
      </c>
      <c r="I1325" s="1" t="s">
        <v>108</v>
      </c>
      <c r="J1325" s="1" t="n">
        <v>1438932</v>
      </c>
      <c r="L1325" s="1" t="n">
        <v>194431</v>
      </c>
      <c r="M1325" s="1" t="s">
        <v>83</v>
      </c>
      <c r="N1325" s="1" t="s">
        <v>35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1501.38</v>
      </c>
      <c r="W1325" s="1" t="n">
        <v>0</v>
      </c>
      <c r="X1325" s="1" t="s">
        <v>1097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46226</v>
      </c>
      <c r="C1326" s="22" t="n">
        <v>46266</v>
      </c>
      <c r="D1326" s="1" t="n">
        <v>10011</v>
      </c>
      <c r="E1326" s="1" t="s">
        <v>292</v>
      </c>
      <c r="F1326" s="1" t="n">
        <v>24</v>
      </c>
      <c r="G1326" s="1" t="s">
        <v>77</v>
      </c>
      <c r="H1326" s="1" t="n">
        <v>1110203</v>
      </c>
      <c r="I1326" s="1" t="s">
        <v>108</v>
      </c>
      <c r="J1326" s="1" t="n">
        <v>1438962</v>
      </c>
      <c r="L1326" s="1" t="n">
        <v>194443</v>
      </c>
      <c r="M1326" s="1" t="s">
        <v>83</v>
      </c>
      <c r="N1326" s="1" t="s">
        <v>35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591.07</v>
      </c>
      <c r="W1326" s="1" t="n">
        <v>0</v>
      </c>
      <c r="X1326" s="1" t="s">
        <v>1098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2</v>
      </c>
      <c r="B1327" s="22" t="n">
        <v>46245</v>
      </c>
      <c r="C1327" s="22" t="n">
        <v>46266</v>
      </c>
      <c r="D1327" s="1" t="n">
        <v>1259</v>
      </c>
      <c r="E1327" s="1" t="s">
        <v>1230</v>
      </c>
      <c r="F1327" s="1" t="n">
        <v>47</v>
      </c>
      <c r="G1327" s="1" t="s">
        <v>32</v>
      </c>
      <c r="H1327" s="1" t="n">
        <v>2110405</v>
      </c>
      <c r="I1327" s="1" t="s">
        <v>41</v>
      </c>
      <c r="J1327" s="1" t="n">
        <v>1532317</v>
      </c>
      <c r="L1327" s="1" t="n">
        <v>208731</v>
      </c>
      <c r="M1327" s="1" t="s">
        <v>83</v>
      </c>
      <c r="N1327" s="1" t="s">
        <v>35</v>
      </c>
      <c r="P1327" s="1" t="n">
        <v>113</v>
      </c>
      <c r="Q1327" s="1" t="s">
        <v>36</v>
      </c>
      <c r="R1327" s="1" t="s">
        <v>56</v>
      </c>
      <c r="S1327" s="1" t="n">
        <v>4210209</v>
      </c>
      <c r="T1327" s="1" t="s">
        <v>605</v>
      </c>
      <c r="U1327" s="1" t="n">
        <v>200</v>
      </c>
      <c r="W1327" s="1" t="n">
        <v>0</v>
      </c>
      <c r="X1327" s="1" t="s">
        <v>1231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2</v>
      </c>
      <c r="B1328" s="22" t="n">
        <v>46246</v>
      </c>
      <c r="C1328" s="22" t="n">
        <v>46266</v>
      </c>
      <c r="D1328" s="1" t="n">
        <v>875</v>
      </c>
      <c r="E1328" s="1" t="s">
        <v>73</v>
      </c>
      <c r="F1328" s="1" t="n">
        <v>47</v>
      </c>
      <c r="G1328" s="1" t="s">
        <v>32</v>
      </c>
      <c r="H1328" s="1" t="n">
        <v>2110405</v>
      </c>
      <c r="I1328" s="1" t="s">
        <v>41</v>
      </c>
      <c r="J1328" s="1" t="n">
        <v>1534947</v>
      </c>
      <c r="L1328" s="1" t="n">
        <v>209452</v>
      </c>
      <c r="M1328" s="1" t="s">
        <v>83</v>
      </c>
      <c r="N1328" s="1" t="s">
        <v>35</v>
      </c>
      <c r="P1328" s="1" t="n">
        <v>113</v>
      </c>
      <c r="Q1328" s="1" t="s">
        <v>36</v>
      </c>
      <c r="R1328" s="1" t="s">
        <v>48</v>
      </c>
      <c r="S1328" s="1" t="n">
        <v>1130101</v>
      </c>
      <c r="T1328" s="1" t="s">
        <v>49</v>
      </c>
      <c r="U1328" s="1" t="n">
        <v>638.75</v>
      </c>
      <c r="W1328" s="1" t="n">
        <v>0</v>
      </c>
      <c r="X1328" s="1" t="s">
        <v>1232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2</v>
      </c>
      <c r="B1329" s="22" t="n">
        <v>46251</v>
      </c>
      <c r="C1329" s="22" t="n">
        <v>46266</v>
      </c>
      <c r="D1329" s="1" t="n">
        <v>10017</v>
      </c>
      <c r="E1329" s="1" t="s">
        <v>168</v>
      </c>
      <c r="F1329" s="1" t="n">
        <v>24</v>
      </c>
      <c r="G1329" s="1" t="s">
        <v>77</v>
      </c>
      <c r="H1329" s="1" t="n">
        <v>2110405</v>
      </c>
      <c r="I1329" s="1" t="s">
        <v>41</v>
      </c>
      <c r="J1329" s="1" t="n">
        <v>1561240</v>
      </c>
      <c r="L1329" s="1" t="n">
        <v>212990</v>
      </c>
      <c r="M1329" s="1" t="s">
        <v>83</v>
      </c>
      <c r="N1329" s="1" t="s">
        <v>35</v>
      </c>
      <c r="P1329" s="1" t="n">
        <v>113</v>
      </c>
      <c r="Q1329" s="1" t="s">
        <v>36</v>
      </c>
      <c r="R1329" s="1" t="s">
        <v>48</v>
      </c>
      <c r="S1329" s="1" t="n">
        <v>1130101</v>
      </c>
      <c r="T1329" s="1" t="s">
        <v>49</v>
      </c>
      <c r="U1329" s="1" t="n">
        <v>599.85</v>
      </c>
      <c r="W1329" s="1" t="n">
        <v>0</v>
      </c>
      <c r="X1329" s="1" t="s">
        <v>1233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2</v>
      </c>
      <c r="B1330" s="22" t="n">
        <v>46252</v>
      </c>
      <c r="C1330" s="22" t="n">
        <v>46266</v>
      </c>
      <c r="D1330" s="1" t="n">
        <v>1697</v>
      </c>
      <c r="E1330" s="1" t="s">
        <v>684</v>
      </c>
      <c r="F1330" s="1" t="n">
        <v>24</v>
      </c>
      <c r="G1330" s="1" t="s">
        <v>77</v>
      </c>
      <c r="H1330" s="1" t="n">
        <v>2110405</v>
      </c>
      <c r="I1330" s="1" t="s">
        <v>41</v>
      </c>
      <c r="J1330" s="1" t="n">
        <v>1566723</v>
      </c>
      <c r="L1330" s="1" t="n">
        <v>213866</v>
      </c>
      <c r="M1330" s="1" t="s">
        <v>83</v>
      </c>
      <c r="N1330" s="1" t="s">
        <v>35</v>
      </c>
      <c r="P1330" s="1" t="n">
        <v>113</v>
      </c>
      <c r="Q1330" s="1" t="s">
        <v>36</v>
      </c>
      <c r="R1330" s="1" t="s">
        <v>48</v>
      </c>
      <c r="S1330" s="1" t="n">
        <v>1130101</v>
      </c>
      <c r="T1330" s="1" t="s">
        <v>49</v>
      </c>
      <c r="U1330" s="1" t="n">
        <v>584.64</v>
      </c>
      <c r="W1330" s="1" t="n">
        <v>0</v>
      </c>
      <c r="X1330" s="1" t="s">
        <v>1234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46252</v>
      </c>
      <c r="C1331" s="22" t="n">
        <v>46266</v>
      </c>
      <c r="D1331" s="1" t="n">
        <v>1705</v>
      </c>
      <c r="E1331" s="1" t="s">
        <v>119</v>
      </c>
      <c r="F1331" s="1" t="n">
        <v>24</v>
      </c>
      <c r="G1331" s="1" t="s">
        <v>77</v>
      </c>
      <c r="H1331" s="1" t="n">
        <v>2110405</v>
      </c>
      <c r="I1331" s="1" t="s">
        <v>41</v>
      </c>
      <c r="J1331" s="1" t="n">
        <v>1567586</v>
      </c>
      <c r="L1331" s="1" t="n">
        <v>214037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2351.65</v>
      </c>
      <c r="W1331" s="1" t="n">
        <v>0</v>
      </c>
      <c r="X1331" s="1" t="s">
        <v>1235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2</v>
      </c>
      <c r="B1332" s="22" t="n">
        <v>46252</v>
      </c>
      <c r="C1332" s="22" t="n">
        <v>46266</v>
      </c>
      <c r="D1332" s="1" t="n">
        <v>1711</v>
      </c>
      <c r="E1332" s="1" t="s">
        <v>1236</v>
      </c>
      <c r="F1332" s="1" t="n">
        <v>24</v>
      </c>
      <c r="G1332" s="1" t="s">
        <v>77</v>
      </c>
      <c r="H1332" s="1" t="n">
        <v>2110405</v>
      </c>
      <c r="I1332" s="1" t="s">
        <v>41</v>
      </c>
      <c r="J1332" s="1" t="n">
        <v>1568088</v>
      </c>
      <c r="L1332" s="1" t="n">
        <v>214108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645.72</v>
      </c>
      <c r="W1332" s="1" t="n">
        <v>0</v>
      </c>
      <c r="X1332" s="1" t="s">
        <v>1237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2</v>
      </c>
      <c r="B1333" s="22" t="n">
        <v>46253</v>
      </c>
      <c r="C1333" s="22" t="n">
        <v>46266</v>
      </c>
      <c r="D1333" s="1" t="n">
        <v>1635</v>
      </c>
      <c r="E1333" s="1" t="s">
        <v>117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1570872</v>
      </c>
      <c r="L1333" s="1" t="n">
        <v>214482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1276.2</v>
      </c>
      <c r="W1333" s="1" t="n">
        <v>0</v>
      </c>
      <c r="X1333" s="1" t="s">
        <v>1238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2</v>
      </c>
      <c r="B1334" s="22" t="n">
        <v>46253</v>
      </c>
      <c r="C1334" s="22" t="n">
        <v>46266</v>
      </c>
      <c r="D1334" s="1" t="n">
        <v>1708</v>
      </c>
      <c r="E1334" s="1" t="s">
        <v>245</v>
      </c>
      <c r="F1334" s="1" t="n">
        <v>24</v>
      </c>
      <c r="G1334" s="1" t="s">
        <v>77</v>
      </c>
      <c r="H1334" s="1" t="n">
        <v>2110405</v>
      </c>
      <c r="I1334" s="1" t="s">
        <v>41</v>
      </c>
      <c r="J1334" s="1" t="n">
        <v>1572967</v>
      </c>
      <c r="L1334" s="1" t="n">
        <v>214926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548.18</v>
      </c>
      <c r="W1334" s="1" t="n">
        <v>0</v>
      </c>
      <c r="X1334" s="1" t="s">
        <v>1239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2</v>
      </c>
      <c r="B1335" s="22" t="n">
        <v>46254</v>
      </c>
      <c r="C1335" s="22" t="n">
        <v>46266</v>
      </c>
      <c r="D1335" s="1" t="n">
        <v>967</v>
      </c>
      <c r="E1335" s="1" t="s">
        <v>1240</v>
      </c>
      <c r="F1335" s="1" t="n">
        <v>24</v>
      </c>
      <c r="G1335" s="1" t="s">
        <v>77</v>
      </c>
      <c r="H1335" s="1" t="n">
        <v>2110405</v>
      </c>
      <c r="I1335" s="1" t="s">
        <v>41</v>
      </c>
      <c r="J1335" s="1" t="n">
        <v>1576159</v>
      </c>
      <c r="L1335" s="1" t="n">
        <v>215377</v>
      </c>
      <c r="M1335" s="1" t="s">
        <v>83</v>
      </c>
      <c r="N1335" s="1" t="s">
        <v>35</v>
      </c>
      <c r="P1335" s="1" t="n">
        <v>113</v>
      </c>
      <c r="Q1335" s="1" t="s">
        <v>36</v>
      </c>
      <c r="R1335" s="1" t="s">
        <v>48</v>
      </c>
      <c r="S1335" s="1" t="n">
        <v>1130101</v>
      </c>
      <c r="T1335" s="1" t="s">
        <v>49</v>
      </c>
      <c r="U1335" s="1" t="n">
        <v>421</v>
      </c>
      <c r="W1335" s="1" t="n">
        <v>0</v>
      </c>
      <c r="X1335" s="1" t="s">
        <v>1241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46246</v>
      </c>
      <c r="C1336" s="22" t="n">
        <v>46267</v>
      </c>
      <c r="D1336" s="1" t="n">
        <v>1608</v>
      </c>
      <c r="E1336" s="1" t="s">
        <v>201</v>
      </c>
      <c r="F1336" s="1" t="n">
        <v>24</v>
      </c>
      <c r="G1336" s="1" t="s">
        <v>77</v>
      </c>
      <c r="H1336" s="1" t="n">
        <v>2110405</v>
      </c>
      <c r="I1336" s="1" t="s">
        <v>41</v>
      </c>
      <c r="J1336" s="1" t="n">
        <v>1534795</v>
      </c>
      <c r="L1336" s="1" t="n">
        <v>209428</v>
      </c>
      <c r="M1336" s="1" t="s">
        <v>83</v>
      </c>
      <c r="N1336" s="1" t="s">
        <v>35</v>
      </c>
      <c r="P1336" s="1" t="n">
        <v>113</v>
      </c>
      <c r="Q1336" s="1" t="s">
        <v>36</v>
      </c>
      <c r="R1336" s="1" t="s">
        <v>48</v>
      </c>
      <c r="S1336" s="1" t="n">
        <v>1130101</v>
      </c>
      <c r="T1336" s="1" t="s">
        <v>49</v>
      </c>
      <c r="U1336" s="1" t="n">
        <v>1279.58</v>
      </c>
      <c r="W1336" s="1" t="n">
        <v>0</v>
      </c>
      <c r="X1336" s="1" t="s">
        <v>1202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46246</v>
      </c>
      <c r="C1337" s="22" t="n">
        <v>46267</v>
      </c>
      <c r="D1337" s="1" t="n">
        <v>1634</v>
      </c>
      <c r="E1337" s="1" t="s">
        <v>261</v>
      </c>
      <c r="F1337" s="1" t="n">
        <v>24</v>
      </c>
      <c r="G1337" s="1" t="s">
        <v>77</v>
      </c>
      <c r="H1337" s="1" t="n">
        <v>2110405</v>
      </c>
      <c r="I1337" s="1" t="s">
        <v>41</v>
      </c>
      <c r="J1337" s="1" t="n">
        <v>1535495</v>
      </c>
      <c r="L1337" s="1" t="n">
        <v>209569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700.7</v>
      </c>
      <c r="W1337" s="1" t="n">
        <v>0</v>
      </c>
      <c r="X1337" s="1" t="s">
        <v>1203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2</v>
      </c>
      <c r="B1338" s="22" t="n">
        <v>46246</v>
      </c>
      <c r="C1338" s="22" t="n">
        <v>46267</v>
      </c>
      <c r="D1338" s="1" t="n">
        <v>10010</v>
      </c>
      <c r="E1338" s="1" t="s">
        <v>728</v>
      </c>
      <c r="F1338" s="1" t="n">
        <v>24</v>
      </c>
      <c r="G1338" s="1" t="s">
        <v>77</v>
      </c>
      <c r="H1338" s="1" t="n">
        <v>2110405</v>
      </c>
      <c r="I1338" s="1" t="s">
        <v>41</v>
      </c>
      <c r="J1338" s="1" t="n">
        <v>1537384</v>
      </c>
      <c r="L1338" s="1" t="n">
        <v>209767</v>
      </c>
      <c r="M1338" s="1" t="s">
        <v>83</v>
      </c>
      <c r="N1338" s="1" t="s">
        <v>35</v>
      </c>
      <c r="P1338" s="1" t="n">
        <v>113</v>
      </c>
      <c r="Q1338" s="1" t="s">
        <v>36</v>
      </c>
      <c r="R1338" s="1" t="s">
        <v>48</v>
      </c>
      <c r="S1338" s="1" t="n">
        <v>1130101</v>
      </c>
      <c r="T1338" s="1" t="s">
        <v>49</v>
      </c>
      <c r="U1338" s="1" t="n">
        <v>205.44</v>
      </c>
      <c r="W1338" s="1" t="n">
        <v>0</v>
      </c>
      <c r="X1338" s="1" t="s">
        <v>1242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2</v>
      </c>
      <c r="B1339" s="22" t="n">
        <v>46247</v>
      </c>
      <c r="C1339" s="22" t="n">
        <v>46267</v>
      </c>
      <c r="D1339" s="1" t="n">
        <v>1624</v>
      </c>
      <c r="E1339" s="1" t="s">
        <v>300</v>
      </c>
      <c r="F1339" s="1" t="n">
        <v>24</v>
      </c>
      <c r="G1339" s="1" t="s">
        <v>77</v>
      </c>
      <c r="H1339" s="1" t="n">
        <v>2110405</v>
      </c>
      <c r="I1339" s="1" t="s">
        <v>41</v>
      </c>
      <c r="J1339" s="1" t="n">
        <v>1543912</v>
      </c>
      <c r="L1339" s="1" t="n">
        <v>210532</v>
      </c>
      <c r="M1339" s="1" t="s">
        <v>83</v>
      </c>
      <c r="N1339" s="1" t="s">
        <v>35</v>
      </c>
      <c r="P1339" s="1" t="n">
        <v>113</v>
      </c>
      <c r="Q1339" s="1" t="s">
        <v>36</v>
      </c>
      <c r="R1339" s="1" t="s">
        <v>48</v>
      </c>
      <c r="S1339" s="1" t="n">
        <v>1130101</v>
      </c>
      <c r="T1339" s="1" t="s">
        <v>49</v>
      </c>
      <c r="U1339" s="1" t="n">
        <v>830.14</v>
      </c>
      <c r="W1339" s="1" t="n">
        <v>0</v>
      </c>
      <c r="X1339" s="1" t="s">
        <v>1243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2</v>
      </c>
      <c r="B1340" s="22" t="n">
        <v>46248</v>
      </c>
      <c r="C1340" s="22" t="n">
        <v>46267</v>
      </c>
      <c r="D1340" s="1" t="n">
        <v>1613</v>
      </c>
      <c r="E1340" s="1" t="s">
        <v>94</v>
      </c>
      <c r="F1340" s="1" t="n">
        <v>24</v>
      </c>
      <c r="G1340" s="1" t="s">
        <v>77</v>
      </c>
      <c r="H1340" s="1" t="n">
        <v>2110405</v>
      </c>
      <c r="I1340" s="1" t="s">
        <v>41</v>
      </c>
      <c r="J1340" s="1" t="n">
        <v>1547487</v>
      </c>
      <c r="L1340" s="1" t="n">
        <v>211364</v>
      </c>
      <c r="M1340" s="1" t="s">
        <v>83</v>
      </c>
      <c r="N1340" s="1" t="s">
        <v>35</v>
      </c>
      <c r="P1340" s="1" t="n">
        <v>113</v>
      </c>
      <c r="Q1340" s="1" t="s">
        <v>36</v>
      </c>
      <c r="R1340" s="1" t="s">
        <v>48</v>
      </c>
      <c r="S1340" s="1" t="n">
        <v>1130101</v>
      </c>
      <c r="T1340" s="1" t="s">
        <v>49</v>
      </c>
      <c r="U1340" s="1" t="n">
        <v>1164.76</v>
      </c>
      <c r="W1340" s="1" t="n">
        <v>0</v>
      </c>
      <c r="X1340" s="1" t="s">
        <v>1205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46252</v>
      </c>
      <c r="C1341" s="22" t="n">
        <v>46267</v>
      </c>
      <c r="D1341" s="1" t="n">
        <v>1612</v>
      </c>
      <c r="E1341" s="1" t="s">
        <v>76</v>
      </c>
      <c r="F1341" s="1" t="n">
        <v>24</v>
      </c>
      <c r="G1341" s="1" t="s">
        <v>77</v>
      </c>
      <c r="H1341" s="1" t="n">
        <v>2110405</v>
      </c>
      <c r="I1341" s="1" t="s">
        <v>41</v>
      </c>
      <c r="J1341" s="1" t="n">
        <v>1567416</v>
      </c>
      <c r="L1341" s="1" t="n">
        <v>214022</v>
      </c>
      <c r="M1341" s="1" t="s">
        <v>83</v>
      </c>
      <c r="N1341" s="1" t="s">
        <v>35</v>
      </c>
      <c r="P1341" s="1" t="n">
        <v>113</v>
      </c>
      <c r="Q1341" s="1" t="s">
        <v>36</v>
      </c>
      <c r="R1341" s="1" t="s">
        <v>48</v>
      </c>
      <c r="S1341" s="1" t="n">
        <v>1130101</v>
      </c>
      <c r="T1341" s="1" t="s">
        <v>49</v>
      </c>
      <c r="U1341" s="1" t="n">
        <v>1154.64</v>
      </c>
      <c r="W1341" s="1" t="n">
        <v>0</v>
      </c>
      <c r="X1341" s="1" t="s">
        <v>1244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46241</v>
      </c>
      <c r="C1342" s="22" t="n">
        <v>46268</v>
      </c>
      <c r="D1342" s="1" t="n">
        <v>1705</v>
      </c>
      <c r="E1342" s="1" t="s">
        <v>119</v>
      </c>
      <c r="F1342" s="1" t="n">
        <v>24</v>
      </c>
      <c r="G1342" s="1" t="s">
        <v>77</v>
      </c>
      <c r="H1342" s="1" t="n">
        <v>2110405</v>
      </c>
      <c r="I1342" s="1" t="s">
        <v>41</v>
      </c>
      <c r="J1342" s="1" t="n">
        <v>1514117</v>
      </c>
      <c r="L1342" s="1" t="n">
        <v>205956</v>
      </c>
      <c r="M1342" s="1" t="s">
        <v>83</v>
      </c>
      <c r="N1342" s="1" t="s">
        <v>35</v>
      </c>
      <c r="P1342" s="1" t="n">
        <v>113</v>
      </c>
      <c r="Q1342" s="1" t="s">
        <v>36</v>
      </c>
      <c r="R1342" s="1" t="s">
        <v>48</v>
      </c>
      <c r="S1342" s="1" t="n">
        <v>1130101</v>
      </c>
      <c r="T1342" s="1" t="s">
        <v>49</v>
      </c>
      <c r="U1342" s="1" t="n">
        <v>77.62</v>
      </c>
      <c r="W1342" s="1" t="n">
        <v>0</v>
      </c>
      <c r="X1342" s="1" t="s">
        <v>1245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46241</v>
      </c>
      <c r="C1343" s="22" t="n">
        <v>46268</v>
      </c>
      <c r="D1343" s="1" t="n">
        <v>794</v>
      </c>
      <c r="E1343" s="1" t="s">
        <v>305</v>
      </c>
      <c r="F1343" s="1" t="n">
        <v>24</v>
      </c>
      <c r="G1343" s="1" t="s">
        <v>77</v>
      </c>
      <c r="H1343" s="1" t="n">
        <v>2110405</v>
      </c>
      <c r="I1343" s="1" t="s">
        <v>41</v>
      </c>
      <c r="J1343" s="1" t="n">
        <v>1514442</v>
      </c>
      <c r="L1343" s="1" t="n">
        <v>206014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56</v>
      </c>
      <c r="S1343" s="1" t="n">
        <v>4210299</v>
      </c>
      <c r="T1343" s="1" t="s">
        <v>115</v>
      </c>
      <c r="U1343" s="1" t="n">
        <v>520.46</v>
      </c>
      <c r="W1343" s="1" t="n">
        <v>0</v>
      </c>
      <c r="X1343" s="1" t="s">
        <v>1167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2</v>
      </c>
      <c r="B1344" s="22" t="n">
        <v>46247</v>
      </c>
      <c r="C1344" s="22" t="n">
        <v>46268</v>
      </c>
      <c r="D1344" s="1" t="n">
        <v>1608</v>
      </c>
      <c r="E1344" s="1" t="s">
        <v>201</v>
      </c>
      <c r="F1344" s="1" t="n">
        <v>24</v>
      </c>
      <c r="G1344" s="1" t="s">
        <v>77</v>
      </c>
      <c r="H1344" s="1" t="n">
        <v>2110405</v>
      </c>
      <c r="I1344" s="1" t="s">
        <v>41</v>
      </c>
      <c r="J1344" s="1" t="n">
        <v>1540762</v>
      </c>
      <c r="L1344" s="1" t="n">
        <v>210179</v>
      </c>
      <c r="M1344" s="1" t="s">
        <v>83</v>
      </c>
      <c r="N1344" s="1" t="s">
        <v>35</v>
      </c>
      <c r="P1344" s="1" t="n">
        <v>113</v>
      </c>
      <c r="Q1344" s="1" t="s">
        <v>36</v>
      </c>
      <c r="R1344" s="1" t="s">
        <v>48</v>
      </c>
      <c r="S1344" s="1" t="n">
        <v>1130101</v>
      </c>
      <c r="T1344" s="1" t="s">
        <v>49</v>
      </c>
      <c r="U1344" s="1" t="n">
        <v>692.26</v>
      </c>
      <c r="W1344" s="1" t="n">
        <v>0</v>
      </c>
      <c r="X1344" s="1" t="s">
        <v>1208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2</v>
      </c>
      <c r="B1345" s="22" t="n">
        <v>46247</v>
      </c>
      <c r="C1345" s="22" t="n">
        <v>46268</v>
      </c>
      <c r="D1345" s="1" t="n">
        <v>1667</v>
      </c>
      <c r="E1345" s="1" t="s">
        <v>82</v>
      </c>
      <c r="F1345" s="1" t="n">
        <v>24</v>
      </c>
      <c r="G1345" s="1" t="s">
        <v>77</v>
      </c>
      <c r="H1345" s="1" t="n">
        <v>2110405</v>
      </c>
      <c r="I1345" s="1" t="s">
        <v>41</v>
      </c>
      <c r="J1345" s="1" t="n">
        <v>1540925</v>
      </c>
      <c r="L1345" s="1" t="n">
        <v>210243</v>
      </c>
      <c r="M1345" s="1" t="s">
        <v>83</v>
      </c>
      <c r="N1345" s="1" t="s">
        <v>35</v>
      </c>
      <c r="P1345" s="1" t="n">
        <v>113</v>
      </c>
      <c r="Q1345" s="1" t="s">
        <v>36</v>
      </c>
      <c r="R1345" s="1" t="s">
        <v>48</v>
      </c>
      <c r="S1345" s="1" t="n">
        <v>1130101</v>
      </c>
      <c r="T1345" s="1" t="s">
        <v>49</v>
      </c>
      <c r="U1345" s="1" t="n">
        <v>668.78</v>
      </c>
      <c r="W1345" s="1" t="n">
        <v>0</v>
      </c>
      <c r="X1345" s="1" t="s">
        <v>1209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2</v>
      </c>
      <c r="B1346" s="22" t="n">
        <v>46248</v>
      </c>
      <c r="C1346" s="22" t="n">
        <v>46268</v>
      </c>
      <c r="D1346" s="1" t="n">
        <v>1720</v>
      </c>
      <c r="E1346" s="1" t="s">
        <v>744</v>
      </c>
      <c r="F1346" s="1" t="n">
        <v>24</v>
      </c>
      <c r="G1346" s="1" t="s">
        <v>77</v>
      </c>
      <c r="H1346" s="1" t="n">
        <v>2110405</v>
      </c>
      <c r="I1346" s="1" t="s">
        <v>41</v>
      </c>
      <c r="J1346" s="1" t="n">
        <v>1545774</v>
      </c>
      <c r="L1346" s="1" t="n">
        <v>211087</v>
      </c>
      <c r="M1346" s="1" t="s">
        <v>83</v>
      </c>
      <c r="N1346" s="1" t="s">
        <v>35</v>
      </c>
      <c r="P1346" s="1" t="n">
        <v>113</v>
      </c>
      <c r="Q1346" s="1" t="s">
        <v>36</v>
      </c>
      <c r="R1346" s="1" t="s">
        <v>48</v>
      </c>
      <c r="S1346" s="1" t="n">
        <v>1130101</v>
      </c>
      <c r="T1346" s="1" t="s">
        <v>49</v>
      </c>
      <c r="U1346" s="1" t="n">
        <v>1130.5</v>
      </c>
      <c r="W1346" s="1" t="n">
        <v>0</v>
      </c>
      <c r="X1346" s="1" t="s">
        <v>1246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2</v>
      </c>
      <c r="B1347" s="22" t="n">
        <v>46251</v>
      </c>
      <c r="C1347" s="22" t="n">
        <v>46268</v>
      </c>
      <c r="D1347" s="1" t="n">
        <v>1657</v>
      </c>
      <c r="E1347" s="1" t="s">
        <v>1247</v>
      </c>
      <c r="F1347" s="1" t="n">
        <v>24</v>
      </c>
      <c r="G1347" s="1" t="s">
        <v>77</v>
      </c>
      <c r="H1347" s="1" t="n">
        <v>2110405</v>
      </c>
      <c r="I1347" s="1" t="s">
        <v>41</v>
      </c>
      <c r="J1347" s="1" t="n">
        <v>1562800</v>
      </c>
      <c r="L1347" s="1" t="n">
        <v>213295</v>
      </c>
      <c r="M1347" s="1" t="s">
        <v>83</v>
      </c>
      <c r="N1347" s="1" t="s">
        <v>35</v>
      </c>
      <c r="P1347" s="1" t="n">
        <v>113</v>
      </c>
      <c r="Q1347" s="1" t="s">
        <v>36</v>
      </c>
      <c r="R1347" s="1" t="s">
        <v>48</v>
      </c>
      <c r="S1347" s="1" t="n">
        <v>1130101</v>
      </c>
      <c r="T1347" s="1" t="s">
        <v>49</v>
      </c>
      <c r="U1347" s="1" t="n">
        <v>1120.76</v>
      </c>
      <c r="W1347" s="1" t="n">
        <v>0</v>
      </c>
      <c r="X1347" s="1" t="s">
        <v>1248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2</v>
      </c>
      <c r="B1348" s="22" t="n">
        <v>46252</v>
      </c>
      <c r="C1348" s="22" t="n">
        <v>46268</v>
      </c>
      <c r="D1348" s="1" t="n">
        <v>1671</v>
      </c>
      <c r="E1348" s="1" t="s">
        <v>88</v>
      </c>
      <c r="F1348" s="1" t="n">
        <v>24</v>
      </c>
      <c r="G1348" s="1" t="s">
        <v>77</v>
      </c>
      <c r="H1348" s="1" t="n">
        <v>2110405</v>
      </c>
      <c r="I1348" s="1" t="s">
        <v>41</v>
      </c>
      <c r="J1348" s="1" t="n">
        <v>1567131</v>
      </c>
      <c r="L1348" s="1" t="n">
        <v>213983</v>
      </c>
      <c r="M1348" s="1" t="s">
        <v>83</v>
      </c>
      <c r="N1348" s="1" t="s">
        <v>35</v>
      </c>
      <c r="P1348" s="1" t="n">
        <v>113</v>
      </c>
      <c r="Q1348" s="1" t="s">
        <v>36</v>
      </c>
      <c r="R1348" s="1" t="s">
        <v>48</v>
      </c>
      <c r="S1348" s="1" t="n">
        <v>1130101</v>
      </c>
      <c r="T1348" s="1" t="s">
        <v>49</v>
      </c>
      <c r="U1348" s="1" t="n">
        <v>793.81</v>
      </c>
      <c r="W1348" s="1" t="n">
        <v>0</v>
      </c>
      <c r="X1348" s="1" t="s">
        <v>1214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2</v>
      </c>
      <c r="B1349" s="22" t="n">
        <v>46209</v>
      </c>
      <c r="C1349" s="22" t="n">
        <v>46269</v>
      </c>
      <c r="D1349" s="1" t="n">
        <v>1768</v>
      </c>
      <c r="E1349" s="1" t="s">
        <v>345</v>
      </c>
      <c r="F1349" s="1" t="n">
        <v>34</v>
      </c>
      <c r="G1349" s="1" t="s">
        <v>97</v>
      </c>
      <c r="H1349" s="1" t="n">
        <v>1110202</v>
      </c>
      <c r="I1349" s="1" t="s">
        <v>346</v>
      </c>
      <c r="J1349" s="1" t="n">
        <v>628286</v>
      </c>
      <c r="L1349" s="1" t="n">
        <v>81552</v>
      </c>
      <c r="M1349" s="1" t="s">
        <v>34</v>
      </c>
      <c r="N1349" s="1" t="s">
        <v>35</v>
      </c>
      <c r="P1349" s="1" t="n">
        <v>102</v>
      </c>
      <c r="Q1349" s="1" t="s">
        <v>282</v>
      </c>
      <c r="R1349" s="1" t="s">
        <v>56</v>
      </c>
      <c r="S1349" s="1" t="n">
        <v>4210202</v>
      </c>
      <c r="T1349" s="1" t="s">
        <v>347</v>
      </c>
      <c r="U1349" s="1" t="n">
        <v>2431.5</v>
      </c>
      <c r="W1349" s="1" t="n">
        <v>0</v>
      </c>
      <c r="X1349" s="1" t="s">
        <v>348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46238</v>
      </c>
      <c r="C1350" s="22" t="n">
        <v>46269</v>
      </c>
      <c r="D1350" s="1" t="n">
        <v>862</v>
      </c>
      <c r="E1350" s="1" t="s">
        <v>284</v>
      </c>
      <c r="F1350" s="1" t="n">
        <v>24</v>
      </c>
      <c r="G1350" s="1" t="s">
        <v>77</v>
      </c>
      <c r="H1350" s="1" t="n">
        <v>2110405</v>
      </c>
      <c r="I1350" s="1" t="s">
        <v>41</v>
      </c>
      <c r="J1350" s="1" t="n">
        <v>1498421</v>
      </c>
      <c r="L1350" s="1" t="n">
        <v>202608</v>
      </c>
      <c r="M1350" s="1" t="s">
        <v>74</v>
      </c>
      <c r="N1350" s="1" t="s">
        <v>35</v>
      </c>
      <c r="P1350" s="1" t="n">
        <v>101</v>
      </c>
      <c r="Q1350" s="1" t="s">
        <v>42</v>
      </c>
      <c r="R1350" s="1" t="s">
        <v>56</v>
      </c>
      <c r="S1350" s="1" t="n">
        <v>4210233</v>
      </c>
      <c r="T1350" s="1" t="s">
        <v>186</v>
      </c>
      <c r="U1350" s="1" t="n">
        <v>270.9</v>
      </c>
      <c r="W1350" s="1" t="n">
        <v>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2</v>
      </c>
      <c r="B1351" s="22" t="n">
        <v>46247</v>
      </c>
      <c r="C1351" s="22" t="n">
        <v>46269</v>
      </c>
      <c r="D1351" s="1" t="n">
        <v>1136</v>
      </c>
      <c r="E1351" s="1" t="s">
        <v>1011</v>
      </c>
      <c r="F1351" s="1" t="n">
        <v>24</v>
      </c>
      <c r="G1351" s="1" t="s">
        <v>77</v>
      </c>
      <c r="H1351" s="1" t="n">
        <v>2110405</v>
      </c>
      <c r="I1351" s="1" t="s">
        <v>41</v>
      </c>
      <c r="J1351" s="1" t="n">
        <v>1543200</v>
      </c>
      <c r="L1351" s="1" t="n">
        <v>210474</v>
      </c>
      <c r="M1351" s="1" t="s">
        <v>83</v>
      </c>
      <c r="N1351" s="1" t="s">
        <v>35</v>
      </c>
      <c r="P1351" s="1" t="n">
        <v>113</v>
      </c>
      <c r="Q1351" s="1" t="s">
        <v>36</v>
      </c>
      <c r="R1351" s="1" t="s">
        <v>48</v>
      </c>
      <c r="S1351" s="1" t="n">
        <v>1130101</v>
      </c>
      <c r="T1351" s="1" t="s">
        <v>49</v>
      </c>
      <c r="U1351" s="1" t="n">
        <v>1393.49</v>
      </c>
      <c r="W1351" s="1" t="n">
        <v>0</v>
      </c>
      <c r="X1351" s="1" t="s">
        <v>1249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2</v>
      </c>
      <c r="B1352" s="22" t="n">
        <v>46249</v>
      </c>
      <c r="C1352" s="22" t="n">
        <v>46269</v>
      </c>
      <c r="D1352" s="1" t="n">
        <v>1636</v>
      </c>
      <c r="E1352" s="1" t="s">
        <v>85</v>
      </c>
      <c r="F1352" s="1" t="n">
        <v>24</v>
      </c>
      <c r="G1352" s="1" t="s">
        <v>77</v>
      </c>
      <c r="H1352" s="1" t="n">
        <v>2110405</v>
      </c>
      <c r="I1352" s="1" t="s">
        <v>41</v>
      </c>
      <c r="J1352" s="1" t="n">
        <v>1551860</v>
      </c>
      <c r="L1352" s="1" t="n">
        <v>211776</v>
      </c>
      <c r="M1352" s="1" t="s">
        <v>83</v>
      </c>
      <c r="N1352" s="1" t="s">
        <v>35</v>
      </c>
      <c r="P1352" s="1" t="n">
        <v>113</v>
      </c>
      <c r="Q1352" s="1" t="s">
        <v>36</v>
      </c>
      <c r="R1352" s="1" t="s">
        <v>48</v>
      </c>
      <c r="S1352" s="1" t="n">
        <v>1130101</v>
      </c>
      <c r="T1352" s="1" t="s">
        <v>49</v>
      </c>
      <c r="U1352" s="1" t="n">
        <v>748.32</v>
      </c>
      <c r="W1352" s="1" t="n">
        <v>0</v>
      </c>
      <c r="X1352" s="1" t="s">
        <v>1250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46269</v>
      </c>
      <c r="D1353" s="1" t="n">
        <v>1699</v>
      </c>
      <c r="E1353" s="1" t="s">
        <v>208</v>
      </c>
      <c r="F1353" s="1" t="n">
        <v>24</v>
      </c>
      <c r="G1353" s="1" t="s">
        <v>77</v>
      </c>
      <c r="H1353" s="1" t="n">
        <v>2110405</v>
      </c>
      <c r="I1353" s="1" t="s">
        <v>41</v>
      </c>
      <c r="J1353" s="1" t="n">
        <v>1568210</v>
      </c>
      <c r="L1353" s="1" t="n">
        <v>214139</v>
      </c>
      <c r="M1353" s="1" t="s">
        <v>83</v>
      </c>
      <c r="N1353" s="1" t="s">
        <v>35</v>
      </c>
      <c r="P1353" s="1" t="n">
        <v>113</v>
      </c>
      <c r="Q1353" s="1" t="s">
        <v>36</v>
      </c>
      <c r="R1353" s="1" t="s">
        <v>48</v>
      </c>
      <c r="S1353" s="1" t="n">
        <v>1130101</v>
      </c>
      <c r="T1353" s="1" t="s">
        <v>49</v>
      </c>
      <c r="U1353" s="1" t="n">
        <v>474.75</v>
      </c>
      <c r="W1353" s="1" t="n">
        <v>0</v>
      </c>
      <c r="X1353" s="1" t="s">
        <v>1218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2</v>
      </c>
      <c r="B1354" s="22" t="n">
        <v>46244</v>
      </c>
      <c r="C1354" s="22" t="n">
        <v>46270</v>
      </c>
      <c r="D1354" s="1" t="n">
        <v>33</v>
      </c>
      <c r="E1354" s="1" t="s">
        <v>272</v>
      </c>
      <c r="F1354" s="1" t="n">
        <v>34</v>
      </c>
      <c r="G1354" s="1" t="s">
        <v>97</v>
      </c>
      <c r="H1354" s="1" t="n">
        <v>2110405</v>
      </c>
      <c r="I1354" s="1" t="s">
        <v>41</v>
      </c>
      <c r="J1354" s="1" t="n">
        <v>1530158</v>
      </c>
      <c r="L1354" s="1" t="n">
        <v>208205</v>
      </c>
      <c r="M1354" s="1" t="s">
        <v>83</v>
      </c>
      <c r="N1354" s="1" t="s">
        <v>35</v>
      </c>
      <c r="P1354" s="1" t="n">
        <v>101</v>
      </c>
      <c r="Q1354" s="1" t="s">
        <v>42</v>
      </c>
      <c r="R1354" s="1" t="s">
        <v>100</v>
      </c>
      <c r="S1354" s="1" t="n">
        <v>4210301</v>
      </c>
      <c r="T1354" s="1" t="s">
        <v>230</v>
      </c>
      <c r="U1354" s="1" t="n">
        <v>250.1</v>
      </c>
      <c r="W1354" s="1" t="n">
        <v>0</v>
      </c>
      <c r="X1354" s="1" t="s">
        <v>1251</v>
      </c>
      <c r="Z1354" s="1" t="str">
        <f aca="false">IF($T1354="","",IFERROR(INDEX('Resumo Grupos'!$AC$3:$AC$200,MATCH($T1354,'Resumo Grupos'!$AB$3:$AB$200,0)),"n/d"))</f>
        <v>Salários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2</v>
      </c>
      <c r="B1355" s="22" t="n">
        <v>46248</v>
      </c>
      <c r="C1355" s="22" t="n">
        <v>46270</v>
      </c>
      <c r="D1355" s="1" t="n">
        <v>1718</v>
      </c>
      <c r="E1355" s="1" t="s">
        <v>199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1547755</v>
      </c>
      <c r="L1355" s="1" t="n">
        <v>211394</v>
      </c>
      <c r="M1355" s="1" t="s">
        <v>83</v>
      </c>
      <c r="N1355" s="1" t="s">
        <v>35</v>
      </c>
      <c r="P1355" s="1" t="n">
        <v>113</v>
      </c>
      <c r="Q1355" s="1" t="s">
        <v>36</v>
      </c>
      <c r="R1355" s="1" t="s">
        <v>48</v>
      </c>
      <c r="S1355" s="1" t="n">
        <v>1130101</v>
      </c>
      <c r="T1355" s="1" t="s">
        <v>49</v>
      </c>
      <c r="U1355" s="1" t="n">
        <v>706.56</v>
      </c>
      <c r="W1355" s="1" t="n">
        <v>0</v>
      </c>
      <c r="X1355" s="1" t="s">
        <v>1220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2</v>
      </c>
      <c r="B1356" s="22" t="n">
        <v>46249</v>
      </c>
      <c r="C1356" s="22" t="n">
        <v>46270</v>
      </c>
      <c r="D1356" s="1" t="n">
        <v>1718</v>
      </c>
      <c r="E1356" s="1" t="s">
        <v>199</v>
      </c>
      <c r="F1356" s="1" t="n">
        <v>24</v>
      </c>
      <c r="G1356" s="1" t="s">
        <v>77</v>
      </c>
      <c r="H1356" s="1" t="n">
        <v>2110405</v>
      </c>
      <c r="I1356" s="1" t="s">
        <v>41</v>
      </c>
      <c r="J1356" s="1" t="n">
        <v>1551498</v>
      </c>
      <c r="L1356" s="1" t="n">
        <v>211718</v>
      </c>
      <c r="M1356" s="1" t="s">
        <v>83</v>
      </c>
      <c r="N1356" s="1" t="s">
        <v>35</v>
      </c>
      <c r="P1356" s="1" t="n">
        <v>113</v>
      </c>
      <c r="Q1356" s="1" t="s">
        <v>36</v>
      </c>
      <c r="R1356" s="1" t="s">
        <v>48</v>
      </c>
      <c r="S1356" s="1" t="n">
        <v>1130101</v>
      </c>
      <c r="T1356" s="1" t="s">
        <v>49</v>
      </c>
      <c r="U1356" s="1" t="n">
        <v>1422.67</v>
      </c>
      <c r="W1356" s="1" t="n">
        <v>0</v>
      </c>
      <c r="X1356" s="1" t="s">
        <v>1221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2</v>
      </c>
      <c r="B1357" s="22" t="n">
        <v>46232</v>
      </c>
      <c r="C1357" s="22" t="n">
        <v>46272</v>
      </c>
      <c r="D1357" s="1" t="n">
        <v>1932</v>
      </c>
      <c r="E1357" s="1" t="s">
        <v>256</v>
      </c>
      <c r="F1357" s="1" t="n">
        <v>34</v>
      </c>
      <c r="G1357" s="1" t="s">
        <v>97</v>
      </c>
      <c r="H1357" s="1" t="n">
        <v>2110405</v>
      </c>
      <c r="I1357" s="1" t="s">
        <v>41</v>
      </c>
      <c r="J1357" s="1" t="n">
        <v>1469462</v>
      </c>
      <c r="L1357" s="1" t="n">
        <v>199057</v>
      </c>
      <c r="M1357" s="1" t="s">
        <v>74</v>
      </c>
      <c r="N1357" s="1" t="s">
        <v>35</v>
      </c>
      <c r="P1357" s="1" t="n">
        <v>101</v>
      </c>
      <c r="Q1357" s="1" t="s">
        <v>42</v>
      </c>
      <c r="R1357" s="1" t="s">
        <v>100</v>
      </c>
      <c r="S1357" s="1" t="n">
        <v>4210315</v>
      </c>
      <c r="T1357" s="1" t="s">
        <v>257</v>
      </c>
      <c r="U1357" s="1" t="n">
        <v>119.97</v>
      </c>
      <c r="W1357" s="1" t="n">
        <v>0</v>
      </c>
      <c r="X1357" s="1" t="s">
        <v>1043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2</v>
      </c>
      <c r="B1358" s="22" t="n">
        <v>46246</v>
      </c>
      <c r="C1358" s="22" t="n">
        <v>46272</v>
      </c>
      <c r="D1358" s="1" t="n">
        <v>1668</v>
      </c>
      <c r="E1358" s="1" t="s">
        <v>123</v>
      </c>
      <c r="F1358" s="1" t="n">
        <v>24</v>
      </c>
      <c r="G1358" s="1" t="s">
        <v>77</v>
      </c>
      <c r="H1358" s="1" t="n">
        <v>2110405</v>
      </c>
      <c r="I1358" s="1" t="s">
        <v>41</v>
      </c>
      <c r="J1358" s="1" t="n">
        <v>1534508</v>
      </c>
      <c r="L1358" s="1" t="n">
        <v>209393</v>
      </c>
      <c r="M1358" s="1" t="s">
        <v>83</v>
      </c>
      <c r="N1358" s="1" t="s">
        <v>35</v>
      </c>
      <c r="P1358" s="1" t="n">
        <v>113</v>
      </c>
      <c r="Q1358" s="1" t="s">
        <v>36</v>
      </c>
      <c r="R1358" s="1" t="s">
        <v>48</v>
      </c>
      <c r="S1358" s="1" t="n">
        <v>1130101</v>
      </c>
      <c r="T1358" s="1" t="s">
        <v>49</v>
      </c>
      <c r="U1358" s="1" t="n">
        <v>509.85</v>
      </c>
      <c r="W1358" s="1" t="n">
        <v>0</v>
      </c>
      <c r="X1358" s="1" t="s">
        <v>1252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46247</v>
      </c>
      <c r="C1359" s="22" t="n">
        <v>46272</v>
      </c>
      <c r="D1359" s="1" t="n">
        <v>1671</v>
      </c>
      <c r="E1359" s="1" t="s">
        <v>88</v>
      </c>
      <c r="F1359" s="1" t="n">
        <v>24</v>
      </c>
      <c r="G1359" s="1" t="s">
        <v>77</v>
      </c>
      <c r="H1359" s="1" t="n">
        <v>2110405</v>
      </c>
      <c r="I1359" s="1" t="s">
        <v>41</v>
      </c>
      <c r="J1359" s="1" t="n">
        <v>1543021</v>
      </c>
      <c r="L1359" s="1" t="n">
        <v>210470</v>
      </c>
      <c r="M1359" s="1" t="s">
        <v>83</v>
      </c>
      <c r="N1359" s="1" t="s">
        <v>35</v>
      </c>
      <c r="P1359" s="1" t="n">
        <v>113</v>
      </c>
      <c r="Q1359" s="1" t="s">
        <v>36</v>
      </c>
      <c r="R1359" s="1" t="s">
        <v>48</v>
      </c>
      <c r="S1359" s="1" t="n">
        <v>1130101</v>
      </c>
      <c r="T1359" s="1" t="s">
        <v>49</v>
      </c>
      <c r="U1359" s="1" t="n">
        <v>271.2</v>
      </c>
      <c r="W1359" s="1" t="n">
        <v>0</v>
      </c>
      <c r="X1359" s="1" t="s">
        <v>1253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2</v>
      </c>
      <c r="B1360" s="22" t="n">
        <v>46251</v>
      </c>
      <c r="C1360" s="22" t="n">
        <v>46272</v>
      </c>
      <c r="D1360" s="1" t="n">
        <v>1921</v>
      </c>
      <c r="E1360" s="1" t="s">
        <v>166</v>
      </c>
      <c r="F1360" s="1" t="n">
        <v>24</v>
      </c>
      <c r="G1360" s="1" t="s">
        <v>77</v>
      </c>
      <c r="H1360" s="1" t="n">
        <v>2110405</v>
      </c>
      <c r="I1360" s="1" t="s">
        <v>41</v>
      </c>
      <c r="J1360" s="1" t="n">
        <v>1562668</v>
      </c>
      <c r="L1360" s="1" t="n">
        <v>213270</v>
      </c>
      <c r="M1360" s="1" t="s">
        <v>83</v>
      </c>
      <c r="N1360" s="1" t="s">
        <v>35</v>
      </c>
      <c r="P1360" s="1" t="n">
        <v>113</v>
      </c>
      <c r="Q1360" s="1" t="s">
        <v>36</v>
      </c>
      <c r="R1360" s="1" t="s">
        <v>48</v>
      </c>
      <c r="S1360" s="1" t="n">
        <v>1130101</v>
      </c>
      <c r="T1360" s="1" t="s">
        <v>49</v>
      </c>
      <c r="U1360" s="1" t="n">
        <v>691.91</v>
      </c>
      <c r="W1360" s="1" t="n">
        <v>0</v>
      </c>
      <c r="X1360" s="1" t="s">
        <v>1254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46251</v>
      </c>
      <c r="C1361" s="11" t="n">
        <v>46272</v>
      </c>
      <c r="D1361" s="10" t="n">
        <v>1636</v>
      </c>
      <c r="E1361" s="12" t="s">
        <v>85</v>
      </c>
      <c r="F1361" s="10" t="n">
        <v>24</v>
      </c>
      <c r="G1361" s="12" t="s">
        <v>77</v>
      </c>
      <c r="H1361" s="10" t="n">
        <v>2110405</v>
      </c>
      <c r="I1361" s="12" t="s">
        <v>41</v>
      </c>
      <c r="J1361" s="10" t="n">
        <v>1562691</v>
      </c>
      <c r="L1361" s="10" t="n">
        <v>213277</v>
      </c>
      <c r="M1361" s="12" t="s">
        <v>83</v>
      </c>
      <c r="N1361" s="12" t="s">
        <v>35</v>
      </c>
      <c r="P1361" s="10" t="n">
        <v>113</v>
      </c>
      <c r="Q1361" s="12" t="s">
        <v>36</v>
      </c>
      <c r="R1361" s="12" t="s">
        <v>48</v>
      </c>
      <c r="S1361" s="10" t="n">
        <v>1130101</v>
      </c>
      <c r="T1361" s="12" t="s">
        <v>49</v>
      </c>
      <c r="U1361" s="13" t="n">
        <v>1352.12</v>
      </c>
      <c r="W1361" s="13" t="n">
        <v>0</v>
      </c>
      <c r="X1361" s="12" t="s">
        <v>1255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46253</v>
      </c>
      <c r="C1362" s="11" t="n">
        <v>46272</v>
      </c>
      <c r="D1362" s="10" t="n">
        <v>1616</v>
      </c>
      <c r="E1362" s="12" t="s">
        <v>80</v>
      </c>
      <c r="F1362" s="10" t="n">
        <v>24</v>
      </c>
      <c r="G1362" s="12" t="s">
        <v>77</v>
      </c>
      <c r="H1362" s="10" t="n">
        <v>2110405</v>
      </c>
      <c r="I1362" s="12" t="s">
        <v>41</v>
      </c>
      <c r="J1362" s="10" t="n">
        <v>1570979</v>
      </c>
      <c r="L1362" s="10" t="n">
        <v>214492</v>
      </c>
      <c r="M1362" s="12" t="s">
        <v>83</v>
      </c>
      <c r="N1362" s="12" t="s">
        <v>35</v>
      </c>
      <c r="P1362" s="10" t="n">
        <v>113</v>
      </c>
      <c r="Q1362" s="12" t="s">
        <v>36</v>
      </c>
      <c r="R1362" s="12" t="s">
        <v>48</v>
      </c>
      <c r="S1362" s="10" t="n">
        <v>1130101</v>
      </c>
      <c r="T1362" s="12" t="s">
        <v>49</v>
      </c>
      <c r="U1362" s="13" t="n">
        <v>606.56</v>
      </c>
      <c r="W1362" s="13" t="n">
        <v>0</v>
      </c>
      <c r="X1362" s="12" t="s">
        <v>1225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2</v>
      </c>
      <c r="B1363" s="11" t="n">
        <v>46253</v>
      </c>
      <c r="C1363" s="11" t="n">
        <v>46272</v>
      </c>
      <c r="D1363" s="10" t="n">
        <v>616</v>
      </c>
      <c r="E1363" s="12" t="s">
        <v>818</v>
      </c>
      <c r="F1363" s="10" t="n">
        <v>24</v>
      </c>
      <c r="G1363" s="12" t="s">
        <v>77</v>
      </c>
      <c r="H1363" s="10" t="n">
        <v>2110405</v>
      </c>
      <c r="I1363" s="12" t="s">
        <v>41</v>
      </c>
      <c r="J1363" s="10" t="n">
        <v>1572199</v>
      </c>
      <c r="L1363" s="10" t="n">
        <v>214772</v>
      </c>
      <c r="M1363" s="12" t="s">
        <v>83</v>
      </c>
      <c r="N1363" s="12" t="s">
        <v>35</v>
      </c>
      <c r="P1363" s="10" t="n">
        <v>113</v>
      </c>
      <c r="Q1363" s="12" t="s">
        <v>36</v>
      </c>
      <c r="R1363" s="12" t="s">
        <v>48</v>
      </c>
      <c r="S1363" s="10" t="n">
        <v>1130101</v>
      </c>
      <c r="T1363" s="12" t="s">
        <v>49</v>
      </c>
      <c r="U1363" s="13" t="n">
        <v>983.76</v>
      </c>
      <c r="W1363" s="13" t="n">
        <v>0</v>
      </c>
      <c r="X1363" s="12" t="s">
        <v>1256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2</v>
      </c>
      <c r="B1364" s="11" t="n">
        <v>46239</v>
      </c>
      <c r="C1364" s="11" t="n">
        <v>46273</v>
      </c>
      <c r="D1364" s="10" t="n">
        <v>1637</v>
      </c>
      <c r="E1364" s="12" t="s">
        <v>764</v>
      </c>
      <c r="F1364" s="10" t="n">
        <v>24</v>
      </c>
      <c r="G1364" s="12" t="s">
        <v>77</v>
      </c>
      <c r="H1364" s="10" t="n">
        <v>1110203</v>
      </c>
      <c r="I1364" s="12" t="s">
        <v>108</v>
      </c>
      <c r="J1364" s="10" t="n">
        <v>1503931</v>
      </c>
      <c r="L1364" s="10" t="n">
        <v>204198</v>
      </c>
      <c r="M1364" s="12" t="s">
        <v>83</v>
      </c>
      <c r="N1364" s="12" t="s">
        <v>35</v>
      </c>
      <c r="P1364" s="10" t="n">
        <v>113</v>
      </c>
      <c r="Q1364" s="12" t="s">
        <v>36</v>
      </c>
      <c r="R1364" s="12" t="s">
        <v>48</v>
      </c>
      <c r="S1364" s="10" t="n">
        <v>1130101</v>
      </c>
      <c r="T1364" s="12" t="s">
        <v>49</v>
      </c>
      <c r="U1364" s="13" t="n">
        <v>1184.7</v>
      </c>
      <c r="W1364" s="13" t="n">
        <v>0</v>
      </c>
      <c r="X1364" s="12" t="s">
        <v>1257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54.75" hidden="false" customHeight="true" outlineLevel="0" collapsed="false">
      <c r="A1365" s="10" t="n">
        <v>2</v>
      </c>
      <c r="B1365" s="11" t="n">
        <v>46251</v>
      </c>
      <c r="C1365" s="11" t="n">
        <v>46273</v>
      </c>
      <c r="D1365" s="10" t="n">
        <v>10017</v>
      </c>
      <c r="E1365" s="12" t="s">
        <v>168</v>
      </c>
      <c r="F1365" s="10" t="n">
        <v>24</v>
      </c>
      <c r="G1365" s="12" t="s">
        <v>77</v>
      </c>
      <c r="H1365" s="10" t="n">
        <v>2110405</v>
      </c>
      <c r="I1365" s="12" t="s">
        <v>41</v>
      </c>
      <c r="J1365" s="10" t="n">
        <v>1561245</v>
      </c>
      <c r="L1365" s="10" t="n">
        <v>212996</v>
      </c>
      <c r="M1365" s="12" t="s">
        <v>83</v>
      </c>
      <c r="N1365" s="12" t="s">
        <v>35</v>
      </c>
      <c r="P1365" s="10" t="n">
        <v>113</v>
      </c>
      <c r="Q1365" s="12" t="s">
        <v>36</v>
      </c>
      <c r="R1365" s="12" t="s">
        <v>48</v>
      </c>
      <c r="S1365" s="10" t="n">
        <v>1130101</v>
      </c>
      <c r="T1365" s="12" t="s">
        <v>49</v>
      </c>
      <c r="U1365" s="13" t="n">
        <v>599.85</v>
      </c>
      <c r="W1365" s="13" t="n">
        <v>0</v>
      </c>
      <c r="X1365" s="12" t="s">
        <v>1233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46252</v>
      </c>
      <c r="C1366" s="11" t="n">
        <v>46273</v>
      </c>
      <c r="D1366" s="10" t="n">
        <v>1697</v>
      </c>
      <c r="E1366" s="12" t="s">
        <v>684</v>
      </c>
      <c r="F1366" s="10" t="n">
        <v>24</v>
      </c>
      <c r="G1366" s="12" t="s">
        <v>77</v>
      </c>
      <c r="H1366" s="10" t="n">
        <v>2110405</v>
      </c>
      <c r="I1366" s="12" t="s">
        <v>41</v>
      </c>
      <c r="J1366" s="10" t="n">
        <v>1566729</v>
      </c>
      <c r="L1366" s="10" t="n">
        <v>213867</v>
      </c>
      <c r="M1366" s="12" t="s">
        <v>83</v>
      </c>
      <c r="N1366" s="12" t="s">
        <v>35</v>
      </c>
      <c r="P1366" s="10" t="n">
        <v>113</v>
      </c>
      <c r="Q1366" s="12" t="s">
        <v>36</v>
      </c>
      <c r="R1366" s="12" t="s">
        <v>48</v>
      </c>
      <c r="S1366" s="10" t="n">
        <v>1130101</v>
      </c>
      <c r="T1366" s="12" t="s">
        <v>49</v>
      </c>
      <c r="U1366" s="13" t="n">
        <v>584.64</v>
      </c>
      <c r="W1366" s="13" t="n">
        <v>0</v>
      </c>
      <c r="X1366" s="12" t="s">
        <v>1234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2</v>
      </c>
      <c r="B1367" s="11" t="n">
        <v>46252</v>
      </c>
      <c r="C1367" s="11" t="n">
        <v>46273</v>
      </c>
      <c r="D1367" s="10" t="n">
        <v>1711</v>
      </c>
      <c r="E1367" s="12" t="s">
        <v>1236</v>
      </c>
      <c r="F1367" s="10" t="n">
        <v>24</v>
      </c>
      <c r="G1367" s="12" t="s">
        <v>77</v>
      </c>
      <c r="H1367" s="10" t="n">
        <v>2110405</v>
      </c>
      <c r="I1367" s="12" t="s">
        <v>41</v>
      </c>
      <c r="J1367" s="10" t="n">
        <v>1568092</v>
      </c>
      <c r="L1367" s="10" t="n">
        <v>214110</v>
      </c>
      <c r="M1367" s="12" t="s">
        <v>83</v>
      </c>
      <c r="N1367" s="12" t="s">
        <v>35</v>
      </c>
      <c r="P1367" s="10" t="n">
        <v>113</v>
      </c>
      <c r="Q1367" s="12" t="s">
        <v>36</v>
      </c>
      <c r="R1367" s="12" t="s">
        <v>48</v>
      </c>
      <c r="S1367" s="10" t="n">
        <v>1130101</v>
      </c>
      <c r="T1367" s="12" t="s">
        <v>49</v>
      </c>
      <c r="U1367" s="13" t="n">
        <v>645.71</v>
      </c>
      <c r="W1367" s="13" t="n">
        <v>0</v>
      </c>
      <c r="X1367" s="12" t="s">
        <v>1237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46253</v>
      </c>
      <c r="C1368" s="11" t="n">
        <v>46273</v>
      </c>
      <c r="D1368" s="10" t="n">
        <v>1708</v>
      </c>
      <c r="E1368" s="12" t="s">
        <v>245</v>
      </c>
      <c r="F1368" s="10" t="n">
        <v>24</v>
      </c>
      <c r="G1368" s="12" t="s">
        <v>77</v>
      </c>
      <c r="H1368" s="10" t="n">
        <v>2110405</v>
      </c>
      <c r="I1368" s="12" t="s">
        <v>41</v>
      </c>
      <c r="J1368" s="10" t="n">
        <v>1572971</v>
      </c>
      <c r="L1368" s="10" t="n">
        <v>214927</v>
      </c>
      <c r="M1368" s="12" t="s">
        <v>83</v>
      </c>
      <c r="N1368" s="12" t="s">
        <v>35</v>
      </c>
      <c r="P1368" s="10" t="n">
        <v>113</v>
      </c>
      <c r="Q1368" s="12" t="s">
        <v>36</v>
      </c>
      <c r="R1368" s="12" t="s">
        <v>48</v>
      </c>
      <c r="S1368" s="10" t="n">
        <v>1130101</v>
      </c>
      <c r="T1368" s="12" t="s">
        <v>49</v>
      </c>
      <c r="U1368" s="13" t="n">
        <v>548.18</v>
      </c>
      <c r="W1368" s="13" t="n">
        <v>0</v>
      </c>
      <c r="X1368" s="12" t="s">
        <v>1239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46254</v>
      </c>
      <c r="C1369" s="11" t="n">
        <v>46273</v>
      </c>
      <c r="D1369" s="10" t="n">
        <v>967</v>
      </c>
      <c r="E1369" s="12" t="s">
        <v>1240</v>
      </c>
      <c r="F1369" s="10" t="n">
        <v>24</v>
      </c>
      <c r="G1369" s="12" t="s">
        <v>77</v>
      </c>
      <c r="H1369" s="10" t="n">
        <v>2110405</v>
      </c>
      <c r="I1369" s="12" t="s">
        <v>41</v>
      </c>
      <c r="J1369" s="10" t="n">
        <v>1576162</v>
      </c>
      <c r="L1369" s="10" t="n">
        <v>215378</v>
      </c>
      <c r="M1369" s="12" t="s">
        <v>83</v>
      </c>
      <c r="N1369" s="12" t="s">
        <v>35</v>
      </c>
      <c r="P1369" s="10" t="n">
        <v>113</v>
      </c>
      <c r="Q1369" s="12" t="s">
        <v>36</v>
      </c>
      <c r="R1369" s="12" t="s">
        <v>48</v>
      </c>
      <c r="S1369" s="10" t="n">
        <v>1130101</v>
      </c>
      <c r="T1369" s="12" t="s">
        <v>49</v>
      </c>
      <c r="U1369" s="13" t="n">
        <v>421</v>
      </c>
      <c r="W1369" s="13" t="n">
        <v>0</v>
      </c>
      <c r="X1369" s="12" t="s">
        <v>1241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46246</v>
      </c>
      <c r="C1370" s="11" t="n">
        <v>46274</v>
      </c>
      <c r="D1370" s="10" t="n">
        <v>1608</v>
      </c>
      <c r="E1370" s="12" t="s">
        <v>201</v>
      </c>
      <c r="F1370" s="10" t="n">
        <v>24</v>
      </c>
      <c r="G1370" s="12" t="s">
        <v>77</v>
      </c>
      <c r="H1370" s="10" t="n">
        <v>2110405</v>
      </c>
      <c r="I1370" s="12" t="s">
        <v>41</v>
      </c>
      <c r="J1370" s="10" t="n">
        <v>1534806</v>
      </c>
      <c r="L1370" s="10" t="n">
        <v>209429</v>
      </c>
      <c r="M1370" s="12" t="s">
        <v>83</v>
      </c>
      <c r="N1370" s="12" t="s">
        <v>35</v>
      </c>
      <c r="P1370" s="10" t="n">
        <v>113</v>
      </c>
      <c r="Q1370" s="12" t="s">
        <v>36</v>
      </c>
      <c r="R1370" s="12" t="s">
        <v>48</v>
      </c>
      <c r="S1370" s="10" t="n">
        <v>1130101</v>
      </c>
      <c r="T1370" s="12" t="s">
        <v>49</v>
      </c>
      <c r="U1370" s="13" t="n">
        <v>1279.58</v>
      </c>
      <c r="W1370" s="13" t="n">
        <v>0</v>
      </c>
      <c r="X1370" s="12" t="s">
        <v>1202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46247</v>
      </c>
      <c r="C1371" s="11" t="n">
        <v>46274</v>
      </c>
      <c r="D1371" s="10" t="n">
        <v>1624</v>
      </c>
      <c r="E1371" s="12" t="s">
        <v>300</v>
      </c>
      <c r="F1371" s="10" t="n">
        <v>24</v>
      </c>
      <c r="G1371" s="12" t="s">
        <v>77</v>
      </c>
      <c r="H1371" s="10" t="n">
        <v>2110405</v>
      </c>
      <c r="I1371" s="12" t="s">
        <v>41</v>
      </c>
      <c r="J1371" s="10" t="n">
        <v>1543917</v>
      </c>
      <c r="L1371" s="10" t="n">
        <v>210534</v>
      </c>
      <c r="M1371" s="12" t="s">
        <v>83</v>
      </c>
      <c r="N1371" s="12" t="s">
        <v>35</v>
      </c>
      <c r="P1371" s="10" t="n">
        <v>113</v>
      </c>
      <c r="Q1371" s="12" t="s">
        <v>36</v>
      </c>
      <c r="R1371" s="12" t="s">
        <v>48</v>
      </c>
      <c r="S1371" s="10" t="n">
        <v>1130101</v>
      </c>
      <c r="T1371" s="12" t="s">
        <v>49</v>
      </c>
      <c r="U1371" s="13" t="n">
        <v>830.13</v>
      </c>
      <c r="W1371" s="13" t="n">
        <v>0</v>
      </c>
      <c r="X1371" s="12" t="s">
        <v>1243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2</v>
      </c>
      <c r="B1372" s="11" t="n">
        <v>46252</v>
      </c>
      <c r="C1372" s="11" t="n">
        <v>46274</v>
      </c>
      <c r="D1372" s="10" t="n">
        <v>1612</v>
      </c>
      <c r="E1372" s="12" t="s">
        <v>76</v>
      </c>
      <c r="F1372" s="10" t="n">
        <v>24</v>
      </c>
      <c r="G1372" s="12" t="s">
        <v>77</v>
      </c>
      <c r="H1372" s="10" t="n">
        <v>2110405</v>
      </c>
      <c r="I1372" s="12" t="s">
        <v>41</v>
      </c>
      <c r="J1372" s="10" t="n">
        <v>1567419</v>
      </c>
      <c r="L1372" s="10" t="n">
        <v>214024</v>
      </c>
      <c r="M1372" s="12" t="s">
        <v>83</v>
      </c>
      <c r="N1372" s="12" t="s">
        <v>35</v>
      </c>
      <c r="P1372" s="10" t="n">
        <v>113</v>
      </c>
      <c r="Q1372" s="12" t="s">
        <v>36</v>
      </c>
      <c r="R1372" s="12" t="s">
        <v>48</v>
      </c>
      <c r="S1372" s="10" t="n">
        <v>1130101</v>
      </c>
      <c r="T1372" s="12" t="s">
        <v>49</v>
      </c>
      <c r="U1372" s="13" t="n">
        <v>1154.65</v>
      </c>
      <c r="W1372" s="13" t="n">
        <v>0</v>
      </c>
      <c r="X1372" s="12" t="s">
        <v>1244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2</v>
      </c>
      <c r="B1373" s="11" t="n">
        <v>46191</v>
      </c>
      <c r="C1373" s="11" t="n">
        <v>46275</v>
      </c>
      <c r="D1373" s="10" t="n">
        <v>957</v>
      </c>
      <c r="E1373" s="12" t="s">
        <v>554</v>
      </c>
      <c r="F1373" s="10" t="n">
        <v>24</v>
      </c>
      <c r="G1373" s="12" t="s">
        <v>77</v>
      </c>
      <c r="H1373" s="10" t="n">
        <v>2110101</v>
      </c>
      <c r="I1373" s="12" t="s">
        <v>33</v>
      </c>
      <c r="J1373" s="10" t="n">
        <v>1268715</v>
      </c>
      <c r="L1373" s="10" t="n">
        <v>20440</v>
      </c>
      <c r="M1373" s="12" t="s">
        <v>83</v>
      </c>
      <c r="N1373" s="12" t="s">
        <v>54</v>
      </c>
      <c r="P1373" s="10" t="n">
        <v>113</v>
      </c>
      <c r="Q1373" s="12" t="s">
        <v>36</v>
      </c>
      <c r="R1373" s="12" t="s">
        <v>48</v>
      </c>
      <c r="S1373" s="10" t="n">
        <v>1130101</v>
      </c>
      <c r="T1373" s="12" t="s">
        <v>49</v>
      </c>
      <c r="U1373" s="13" t="n">
        <v>128.85</v>
      </c>
      <c r="W1373" s="13" t="n">
        <v>0</v>
      </c>
      <c r="X1373" s="12" t="s">
        <v>1258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27.75" hidden="false" customHeight="true" outlineLevel="0" collapsed="false">
      <c r="A1374" s="10" t="n">
        <v>2</v>
      </c>
      <c r="B1374" s="11" t="n">
        <v>46230</v>
      </c>
      <c r="C1374" s="11" t="n">
        <v>46275</v>
      </c>
      <c r="D1374" s="10" t="n">
        <v>513</v>
      </c>
      <c r="E1374" s="12" t="s">
        <v>314</v>
      </c>
      <c r="F1374" s="10" t="n">
        <v>24</v>
      </c>
      <c r="G1374" s="12" t="s">
        <v>77</v>
      </c>
      <c r="H1374" s="10" t="n">
        <v>2110405</v>
      </c>
      <c r="I1374" s="12" t="s">
        <v>41</v>
      </c>
      <c r="J1374" s="10" t="n">
        <v>1459285</v>
      </c>
      <c r="L1374" s="10" t="n">
        <v>197498</v>
      </c>
      <c r="M1374" s="12" t="s">
        <v>74</v>
      </c>
      <c r="N1374" s="12" t="s">
        <v>35</v>
      </c>
      <c r="P1374" s="10" t="n">
        <v>101</v>
      </c>
      <c r="Q1374" s="12" t="s">
        <v>42</v>
      </c>
      <c r="R1374" s="12" t="s">
        <v>100</v>
      </c>
      <c r="S1374" s="10" t="n">
        <v>4210315</v>
      </c>
      <c r="T1374" s="12" t="s">
        <v>257</v>
      </c>
      <c r="U1374" s="13" t="n">
        <v>160</v>
      </c>
      <c r="W1374" s="13" t="n">
        <v>0</v>
      </c>
      <c r="X1374" s="12" t="s">
        <v>713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</row>
    <row r="1375" customFormat="false" ht="54.75" hidden="false" customHeight="true" outlineLevel="0" collapsed="false">
      <c r="A1375" s="10" t="n">
        <v>2</v>
      </c>
      <c r="B1375" s="11" t="n">
        <v>46211</v>
      </c>
      <c r="C1375" s="11" t="n">
        <v>46275</v>
      </c>
      <c r="D1375" s="10" t="n">
        <v>33</v>
      </c>
      <c r="E1375" s="12" t="s">
        <v>272</v>
      </c>
      <c r="F1375" s="10" t="n">
        <v>34</v>
      </c>
      <c r="G1375" s="12" t="s">
        <v>97</v>
      </c>
      <c r="H1375" s="10" t="n">
        <v>2110405</v>
      </c>
      <c r="I1375" s="12" t="s">
        <v>41</v>
      </c>
      <c r="J1375" s="10" t="n">
        <v>1370733</v>
      </c>
      <c r="L1375" s="10" t="n">
        <v>184338</v>
      </c>
      <c r="M1375" s="12" t="s">
        <v>74</v>
      </c>
      <c r="N1375" s="12" t="s">
        <v>35</v>
      </c>
      <c r="P1375" s="10" t="n">
        <v>101</v>
      </c>
      <c r="Q1375" s="12" t="s">
        <v>42</v>
      </c>
      <c r="R1375" s="12" t="s">
        <v>56</v>
      </c>
      <c r="S1375" s="10" t="n">
        <v>4210222</v>
      </c>
      <c r="T1375" s="12" t="s">
        <v>1059</v>
      </c>
      <c r="U1375" s="13" t="n">
        <v>666.67</v>
      </c>
      <c r="W1375" s="13" t="n">
        <v>0</v>
      </c>
      <c r="X1375" s="12" t="s">
        <v>1060</v>
      </c>
      <c r="Z1375" s="1" t="str">
        <f aca="false">IF($T1375="","",IFERROR(INDEX('Resumo Grupos'!$AC$3:$AC$200,MATCH($T1375,'Resumo Grupos'!$AB$3:$AB$200,0)),"n/d"))</f>
        <v>Despesa</v>
      </c>
      <c r="AA1375" s="1" t="str">
        <f aca="false">IF($T1375="","",IF(COUNTIF('Resumo Grupos'!$AE$3:$AE$40,$T1375)&gt;0,"NAO","SIM"))</f>
        <v>SIM</v>
      </c>
    </row>
    <row r="1376" customFormat="false" ht="63.75" hidden="false" customHeight="true" outlineLevel="0" collapsed="false">
      <c r="A1376" s="10" t="n">
        <v>2</v>
      </c>
      <c r="B1376" s="11" t="n">
        <v>46224</v>
      </c>
      <c r="C1376" s="11" t="n">
        <v>46275</v>
      </c>
      <c r="D1376" s="10" t="n">
        <v>1100</v>
      </c>
      <c r="E1376" s="12" t="s">
        <v>290</v>
      </c>
      <c r="F1376" s="10" t="n">
        <v>46</v>
      </c>
      <c r="G1376" s="12" t="s">
        <v>285</v>
      </c>
      <c r="H1376" s="10" t="n">
        <v>2110405</v>
      </c>
      <c r="I1376" s="12" t="s">
        <v>41</v>
      </c>
      <c r="J1376" s="10" t="n">
        <v>1427624</v>
      </c>
      <c r="L1376" s="10" t="n">
        <v>190916</v>
      </c>
      <c r="M1376" s="12" t="s">
        <v>74</v>
      </c>
      <c r="N1376" s="12" t="s">
        <v>35</v>
      </c>
      <c r="P1376" s="10" t="n">
        <v>113</v>
      </c>
      <c r="Q1376" s="12" t="s">
        <v>36</v>
      </c>
      <c r="R1376" s="12" t="s">
        <v>56</v>
      </c>
      <c r="S1376" s="10" t="n">
        <v>4210227</v>
      </c>
      <c r="T1376" s="12" t="s">
        <v>63</v>
      </c>
      <c r="U1376" s="13" t="n">
        <v>266.68</v>
      </c>
      <c r="W1376" s="13" t="n">
        <v>0</v>
      </c>
      <c r="X1376" s="12" t="s">
        <v>1259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2</v>
      </c>
      <c r="B1377" s="11" t="n">
        <v>46247</v>
      </c>
      <c r="C1377" s="11" t="n">
        <v>46275</v>
      </c>
      <c r="D1377" s="10" t="n">
        <v>1608</v>
      </c>
      <c r="E1377" s="12" t="s">
        <v>201</v>
      </c>
      <c r="F1377" s="10" t="n">
        <v>24</v>
      </c>
      <c r="G1377" s="12" t="s">
        <v>77</v>
      </c>
      <c r="H1377" s="10" t="n">
        <v>2110405</v>
      </c>
      <c r="I1377" s="12" t="s">
        <v>41</v>
      </c>
      <c r="J1377" s="10" t="n">
        <v>1540769</v>
      </c>
      <c r="L1377" s="10" t="n">
        <v>210180</v>
      </c>
      <c r="M1377" s="12" t="s">
        <v>83</v>
      </c>
      <c r="N1377" s="12" t="s">
        <v>35</v>
      </c>
      <c r="P1377" s="10" t="n">
        <v>113</v>
      </c>
      <c r="Q1377" s="12" t="s">
        <v>36</v>
      </c>
      <c r="R1377" s="12" t="s">
        <v>48</v>
      </c>
      <c r="S1377" s="10" t="n">
        <v>1130101</v>
      </c>
      <c r="T1377" s="12" t="s">
        <v>49</v>
      </c>
      <c r="U1377" s="13" t="n">
        <v>692.26</v>
      </c>
      <c r="W1377" s="13" t="n">
        <v>0</v>
      </c>
      <c r="X1377" s="12" t="s">
        <v>1208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91.5" hidden="false" customHeight="true" outlineLevel="0" collapsed="false">
      <c r="A1378" s="10" t="n">
        <v>2</v>
      </c>
      <c r="B1378" s="11" t="n">
        <v>46248</v>
      </c>
      <c r="C1378" s="11" t="n">
        <v>46275</v>
      </c>
      <c r="D1378" s="10" t="n">
        <v>1678</v>
      </c>
      <c r="E1378" s="12" t="s">
        <v>746</v>
      </c>
      <c r="F1378" s="10" t="n">
        <v>24</v>
      </c>
      <c r="G1378" s="12" t="s">
        <v>77</v>
      </c>
      <c r="H1378" s="10" t="n">
        <v>2110405</v>
      </c>
      <c r="I1378" s="12" t="s">
        <v>41</v>
      </c>
      <c r="J1378" s="10" t="n">
        <v>1545805</v>
      </c>
      <c r="L1378" s="10" t="n">
        <v>211100</v>
      </c>
      <c r="M1378" s="12" t="s">
        <v>83</v>
      </c>
      <c r="N1378" s="12" t="s">
        <v>35</v>
      </c>
      <c r="P1378" s="10" t="n">
        <v>113</v>
      </c>
      <c r="Q1378" s="12" t="s">
        <v>36</v>
      </c>
      <c r="R1378" s="12" t="s">
        <v>48</v>
      </c>
      <c r="S1378" s="10" t="n">
        <v>1130101</v>
      </c>
      <c r="T1378" s="12" t="s">
        <v>49</v>
      </c>
      <c r="U1378" s="13" t="n">
        <v>2153.25</v>
      </c>
      <c r="W1378" s="13" t="n">
        <v>0</v>
      </c>
      <c r="X1378" s="12" t="s">
        <v>1260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36.75" hidden="false" customHeight="true" outlineLevel="0" collapsed="false">
      <c r="A1379" s="10" t="n">
        <v>2</v>
      </c>
      <c r="B1379" s="11" t="n">
        <v>46251</v>
      </c>
      <c r="C1379" s="11" t="n">
        <v>46275</v>
      </c>
      <c r="D1379" s="10" t="n">
        <v>1637</v>
      </c>
      <c r="E1379" s="12" t="s">
        <v>764</v>
      </c>
      <c r="F1379" s="10" t="n">
        <v>24</v>
      </c>
      <c r="G1379" s="12" t="s">
        <v>77</v>
      </c>
      <c r="H1379" s="10" t="n">
        <v>2110405</v>
      </c>
      <c r="I1379" s="12" t="s">
        <v>41</v>
      </c>
      <c r="J1379" s="10" t="n">
        <v>1561330</v>
      </c>
      <c r="L1379" s="10" t="n">
        <v>213017</v>
      </c>
      <c r="M1379" s="12" t="s">
        <v>83</v>
      </c>
      <c r="N1379" s="12" t="s">
        <v>35</v>
      </c>
      <c r="P1379" s="10" t="n">
        <v>113</v>
      </c>
      <c r="Q1379" s="12" t="s">
        <v>36</v>
      </c>
      <c r="R1379" s="12" t="s">
        <v>48</v>
      </c>
      <c r="S1379" s="10" t="n">
        <v>1130101</v>
      </c>
      <c r="T1379" s="12" t="s">
        <v>49</v>
      </c>
      <c r="U1379" s="13" t="n">
        <v>561.84</v>
      </c>
      <c r="W1379" s="13" t="n">
        <v>0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54.75" hidden="false" customHeight="true" outlineLevel="0" collapsed="false">
      <c r="A1380" s="10" t="n">
        <v>2</v>
      </c>
      <c r="B1380" s="11" t="n">
        <v>46252</v>
      </c>
      <c r="C1380" s="11" t="n">
        <v>46275</v>
      </c>
      <c r="D1380" s="10" t="n">
        <v>1671</v>
      </c>
      <c r="E1380" s="12" t="s">
        <v>88</v>
      </c>
      <c r="F1380" s="10" t="n">
        <v>24</v>
      </c>
      <c r="G1380" s="12" t="s">
        <v>77</v>
      </c>
      <c r="H1380" s="10" t="n">
        <v>2110405</v>
      </c>
      <c r="I1380" s="12" t="s">
        <v>41</v>
      </c>
      <c r="J1380" s="10" t="n">
        <v>1567132</v>
      </c>
      <c r="L1380" s="10" t="n">
        <v>213985</v>
      </c>
      <c r="M1380" s="12" t="s">
        <v>83</v>
      </c>
      <c r="N1380" s="12" t="s">
        <v>35</v>
      </c>
      <c r="P1380" s="10" t="n">
        <v>113</v>
      </c>
      <c r="Q1380" s="12" t="s">
        <v>36</v>
      </c>
      <c r="R1380" s="12" t="s">
        <v>48</v>
      </c>
      <c r="S1380" s="10" t="n">
        <v>1130101</v>
      </c>
      <c r="T1380" s="12" t="s">
        <v>49</v>
      </c>
      <c r="U1380" s="13" t="n">
        <v>793.81</v>
      </c>
      <c r="W1380" s="13" t="n">
        <v>0</v>
      </c>
      <c r="X1380" s="12" t="s">
        <v>1214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36.75" hidden="false" customHeight="true" outlineLevel="0" collapsed="false">
      <c r="A1381" s="10" t="n">
        <v>2</v>
      </c>
      <c r="B1381" s="11" t="n">
        <v>46248</v>
      </c>
      <c r="C1381" s="11" t="n">
        <v>46277</v>
      </c>
      <c r="D1381" s="10" t="n">
        <v>1718</v>
      </c>
      <c r="E1381" s="12" t="s">
        <v>199</v>
      </c>
      <c r="F1381" s="10" t="n">
        <v>24</v>
      </c>
      <c r="G1381" s="12" t="s">
        <v>77</v>
      </c>
      <c r="H1381" s="10" t="n">
        <v>2110405</v>
      </c>
      <c r="I1381" s="12" t="s">
        <v>41</v>
      </c>
      <c r="J1381" s="10" t="n">
        <v>1547763</v>
      </c>
      <c r="L1381" s="10" t="n">
        <v>211395</v>
      </c>
      <c r="M1381" s="12" t="s">
        <v>83</v>
      </c>
      <c r="N1381" s="12" t="s">
        <v>35</v>
      </c>
      <c r="P1381" s="10" t="n">
        <v>113</v>
      </c>
      <c r="Q1381" s="12" t="s">
        <v>36</v>
      </c>
      <c r="R1381" s="12" t="s">
        <v>48</v>
      </c>
      <c r="S1381" s="10" t="n">
        <v>1130101</v>
      </c>
      <c r="T1381" s="12" t="s">
        <v>49</v>
      </c>
      <c r="U1381" s="13" t="n">
        <v>706.55</v>
      </c>
      <c r="W1381" s="13" t="n">
        <v>0</v>
      </c>
      <c r="X1381" s="12" t="s">
        <v>1220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36.75" hidden="false" customHeight="true" outlineLevel="0" collapsed="false">
      <c r="A1382" s="10" t="n">
        <v>2</v>
      </c>
      <c r="B1382" s="11" t="n">
        <v>46249</v>
      </c>
      <c r="C1382" s="11" t="n">
        <v>46277</v>
      </c>
      <c r="D1382" s="10" t="n">
        <v>1718</v>
      </c>
      <c r="E1382" s="12" t="s">
        <v>199</v>
      </c>
      <c r="F1382" s="10" t="n">
        <v>24</v>
      </c>
      <c r="G1382" s="12" t="s">
        <v>77</v>
      </c>
      <c r="H1382" s="10" t="n">
        <v>2110405</v>
      </c>
      <c r="I1382" s="12" t="s">
        <v>41</v>
      </c>
      <c r="J1382" s="10" t="n">
        <v>1551508</v>
      </c>
      <c r="L1382" s="10" t="n">
        <v>211719</v>
      </c>
      <c r="M1382" s="12" t="s">
        <v>83</v>
      </c>
      <c r="N1382" s="12" t="s">
        <v>35</v>
      </c>
      <c r="P1382" s="10" t="n">
        <v>113</v>
      </c>
      <c r="Q1382" s="12" t="s">
        <v>36</v>
      </c>
      <c r="R1382" s="12" t="s">
        <v>48</v>
      </c>
      <c r="S1382" s="10" t="n">
        <v>1130101</v>
      </c>
      <c r="T1382" s="12" t="s">
        <v>49</v>
      </c>
      <c r="U1382" s="13" t="n">
        <v>1422.68</v>
      </c>
      <c r="W1382" s="13" t="n">
        <v>0</v>
      </c>
      <c r="X1382" s="12" t="s">
        <v>1221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6.75" hidden="false" customHeight="true" outlineLevel="0" collapsed="false">
      <c r="A1383" s="10" t="n">
        <v>2</v>
      </c>
      <c r="B1383" s="11" t="n">
        <v>46253</v>
      </c>
      <c r="C1383" s="11" t="n">
        <v>46279</v>
      </c>
      <c r="D1383" s="10" t="n">
        <v>616</v>
      </c>
      <c r="E1383" s="12" t="s">
        <v>818</v>
      </c>
      <c r="F1383" s="10" t="n">
        <v>24</v>
      </c>
      <c r="G1383" s="12" t="s">
        <v>77</v>
      </c>
      <c r="H1383" s="10" t="n">
        <v>2110405</v>
      </c>
      <c r="I1383" s="12" t="s">
        <v>41</v>
      </c>
      <c r="J1383" s="10" t="n">
        <v>1572201</v>
      </c>
      <c r="L1383" s="10" t="n">
        <v>214774</v>
      </c>
      <c r="M1383" s="12" t="s">
        <v>83</v>
      </c>
      <c r="N1383" s="12" t="s">
        <v>35</v>
      </c>
      <c r="P1383" s="10" t="n">
        <v>113</v>
      </c>
      <c r="Q1383" s="12" t="s">
        <v>36</v>
      </c>
      <c r="R1383" s="12" t="s">
        <v>48</v>
      </c>
      <c r="S1383" s="10" t="n">
        <v>1130101</v>
      </c>
      <c r="T1383" s="12" t="s">
        <v>49</v>
      </c>
      <c r="U1383" s="13" t="n">
        <v>983.77</v>
      </c>
      <c r="W1383" s="13" t="n">
        <v>0</v>
      </c>
      <c r="X1383" s="12" t="s">
        <v>1256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45.75" hidden="false" customHeight="true" outlineLevel="0" collapsed="false">
      <c r="A1384" s="10" t="n">
        <v>2</v>
      </c>
      <c r="B1384" s="11" t="n">
        <v>46097</v>
      </c>
      <c r="C1384" s="11" t="n">
        <v>46280</v>
      </c>
      <c r="D1384" s="10" t="n">
        <v>1867</v>
      </c>
      <c r="E1384" s="12" t="s">
        <v>359</v>
      </c>
      <c r="F1384" s="10" t="n">
        <v>24</v>
      </c>
      <c r="G1384" s="12" t="s">
        <v>77</v>
      </c>
      <c r="H1384" s="10" t="n">
        <v>2110405</v>
      </c>
      <c r="I1384" s="12" t="s">
        <v>41</v>
      </c>
      <c r="J1384" s="10" t="n">
        <v>808550</v>
      </c>
      <c r="L1384" s="10" t="n">
        <v>2026</v>
      </c>
      <c r="M1384" s="12" t="s">
        <v>34</v>
      </c>
      <c r="N1384" s="12" t="s">
        <v>35</v>
      </c>
      <c r="P1384" s="10" t="n">
        <v>101</v>
      </c>
      <c r="Q1384" s="12" t="s">
        <v>42</v>
      </c>
      <c r="R1384" s="12" t="s">
        <v>360</v>
      </c>
      <c r="S1384" s="10" t="n">
        <v>4210401</v>
      </c>
      <c r="T1384" s="12" t="s">
        <v>361</v>
      </c>
      <c r="U1384" s="13" t="n">
        <v>228.88</v>
      </c>
      <c r="W1384" s="13" t="n">
        <v>0</v>
      </c>
      <c r="X1384" s="12" t="s">
        <v>1262</v>
      </c>
      <c r="Z1384" s="1" t="str">
        <f aca="false">IF($T1384="","",IFERROR(INDEX('Resumo Grupos'!$AC$3:$AC$200,MATCH($T1384,'Resumo Grupos'!$AB$3:$AB$200,0)),"n/d"))</f>
        <v>Impostos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46127</v>
      </c>
      <c r="C1385" s="11" t="n">
        <v>46280</v>
      </c>
      <c r="D1385" s="10" t="n">
        <v>512</v>
      </c>
      <c r="E1385" s="12" t="s">
        <v>363</v>
      </c>
      <c r="F1385" s="10" t="n">
        <v>34</v>
      </c>
      <c r="G1385" s="12" t="s">
        <v>97</v>
      </c>
      <c r="H1385" s="10" t="n">
        <v>2110405</v>
      </c>
      <c r="I1385" s="12" t="s">
        <v>41</v>
      </c>
      <c r="J1385" s="10" t="n">
        <v>954215</v>
      </c>
      <c r="L1385" s="10" t="n">
        <v>126220</v>
      </c>
      <c r="M1385" s="12" t="s">
        <v>47</v>
      </c>
      <c r="N1385" s="12" t="s">
        <v>35</v>
      </c>
      <c r="P1385" s="10" t="n">
        <v>101</v>
      </c>
      <c r="Q1385" s="12" t="s">
        <v>42</v>
      </c>
      <c r="R1385" s="12" t="s">
        <v>364</v>
      </c>
      <c r="S1385" s="10" t="n">
        <v>4210111</v>
      </c>
      <c r="T1385" s="12" t="s">
        <v>365</v>
      </c>
      <c r="U1385" s="13" t="n">
        <v>5700</v>
      </c>
      <c r="W1385" s="13" t="n">
        <v>0</v>
      </c>
      <c r="X1385" s="12" t="s">
        <v>366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46252</v>
      </c>
      <c r="C1386" s="11" t="n">
        <v>46280</v>
      </c>
      <c r="D1386" s="10" t="n">
        <v>1697</v>
      </c>
      <c r="E1386" s="12" t="s">
        <v>684</v>
      </c>
      <c r="F1386" s="10" t="n">
        <v>24</v>
      </c>
      <c r="G1386" s="12" t="s">
        <v>77</v>
      </c>
      <c r="H1386" s="10" t="n">
        <v>2110405</v>
      </c>
      <c r="I1386" s="12" t="s">
        <v>41</v>
      </c>
      <c r="J1386" s="10" t="n">
        <v>1566735</v>
      </c>
      <c r="L1386" s="10" t="n">
        <v>213868</v>
      </c>
      <c r="M1386" s="12" t="s">
        <v>83</v>
      </c>
      <c r="N1386" s="12" t="s">
        <v>35</v>
      </c>
      <c r="P1386" s="10" t="n">
        <v>113</v>
      </c>
      <c r="Q1386" s="12" t="s">
        <v>36</v>
      </c>
      <c r="R1386" s="12" t="s">
        <v>48</v>
      </c>
      <c r="S1386" s="10" t="n">
        <v>1130101</v>
      </c>
      <c r="T1386" s="12" t="s">
        <v>49</v>
      </c>
      <c r="U1386" s="13" t="n">
        <v>584.64</v>
      </c>
      <c r="W1386" s="13" t="n">
        <v>0</v>
      </c>
      <c r="X1386" s="12" t="s">
        <v>1234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46280</v>
      </c>
      <c r="D1387" s="10" t="n">
        <v>1711</v>
      </c>
      <c r="E1387" s="12" t="s">
        <v>1236</v>
      </c>
      <c r="F1387" s="10" t="n">
        <v>24</v>
      </c>
      <c r="G1387" s="12" t="s">
        <v>77</v>
      </c>
      <c r="H1387" s="10" t="n">
        <v>2110405</v>
      </c>
      <c r="I1387" s="12" t="s">
        <v>41</v>
      </c>
      <c r="J1387" s="10" t="n">
        <v>1568100</v>
      </c>
      <c r="L1387" s="10" t="n">
        <v>214112</v>
      </c>
      <c r="M1387" s="12" t="s">
        <v>83</v>
      </c>
      <c r="N1387" s="12" t="s">
        <v>35</v>
      </c>
      <c r="P1387" s="10" t="n">
        <v>113</v>
      </c>
      <c r="Q1387" s="12" t="s">
        <v>36</v>
      </c>
      <c r="R1387" s="12" t="s">
        <v>48</v>
      </c>
      <c r="S1387" s="10" t="n">
        <v>1130101</v>
      </c>
      <c r="T1387" s="12" t="s">
        <v>49</v>
      </c>
      <c r="U1387" s="13" t="n">
        <v>645.71</v>
      </c>
      <c r="W1387" s="13" t="n">
        <v>0</v>
      </c>
      <c r="X1387" s="12" t="s">
        <v>1237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46280</v>
      </c>
      <c r="D1388" s="10" t="n">
        <v>1708</v>
      </c>
      <c r="E1388" s="12" t="s">
        <v>245</v>
      </c>
      <c r="F1388" s="10" t="n">
        <v>24</v>
      </c>
      <c r="G1388" s="12" t="s">
        <v>77</v>
      </c>
      <c r="H1388" s="10" t="n">
        <v>2110405</v>
      </c>
      <c r="I1388" s="12" t="s">
        <v>41</v>
      </c>
      <c r="J1388" s="10" t="n">
        <v>1572979</v>
      </c>
      <c r="L1388" s="10" t="n">
        <v>214928</v>
      </c>
      <c r="M1388" s="12" t="s">
        <v>83</v>
      </c>
      <c r="N1388" s="12" t="s">
        <v>35</v>
      </c>
      <c r="P1388" s="10" t="n">
        <v>113</v>
      </c>
      <c r="Q1388" s="12" t="s">
        <v>36</v>
      </c>
      <c r="R1388" s="12" t="s">
        <v>48</v>
      </c>
      <c r="S1388" s="10" t="n">
        <v>1130101</v>
      </c>
      <c r="T1388" s="12" t="s">
        <v>49</v>
      </c>
      <c r="U1388" s="13" t="n">
        <v>548.18</v>
      </c>
      <c r="W1388" s="13" t="n">
        <v>0</v>
      </c>
      <c r="X1388" s="12" t="s">
        <v>1239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46226</v>
      </c>
      <c r="C1389" s="11" t="n">
        <v>46281</v>
      </c>
      <c r="D1389" s="10" t="n">
        <v>957</v>
      </c>
      <c r="E1389" s="12" t="s">
        <v>554</v>
      </c>
      <c r="F1389" s="10" t="n">
        <v>24</v>
      </c>
      <c r="G1389" s="12" t="s">
        <v>77</v>
      </c>
      <c r="H1389" s="10" t="n">
        <v>1110203</v>
      </c>
      <c r="I1389" s="12" t="s">
        <v>108</v>
      </c>
      <c r="J1389" s="10" t="n">
        <v>1438939</v>
      </c>
      <c r="L1389" s="10" t="n">
        <v>194433</v>
      </c>
      <c r="M1389" s="12" t="s">
        <v>83</v>
      </c>
      <c r="N1389" s="12" t="s">
        <v>35</v>
      </c>
      <c r="P1389" s="10" t="n">
        <v>113</v>
      </c>
      <c r="Q1389" s="12" t="s">
        <v>36</v>
      </c>
      <c r="R1389" s="12" t="s">
        <v>48</v>
      </c>
      <c r="S1389" s="10" t="n">
        <v>1130101</v>
      </c>
      <c r="T1389" s="12" t="s">
        <v>49</v>
      </c>
      <c r="U1389" s="13" t="n">
        <v>1501.38</v>
      </c>
      <c r="W1389" s="13" t="n">
        <v>0</v>
      </c>
      <c r="X1389" s="12" t="s">
        <v>1097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46281</v>
      </c>
      <c r="D1390" s="10" t="n">
        <v>1624</v>
      </c>
      <c r="E1390" s="12" t="s">
        <v>300</v>
      </c>
      <c r="F1390" s="10" t="n">
        <v>24</v>
      </c>
      <c r="G1390" s="12" t="s">
        <v>77</v>
      </c>
      <c r="H1390" s="10" t="n">
        <v>2110405</v>
      </c>
      <c r="I1390" s="12" t="s">
        <v>41</v>
      </c>
      <c r="J1390" s="10" t="n">
        <v>1543920</v>
      </c>
      <c r="L1390" s="10" t="n">
        <v>210536</v>
      </c>
      <c r="M1390" s="12" t="s">
        <v>83</v>
      </c>
      <c r="N1390" s="12" t="s">
        <v>35</v>
      </c>
      <c r="P1390" s="10" t="n">
        <v>113</v>
      </c>
      <c r="Q1390" s="12" t="s">
        <v>36</v>
      </c>
      <c r="R1390" s="12" t="s">
        <v>48</v>
      </c>
      <c r="S1390" s="10" t="n">
        <v>1130101</v>
      </c>
      <c r="T1390" s="12" t="s">
        <v>49</v>
      </c>
      <c r="U1390" s="13" t="n">
        <v>830.13</v>
      </c>
      <c r="W1390" s="13" t="n">
        <v>0</v>
      </c>
      <c r="X1390" s="12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46252</v>
      </c>
      <c r="C1391" s="11" t="n">
        <v>46281</v>
      </c>
      <c r="D1391" s="10" t="n">
        <v>1612</v>
      </c>
      <c r="E1391" s="12" t="s">
        <v>76</v>
      </c>
      <c r="F1391" s="10" t="n">
        <v>24</v>
      </c>
      <c r="G1391" s="12" t="s">
        <v>77</v>
      </c>
      <c r="H1391" s="10" t="n">
        <v>2110405</v>
      </c>
      <c r="I1391" s="12" t="s">
        <v>41</v>
      </c>
      <c r="J1391" s="10" t="n">
        <v>1567422</v>
      </c>
      <c r="L1391" s="10" t="n">
        <v>214026</v>
      </c>
      <c r="M1391" s="12" t="s">
        <v>83</v>
      </c>
      <c r="N1391" s="12" t="s">
        <v>35</v>
      </c>
      <c r="P1391" s="10" t="n">
        <v>113</v>
      </c>
      <c r="Q1391" s="12" t="s">
        <v>36</v>
      </c>
      <c r="R1391" s="12" t="s">
        <v>48</v>
      </c>
      <c r="S1391" s="10" t="n">
        <v>1130101</v>
      </c>
      <c r="T1391" s="12" t="s">
        <v>49</v>
      </c>
      <c r="U1391" s="13" t="n">
        <v>1154.65</v>
      </c>
      <c r="W1391" s="13" t="n">
        <v>0</v>
      </c>
      <c r="X1391" s="12" t="s">
        <v>1244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46253</v>
      </c>
      <c r="C1392" s="11" t="n">
        <v>46281</v>
      </c>
      <c r="D1392" s="10" t="n">
        <v>1830</v>
      </c>
      <c r="E1392" s="12" t="s">
        <v>449</v>
      </c>
      <c r="F1392" s="10" t="n">
        <v>24</v>
      </c>
      <c r="G1392" s="12" t="s">
        <v>77</v>
      </c>
      <c r="H1392" s="10" t="n">
        <v>2110405</v>
      </c>
      <c r="I1392" s="12" t="s">
        <v>41</v>
      </c>
      <c r="J1392" s="10" t="n">
        <v>1573122</v>
      </c>
      <c r="L1392" s="10" t="n">
        <v>1308</v>
      </c>
      <c r="M1392" s="12" t="s">
        <v>83</v>
      </c>
      <c r="N1392" s="12" t="s">
        <v>35</v>
      </c>
      <c r="P1392" s="10" t="n">
        <v>101</v>
      </c>
      <c r="Q1392" s="12" t="s">
        <v>42</v>
      </c>
      <c r="R1392" s="12" t="s">
        <v>100</v>
      </c>
      <c r="S1392" s="10" t="n">
        <v>4210319</v>
      </c>
      <c r="T1392" s="12" t="s">
        <v>450</v>
      </c>
      <c r="U1392" s="13" t="n">
        <v>58</v>
      </c>
      <c r="W1392" s="13" t="n">
        <v>0</v>
      </c>
      <c r="X1392" s="12" t="s">
        <v>1263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46248</v>
      </c>
      <c r="C1393" s="11" t="n">
        <v>46282</v>
      </c>
      <c r="D1393" s="10" t="n">
        <v>10011</v>
      </c>
      <c r="E1393" s="12" t="s">
        <v>292</v>
      </c>
      <c r="F1393" s="10" t="n">
        <v>24</v>
      </c>
      <c r="G1393" s="12" t="s">
        <v>77</v>
      </c>
      <c r="H1393" s="10" t="n">
        <v>2110405</v>
      </c>
      <c r="I1393" s="12" t="s">
        <v>41</v>
      </c>
      <c r="J1393" s="10" t="n">
        <v>1545976</v>
      </c>
      <c r="L1393" s="10" t="n">
        <v>211185</v>
      </c>
      <c r="M1393" s="12" t="s">
        <v>83</v>
      </c>
      <c r="N1393" s="12" t="s">
        <v>35</v>
      </c>
      <c r="P1393" s="10" t="n">
        <v>113</v>
      </c>
      <c r="Q1393" s="12" t="s">
        <v>36</v>
      </c>
      <c r="R1393" s="12" t="s">
        <v>48</v>
      </c>
      <c r="S1393" s="10" t="n">
        <v>1130101</v>
      </c>
      <c r="T1393" s="12" t="s">
        <v>49</v>
      </c>
      <c r="U1393" s="13" t="n">
        <v>685.15</v>
      </c>
      <c r="W1393" s="13" t="n">
        <v>0</v>
      </c>
      <c r="X1393" s="12" t="s">
        <v>1264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46252</v>
      </c>
      <c r="C1394" s="11" t="n">
        <v>46282</v>
      </c>
      <c r="D1394" s="10" t="n">
        <v>1671</v>
      </c>
      <c r="E1394" s="12" t="s">
        <v>88</v>
      </c>
      <c r="F1394" s="10" t="n">
        <v>24</v>
      </c>
      <c r="G1394" s="12" t="s">
        <v>77</v>
      </c>
      <c r="H1394" s="10" t="n">
        <v>2110405</v>
      </c>
      <c r="I1394" s="12" t="s">
        <v>41</v>
      </c>
      <c r="J1394" s="10" t="n">
        <v>1567135</v>
      </c>
      <c r="L1394" s="10" t="n">
        <v>213986</v>
      </c>
      <c r="M1394" s="12" t="s">
        <v>83</v>
      </c>
      <c r="N1394" s="12" t="s">
        <v>35</v>
      </c>
      <c r="P1394" s="10" t="n">
        <v>113</v>
      </c>
      <c r="Q1394" s="12" t="s">
        <v>36</v>
      </c>
      <c r="R1394" s="12" t="s">
        <v>48</v>
      </c>
      <c r="S1394" s="10" t="n">
        <v>1130101</v>
      </c>
      <c r="T1394" s="12" t="s">
        <v>49</v>
      </c>
      <c r="U1394" s="13" t="n">
        <v>793.81</v>
      </c>
      <c r="W1394" s="13" t="n">
        <v>0</v>
      </c>
      <c r="X1394" s="12" t="s">
        <v>1214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46206</v>
      </c>
      <c r="C1395" s="11" t="n">
        <v>46283</v>
      </c>
      <c r="D1395" s="10" t="n">
        <v>33</v>
      </c>
      <c r="E1395" s="12" t="s">
        <v>272</v>
      </c>
      <c r="F1395" s="10" t="n">
        <v>34</v>
      </c>
      <c r="G1395" s="12" t="s">
        <v>97</v>
      </c>
      <c r="H1395" s="10" t="n">
        <v>2110405</v>
      </c>
      <c r="I1395" s="12" t="s">
        <v>41</v>
      </c>
      <c r="J1395" s="10" t="n">
        <v>1345312</v>
      </c>
      <c r="L1395" s="10" t="n">
        <v>180690</v>
      </c>
      <c r="M1395" s="12" t="s">
        <v>62</v>
      </c>
      <c r="N1395" s="12" t="s">
        <v>35</v>
      </c>
      <c r="P1395" s="10" t="n">
        <v>101</v>
      </c>
      <c r="Q1395" s="12" t="s">
        <v>42</v>
      </c>
      <c r="R1395" s="12" t="s">
        <v>56</v>
      </c>
      <c r="S1395" s="10" t="n">
        <v>4210203</v>
      </c>
      <c r="T1395" s="12" t="s">
        <v>664</v>
      </c>
      <c r="U1395" s="13" t="n">
        <v>247.27</v>
      </c>
      <c r="W1395" s="13" t="n">
        <v>0</v>
      </c>
      <c r="X1395" s="12" t="s">
        <v>815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54.75" hidden="false" customHeight="true" outlineLevel="0" collapsed="false">
      <c r="A1396" s="10" t="n">
        <v>2</v>
      </c>
      <c r="B1396" s="11" t="n">
        <v>46223</v>
      </c>
      <c r="C1396" s="11" t="n">
        <v>46285</v>
      </c>
      <c r="D1396" s="10" t="n">
        <v>33</v>
      </c>
      <c r="E1396" s="12" t="s">
        <v>272</v>
      </c>
      <c r="F1396" s="10" t="n">
        <v>34</v>
      </c>
      <c r="G1396" s="12" t="s">
        <v>97</v>
      </c>
      <c r="H1396" s="10" t="n">
        <v>1110203</v>
      </c>
      <c r="I1396" s="12" t="s">
        <v>108</v>
      </c>
      <c r="J1396" s="10" t="n">
        <v>1424244</v>
      </c>
      <c r="L1396" s="10" t="n">
        <v>190900</v>
      </c>
      <c r="M1396" s="12" t="s">
        <v>62</v>
      </c>
      <c r="N1396" s="12" t="s">
        <v>35</v>
      </c>
      <c r="P1396" s="10" t="n">
        <v>101</v>
      </c>
      <c r="Q1396" s="12" t="s">
        <v>42</v>
      </c>
      <c r="R1396" s="12" t="s">
        <v>364</v>
      </c>
      <c r="S1396" s="10" t="n">
        <v>4210107</v>
      </c>
      <c r="T1396" s="12" t="s">
        <v>441</v>
      </c>
      <c r="U1396" s="13" t="n">
        <v>138.3</v>
      </c>
      <c r="W1396" s="13" t="n">
        <v>0</v>
      </c>
      <c r="X1396" s="12" t="s">
        <v>1265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</row>
    <row r="1397" customFormat="false" ht="54.75" hidden="false" customHeight="true" outlineLevel="0" collapsed="false">
      <c r="A1397" s="10" t="n">
        <v>2</v>
      </c>
      <c r="B1397" s="11" t="n">
        <v>46241</v>
      </c>
      <c r="C1397" s="11" t="n">
        <v>46285</v>
      </c>
      <c r="D1397" s="10" t="n">
        <v>10028</v>
      </c>
      <c r="E1397" s="12" t="s">
        <v>439</v>
      </c>
      <c r="F1397" s="10" t="n">
        <v>24</v>
      </c>
      <c r="G1397" s="12" t="s">
        <v>77</v>
      </c>
      <c r="H1397" s="10" t="n">
        <v>2110405</v>
      </c>
      <c r="I1397" s="12" t="s">
        <v>41</v>
      </c>
      <c r="J1397" s="10" t="n">
        <v>1370757</v>
      </c>
      <c r="L1397" s="10" t="n">
        <v>184341</v>
      </c>
      <c r="M1397" s="12" t="s">
        <v>62</v>
      </c>
      <c r="N1397" s="12" t="s">
        <v>35</v>
      </c>
      <c r="P1397" s="10" t="n">
        <v>101</v>
      </c>
      <c r="Q1397" s="12" t="s">
        <v>42</v>
      </c>
      <c r="R1397" s="12" t="s">
        <v>100</v>
      </c>
      <c r="S1397" s="10" t="n">
        <v>4210315</v>
      </c>
      <c r="T1397" s="12" t="s">
        <v>257</v>
      </c>
      <c r="U1397" s="13" t="n">
        <v>595.9</v>
      </c>
      <c r="W1397" s="13" t="n">
        <v>0</v>
      </c>
      <c r="X1397" s="12" t="s">
        <v>440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36.75" hidden="false" customHeight="true" outlineLevel="0" collapsed="false">
      <c r="A1398" s="10" t="n">
        <v>2</v>
      </c>
      <c r="B1398" s="11" t="n">
        <v>46253</v>
      </c>
      <c r="C1398" s="11" t="n">
        <v>46286</v>
      </c>
      <c r="D1398" s="10" t="n">
        <v>616</v>
      </c>
      <c r="E1398" s="12" t="s">
        <v>818</v>
      </c>
      <c r="F1398" s="10" t="n">
        <v>24</v>
      </c>
      <c r="G1398" s="12" t="s">
        <v>77</v>
      </c>
      <c r="H1398" s="10" t="n">
        <v>2110405</v>
      </c>
      <c r="I1398" s="12" t="s">
        <v>41</v>
      </c>
      <c r="J1398" s="10" t="n">
        <v>1572206</v>
      </c>
      <c r="L1398" s="10" t="n">
        <v>214775</v>
      </c>
      <c r="M1398" s="12" t="s">
        <v>83</v>
      </c>
      <c r="N1398" s="12" t="s">
        <v>35</v>
      </c>
      <c r="P1398" s="10" t="n">
        <v>113</v>
      </c>
      <c r="Q1398" s="12" t="s">
        <v>36</v>
      </c>
      <c r="R1398" s="12" t="s">
        <v>48</v>
      </c>
      <c r="S1398" s="10" t="n">
        <v>1130101</v>
      </c>
      <c r="T1398" s="12" t="s">
        <v>49</v>
      </c>
      <c r="U1398" s="13" t="n">
        <v>983.77</v>
      </c>
      <c r="W1398" s="13" t="n">
        <v>0</v>
      </c>
      <c r="X1398" s="12" t="s">
        <v>1256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36.75" hidden="false" customHeight="true" outlineLevel="0" collapsed="false">
      <c r="A1399" s="10" t="n">
        <v>2</v>
      </c>
      <c r="B1399" s="11" t="n">
        <v>46244</v>
      </c>
      <c r="C1399" s="11" t="n">
        <v>46289</v>
      </c>
      <c r="D1399" s="10" t="n">
        <v>1789</v>
      </c>
      <c r="E1399" s="12" t="s">
        <v>485</v>
      </c>
      <c r="F1399" s="10" t="n">
        <v>24</v>
      </c>
      <c r="G1399" s="12" t="s">
        <v>77</v>
      </c>
      <c r="H1399" s="10" t="n">
        <v>2110405</v>
      </c>
      <c r="I1399" s="12" t="s">
        <v>41</v>
      </c>
      <c r="J1399" s="10" t="n">
        <v>1529685</v>
      </c>
      <c r="L1399" s="10" t="n">
        <v>208126</v>
      </c>
      <c r="M1399" s="12" t="s">
        <v>83</v>
      </c>
      <c r="N1399" s="12" t="s">
        <v>35</v>
      </c>
      <c r="P1399" s="10" t="n">
        <v>113</v>
      </c>
      <c r="Q1399" s="12" t="s">
        <v>36</v>
      </c>
      <c r="R1399" s="12" t="s">
        <v>364</v>
      </c>
      <c r="S1399" s="10" t="n">
        <v>4210112</v>
      </c>
      <c r="T1399" s="12" t="s">
        <v>486</v>
      </c>
      <c r="U1399" s="13" t="n">
        <v>10645.93</v>
      </c>
      <c r="W1399" s="13" t="n">
        <v>0</v>
      </c>
      <c r="X1399" s="12" t="s">
        <v>1266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</row>
    <row r="1400" customFormat="false" ht="45.75" hidden="false" customHeight="true" outlineLevel="0" collapsed="false">
      <c r="A1400" s="10" t="n">
        <v>2</v>
      </c>
      <c r="B1400" s="11" t="n">
        <v>46013</v>
      </c>
      <c r="C1400" s="11" t="n">
        <v>46290</v>
      </c>
      <c r="D1400" s="10" t="n">
        <v>17</v>
      </c>
      <c r="E1400" s="12" t="s">
        <v>436</v>
      </c>
      <c r="F1400" s="10" t="n">
        <v>48</v>
      </c>
      <c r="G1400" s="12" t="s">
        <v>503</v>
      </c>
      <c r="H1400" s="10" t="n">
        <v>2110405</v>
      </c>
      <c r="I1400" s="12" t="s">
        <v>41</v>
      </c>
      <c r="J1400" s="10" t="n">
        <v>660421</v>
      </c>
      <c r="L1400" s="10" t="n">
        <v>86128</v>
      </c>
      <c r="M1400" s="12" t="s">
        <v>970</v>
      </c>
      <c r="N1400" s="12" t="s">
        <v>35</v>
      </c>
      <c r="P1400" s="10" t="n">
        <v>101</v>
      </c>
      <c r="Q1400" s="12" t="s">
        <v>42</v>
      </c>
      <c r="R1400" s="12" t="s">
        <v>43</v>
      </c>
      <c r="S1400" s="10" t="n">
        <v>4220199</v>
      </c>
      <c r="T1400" s="12" t="s">
        <v>44</v>
      </c>
      <c r="U1400" s="13" t="n">
        <v>362.14</v>
      </c>
      <c r="W1400" s="13" t="n">
        <v>0</v>
      </c>
      <c r="X1400" s="12" t="s">
        <v>505</v>
      </c>
      <c r="Z1400" s="1" t="str">
        <f aca="false">IF($T1400="","",IFERROR(INDEX('Resumo Grupos'!$AC$3:$AC$200,MATCH($T1400,'Resumo Grupos'!$AB$3:$AB$200,0)),"n/d"))</f>
        <v>Pagamentos outros não operacionais</v>
      </c>
      <c r="AA1400" s="1" t="str">
        <f aca="false">IF($T1400="","",IF(COUNTIF('Resumo Grupos'!$AE$3:$AE$40,$T1400)&gt;0,"NAO","SIM"))</f>
        <v>SIM</v>
      </c>
    </row>
    <row r="1401" customFormat="false" ht="45.75" hidden="false" customHeight="true" outlineLevel="0" collapsed="false">
      <c r="A1401" s="10" t="n">
        <v>2</v>
      </c>
      <c r="B1401" s="11" t="n">
        <v>46029</v>
      </c>
      <c r="C1401" s="11" t="n">
        <v>46290</v>
      </c>
      <c r="D1401" s="10" t="n">
        <v>17</v>
      </c>
      <c r="E1401" s="12" t="s">
        <v>436</v>
      </c>
      <c r="F1401" s="10" t="n">
        <v>48</v>
      </c>
      <c r="G1401" s="12" t="s">
        <v>503</v>
      </c>
      <c r="H1401" s="10" t="n">
        <v>2110405</v>
      </c>
      <c r="I1401" s="12" t="s">
        <v>41</v>
      </c>
      <c r="J1401" s="10" t="n">
        <v>660305</v>
      </c>
      <c r="L1401" s="10" t="n">
        <v>86116</v>
      </c>
      <c r="M1401" s="12" t="s">
        <v>970</v>
      </c>
      <c r="N1401" s="12" t="s">
        <v>35</v>
      </c>
      <c r="P1401" s="10" t="n">
        <v>101</v>
      </c>
      <c r="Q1401" s="12" t="s">
        <v>42</v>
      </c>
      <c r="R1401" s="12" t="s">
        <v>43</v>
      </c>
      <c r="S1401" s="10" t="n">
        <v>4220199</v>
      </c>
      <c r="T1401" s="12" t="s">
        <v>44</v>
      </c>
      <c r="U1401" s="13" t="n">
        <v>84.03</v>
      </c>
      <c r="W1401" s="13" t="n">
        <v>0</v>
      </c>
      <c r="X1401" s="12" t="s">
        <v>504</v>
      </c>
      <c r="Z1401" s="1" t="str">
        <f aca="false">IF($T1401="","",IFERROR(INDEX('Resumo Grupos'!$AC$3:$AC$200,MATCH($T1401,'Resumo Grupos'!$AB$3:$AB$200,0)),"n/d"))</f>
        <v>Pagamentos outros não operacionais</v>
      </c>
      <c r="AA1401" s="1" t="str">
        <f aca="false">IF($T1401="","",IF(COUNTIF('Resumo Grupos'!$AE$3:$AE$40,$T1401)&gt;0,"NAO","SIM"))</f>
        <v>SIM</v>
      </c>
    </row>
    <row r="1402" customFormat="false" ht="45.75" hidden="false" customHeight="true" outlineLevel="0" collapsed="false">
      <c r="A1402" s="10" t="n">
        <v>2</v>
      </c>
      <c r="B1402" s="11" t="n">
        <v>46243</v>
      </c>
      <c r="C1402" s="11" t="n">
        <v>46290</v>
      </c>
      <c r="D1402" s="10" t="n">
        <v>17</v>
      </c>
      <c r="E1402" s="12" t="s">
        <v>436</v>
      </c>
      <c r="F1402" s="10" t="n">
        <v>48</v>
      </c>
      <c r="G1402" s="12" t="s">
        <v>503</v>
      </c>
      <c r="H1402" s="10" t="n">
        <v>2110405</v>
      </c>
      <c r="I1402" s="12" t="s">
        <v>41</v>
      </c>
      <c r="J1402" s="10" t="n">
        <v>1551938</v>
      </c>
      <c r="L1402" s="10" t="n">
        <v>211786</v>
      </c>
      <c r="M1402" s="12" t="s">
        <v>74</v>
      </c>
      <c r="N1402" s="12" t="s">
        <v>35</v>
      </c>
      <c r="P1402" s="10" t="n">
        <v>101</v>
      </c>
      <c r="Q1402" s="12" t="s">
        <v>42</v>
      </c>
      <c r="R1402" s="12" t="s">
        <v>43</v>
      </c>
      <c r="S1402" s="10" t="n">
        <v>4220199</v>
      </c>
      <c r="T1402" s="12" t="s">
        <v>44</v>
      </c>
      <c r="U1402" s="13" t="n">
        <v>52.52</v>
      </c>
      <c r="W1402" s="13" t="n">
        <v>0</v>
      </c>
      <c r="X1402" s="12" t="s">
        <v>1267</v>
      </c>
      <c r="Z1402" s="1" t="str">
        <f aca="false">IF($T1402="","",IFERROR(INDEX('Resumo Grupos'!$AC$3:$AC$200,MATCH($T1402,'Resumo Grupos'!$AB$3:$AB$200,0)),"n/d"))</f>
        <v>Pagamentos outros não operacionais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46023</v>
      </c>
      <c r="C1403" s="11" t="n">
        <v>46293</v>
      </c>
      <c r="D1403" s="10" t="n">
        <v>515</v>
      </c>
      <c r="E1403" s="12" t="s">
        <v>143</v>
      </c>
      <c r="F1403" s="10" t="n">
        <v>34</v>
      </c>
      <c r="G1403" s="12" t="s">
        <v>97</v>
      </c>
      <c r="H1403" s="10" t="n">
        <v>2110405</v>
      </c>
      <c r="I1403" s="12" t="s">
        <v>41</v>
      </c>
      <c r="J1403" s="10" t="n">
        <v>1012266</v>
      </c>
      <c r="L1403" s="10" t="n">
        <v>133812</v>
      </c>
      <c r="M1403" s="12" t="s">
        <v>970</v>
      </c>
      <c r="N1403" s="12" t="s">
        <v>35</v>
      </c>
      <c r="P1403" s="10" t="n">
        <v>101</v>
      </c>
      <c r="Q1403" s="12" t="s">
        <v>42</v>
      </c>
      <c r="R1403" s="12" t="s">
        <v>295</v>
      </c>
      <c r="S1403" s="10" t="n">
        <v>2110901</v>
      </c>
      <c r="T1403" s="12" t="s">
        <v>296</v>
      </c>
      <c r="U1403" s="13" t="n">
        <v>4168.41</v>
      </c>
      <c r="W1403" s="13" t="n">
        <v>0</v>
      </c>
      <c r="X1403" s="12" t="s">
        <v>1268</v>
      </c>
      <c r="Z1403" s="1" t="str">
        <f aca="false">IF($T1403="","",IFERROR(INDEX('Resumo Grupos'!$AC$3:$AC$200,MATCH($T1403,'Resumo Grupos'!$AB$3:$AB$200,0)),"n/d"))</f>
        <v>Empréstimo</v>
      </c>
      <c r="AA1403" s="1" t="str">
        <f aca="false">IF($T1403="","",IF(COUNTIF('Resumo Grupos'!$AE$3:$AE$40,$T1403)&gt;0,"NAO","SIM"))</f>
        <v>SIM</v>
      </c>
    </row>
    <row r="1404" customFormat="false" ht="45.75" hidden="false" customHeight="true" outlineLevel="0" collapsed="false">
      <c r="A1404" s="10" t="n">
        <v>2</v>
      </c>
      <c r="B1404" s="11" t="n">
        <v>46055</v>
      </c>
      <c r="C1404" s="11" t="n">
        <v>46296</v>
      </c>
      <c r="D1404" s="10" t="n">
        <v>10039</v>
      </c>
      <c r="E1404" s="12" t="s">
        <v>70</v>
      </c>
      <c r="F1404" s="10" t="n">
        <v>47</v>
      </c>
      <c r="G1404" s="12" t="s">
        <v>32</v>
      </c>
      <c r="H1404" s="10" t="n">
        <v>2110405</v>
      </c>
      <c r="I1404" s="12" t="s">
        <v>41</v>
      </c>
      <c r="J1404" s="10" t="n">
        <v>846832</v>
      </c>
      <c r="L1404" s="10" t="n">
        <v>111506</v>
      </c>
      <c r="M1404" s="12" t="s">
        <v>596</v>
      </c>
      <c r="N1404" s="12" t="s">
        <v>35</v>
      </c>
      <c r="P1404" s="10" t="n">
        <v>113</v>
      </c>
      <c r="Q1404" s="12" t="s">
        <v>36</v>
      </c>
      <c r="R1404" s="12" t="s">
        <v>56</v>
      </c>
      <c r="S1404" s="10" t="n">
        <v>4210227</v>
      </c>
      <c r="T1404" s="12" t="s">
        <v>63</v>
      </c>
      <c r="U1404" s="13" t="n">
        <v>378.82</v>
      </c>
      <c r="W1404" s="13" t="n">
        <v>0</v>
      </c>
      <c r="X1404" s="12" t="s">
        <v>1269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</row>
    <row r="1405" customFormat="false" ht="36.75" hidden="false" customHeight="true" outlineLevel="0" collapsed="false">
      <c r="A1405" s="10" t="n">
        <v>2</v>
      </c>
      <c r="B1405" s="11" t="n">
        <v>46246</v>
      </c>
      <c r="C1405" s="11" t="n">
        <v>46296</v>
      </c>
      <c r="D1405" s="10" t="n">
        <v>875</v>
      </c>
      <c r="E1405" s="12" t="s">
        <v>73</v>
      </c>
      <c r="F1405" s="10" t="n">
        <v>47</v>
      </c>
      <c r="G1405" s="12" t="s">
        <v>32</v>
      </c>
      <c r="H1405" s="10" t="n">
        <v>2110405</v>
      </c>
      <c r="I1405" s="12" t="s">
        <v>41</v>
      </c>
      <c r="J1405" s="10" t="n">
        <v>1534947</v>
      </c>
      <c r="L1405" s="10" t="n">
        <v>209452</v>
      </c>
      <c r="M1405" s="12" t="s">
        <v>74</v>
      </c>
      <c r="N1405" s="12" t="s">
        <v>35</v>
      </c>
      <c r="P1405" s="10" t="n">
        <v>113</v>
      </c>
      <c r="Q1405" s="12" t="s">
        <v>36</v>
      </c>
      <c r="R1405" s="12" t="s">
        <v>48</v>
      </c>
      <c r="S1405" s="10" t="n">
        <v>1130101</v>
      </c>
      <c r="T1405" s="12" t="s">
        <v>49</v>
      </c>
      <c r="U1405" s="13" t="n">
        <v>638.75</v>
      </c>
      <c r="W1405" s="13" t="n">
        <v>0</v>
      </c>
      <c r="X1405" s="12" t="s">
        <v>1270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63.75" hidden="false" customHeight="true" outlineLevel="0" collapsed="false">
      <c r="A1406" s="10" t="n">
        <v>2</v>
      </c>
      <c r="B1406" s="11" t="n">
        <v>46238</v>
      </c>
      <c r="C1406" s="11" t="n">
        <v>46299</v>
      </c>
      <c r="D1406" s="10" t="n">
        <v>862</v>
      </c>
      <c r="E1406" s="12" t="s">
        <v>284</v>
      </c>
      <c r="F1406" s="10" t="n">
        <v>24</v>
      </c>
      <c r="G1406" s="12" t="s">
        <v>77</v>
      </c>
      <c r="H1406" s="10" t="n">
        <v>2110405</v>
      </c>
      <c r="I1406" s="12" t="s">
        <v>41</v>
      </c>
      <c r="J1406" s="10" t="n">
        <v>1498421</v>
      </c>
      <c r="L1406" s="10" t="n">
        <v>202608</v>
      </c>
      <c r="M1406" s="12" t="s">
        <v>62</v>
      </c>
      <c r="N1406" s="12" t="s">
        <v>35</v>
      </c>
      <c r="P1406" s="10" t="n">
        <v>101</v>
      </c>
      <c r="Q1406" s="12" t="s">
        <v>42</v>
      </c>
      <c r="R1406" s="12" t="s">
        <v>56</v>
      </c>
      <c r="S1406" s="10" t="n">
        <v>4210233</v>
      </c>
      <c r="T1406" s="12" t="s">
        <v>186</v>
      </c>
      <c r="U1406" s="13" t="n">
        <v>270.9</v>
      </c>
      <c r="W1406" s="13" t="n">
        <v>0</v>
      </c>
      <c r="X1406" s="12"/>
      <c r="Z1406" s="1" t="str">
        <f aca="false">IF($T1406="","",IFERROR(INDEX('Resumo Grupos'!$AC$3:$AC$200,MATCH($T1406,'Resumo Grupos'!$AB$3:$AB$200,0)),"n/d"))</f>
        <v>Despesa</v>
      </c>
      <c r="AA1406" s="1" t="str">
        <f aca="false">IF($T1406="","",IF(COUNTIF('Resumo Grupos'!$AE$3:$AE$40,$T1406)&gt;0,"NAO","SIM"))</f>
        <v>SIM</v>
      </c>
    </row>
    <row r="1407" customFormat="false" ht="36.75" hidden="false" customHeight="true" outlineLevel="0" collapsed="false">
      <c r="A1407" s="10" t="n">
        <v>2</v>
      </c>
      <c r="B1407" s="11" t="n">
        <v>46244</v>
      </c>
      <c r="C1407" s="11" t="n">
        <v>46300</v>
      </c>
      <c r="D1407" s="10" t="n">
        <v>33</v>
      </c>
      <c r="E1407" s="12" t="s">
        <v>272</v>
      </c>
      <c r="F1407" s="10" t="n">
        <v>34</v>
      </c>
      <c r="G1407" s="12" t="s">
        <v>97</v>
      </c>
      <c r="H1407" s="10" t="n">
        <v>2110405</v>
      </c>
      <c r="I1407" s="12" t="s">
        <v>41</v>
      </c>
      <c r="J1407" s="10" t="n">
        <v>1530158</v>
      </c>
      <c r="L1407" s="10" t="n">
        <v>208205</v>
      </c>
      <c r="M1407" s="12" t="s">
        <v>74</v>
      </c>
      <c r="N1407" s="12" t="s">
        <v>35</v>
      </c>
      <c r="P1407" s="10" t="n">
        <v>101</v>
      </c>
      <c r="Q1407" s="12" t="s">
        <v>42</v>
      </c>
      <c r="R1407" s="12" t="s">
        <v>100</v>
      </c>
      <c r="S1407" s="10" t="n">
        <v>4210301</v>
      </c>
      <c r="T1407" s="12" t="s">
        <v>230</v>
      </c>
      <c r="U1407" s="13" t="n">
        <v>250.1</v>
      </c>
      <c r="W1407" s="13" t="n">
        <v>0</v>
      </c>
      <c r="X1407" s="12" t="s">
        <v>1251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36.75" hidden="false" customHeight="true" outlineLevel="0" collapsed="false">
      <c r="A1408" s="10" t="n">
        <v>2</v>
      </c>
      <c r="B1408" s="11" t="n">
        <v>46232</v>
      </c>
      <c r="C1408" s="11" t="n">
        <v>46302</v>
      </c>
      <c r="D1408" s="10" t="n">
        <v>1932</v>
      </c>
      <c r="E1408" s="12" t="s">
        <v>256</v>
      </c>
      <c r="F1408" s="10" t="n">
        <v>34</v>
      </c>
      <c r="G1408" s="12" t="s">
        <v>97</v>
      </c>
      <c r="H1408" s="10" t="n">
        <v>2110405</v>
      </c>
      <c r="I1408" s="12" t="s">
        <v>41</v>
      </c>
      <c r="J1408" s="10" t="n">
        <v>1469462</v>
      </c>
      <c r="L1408" s="10" t="n">
        <v>199057</v>
      </c>
      <c r="M1408" s="12" t="s">
        <v>62</v>
      </c>
      <c r="N1408" s="12" t="s">
        <v>35</v>
      </c>
      <c r="P1408" s="10" t="n">
        <v>101</v>
      </c>
      <c r="Q1408" s="12" t="s">
        <v>42</v>
      </c>
      <c r="R1408" s="12" t="s">
        <v>100</v>
      </c>
      <c r="S1408" s="10" t="n">
        <v>4210315</v>
      </c>
      <c r="T1408" s="12" t="s">
        <v>257</v>
      </c>
      <c r="U1408" s="13" t="n">
        <v>119.97</v>
      </c>
      <c r="W1408" s="13" t="n">
        <v>0</v>
      </c>
      <c r="X1408" s="12" t="s">
        <v>1043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54.75" hidden="false" customHeight="true" outlineLevel="0" collapsed="false">
      <c r="A1409" s="10" t="n">
        <v>2</v>
      </c>
      <c r="B1409" s="11" t="n">
        <v>46211</v>
      </c>
      <c r="C1409" s="11" t="n">
        <v>46305</v>
      </c>
      <c r="D1409" s="10" t="n">
        <v>33</v>
      </c>
      <c r="E1409" s="12" t="s">
        <v>272</v>
      </c>
      <c r="F1409" s="10" t="n">
        <v>34</v>
      </c>
      <c r="G1409" s="12" t="s">
        <v>97</v>
      </c>
      <c r="H1409" s="10" t="n">
        <v>2110405</v>
      </c>
      <c r="I1409" s="12" t="s">
        <v>41</v>
      </c>
      <c r="J1409" s="10" t="n">
        <v>1370733</v>
      </c>
      <c r="L1409" s="10" t="n">
        <v>184338</v>
      </c>
      <c r="M1409" s="12" t="s">
        <v>62</v>
      </c>
      <c r="N1409" s="12" t="s">
        <v>35</v>
      </c>
      <c r="P1409" s="10" t="n">
        <v>101</v>
      </c>
      <c r="Q1409" s="12" t="s">
        <v>42</v>
      </c>
      <c r="R1409" s="12" t="s">
        <v>56</v>
      </c>
      <c r="S1409" s="10" t="n">
        <v>4210222</v>
      </c>
      <c r="T1409" s="12" t="s">
        <v>1059</v>
      </c>
      <c r="U1409" s="13" t="n">
        <v>666.67</v>
      </c>
      <c r="W1409" s="13" t="n">
        <v>0</v>
      </c>
      <c r="X1409" s="12" t="s">
        <v>1060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46242</v>
      </c>
      <c r="C1410" s="11" t="n">
        <v>46305</v>
      </c>
      <c r="D1410" s="10" t="n">
        <v>1100</v>
      </c>
      <c r="E1410" s="12" t="s">
        <v>290</v>
      </c>
      <c r="F1410" s="10" t="n">
        <v>46</v>
      </c>
      <c r="G1410" s="12" t="s">
        <v>285</v>
      </c>
      <c r="H1410" s="10" t="n">
        <v>2110405</v>
      </c>
      <c r="I1410" s="12" t="s">
        <v>41</v>
      </c>
      <c r="J1410" s="10" t="n">
        <v>1427624</v>
      </c>
      <c r="L1410" s="10" t="n">
        <v>190916</v>
      </c>
      <c r="M1410" s="12" t="s">
        <v>62</v>
      </c>
      <c r="N1410" s="12" t="s">
        <v>35</v>
      </c>
      <c r="P1410" s="10" t="n">
        <v>101</v>
      </c>
      <c r="Q1410" s="12" t="s">
        <v>42</v>
      </c>
      <c r="R1410" s="12" t="s">
        <v>56</v>
      </c>
      <c r="S1410" s="10" t="n">
        <v>4210227</v>
      </c>
      <c r="T1410" s="12" t="s">
        <v>63</v>
      </c>
      <c r="U1410" s="13" t="n">
        <v>266.68</v>
      </c>
      <c r="W1410" s="13" t="n">
        <v>0</v>
      </c>
      <c r="X1410" s="12" t="s">
        <v>1271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46097</v>
      </c>
      <c r="C1411" s="11" t="n">
        <v>46310</v>
      </c>
      <c r="D1411" s="10" t="n">
        <v>1867</v>
      </c>
      <c r="E1411" s="12" t="s">
        <v>359</v>
      </c>
      <c r="F1411" s="10" t="n">
        <v>24</v>
      </c>
      <c r="G1411" s="12" t="s">
        <v>77</v>
      </c>
      <c r="H1411" s="10" t="n">
        <v>2110405</v>
      </c>
      <c r="I1411" s="12" t="s">
        <v>41</v>
      </c>
      <c r="J1411" s="10" t="n">
        <v>808550</v>
      </c>
      <c r="L1411" s="10" t="n">
        <v>2026</v>
      </c>
      <c r="M1411" s="12" t="s">
        <v>596</v>
      </c>
      <c r="N1411" s="12" t="s">
        <v>35</v>
      </c>
      <c r="P1411" s="10" t="n">
        <v>101</v>
      </c>
      <c r="Q1411" s="12" t="s">
        <v>42</v>
      </c>
      <c r="R1411" s="12" t="s">
        <v>360</v>
      </c>
      <c r="S1411" s="10" t="n">
        <v>4210401</v>
      </c>
      <c r="T1411" s="12" t="s">
        <v>361</v>
      </c>
      <c r="U1411" s="13" t="n">
        <v>228.88</v>
      </c>
      <c r="W1411" s="13" t="n">
        <v>0</v>
      </c>
      <c r="X1411" s="12" t="s">
        <v>1272</v>
      </c>
      <c r="Z1411" s="1" t="str">
        <f aca="false">IF($T1411="","",IFERROR(INDEX('Resumo Grupos'!$AC$3:$AC$200,MATCH($T1411,'Resumo Grupos'!$AB$3:$AB$200,0)),"n/d"))</f>
        <v>Impostos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46127</v>
      </c>
      <c r="C1412" s="11" t="n">
        <v>46310</v>
      </c>
      <c r="D1412" s="10" t="n">
        <v>512</v>
      </c>
      <c r="E1412" s="12" t="s">
        <v>363</v>
      </c>
      <c r="F1412" s="10" t="n">
        <v>34</v>
      </c>
      <c r="G1412" s="12" t="s">
        <v>97</v>
      </c>
      <c r="H1412" s="10" t="n">
        <v>2110405</v>
      </c>
      <c r="I1412" s="12" t="s">
        <v>41</v>
      </c>
      <c r="J1412" s="10" t="n">
        <v>954215</v>
      </c>
      <c r="L1412" s="10" t="n">
        <v>126220</v>
      </c>
      <c r="M1412" s="12" t="s">
        <v>34</v>
      </c>
      <c r="N1412" s="12" t="s">
        <v>35</v>
      </c>
      <c r="P1412" s="10" t="n">
        <v>101</v>
      </c>
      <c r="Q1412" s="12" t="s">
        <v>42</v>
      </c>
      <c r="R1412" s="12" t="s">
        <v>364</v>
      </c>
      <c r="S1412" s="10" t="n">
        <v>4210111</v>
      </c>
      <c r="T1412" s="12" t="s">
        <v>365</v>
      </c>
      <c r="U1412" s="13" t="n">
        <v>5700</v>
      </c>
      <c r="W1412" s="13" t="n">
        <v>0</v>
      </c>
      <c r="X1412" s="12" t="s">
        <v>366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46206</v>
      </c>
      <c r="C1413" s="11" t="n">
        <v>46313</v>
      </c>
      <c r="D1413" s="10" t="n">
        <v>33</v>
      </c>
      <c r="E1413" s="12" t="s">
        <v>272</v>
      </c>
      <c r="F1413" s="10" t="n">
        <v>34</v>
      </c>
      <c r="G1413" s="12" t="s">
        <v>97</v>
      </c>
      <c r="H1413" s="10" t="n">
        <v>2110405</v>
      </c>
      <c r="I1413" s="12" t="s">
        <v>41</v>
      </c>
      <c r="J1413" s="10" t="n">
        <v>1345312</v>
      </c>
      <c r="L1413" s="10" t="n">
        <v>180690</v>
      </c>
      <c r="M1413" s="12" t="s">
        <v>71</v>
      </c>
      <c r="N1413" s="12" t="s">
        <v>35</v>
      </c>
      <c r="P1413" s="10" t="n">
        <v>101</v>
      </c>
      <c r="Q1413" s="12" t="s">
        <v>42</v>
      </c>
      <c r="R1413" s="12" t="s">
        <v>56</v>
      </c>
      <c r="S1413" s="10" t="n">
        <v>4210203</v>
      </c>
      <c r="T1413" s="12" t="s">
        <v>664</v>
      </c>
      <c r="U1413" s="13" t="n">
        <v>247.27</v>
      </c>
      <c r="W1413" s="13" t="n">
        <v>0</v>
      </c>
      <c r="X1413" s="12" t="s">
        <v>815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46013</v>
      </c>
      <c r="C1414" s="11" t="n">
        <v>46320</v>
      </c>
      <c r="D1414" s="10" t="n">
        <v>17</v>
      </c>
      <c r="E1414" s="12" t="s">
        <v>436</v>
      </c>
      <c r="F1414" s="10" t="n">
        <v>48</v>
      </c>
      <c r="G1414" s="12" t="s">
        <v>503</v>
      </c>
      <c r="H1414" s="10" t="n">
        <v>2110405</v>
      </c>
      <c r="I1414" s="12" t="s">
        <v>41</v>
      </c>
      <c r="J1414" s="10" t="n">
        <v>660421</v>
      </c>
      <c r="L1414" s="10" t="n">
        <v>86128</v>
      </c>
      <c r="M1414" s="12" t="s">
        <v>1226</v>
      </c>
      <c r="N1414" s="12" t="s">
        <v>35</v>
      </c>
      <c r="P1414" s="10" t="n">
        <v>101</v>
      </c>
      <c r="Q1414" s="12" t="s">
        <v>42</v>
      </c>
      <c r="R1414" s="12" t="s">
        <v>43</v>
      </c>
      <c r="S1414" s="10" t="n">
        <v>4220199</v>
      </c>
      <c r="T1414" s="12" t="s">
        <v>44</v>
      </c>
      <c r="U1414" s="13" t="n">
        <v>362.14</v>
      </c>
      <c r="W1414" s="13" t="n">
        <v>0</v>
      </c>
      <c r="X1414" s="12" t="s">
        <v>505</v>
      </c>
      <c r="Z1414" s="1" t="str">
        <f aca="false">IF($T1414="","",IFERROR(INDEX('Resumo Grupos'!$AC$3:$AC$200,MATCH($T1414,'Resumo Grupos'!$AB$3:$AB$200,0)),"n/d"))</f>
        <v>Pagamentos outros não operacionais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46029</v>
      </c>
      <c r="C1415" s="11" t="n">
        <v>46320</v>
      </c>
      <c r="D1415" s="10" t="n">
        <v>17</v>
      </c>
      <c r="E1415" s="12" t="s">
        <v>436</v>
      </c>
      <c r="F1415" s="10" t="n">
        <v>48</v>
      </c>
      <c r="G1415" s="12" t="s">
        <v>503</v>
      </c>
      <c r="H1415" s="10" t="n">
        <v>2110405</v>
      </c>
      <c r="I1415" s="12" t="s">
        <v>41</v>
      </c>
      <c r="J1415" s="10" t="n">
        <v>660305</v>
      </c>
      <c r="L1415" s="10" t="n">
        <v>86116</v>
      </c>
      <c r="M1415" s="12" t="s">
        <v>1226</v>
      </c>
      <c r="N1415" s="12" t="s">
        <v>35</v>
      </c>
      <c r="P1415" s="10" t="n">
        <v>101</v>
      </c>
      <c r="Q1415" s="12" t="s">
        <v>42</v>
      </c>
      <c r="R1415" s="12" t="s">
        <v>43</v>
      </c>
      <c r="S1415" s="10" t="n">
        <v>4220199</v>
      </c>
      <c r="T1415" s="12" t="s">
        <v>44</v>
      </c>
      <c r="U1415" s="13" t="n">
        <v>84.03</v>
      </c>
      <c r="W1415" s="13" t="n">
        <v>0</v>
      </c>
      <c r="X1415" s="12" t="s">
        <v>504</v>
      </c>
      <c r="Z1415" s="1" t="str">
        <f aca="false">IF($T1415="","",IFERROR(INDEX('Resumo Grupos'!$AC$3:$AC$200,MATCH($T1415,'Resumo Grupos'!$AB$3:$AB$200,0)),"n/d"))</f>
        <v>Pagamentos outros não operacionais</v>
      </c>
      <c r="AA1415" s="1" t="str">
        <f aca="false">IF($T1415="","",IF(COUNTIF('Resumo Grupos'!$AE$3:$AE$40,$T1415)&gt;0,"NAO","SIM"))</f>
        <v>SIM</v>
      </c>
    </row>
    <row r="1416" customFormat="false" ht="45.75" hidden="false" customHeight="true" outlineLevel="0" collapsed="false">
      <c r="A1416" s="10" t="n">
        <v>2</v>
      </c>
      <c r="B1416" s="11" t="n">
        <v>46023</v>
      </c>
      <c r="C1416" s="11" t="n">
        <v>46321</v>
      </c>
      <c r="D1416" s="10" t="n">
        <v>515</v>
      </c>
      <c r="E1416" s="12" t="s">
        <v>143</v>
      </c>
      <c r="F1416" s="10" t="n">
        <v>34</v>
      </c>
      <c r="G1416" s="12" t="s">
        <v>97</v>
      </c>
      <c r="H1416" s="10" t="n">
        <v>2110405</v>
      </c>
      <c r="I1416" s="12" t="s">
        <v>41</v>
      </c>
      <c r="J1416" s="10" t="n">
        <v>1012266</v>
      </c>
      <c r="L1416" s="10" t="n">
        <v>133812</v>
      </c>
      <c r="M1416" s="12" t="s">
        <v>1226</v>
      </c>
      <c r="N1416" s="12" t="s">
        <v>35</v>
      </c>
      <c r="P1416" s="10" t="n">
        <v>101</v>
      </c>
      <c r="Q1416" s="12" t="s">
        <v>42</v>
      </c>
      <c r="R1416" s="12" t="s">
        <v>295</v>
      </c>
      <c r="S1416" s="10" t="n">
        <v>2110901</v>
      </c>
      <c r="T1416" s="12" t="s">
        <v>296</v>
      </c>
      <c r="U1416" s="13" t="n">
        <v>4168.41</v>
      </c>
      <c r="W1416" s="13" t="n">
        <v>0</v>
      </c>
      <c r="X1416" s="12" t="s">
        <v>1273</v>
      </c>
      <c r="Z1416" s="1" t="str">
        <f aca="false">IF($T1416="","",IFERROR(INDEX('Resumo Grupos'!$AC$3:$AC$200,MATCH($T1416,'Resumo Grupos'!$AB$3:$AB$200,0)),"n/d"))</f>
        <v>Empréstimo</v>
      </c>
      <c r="AA1416" s="1" t="str">
        <f aca="false">IF($T1416="","",IF(COUNTIF('Resumo Grupos'!$AE$3:$AE$40,$T1416)&gt;0,"NAO","SIM"))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1274</v>
      </c>
      <c r="D1" s="25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Report!C543</f>
        <v>46206</v>
      </c>
      <c r="B403" s="1" t="str">
        <f aca="false">Report!E543</f>
        <v>BROTHERS  INDUSTRIA DE ALIMENTOS LTDA</v>
      </c>
      <c r="C403" s="17" t="n">
        <f aca="false">Report!U543</f>
        <v>305.38</v>
      </c>
      <c r="D403" s="1" t="str">
        <f aca="false">Report!X543</f>
        <v>NF 102906 ELLEN</v>
      </c>
    </row>
    <row r="404" customFormat="false" ht="12.75" hidden="false" customHeight="true" outlineLevel="0" collapsed="false">
      <c r="A404" s="15" t="n">
        <f aca="false">Report!C544</f>
        <v>46206</v>
      </c>
      <c r="B404" s="1" t="str">
        <f aca="false">Report!E544</f>
        <v>L S M COMERCIO DE ALIMENTOS E NAVEGACAO</v>
      </c>
      <c r="C404" s="17" t="n">
        <f aca="false">Report!U544</f>
        <v>1184.07</v>
      </c>
      <c r="D404" s="1" t="str">
        <f aca="false">Report!X544</f>
        <v>NF 305929 ELLEN</v>
      </c>
    </row>
    <row r="405" customFormat="false" ht="12.75" hidden="false" customHeight="true" outlineLevel="0" collapsed="false">
      <c r="A405" s="15" t="n">
        <f aca="false">Report!C545</f>
        <v>46206</v>
      </c>
      <c r="B405" s="1" t="str">
        <f aca="false">Report!E545</f>
        <v>SOUZA CRUZ LTDA.</v>
      </c>
      <c r="C405" s="17" t="n">
        <f aca="false">Report!U545</f>
        <v>5761.35</v>
      </c>
      <c r="D405" s="1" t="str">
        <f aca="false">Report!X545</f>
        <v>NF 564993 ELLEN</v>
      </c>
    </row>
    <row r="406" customFormat="false" ht="12.75" hidden="false" customHeight="true" outlineLevel="0" collapsed="false">
      <c r="A406" s="15" t="n">
        <f aca="false">Report!C546</f>
        <v>46206</v>
      </c>
      <c r="B406" s="1" t="str">
        <f aca="false">Report!E546</f>
        <v>BRAGA TABACARIA EIRELI ME</v>
      </c>
      <c r="C406" s="17" t="n">
        <f aca="false">Report!U546</f>
        <v>796.74</v>
      </c>
      <c r="D406" s="1" t="str">
        <f aca="false">Report!X546</f>
        <v>NF 18889 ELLEN</v>
      </c>
    </row>
    <row r="407" customFormat="false" ht="12.75" hidden="false" customHeight="true" outlineLevel="0" collapsed="false">
      <c r="A407" s="15" t="n">
        <f aca="false">Report!C547</f>
        <v>46206</v>
      </c>
      <c r="B407" s="1" t="str">
        <f aca="false">Report!E547</f>
        <v>MAXFRI DISTRIUIDORA LTDA</v>
      </c>
      <c r="C407" s="17" t="n">
        <f aca="false">Report!U547</f>
        <v>1997.03</v>
      </c>
      <c r="D407" s="1" t="str">
        <f aca="false">Report!X547</f>
        <v>NF 14560 ELLEN</v>
      </c>
    </row>
    <row r="408" customFormat="false" ht="12.75" hidden="false" customHeight="true" outlineLevel="0" collapsed="false">
      <c r="A408" s="15" t="n">
        <f aca="false">Report!C548</f>
        <v>46206</v>
      </c>
      <c r="B408" s="1" t="str">
        <f aca="false">Report!E548</f>
        <v>J G COMERCIO DE PRODUTOS ALIMENTICIOS LTDA</v>
      </c>
      <c r="C408" s="17" t="n">
        <f aca="false">Report!U548</f>
        <v>371.88</v>
      </c>
      <c r="D408" s="1" t="str">
        <f aca="false">Report!X548</f>
        <v>NF 389368 ELLEN</v>
      </c>
    </row>
    <row r="409" customFormat="false" ht="12.75" hidden="false" customHeight="true" outlineLevel="0" collapsed="false">
      <c r="A409" s="15" t="n">
        <f aca="false">Report!C549</f>
        <v>46206</v>
      </c>
      <c r="B409" s="1" t="str">
        <f aca="false">Report!E549</f>
        <v>CRBS S/A</v>
      </c>
      <c r="C409" s="17" t="n">
        <f aca="false">Report!U549</f>
        <v>2177.83</v>
      </c>
      <c r="D409" s="1" t="str">
        <f aca="false">Report!X549</f>
        <v>NF 877177 ELLEN</v>
      </c>
    </row>
    <row r="410" customFormat="false" ht="12.75" hidden="false" customHeight="true" outlineLevel="0" collapsed="false">
      <c r="A410" s="15" t="n">
        <f aca="false">Report!C550</f>
        <v>46206</v>
      </c>
      <c r="B410" s="1" t="str">
        <f aca="false">Report!E550</f>
        <v>CRBS S/A</v>
      </c>
      <c r="C410" s="17" t="n">
        <f aca="false">Report!U550</f>
        <v>1.55</v>
      </c>
      <c r="D410" s="1" t="str">
        <f aca="false">Report!X550</f>
        <v>NF 877177 REF TARIFA AMBEV - ELLEN</v>
      </c>
    </row>
    <row r="411" customFormat="false" ht="12.75" hidden="false" customHeight="true" outlineLevel="0" collapsed="false">
      <c r="A411" s="15" t="n">
        <f aca="false">Report!C551</f>
        <v>46206</v>
      </c>
      <c r="B411" s="1" t="str">
        <f aca="false">Report!E551</f>
        <v>BRAGA TABACARIA EIRELI ME</v>
      </c>
      <c r="C411" s="17" t="n">
        <f aca="false">Report!U551</f>
        <v>534.44</v>
      </c>
      <c r="D411" s="1" t="str">
        <f aca="false">Report!X551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BRASIL NORTE BEBIDAS S/A</v>
      </c>
      <c r="C416" s="17" t="n">
        <f aca="false">Report!U581</f>
        <v>467.76</v>
      </c>
      <c r="D416" s="1" t="str">
        <f aca="false">Report!X581</f>
        <v>NF 1890993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OPPORTUNITY ALIMENTOS PARA ANIMAIS LTDA</v>
      </c>
      <c r="C417" s="17" t="n">
        <f aca="false">Report!U582</f>
        <v>938.27</v>
      </c>
      <c r="D417" s="1" t="str">
        <f aca="false">Report!X582</f>
        <v>NF 33745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50.85</v>
      </c>
      <c r="D418" s="1" t="str">
        <f aca="false">Report!X583</f>
        <v>NF 1169404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CRBS S/A</v>
      </c>
      <c r="C485" s="17" t="n">
        <f aca="false">Report!U668</f>
        <v>1.55</v>
      </c>
      <c r="D485" s="1" t="str">
        <f aca="false">Report!X668</f>
        <v>NF 888702 REF TARIFA AMBEV -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INDUSTRIA COMERCIO E REPRESENTACAO LTDA</v>
      </c>
      <c r="C486" s="17" t="n">
        <f aca="false">Report!U669</f>
        <v>603.5</v>
      </c>
      <c r="D486" s="1" t="str">
        <f aca="false">Report!X669</f>
        <v>NF 47502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AGM COMERCIO E DISTRIBUIDORA DE MATERIAS DE PERFUMARIA E LIMPEZA LTDA</v>
      </c>
      <c r="C487" s="17" t="n">
        <f aca="false">Report!U670</f>
        <v>592.5</v>
      </c>
      <c r="D487" s="1" t="str">
        <f aca="false">Report!X670</f>
        <v>NF 161137 ELLEN</v>
      </c>
    </row>
    <row r="488" customFormat="false" ht="12.75" hidden="false" customHeight="true" outlineLevel="0" collapsed="false">
      <c r="A488" s="15" t="n">
        <f aca="false">Report!C671</f>
        <v>46213</v>
      </c>
      <c r="B488" s="1" t="str">
        <f aca="false">Report!E671</f>
        <v>E. D. SENA &amp; CIA LTDA</v>
      </c>
      <c r="C488" s="17" t="n">
        <f aca="false">Report!U671</f>
        <v>531.2</v>
      </c>
      <c r="D488" s="1" t="str">
        <f aca="false">Report!X671</f>
        <v>NF 9495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L S M COMERCIO DE ALIMENTOS E NAVEGACAO</v>
      </c>
      <c r="C489" s="17" t="n">
        <f aca="false">Report!U673</f>
        <v>1184.07</v>
      </c>
      <c r="D489" s="1" t="str">
        <f aca="false">Report!X673</f>
        <v>NF 305929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SOUZA CRUZ LTDA.</v>
      </c>
      <c r="C490" s="17" t="n">
        <f aca="false">Report!U674</f>
        <v>5621.36</v>
      </c>
      <c r="D490" s="1" t="str">
        <f aca="false">Report!X674</f>
        <v>NF 564993 ELLEN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J G COMERCIO DE PRODUTOS ALIMENTICIOS LTDA</v>
      </c>
      <c r="C491" s="17" t="n">
        <f aca="false">Report!U675</f>
        <v>371.88</v>
      </c>
      <c r="D491" s="1" t="n">
        <f aca="false">Report!X675</f>
        <v>0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BROTHERS  INDUSTRIA DE ALIMENTOS LTDA</v>
      </c>
      <c r="C492" s="17" t="n">
        <f aca="false">Report!U676</f>
        <v>279.82</v>
      </c>
      <c r="D492" s="1" t="str">
        <f aca="false">Report!X676</f>
        <v>NF 1030058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H. L. DO NASCIMENTO</v>
      </c>
      <c r="C493" s="17" t="n">
        <f aca="false">Report!U677</f>
        <v>430.3</v>
      </c>
      <c r="D493" s="1" t="str">
        <f aca="false">Report!X677</f>
        <v>NF 5765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G A COMERCIO DE PRODUTOS HOSPITALARES LTDA</v>
      </c>
      <c r="C494" s="17" t="n">
        <f aca="false">Report!U678</f>
        <v>368.4</v>
      </c>
      <c r="D494" s="1" t="str">
        <f aca="false">Report!X678</f>
        <v>NF 890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2293.67</v>
      </c>
      <c r="D495" s="1" t="str">
        <f aca="false">Report!X679</f>
        <v>NF 888702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FENNIX BRASIL DISTRIBUIDORA DE PRODUTOS</v>
      </c>
      <c r="C589" s="17" t="n">
        <f aca="false">Report!U785</f>
        <v>368.05</v>
      </c>
      <c r="D589" s="1" t="str">
        <f aca="false">Report!X785</f>
        <v>NF 312916 ELLEN</v>
      </c>
    </row>
    <row r="590" customFormat="false" ht="12.75" hidden="false" customHeight="true" outlineLevel="0" collapsed="false">
      <c r="A590" s="15" t="n">
        <f aca="false">Report!C786</f>
        <v>46223</v>
      </c>
      <c r="B590" s="1" t="str">
        <f aca="false">Report!E786</f>
        <v>NEXUS DISTRIBUIDORA</v>
      </c>
      <c r="C590" s="17" t="n">
        <f aca="false">Report!U786</f>
        <v>374.1</v>
      </c>
      <c r="D590" s="1" t="str">
        <f aca="false">Report!X786</f>
        <v>NF 102073 ELLEN</v>
      </c>
    </row>
    <row r="591" customFormat="false" ht="12.75" hidden="false" customHeight="true" outlineLevel="0" collapsed="false">
      <c r="A591" s="15" t="n">
        <f aca="false">Report!C788</f>
        <v>46223</v>
      </c>
      <c r="B591" s="1" t="str">
        <f aca="false">Report!E788</f>
        <v>CRBS S/A</v>
      </c>
      <c r="C591" s="17" t="n">
        <f aca="false">Report!U788</f>
        <v>661.73</v>
      </c>
      <c r="D591" s="1" t="str">
        <f aca="false">Report!X788</f>
        <v>NF 899238 ELLEN</v>
      </c>
    </row>
    <row r="592" customFormat="false" ht="12.75" hidden="false" customHeight="true" outlineLevel="0" collapsed="false">
      <c r="A592" s="15" t="n">
        <f aca="false">Report!C789</f>
        <v>46223</v>
      </c>
      <c r="B592" s="1" t="str">
        <f aca="false">Report!E789</f>
        <v>KAROLINY RODRIGUES SOUZA VENANCIO 915783</v>
      </c>
      <c r="C592" s="17" t="n">
        <f aca="false">Report!U789</f>
        <v>250</v>
      </c>
      <c r="D592" s="1" t="str">
        <f aca="false">Report!X789</f>
        <v>NF 1791 ELLEN</v>
      </c>
    </row>
    <row r="593" customFormat="false" ht="12.75" hidden="false" customHeight="true" outlineLevel="0" collapsed="false">
      <c r="A593" s="15" t="n">
        <f aca="false">Report!C790</f>
        <v>46223</v>
      </c>
      <c r="B593" s="1" t="str">
        <f aca="false">Report!E790</f>
        <v>T. M. L. DA SILVA LTDA</v>
      </c>
      <c r="C593" s="17" t="n">
        <f aca="false">Report!U790</f>
        <v>361.6</v>
      </c>
      <c r="D593" s="1" t="str">
        <f aca="false">Report!X790</f>
        <v>NF 15127 ELLEN</v>
      </c>
    </row>
    <row r="594" customFormat="false" ht="12.75" hidden="false" customHeight="true" outlineLevel="0" collapsed="false">
      <c r="A594" s="15" t="n">
        <f aca="false">Report!C791</f>
        <v>46223</v>
      </c>
      <c r="B594" s="1" t="str">
        <f aca="false">Report!E791</f>
        <v>NOVA FRIOS COMERCIO ATACADISTA DE LATICINIOS LTDA</v>
      </c>
      <c r="C594" s="17" t="n">
        <f aca="false">Report!U791</f>
        <v>216.75</v>
      </c>
      <c r="D594" s="1" t="str">
        <f aca="false">Report!X791</f>
        <v>NF 4058 ELLEN</v>
      </c>
    </row>
    <row r="595" customFormat="false" ht="12.75" hidden="false" customHeight="true" outlineLevel="0" collapsed="false">
      <c r="A595" s="15" t="n">
        <f aca="false">Report!C795</f>
        <v>46223</v>
      </c>
      <c r="B595" s="1" t="str">
        <f aca="false">Report!E795</f>
        <v>J W N DOS SANTOS</v>
      </c>
      <c r="C595" s="17" t="n">
        <f aca="false">Report!U795</f>
        <v>228</v>
      </c>
      <c r="D595" s="1" t="str">
        <f aca="false">Report!X795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NEYLIANE S DE OLIVEIRA &amp; CIA LTDA</v>
      </c>
      <c r="C605" s="17" t="n">
        <f aca="false">Report!U808</f>
        <v>210</v>
      </c>
      <c r="D605" s="1" t="str">
        <f aca="false">Report!X808</f>
        <v>COMPRAS - 15L DE AÇAI - PG NO P 21/7/26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BROTHERS  INDUSTRIA DE ALIMENTOS LTDA</v>
      </c>
      <c r="C606" s="17" t="n">
        <f aca="false">Report!U809</f>
        <v>261.92</v>
      </c>
      <c r="D606" s="1" t="str">
        <f aca="false">Report!X809</f>
        <v>NF 1031749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NESTLÉ BRASIL LTDA.</v>
      </c>
      <c r="C607" s="17" t="n">
        <f aca="false">Report!U810</f>
        <v>712.57</v>
      </c>
      <c r="D607" s="1" t="str">
        <f aca="false">Report!X810</f>
        <v>NF 1427668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PANIFICADORA E CONFEITARIA REAL MADRI LTDA</v>
      </c>
      <c r="C608" s="17" t="n">
        <f aca="false">Report!U811</f>
        <v>184.9</v>
      </c>
      <c r="D608" s="1" t="str">
        <f aca="false">Report!X811</f>
        <v>NF 719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ADICSO FABIAN GONZALEZ MONTILLA 70302186</v>
      </c>
      <c r="C609" s="17" t="n">
        <f aca="false">Report!U812</f>
        <v>180</v>
      </c>
      <c r="D609" s="1" t="str">
        <f aca="false">Report!X812</f>
        <v>NF 535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NEYLIANE S DE OLIVEIRA &amp; CIA LTDA</v>
      </c>
      <c r="C610" s="17" t="n">
        <f aca="false">Report!U813</f>
        <v>1446.94</v>
      </c>
      <c r="D610" s="1" t="str">
        <f aca="false">Report!X813</f>
        <v>FEIRA SR RENATO - PG P LJ 1 - 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FEIRA</v>
      </c>
      <c r="C611" s="17" t="n">
        <f aca="false">Report!U814</f>
        <v>190</v>
      </c>
      <c r="D611" s="1" t="str">
        <f aca="false">Report!X814</f>
        <v>FEIRA SR RENATO - PG P LJ1 (MAÇA) SOMAR C NF2554-ELLEN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55</v>
      </c>
      <c r="D612" s="1" t="str">
        <f aca="false">Report!X815</f>
        <v>FEIRA SR RENATO (1 SC LIMÃO) PG P LJ1 -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Report!C926</f>
        <v>46233</v>
      </c>
      <c r="B701" s="1" t="str">
        <f aca="false">Report!E926</f>
        <v>EMPRESA BRASILEIRA DE DISTRIBUICAO LTDA</v>
      </c>
      <c r="C701" s="17" t="n">
        <f aca="false">Report!U926</f>
        <v>658.6</v>
      </c>
      <c r="D701" s="1" t="str">
        <f aca="false">Report!X926</f>
        <v>NF 2299705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377.46</v>
      </c>
      <c r="D702" s="1" t="str">
        <f aca="false">Report!X927</f>
        <v>NF 2299703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FENNIX BRASIL DISTRIBUIDORA DE PRODUTOS</v>
      </c>
      <c r="C703" s="17" t="n">
        <f aca="false">Report!U928</f>
        <v>321.77</v>
      </c>
      <c r="D703" s="1" t="str">
        <f aca="false">Report!X928</f>
        <v>NF 396261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OESA COMERCIO E REPRESENTACOES S/A</v>
      </c>
      <c r="C704" s="17" t="n">
        <f aca="false">Report!U929</f>
        <v>682.63</v>
      </c>
      <c r="D704" s="1" t="str">
        <f aca="false">Report!X929</f>
        <v>NF 426652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D DE J SANTOS LTDA</v>
      </c>
      <c r="C792" s="17" t="n">
        <f aca="false">Report!U1054</f>
        <v>1040</v>
      </c>
      <c r="D792" s="1" t="str">
        <f aca="false">Report!X1054</f>
        <v>NF 261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BRASIL NORTE BEBIDAS S/A</v>
      </c>
      <c r="C793" s="17" t="n">
        <f aca="false">Report!U1055</f>
        <v>1717.19</v>
      </c>
      <c r="D793" s="1" t="str">
        <f aca="false">Report!X1055</f>
        <v>NF 1949480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203.42</v>
      </c>
      <c r="D794" s="1" t="str">
        <f aca="false">Report!X1056</f>
        <v>NF 1215300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SABIA COMERCIO DE COSMETICOS LTDA</v>
      </c>
      <c r="C795" s="17" t="n">
        <f aca="false">Report!U1057</f>
        <v>306.18</v>
      </c>
      <c r="D795" s="1" t="str">
        <f aca="false">Report!X1057</f>
        <v>NF 253576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EDSON AGUIAR DE SOUZA</v>
      </c>
      <c r="C883" s="17" t="n">
        <f aca="false">Report!U1167</f>
        <v>144.5</v>
      </c>
      <c r="D883" s="1" t="str">
        <f aca="false">Report!X1167</f>
        <v>COMPRAS - CHEIRO-VERDE -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BF COMERCIO DE ALIMENTOS REPRESENTACAO L</v>
      </c>
      <c r="C884" s="17" t="n">
        <f aca="false">Report!U1168</f>
        <v>581.65</v>
      </c>
      <c r="D884" s="1" t="str">
        <f aca="false">Report!X1168</f>
        <v>NF 21130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SOUZA CRUZ LTDA.</v>
      </c>
      <c r="C885" s="17" t="n">
        <f aca="false">Report!U1169</f>
        <v>6409.6</v>
      </c>
      <c r="D885" s="1" t="str">
        <f aca="false">Report!X1169</f>
        <v>NF 568309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DISTRIBUIDORA LOPES LTDA</v>
      </c>
      <c r="C886" s="17" t="n">
        <f aca="false">Report!U1170</f>
        <v>1111.12</v>
      </c>
      <c r="D886" s="1" t="str">
        <f aca="false">Report!X1170</f>
        <v>NF 1698151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MIKITOS IND.COM.DE GEN. ALIM. DO AM. LTD</v>
      </c>
      <c r="C887" s="17" t="n">
        <f aca="false">Report!U1171</f>
        <v>690</v>
      </c>
      <c r="D887" s="1" t="str">
        <f aca="false">Report!X1171</f>
        <v>NF 294640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BONNA VITTA INDUSTRIA E COMERCIO LTDA.</v>
      </c>
      <c r="C888" s="17" t="n">
        <f aca="false">Report!U1172</f>
        <v>740.52</v>
      </c>
      <c r="D888" s="1" t="str">
        <f aca="false">Report!X1172</f>
        <v>NF 1842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ORIENTE COM. ATACADISTA E REPRES. LTDA</v>
      </c>
      <c r="C889" s="17" t="n">
        <f aca="false">Report!U1173</f>
        <v>2975.9</v>
      </c>
      <c r="D889" s="1" t="str">
        <f aca="false">Report!X1173</f>
        <v>NF 3040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120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Report!C1250</f>
        <v>46255</v>
      </c>
      <c r="B954" s="1" t="str">
        <f aca="false">Report!E1250</f>
        <v>PRIME PET DISTRIBUIDORA LTDA</v>
      </c>
      <c r="C954" s="17" t="n">
        <f aca="false">Report!U1250</f>
        <v>1361.81</v>
      </c>
      <c r="D954" s="1" t="str">
        <f aca="false">Report!X1250</f>
        <v>NF 10860 ELLEN</v>
      </c>
    </row>
    <row r="955" customFormat="false" ht="12.75" hidden="false" customHeight="true" outlineLevel="0" collapsed="false">
      <c r="A955" s="15" t="n">
        <f aca="false">Report!C1251</f>
        <v>46255</v>
      </c>
      <c r="B955" s="1" t="str">
        <f aca="false">Report!E1251</f>
        <v>MIKITOS IND.COM.DE GEN. ALIM. DO AM. LTD</v>
      </c>
      <c r="C955" s="17" t="n">
        <f aca="false">Report!U1251</f>
        <v>690</v>
      </c>
      <c r="D955" s="1" t="str">
        <f aca="false">Report!X1251</f>
        <v>NF 294640 ELLEN</v>
      </c>
    </row>
    <row r="956" customFormat="false" ht="12.75" hidden="false" customHeight="true" outlineLevel="0" collapsed="false">
      <c r="A956" s="15" t="n">
        <f aca="false">Report!C1252</f>
        <v>46255</v>
      </c>
      <c r="B956" s="1" t="str">
        <f aca="false">Report!E1252</f>
        <v>BRASIL NORTE BEBIDAS S/A</v>
      </c>
      <c r="C956" s="17" t="n">
        <f aca="false">Report!U1252</f>
        <v>540.41</v>
      </c>
      <c r="D956" s="1" t="str">
        <f aca="false">Report!X1252</f>
        <v>NF 1237147 ELLEN</v>
      </c>
    </row>
    <row r="957" customFormat="false" ht="12.75" hidden="false" customHeight="true" outlineLevel="0" collapsed="false">
      <c r="A957" s="15" t="n">
        <f aca="false">Report!C1253</f>
        <v>46255</v>
      </c>
      <c r="B957" s="1" t="str">
        <f aca="false">Report!E1253</f>
        <v>BRASIL NORTE BEBIDAS S/A</v>
      </c>
      <c r="C957" s="17" t="n">
        <f aca="false">Report!U1253</f>
        <v>3289.2</v>
      </c>
      <c r="D957" s="1" t="str">
        <f aca="false">Report!X1253</f>
        <v>NF 1973888 ELLEN</v>
      </c>
    </row>
    <row r="958" customFormat="false" ht="12.75" hidden="false" customHeight="true" outlineLevel="0" collapsed="false">
      <c r="A958" s="15" t="n">
        <f aca="false">Report!C1254</f>
        <v>46255</v>
      </c>
      <c r="B958" s="1" t="str">
        <f aca="false">Report!E1254</f>
        <v>BRASIL NORTE BEBIDAS S/A</v>
      </c>
      <c r="C958" s="17" t="n">
        <f aca="false">Report!U1254</f>
        <v>201.65</v>
      </c>
      <c r="D958" s="1" t="str">
        <f aca="false">Report!X1254</f>
        <v>NF 1236446 ELLEN</v>
      </c>
    </row>
    <row r="959" customFormat="false" ht="12.75" hidden="false" customHeight="true" outlineLevel="0" collapsed="false">
      <c r="A959" s="15" t="n">
        <f aca="false">Report!C1255</f>
        <v>46255</v>
      </c>
      <c r="B959" s="1" t="str">
        <f aca="false">Report!E1255</f>
        <v>FALCAO INDUSTRIA DE ALIMENTOS LTDA</v>
      </c>
      <c r="C959" s="17" t="n">
        <f aca="false">Report!U1255</f>
        <v>1023.97</v>
      </c>
      <c r="D959" s="1" t="str">
        <f aca="false">Report!X1255</f>
        <v>NF 32318 ELLEN</v>
      </c>
    </row>
    <row r="960" customFormat="false" ht="12.75" hidden="false" customHeight="true" outlineLevel="0" collapsed="false">
      <c r="A960" s="15" t="n">
        <f aca="false">Report!C1256</f>
        <v>46255</v>
      </c>
      <c r="B960" s="1" t="str">
        <f aca="false">Report!E1256</f>
        <v>SOUZA CRUZ LTDA.</v>
      </c>
      <c r="C960" s="17" t="n">
        <f aca="false">Report!U1256</f>
        <v>4470.03</v>
      </c>
      <c r="D960" s="1" t="str">
        <f aca="false">Report!X1256</f>
        <v>NF 569335 ELLEN</v>
      </c>
    </row>
    <row r="961" customFormat="false" ht="12.75" hidden="false" customHeight="true" outlineLevel="0" collapsed="false">
      <c r="A961" s="15" t="n">
        <f aca="false">Report!C1257</f>
        <v>46255</v>
      </c>
      <c r="B961" s="1" t="str">
        <f aca="false">Report!E1257</f>
        <v>LIMA E BARANDA COMERCIO DE PRODUTOS REGI</v>
      </c>
      <c r="C961" s="17" t="n">
        <f aca="false">Report!U1257</f>
        <v>195</v>
      </c>
      <c r="D961" s="1" t="str">
        <f aca="false">Report!X1257</f>
        <v>NF 31936 ELLEN</v>
      </c>
    </row>
    <row r="962" customFormat="false" ht="12.75" hidden="false" customHeight="true" outlineLevel="0" collapsed="false">
      <c r="A962" s="15" t="n">
        <f aca="false">Report!C1258</f>
        <v>46255</v>
      </c>
      <c r="B962" s="1" t="str">
        <f aca="false">Report!E1258</f>
        <v>D DE J SANTOS LTDA</v>
      </c>
      <c r="C962" s="17" t="n">
        <f aca="false">Report!U1258</f>
        <v>1045</v>
      </c>
      <c r="D962" s="1" t="str">
        <f aca="false">Report!X1258</f>
        <v>NF 269 ELLEN</v>
      </c>
    </row>
    <row r="963" customFormat="false" ht="12.75" hidden="false" customHeight="true" outlineLevel="0" collapsed="false">
      <c r="A963" s="15" t="n">
        <f aca="false">Report!C1259</f>
        <v>46255</v>
      </c>
      <c r="B963" s="1" t="str">
        <f aca="false">Report!E1259</f>
        <v>DISTRIBUIDORA LOPES LTDA</v>
      </c>
      <c r="C963" s="17" t="n">
        <f aca="false">Report!U1259</f>
        <v>877.23</v>
      </c>
      <c r="D963" s="1" t="str">
        <f aca="false">Report!X1259</f>
        <v>NF 1711525 ELLEN</v>
      </c>
    </row>
    <row r="964" customFormat="false" ht="12.75" hidden="false" customHeight="true" outlineLevel="0" collapsed="false">
      <c r="A964" s="15" t="n">
        <f aca="false">Report!C1260</f>
        <v>46255</v>
      </c>
      <c r="B964" s="1" t="str">
        <f aca="false">Report!E1260</f>
        <v>NORTELAC DISTRIBUIDORA DE FRIOS LTDA</v>
      </c>
      <c r="C964" s="17" t="n">
        <f aca="false">Report!U1260</f>
        <v>460</v>
      </c>
      <c r="D964" s="1" t="str">
        <f aca="false">Report!X1260</f>
        <v>NF 46106 ELLEN</v>
      </c>
    </row>
    <row r="965" customFormat="false" ht="12.75" hidden="false" customHeight="true" outlineLevel="0" collapsed="false">
      <c r="A965" s="15" t="n">
        <f aca="false">Report!C1261</f>
        <v>46255</v>
      </c>
      <c r="B965" s="1" t="str">
        <f aca="false">Report!E1261</f>
        <v>FRUTAL INDUSTRIA E COMERCIO LTDA</v>
      </c>
      <c r="C965" s="17" t="n">
        <f aca="false">Report!U1261</f>
        <v>571.73</v>
      </c>
      <c r="D965" s="1" t="str">
        <f aca="false">Report!X1261</f>
        <v>NF 228832 ELLEN</v>
      </c>
    </row>
    <row r="966" customFormat="false" ht="12.75" hidden="false" customHeight="true" outlineLevel="0" collapsed="false">
      <c r="A966" s="15" t="n">
        <f aca="false">Report!C1262</f>
        <v>46255</v>
      </c>
      <c r="B966" s="1" t="str">
        <f aca="false">Report!E1262</f>
        <v>JAB COMERCIO DE PRODUTOS ALIMENTICIOS LT</v>
      </c>
      <c r="C966" s="17" t="n">
        <f aca="false">Report!U1262</f>
        <v>142</v>
      </c>
      <c r="D966" s="1" t="str">
        <f aca="false">Report!X1262</f>
        <v>NF 3728 ELLEN</v>
      </c>
    </row>
    <row r="967" customFormat="false" ht="12.75" hidden="false" customHeight="true" outlineLevel="0" collapsed="false">
      <c r="A967" s="15" t="n">
        <f aca="false">Report!C1263</f>
        <v>46255</v>
      </c>
      <c r="B967" s="1" t="str">
        <f aca="false">Report!E1263</f>
        <v>PANIFICADORA E CONFEITARIA REAL MADRI LTDA</v>
      </c>
      <c r="C967" s="17" t="n">
        <f aca="false">Report!U1263</f>
        <v>237.74</v>
      </c>
      <c r="D967" s="1" t="str">
        <f aca="false">Report!X1263</f>
        <v>NF 767 ELLEN</v>
      </c>
    </row>
    <row r="968" customFormat="false" ht="12.75" hidden="false" customHeight="true" outlineLevel="0" collapsed="false">
      <c r="A968" s="15" t="n">
        <f aca="false">Report!C1264</f>
        <v>46256</v>
      </c>
      <c r="B968" s="1" t="str">
        <f aca="false">Report!E1264</f>
        <v>FUNNY PET DISTRIBUIDORA DE ALIMENTOS PAR</v>
      </c>
      <c r="C968" s="17" t="n">
        <f aca="false">Report!U1264</f>
        <v>1501.38</v>
      </c>
      <c r="D968" s="1" t="str">
        <f aca="false">Report!X1264</f>
        <v>NF 21189 ELLEN</v>
      </c>
    </row>
    <row r="969" customFormat="false" ht="12.75" hidden="false" customHeight="true" outlineLevel="0" collapsed="false">
      <c r="A969" s="15" t="n">
        <f aca="false">Report!C1265</f>
        <v>46256</v>
      </c>
      <c r="B969" s="1" t="str">
        <f aca="false">Report!E1265</f>
        <v>OPPORTUNITY ALIMENTOS PARA ANIMAIS LTDA</v>
      </c>
      <c r="C969" s="17" t="n">
        <f aca="false">Report!U1265</f>
        <v>591.07</v>
      </c>
      <c r="D969" s="1" t="str">
        <f aca="false">Report!X1265</f>
        <v>NF 34738 ELLEN</v>
      </c>
    </row>
    <row r="970" customFormat="false" ht="12.75" hidden="false" customHeight="true" outlineLevel="0" collapsed="false">
      <c r="A970" s="23" t="n">
        <f aca="false">Report!C1266</f>
        <v>46256</v>
      </c>
      <c r="B970" s="1" t="str">
        <f aca="false">Report!E1266</f>
        <v>ADRIANA DISTRIBUIDORA DE PRODUTOS ALIMEN</v>
      </c>
      <c r="C970" s="17" t="n">
        <f aca="false">Report!U1266</f>
        <v>1006.03</v>
      </c>
      <c r="D970" s="1" t="str">
        <f aca="false">Report!X1266</f>
        <v>NF 886799 ELLEN</v>
      </c>
    </row>
    <row r="971" customFormat="false" ht="12.75" hidden="false" customHeight="true" outlineLevel="0" collapsed="false">
      <c r="A971" s="23" t="n">
        <f aca="false">Report!C1267</f>
        <v>46256</v>
      </c>
      <c r="B971" s="1" t="str">
        <f aca="false">Report!E1267</f>
        <v>BRAGA TABACARIA EIRELI ME</v>
      </c>
      <c r="C971" s="17" t="n">
        <f aca="false">Report!U1267</f>
        <v>1563.4</v>
      </c>
      <c r="D971" s="1" t="str">
        <f aca="false">Report!X1267</f>
        <v>NF 19579 ELLEN</v>
      </c>
    </row>
    <row r="972" customFormat="false" ht="12.75" hidden="false" customHeight="true" outlineLevel="0" collapsed="false">
      <c r="A972" s="23" t="n">
        <f aca="false">Report!C1268</f>
        <v>46256</v>
      </c>
      <c r="B972" s="1" t="str">
        <f aca="false">Report!E1268</f>
        <v>MARE DISTRIBUIDORA DE BEBIDAS E DE PRODUTOS ALIMENTICIOS LTDA</v>
      </c>
      <c r="C972" s="17" t="n">
        <f aca="false">Report!U1268</f>
        <v>2852.4</v>
      </c>
      <c r="D972" s="1" t="str">
        <f aca="false">Report!X1268</f>
        <v>NF 1414620 ELLEN</v>
      </c>
    </row>
    <row r="973" customFormat="false" ht="12.75" hidden="false" customHeight="true" outlineLevel="0" collapsed="false">
      <c r="A973" s="23" t="n">
        <f aca="false">Report!C1269</f>
        <v>46256</v>
      </c>
      <c r="B973" s="1" t="str">
        <f aca="false">Report!E1269</f>
        <v>J G COMERCIO DE PRODUTOS ALIMENTICIOS LTDA</v>
      </c>
      <c r="C973" s="17" t="n">
        <f aca="false">Report!U1269</f>
        <v>511.98</v>
      </c>
      <c r="D973" s="1" t="str">
        <f aca="false">Report!X1269</f>
        <v>NF 398015 ELLEN</v>
      </c>
    </row>
    <row r="974" customFormat="false" ht="12.75" hidden="false" customHeight="true" outlineLevel="0" collapsed="false">
      <c r="A974" s="23" t="n">
        <f aca="false">Report!C1270</f>
        <v>46256</v>
      </c>
      <c r="B974" s="1" t="str">
        <f aca="false">Report!E1270</f>
        <v>MAXFRI DISTRIUIDORA LTDA</v>
      </c>
      <c r="C974" s="17" t="n">
        <f aca="false">Report!U1270</f>
        <v>3472.5</v>
      </c>
      <c r="D974" s="1" t="str">
        <f aca="false">Report!X1270</f>
        <v>NF 15061 ELLEN</v>
      </c>
    </row>
    <row r="975" customFormat="false" ht="12.75" hidden="false" customHeight="true" outlineLevel="0" collapsed="false">
      <c r="A975" s="23" t="n">
        <f aca="false">Report!C1271</f>
        <v>46257</v>
      </c>
      <c r="B975" s="1" t="str">
        <f aca="false">Report!E1271</f>
        <v>COMERCIO DE FRIOS MANAUS LTDA</v>
      </c>
      <c r="C975" s="17" t="n">
        <f aca="false">Report!U1271</f>
        <v>3814.8</v>
      </c>
      <c r="D975" s="1" t="str">
        <f aca="false">Report!X1271</f>
        <v>NF 174797 ELLEN</v>
      </c>
    </row>
    <row r="976" customFormat="false" ht="12.75" hidden="false" customHeight="true" outlineLevel="0" collapsed="false">
      <c r="A976" s="23" t="n">
        <f aca="false">Report!C1272</f>
        <v>46258</v>
      </c>
      <c r="B976" s="1" t="str">
        <f aca="false">Report!E1272</f>
        <v>FENNIX BRASIL DISTRIBUIDORA DE PRODUTOS</v>
      </c>
      <c r="C976" s="17" t="n">
        <f aca="false">Report!U1272</f>
        <v>416.64</v>
      </c>
      <c r="D976" s="1" t="str">
        <f aca="false">Report!X1272</f>
        <v>NF 315892 ELLEN</v>
      </c>
    </row>
    <row r="977" customFormat="false" ht="12.75" hidden="false" customHeight="true" outlineLevel="0" collapsed="false">
      <c r="A977" s="23" t="n">
        <f aca="false">Report!C1273</f>
        <v>46258</v>
      </c>
      <c r="B977" s="1" t="str">
        <f aca="false">Report!E1273</f>
        <v>ATACADAO S.A.</v>
      </c>
      <c r="C977" s="17" t="n">
        <f aca="false">Report!U1273</f>
        <v>1184.7</v>
      </c>
      <c r="D977" s="1" t="str">
        <f aca="false">Report!X1273</f>
        <v>NF 1915874 ELLEN</v>
      </c>
    </row>
    <row r="978" customFormat="false" ht="12.75" hidden="false" customHeight="true" outlineLevel="0" collapsed="false">
      <c r="A978" s="23" t="n">
        <f aca="false">Report!C1274</f>
        <v>46258</v>
      </c>
      <c r="B978" s="1" t="str">
        <f aca="false">Report!E1274</f>
        <v>BRASIL NORTE BEBIDAS S/A</v>
      </c>
      <c r="C978" s="17" t="n">
        <f aca="false">Report!U1274</f>
        <v>268.07</v>
      </c>
      <c r="D978" s="1" t="str">
        <f aca="false">Report!X1274</f>
        <v>NF 1236941 ELLEN</v>
      </c>
    </row>
    <row r="979" customFormat="false" ht="12.75" hidden="false" customHeight="true" outlineLevel="0" collapsed="false">
      <c r="A979" s="23" t="n">
        <f aca="false">Report!C1275</f>
        <v>46258</v>
      </c>
      <c r="B979" s="1" t="str">
        <f aca="false">Report!E1275</f>
        <v>BRASIL NORTE BEBIDAS S/A</v>
      </c>
      <c r="C979" s="17" t="n">
        <f aca="false">Report!U1275</f>
        <v>360.51</v>
      </c>
      <c r="D979" s="1" t="str">
        <f aca="false">Report!X1275</f>
        <v>NF 1973404 ELLEN</v>
      </c>
    </row>
    <row r="980" customFormat="false" ht="12.75" hidden="false" customHeight="true" outlineLevel="0" collapsed="false">
      <c r="A980" s="23" t="n">
        <f aca="false">Report!C1278</f>
        <v>46258</v>
      </c>
      <c r="B980" s="1" t="str">
        <f aca="false">Report!E1278</f>
        <v>CRBS S/A</v>
      </c>
      <c r="C980" s="17" t="n">
        <f aca="false">Report!U1278</f>
        <v>3733.25</v>
      </c>
      <c r="D980" s="1" t="str">
        <f aca="false">Report!X1278</f>
        <v>NF 957093 ELLEN</v>
      </c>
    </row>
    <row r="981" customFormat="false" ht="12.75" hidden="false" customHeight="true" outlineLevel="0" collapsed="false">
      <c r="A981" s="23" t="n">
        <f aca="false">Report!C1279</f>
        <v>46258</v>
      </c>
      <c r="B981" s="1" t="str">
        <f aca="false">Report!E1279</f>
        <v>NOVA FRIOS COMERCIO ATACADISTA DE LATICINIOS LTDA</v>
      </c>
      <c r="C981" s="17" t="n">
        <f aca="false">Report!U1279</f>
        <v>301.95</v>
      </c>
      <c r="D981" s="1" t="str">
        <f aca="false">Report!X1279</f>
        <v>NF 4402 ELLEN</v>
      </c>
    </row>
    <row r="982" customFormat="false" ht="12.75" hidden="false" customHeight="true" outlineLevel="0" collapsed="false">
      <c r="A982" s="23" t="n">
        <f aca="false">Report!C1282</f>
        <v>46259</v>
      </c>
      <c r="B982" s="1" t="str">
        <f aca="false">Report!E1282</f>
        <v>FE COMERCIO DE MATERIAIS DE CONSTRUCAO</v>
      </c>
      <c r="C982" s="17" t="n">
        <f aca="false">Report!U1282</f>
        <v>818.55</v>
      </c>
      <c r="D982" s="1" t="str">
        <f aca="false">Report!X1282</f>
        <v>NF 4467 ELLEN</v>
      </c>
    </row>
    <row r="983" customFormat="false" ht="12.75" hidden="false" customHeight="true" outlineLevel="0" collapsed="false">
      <c r="A983" s="23" t="n">
        <f aca="false">Report!C1285</f>
        <v>46259</v>
      </c>
      <c r="B983" s="1" t="str">
        <f aca="false">Report!E1285</f>
        <v>BROTHERS  INDUSTRIA DE ALIMENTOS LTDA</v>
      </c>
      <c r="C983" s="17" t="n">
        <f aca="false">Report!U1285</f>
        <v>512.38</v>
      </c>
      <c r="D983" s="1" t="str">
        <f aca="false">Report!X1285</f>
        <v>NF 1037278 ELLEN</v>
      </c>
    </row>
    <row r="984" customFormat="false" ht="12.75" hidden="false" customHeight="true" outlineLevel="0" collapsed="false">
      <c r="A984" s="23" t="n">
        <f aca="false">Report!C1287</f>
        <v>46260</v>
      </c>
      <c r="B984" s="1" t="str">
        <f aca="false">Report!E1287</f>
        <v>BONNA VITTA INDUSTRIA E COMERCIO LTDA.</v>
      </c>
      <c r="C984" s="17" t="n">
        <f aca="false">Report!U1287</f>
        <v>600</v>
      </c>
      <c r="D984" s="1" t="str">
        <f aca="false">Report!X1287</f>
        <v>NF 3231 ELLEN</v>
      </c>
    </row>
    <row r="985" customFormat="false" ht="12.75" hidden="false" customHeight="true" outlineLevel="0" collapsed="false">
      <c r="A985" s="23" t="n">
        <f aca="false">Report!C1288</f>
        <v>46260</v>
      </c>
      <c r="B985" s="1" t="str">
        <f aca="false">Report!E1288</f>
        <v>BRF S A</v>
      </c>
      <c r="C985" s="17" t="n">
        <f aca="false">Report!U1288</f>
        <v>1275.53</v>
      </c>
      <c r="D985" s="1" t="str">
        <f aca="false">Report!X1288</f>
        <v>NF 1616567 ELLEN</v>
      </c>
    </row>
    <row r="986" customFormat="false" ht="12.75" hidden="false" customHeight="true" outlineLevel="0" collapsed="false">
      <c r="A986" s="23" t="n">
        <f aca="false">Report!C1289</f>
        <v>46260</v>
      </c>
      <c r="B986" s="1" t="str">
        <f aca="false">Report!E1289</f>
        <v>ADRIANA DISTRIBUIDORA DE PRODUTOS ALIMEN</v>
      </c>
      <c r="C986" s="17" t="n">
        <f aca="false">Report!U1289</f>
        <v>349</v>
      </c>
      <c r="D986" s="1" t="str">
        <f aca="false">Report!X1289</f>
        <v>NF 889827 ELLEN</v>
      </c>
    </row>
    <row r="987" customFormat="false" ht="12.75" hidden="false" customHeight="true" outlineLevel="0" collapsed="false">
      <c r="A987" s="23" t="n">
        <f aca="false">Report!C1290</f>
        <v>46260</v>
      </c>
      <c r="B987" s="1" t="str">
        <f aca="false">Report!E1290</f>
        <v>DISTRIBUIDORA LOPES LTDA</v>
      </c>
      <c r="C987" s="17" t="n">
        <f aca="false">Report!U1290</f>
        <v>1279.58</v>
      </c>
      <c r="D987" s="1" t="str">
        <f aca="false">Report!X1290</f>
        <v>NF 1709601 ELLEN</v>
      </c>
    </row>
    <row r="988" customFormat="false" ht="12.75" hidden="false" customHeight="true" outlineLevel="0" collapsed="false">
      <c r="A988" s="23" t="n">
        <f aca="false">Report!C1291</f>
        <v>46260</v>
      </c>
      <c r="B988" s="1" t="str">
        <f aca="false">Report!E1291</f>
        <v>FH DISTRIBUIDORA DE ALIM. E BEBIDAS LTDA</v>
      </c>
      <c r="C988" s="17" t="n">
        <f aca="false">Report!U1291</f>
        <v>700.7</v>
      </c>
      <c r="D988" s="1" t="str">
        <f aca="false">Report!X1291</f>
        <v>NF 330057 ELLEN</v>
      </c>
    </row>
    <row r="989" customFormat="false" ht="12.75" hidden="false" customHeight="true" outlineLevel="0" collapsed="false">
      <c r="A989" s="23" t="n">
        <f aca="false">Report!C1292</f>
        <v>46260</v>
      </c>
      <c r="B989" s="1" t="str">
        <f aca="false">Report!E1292</f>
        <v>TOYA INDUSTRIA E COMERCIO LTDA.</v>
      </c>
      <c r="C989" s="17" t="n">
        <f aca="false">Report!U1292</f>
        <v>1050.07</v>
      </c>
      <c r="D989" s="1" t="str">
        <f aca="false">Report!X1292</f>
        <v>NF 257600 ELLEN</v>
      </c>
    </row>
    <row r="990" customFormat="false" ht="12.75" hidden="false" customHeight="true" outlineLevel="0" collapsed="false">
      <c r="A990" s="23" t="n">
        <f aca="false">Report!C1293</f>
        <v>46260</v>
      </c>
      <c r="B990" s="1" t="str">
        <f aca="false">Report!E1293</f>
        <v>BRF S A</v>
      </c>
      <c r="C990" s="17" t="n">
        <f aca="false">Report!U1293</f>
        <v>1164.76</v>
      </c>
      <c r="D990" s="1" t="str">
        <f aca="false">Report!X1293</f>
        <v>NF 1619132 ELLEN</v>
      </c>
    </row>
    <row r="991" customFormat="false" ht="12.75" hidden="false" customHeight="true" outlineLevel="0" collapsed="false">
      <c r="A991" s="23" t="n">
        <f aca="false">Report!C1294</f>
        <v>46260</v>
      </c>
      <c r="B991" s="1" t="str">
        <f aca="false">Report!E1294</f>
        <v>SILVA E SANTOS FRIGORIFICO LTDA</v>
      </c>
      <c r="C991" s="17" t="n">
        <f aca="false">Report!U1294</f>
        <v>1293.6</v>
      </c>
      <c r="D991" s="1" t="str">
        <f aca="false">Report!X1294</f>
        <v>NF 32564 ELLEN</v>
      </c>
    </row>
    <row r="992" customFormat="false" ht="12.75" hidden="false" customHeight="true" outlineLevel="0" collapsed="false">
      <c r="A992" s="23" t="n">
        <f aca="false">Report!C1295</f>
        <v>46260</v>
      </c>
      <c r="B992" s="1" t="str">
        <f aca="false">Report!E1295</f>
        <v>NEYLIANE S DE OLIVEIRA &amp; CIA LTDA</v>
      </c>
      <c r="C992" s="17" t="n">
        <f aca="false">Report!U1295</f>
        <v>300</v>
      </c>
      <c r="D992" s="1" t="str">
        <f aca="false">Report!X1295</f>
        <v>COMPRAS - VISCERAS (BOLETO) - ELLEN</v>
      </c>
    </row>
    <row r="993" customFormat="false" ht="12.75" hidden="false" customHeight="true" outlineLevel="0" collapsed="false">
      <c r="A993" s="23" t="n">
        <f aca="false">Report!C1296</f>
        <v>46261</v>
      </c>
      <c r="B993" s="1" t="str">
        <f aca="false">Report!E1296</f>
        <v>J G COMERCIO DE PRODUTOS ALIMENTICIOS LTDA</v>
      </c>
      <c r="C993" s="17" t="n">
        <f aca="false">Report!U1296</f>
        <v>628.19</v>
      </c>
      <c r="D993" s="1" t="str">
        <f aca="false">Report!X1296</f>
        <v>NF 396443 ELLEN</v>
      </c>
    </row>
    <row r="994" customFormat="false" ht="12.75" hidden="false" customHeight="true" outlineLevel="0" collapsed="false">
      <c r="A994" s="23" t="n">
        <f aca="false">Report!C1297</f>
        <v>46261</v>
      </c>
      <c r="B994" s="1" t="str">
        <f aca="false">Report!E1297</f>
        <v>EDMARA COMERCIO DE HIGIENE PESSOAL LTDA</v>
      </c>
      <c r="C994" s="17" t="n">
        <f aca="false">Report!U1297</f>
        <v>382.62</v>
      </c>
      <c r="D994" s="1" t="str">
        <f aca="false">Report!X1297</f>
        <v>NF 8582 ELLEN</v>
      </c>
    </row>
    <row r="995" customFormat="false" ht="12.75" hidden="false" customHeight="true" outlineLevel="0" collapsed="false">
      <c r="A995" s="23" t="n">
        <f aca="false">Report!C1299</f>
        <v>46261</v>
      </c>
      <c r="B995" s="1" t="str">
        <f aca="false">Report!E1299</f>
        <v>DISTRIBUIDORA LOPES LTDA</v>
      </c>
      <c r="C995" s="17" t="n">
        <f aca="false">Report!U1299</f>
        <v>692.26</v>
      </c>
      <c r="D995" s="1" t="str">
        <f aca="false">Report!X1299</f>
        <v>NF 1710665 ELLEN</v>
      </c>
    </row>
    <row r="996" customFormat="false" ht="12.75" hidden="false" customHeight="true" outlineLevel="0" collapsed="false">
      <c r="A996" s="23" t="n">
        <f aca="false">Report!C1300</f>
        <v>46261</v>
      </c>
      <c r="B996" s="1" t="str">
        <f aca="false">Report!E1300</f>
        <v>FENNIX BRASIL DISTRIBUIDORA DE PRODUTOS</v>
      </c>
      <c r="C996" s="17" t="n">
        <f aca="false">Report!U1300</f>
        <v>668.77</v>
      </c>
      <c r="D996" s="1" t="str">
        <f aca="false">Report!X1300</f>
        <v>NF 398227 ELLEN</v>
      </c>
    </row>
    <row r="997" customFormat="false" ht="12.75" hidden="false" customHeight="true" outlineLevel="0" collapsed="false">
      <c r="A997" s="23" t="n">
        <f aca="false">Report!C1301</f>
        <v>46261</v>
      </c>
      <c r="B997" s="1" t="str">
        <f aca="false">Report!E1301</f>
        <v>OCIDENTAL COMERCIO DE FRIOS LTDA</v>
      </c>
      <c r="C997" s="17" t="n">
        <f aca="false">Report!U1301</f>
        <v>386.74</v>
      </c>
      <c r="D997" s="1" t="str">
        <f aca="false">Report!X1301</f>
        <v>NF 1258801 ELLEN</v>
      </c>
    </row>
    <row r="998" customFormat="false" ht="12.75" hidden="false" customHeight="true" outlineLevel="0" collapsed="false">
      <c r="A998" s="23" t="n">
        <f aca="false">Report!C1302</f>
        <v>46261</v>
      </c>
      <c r="B998" s="1" t="str">
        <f aca="false">Report!E1302</f>
        <v>CB COMERCIO E DISTRIBUIDORA DE ALIMENTOS</v>
      </c>
      <c r="C998" s="17" t="n">
        <f aca="false">Report!U1302</f>
        <v>436.02</v>
      </c>
      <c r="D998" s="1" t="str">
        <f aca="false">Report!X1302</f>
        <v>NF 862791 ELLEN</v>
      </c>
    </row>
    <row r="999" customFormat="false" ht="12.75" hidden="false" customHeight="true" outlineLevel="0" collapsed="false">
      <c r="A999" s="23" t="n">
        <f aca="false">Report!C1303</f>
        <v>46261</v>
      </c>
      <c r="B999" s="1" t="str">
        <f aca="false">Report!E1303</f>
        <v>VICTORIA COMERCIO INTERNACIONAL DE ALIME</v>
      </c>
      <c r="C999" s="17" t="n">
        <f aca="false">Report!U1303</f>
        <v>855.99</v>
      </c>
      <c r="D999" s="1" t="str">
        <f aca="false">Report!X1303</f>
        <v>NF 12793 ELLEN</v>
      </c>
    </row>
    <row r="1000" customFormat="false" ht="12.75" hidden="false" customHeight="true" outlineLevel="0" collapsed="false">
      <c r="A1000" s="23" t="n">
        <f aca="false">Report!C1304</f>
        <v>46261</v>
      </c>
      <c r="B1000" s="1" t="str">
        <f aca="false">Report!E1304</f>
        <v>TAPAJOS COM DE PERFUMARIA COSMETICOS E G</v>
      </c>
      <c r="C1000" s="17" t="n">
        <f aca="false">Report!U1304</f>
        <v>793.82</v>
      </c>
      <c r="D1000" s="1" t="str">
        <f aca="false">Report!X1304</f>
        <v>NF 586415 ELLEN</v>
      </c>
    </row>
    <row r="1001" customFormat="false" ht="12.75" hidden="false" customHeight="true" outlineLevel="0" collapsed="false">
      <c r="A1001" s="23" t="n">
        <f aca="false">Report!C1305</f>
        <v>46262</v>
      </c>
      <c r="B1001" s="1" t="str">
        <f aca="false">Report!E1305</f>
        <v>SOUZA CRUZ LTDA.</v>
      </c>
      <c r="C1001" s="17" t="n">
        <f aca="false">Report!U1305</f>
        <v>4605.48</v>
      </c>
      <c r="D1001" s="1" t="str">
        <f aca="false">Report!X1305</f>
        <v>NF 569335 ELLEN</v>
      </c>
    </row>
    <row r="1002" customFormat="false" ht="12.75" hidden="false" customHeight="true" outlineLevel="0" collapsed="false">
      <c r="A1002" s="23" t="n">
        <f aca="false">Report!C1306</f>
        <v>46262</v>
      </c>
      <c r="B1002" s="1" t="str">
        <f aca="false">Report!E1306</f>
        <v>BRASIL NORTE BEBIDAS S/A</v>
      </c>
      <c r="C1002" s="17" t="n">
        <f aca="false">Report!U1306</f>
        <v>50.85</v>
      </c>
      <c r="D1002" s="1" t="str">
        <f aca="false">Report!X1306</f>
        <v>NF 1246872 ELLEN</v>
      </c>
    </row>
    <row r="1003" customFormat="false" ht="12.75" hidden="false" customHeight="true" outlineLevel="0" collapsed="false">
      <c r="A1003" s="23" t="n">
        <f aca="false">Report!C1307</f>
        <v>46262</v>
      </c>
      <c r="B1003" s="1" t="str">
        <f aca="false">Report!E1307</f>
        <v>BRASIL NORTE BEBIDAS S/A</v>
      </c>
      <c r="C1003" s="17" t="n">
        <f aca="false">Report!U1307</f>
        <v>620.26</v>
      </c>
      <c r="D1003" s="1" t="str">
        <f aca="false">Report!X1307</f>
        <v>NF 1246873 ELLEN</v>
      </c>
    </row>
    <row r="1004" customFormat="false" ht="12.75" hidden="false" customHeight="true" outlineLevel="0" collapsed="false">
      <c r="A1004" s="23" t="n">
        <f aca="false">Report!C1308</f>
        <v>46262</v>
      </c>
      <c r="B1004" s="1" t="str">
        <f aca="false">Report!E1308</f>
        <v>BRASIL NORTE BEBIDAS S/A</v>
      </c>
      <c r="C1004" s="17" t="n">
        <f aca="false">Report!U1308</f>
        <v>2148.12</v>
      </c>
      <c r="D1004" s="1" t="str">
        <f aca="false">Report!X1308</f>
        <v>NF 1986776 ELLEN</v>
      </c>
    </row>
    <row r="1005" customFormat="false" ht="12.75" hidden="false" customHeight="true" outlineLevel="0" collapsed="false">
      <c r="A1005" s="23" t="n">
        <f aca="false">Report!C1309</f>
        <v>46262</v>
      </c>
      <c r="B1005" s="1" t="str">
        <f aca="false">Report!E1309</f>
        <v>L S M COMERCIO DE ALIMENTOS E NAVEGACAO</v>
      </c>
      <c r="C1005" s="17" t="n">
        <f aca="false">Report!U1309</f>
        <v>474.75</v>
      </c>
      <c r="D1005" s="1" t="str">
        <f aca="false">Report!X1309</f>
        <v>NF 311351 ELLEN</v>
      </c>
    </row>
    <row r="1006" customFormat="false" ht="12.75" hidden="false" customHeight="true" outlineLevel="0" collapsed="false">
      <c r="A1006" s="23" t="n">
        <f aca="false">Report!C1310</f>
        <v>46262</v>
      </c>
      <c r="B1006" s="1" t="str">
        <f aca="false">Report!E1310</f>
        <v>COMERCIO DE FRIOS MANAUS LTDA</v>
      </c>
      <c r="C1006" s="17" t="n">
        <f aca="false">Report!U1310</f>
        <v>2334.75</v>
      </c>
      <c r="D1006" s="1" t="str">
        <f aca="false">Report!X1310</f>
        <v>NF 175038 ELLEN</v>
      </c>
    </row>
    <row r="1007" customFormat="false" ht="12.75" hidden="false" customHeight="true" outlineLevel="0" collapsed="false">
      <c r="A1007" s="23" t="n">
        <f aca="false">Report!C1311</f>
        <v>46263</v>
      </c>
      <c r="B1007" s="1" t="str">
        <f aca="false">Report!E1311</f>
        <v>DISTRIBUIDORA FARIAS LTDA.</v>
      </c>
      <c r="C1007" s="17" t="n">
        <f aca="false">Report!U1311</f>
        <v>706.56</v>
      </c>
      <c r="D1007" s="1" t="str">
        <f aca="false">Report!X1311</f>
        <v>NF 689222 ELLEN</v>
      </c>
    </row>
    <row r="1008" customFormat="false" ht="12.75" hidden="false" customHeight="true" outlineLevel="0" collapsed="false">
      <c r="A1008" s="23" t="n">
        <f aca="false">Report!C1312</f>
        <v>46263</v>
      </c>
      <c r="B1008" s="1" t="str">
        <f aca="false">Report!E1312</f>
        <v>DISTRIBUIDORA FARIAS LTDA.</v>
      </c>
      <c r="C1008" s="17" t="n">
        <f aca="false">Report!U1312</f>
        <v>1422.67</v>
      </c>
      <c r="D1008" s="1" t="str">
        <f aca="false">Report!X1312</f>
        <v>NF 689224 ELLEN</v>
      </c>
    </row>
    <row r="1009" customFormat="false" ht="12.75" hidden="false" customHeight="true" outlineLevel="0" collapsed="false">
      <c r="A1009" s="23" t="n">
        <f aca="false">Report!C1314</f>
        <v>46264</v>
      </c>
      <c r="B1009" s="1" t="str">
        <f aca="false">Report!E1314</f>
        <v>PRIME PET DISTRIBUIDORA LTDA</v>
      </c>
      <c r="C1009" s="17" t="n">
        <f aca="false">Report!U1314</f>
        <v>446.28</v>
      </c>
      <c r="D1009" s="1" t="str">
        <f aca="false">Report!X1314</f>
        <v>NF 11173 ELLEN</v>
      </c>
    </row>
    <row r="1010" customFormat="false" ht="12.75" hidden="false" customHeight="true" outlineLevel="0" collapsed="false">
      <c r="A1010" s="23" t="n">
        <f aca="false">Report!C1315</f>
        <v>46265</v>
      </c>
      <c r="B1010" s="1" t="str">
        <f aca="false">Report!E1315</f>
        <v>ATACADAO S.A.</v>
      </c>
      <c r="C1010" s="17" t="n">
        <f aca="false">Report!U1315</f>
        <v>1220.6</v>
      </c>
      <c r="D1010" s="1" t="str">
        <f aca="false">Report!X1315</f>
        <v>NF 1915875 ELLEN</v>
      </c>
    </row>
    <row r="1011" customFormat="false" ht="12.75" hidden="false" customHeight="true" outlineLevel="0" collapsed="false">
      <c r="A1011" s="23" t="n">
        <f aca="false">Report!C1316</f>
        <v>46265</v>
      </c>
      <c r="B1011" s="1" t="str">
        <f aca="false">Report!E1316</f>
        <v>EDSON AGUIAR DE SOUZA</v>
      </c>
      <c r="C1011" s="17" t="n">
        <f aca="false">Report!U1316</f>
        <v>97.5</v>
      </c>
      <c r="D1011" s="1" t="str">
        <f aca="false">Report!X1316</f>
        <v>COMPRAS - CHEIRO-VERDE - ELLEN</v>
      </c>
    </row>
    <row r="1012" customFormat="false" ht="12.75" hidden="false" customHeight="true" outlineLevel="0" collapsed="false">
      <c r="A1012" s="23" t="n">
        <f aca="false">Report!C1317</f>
        <v>46265</v>
      </c>
      <c r="B1012" s="1" t="str">
        <f aca="false">Report!E1317</f>
        <v>EDSON AGUIAR DE SOUZA</v>
      </c>
      <c r="C1012" s="17" t="n">
        <f aca="false">Report!U1317</f>
        <v>151</v>
      </c>
      <c r="D1012" s="1" t="str">
        <f aca="false">Report!X1317</f>
        <v>COMPRAS - CHEIRO-VERDE - ELLEN</v>
      </c>
    </row>
    <row r="1013" customFormat="false" ht="12.75" hidden="false" customHeight="true" outlineLevel="0" collapsed="false">
      <c r="A1013" s="23" t="n">
        <f aca="false">Report!C1318</f>
        <v>46265</v>
      </c>
      <c r="B1013" s="1" t="str">
        <f aca="false">Report!E1318</f>
        <v>MARQUES &amp; MELO LTDA - FILIAL</v>
      </c>
      <c r="C1013" s="17" t="n">
        <f aca="false">Report!U1318</f>
        <v>470.34</v>
      </c>
      <c r="D1013" s="1" t="str">
        <f aca="false">Report!X1318</f>
        <v>NF 508442 ELLEN</v>
      </c>
    </row>
    <row r="1014" customFormat="false" ht="12.75" hidden="false" customHeight="true" outlineLevel="0" collapsed="false">
      <c r="A1014" s="23" t="n">
        <f aca="false">Report!C1319</f>
        <v>46265</v>
      </c>
      <c r="B1014" s="1" t="str">
        <f aca="false">Report!E1319</f>
        <v>DURAES DISTRIBUIDORA DE ESTIVAS LTDA</v>
      </c>
      <c r="C1014" s="17" t="n">
        <f aca="false">Report!U1319</f>
        <v>431.3</v>
      </c>
      <c r="D1014" s="1" t="str">
        <f aca="false">Report!X1319</f>
        <v>NF 654908 ELLEN</v>
      </c>
    </row>
    <row r="1015" customFormat="false" ht="12.75" hidden="false" customHeight="true" outlineLevel="0" collapsed="false">
      <c r="A1015" s="23" t="n">
        <f aca="false">Report!C1320</f>
        <v>46265</v>
      </c>
      <c r="B1015" s="1" t="str">
        <f aca="false">Report!E1320</f>
        <v>DURAES DISTRIBUIDORA DE ESTIVAS LTDA</v>
      </c>
      <c r="C1015" s="17" t="n">
        <f aca="false">Report!U1320</f>
        <v>606.55</v>
      </c>
      <c r="D1015" s="1" t="str">
        <f aca="false">Report!X1320</f>
        <v>NF 654907 ELLEN</v>
      </c>
    </row>
    <row r="1016" customFormat="false" ht="12.75" hidden="false" customHeight="true" outlineLevel="0" collapsed="false">
      <c r="A1016" s="23" t="n">
        <f aca="false">Report!C1321</f>
        <v>46265</v>
      </c>
      <c r="B1016" s="1" t="str">
        <f aca="false">Report!E1321</f>
        <v>EDSON AGUIAR DE SOUZA</v>
      </c>
      <c r="C1016" s="17" t="n">
        <f aca="false">Report!U1321</f>
        <v>156</v>
      </c>
      <c r="D1016" s="1" t="str">
        <f aca="false">Report!X1321</f>
        <v>COMPRAS - CHEIRO-VERDE - ELLEN</v>
      </c>
    </row>
    <row r="1017" customFormat="false" ht="12.75" hidden="false" customHeight="true" outlineLevel="0" collapsed="false">
      <c r="A1017" s="23" t="n">
        <f aca="false">Report!C1324</f>
        <v>46266</v>
      </c>
      <c r="B1017" s="1" t="str">
        <f aca="false">Report!E1324</f>
        <v>A. CORREA JUNIOR</v>
      </c>
      <c r="C1017" s="17" t="n">
        <f aca="false">Report!U1324</f>
        <v>1290.16</v>
      </c>
      <c r="D1017" s="1" t="str">
        <f aca="false">Report!X1324</f>
        <v>NF 1829 CARTÃO DIA 1 PARC 3/3 - ELLEN</v>
      </c>
    </row>
    <row r="1018" customFormat="false" ht="12.75" hidden="false" customHeight="true" outlineLevel="0" collapsed="false">
      <c r="A1018" s="23" t="n">
        <f aca="false">Report!C1325</f>
        <v>46266</v>
      </c>
      <c r="B1018" s="1" t="str">
        <f aca="false">Report!E1325</f>
        <v>FUNNY PET DISTRIBUIDORA DE ALIMENTOS PAR</v>
      </c>
      <c r="C1018" s="17" t="n">
        <f aca="false">Report!U1325</f>
        <v>1501.38</v>
      </c>
      <c r="D1018" s="1" t="str">
        <f aca="false">Report!X1325</f>
        <v>NF 21189 ELLEN</v>
      </c>
    </row>
    <row r="1019" customFormat="false" ht="12.75" hidden="false" customHeight="true" outlineLevel="0" collapsed="false">
      <c r="A1019" s="23" t="n">
        <f aca="false">Report!C1326</f>
        <v>46266</v>
      </c>
      <c r="B1019" s="1" t="str">
        <f aca="false">Report!E1326</f>
        <v>OPPORTUNITY ALIMENTOS PARA ANIMAIS LTDA</v>
      </c>
      <c r="C1019" s="17" t="n">
        <f aca="false">Report!U1326</f>
        <v>591.07</v>
      </c>
      <c r="D1019" s="1" t="str">
        <f aca="false">Report!X1326</f>
        <v>NF 34738 ELLEN</v>
      </c>
    </row>
    <row r="1020" customFormat="false" ht="12.75" hidden="false" customHeight="true" outlineLevel="0" collapsed="false">
      <c r="A1020" s="23" t="n">
        <f aca="false">Report!C1328</f>
        <v>46266</v>
      </c>
      <c r="B1020" s="1" t="str">
        <f aca="false">Report!E1328</f>
        <v>A. CORREA JUNIOR</v>
      </c>
      <c r="C1020" s="17" t="n">
        <f aca="false">Report!U1328</f>
        <v>638.75</v>
      </c>
      <c r="D1020" s="1" t="str">
        <f aca="false">Report!X1328</f>
        <v>NF 1898 CT DIA 1 - PARC 1/2 - ELLEN</v>
      </c>
    </row>
    <row r="1021" customFormat="false" ht="12.75" hidden="false" customHeight="true" outlineLevel="0" collapsed="false">
      <c r="A1021" s="23" t="n">
        <f aca="false">Report!C1329</f>
        <v>46266</v>
      </c>
      <c r="B1021" s="1" t="str">
        <f aca="false">Report!E1329</f>
        <v>PIARARA COMERCIO, IMPORTACAO E EXPORTACAO LTDA</v>
      </c>
      <c r="C1021" s="17" t="n">
        <f aca="false">Report!U1329</f>
        <v>599.85</v>
      </c>
      <c r="D1021" s="1" t="str">
        <f aca="false">Report!X1329</f>
        <v>NF 195597 ELLEN</v>
      </c>
    </row>
    <row r="1022" customFormat="false" ht="12.75" hidden="false" customHeight="true" outlineLevel="0" collapsed="false">
      <c r="A1022" s="23" t="n">
        <f aca="false">Report!C1330</f>
        <v>46266</v>
      </c>
      <c r="B1022" s="1" t="str">
        <f aca="false">Report!E1330</f>
        <v>ROCHA E PAIVA LTDA</v>
      </c>
      <c r="C1022" s="17" t="n">
        <f aca="false">Report!U1330</f>
        <v>584.64</v>
      </c>
      <c r="D1022" s="1" t="str">
        <f aca="false">Report!X1330</f>
        <v>NF 211355 ELLEN</v>
      </c>
    </row>
    <row r="1023" customFormat="false" ht="12.75" hidden="false" customHeight="true" outlineLevel="0" collapsed="false">
      <c r="A1023" s="23" t="n">
        <f aca="false">Report!C1331</f>
        <v>46266</v>
      </c>
      <c r="B1023" s="1" t="str">
        <f aca="false">Report!E1331</f>
        <v>BRASIL NORTE BEBIDAS S/A</v>
      </c>
      <c r="C1023" s="17" t="n">
        <f aca="false">Report!U1331</f>
        <v>2351.65</v>
      </c>
      <c r="D1023" s="1" t="str">
        <f aca="false">Report!X1331</f>
        <v>NF 1993231 ELLEN</v>
      </c>
    </row>
    <row r="1024" customFormat="false" ht="12.75" hidden="false" customHeight="true" outlineLevel="0" collapsed="false">
      <c r="A1024" s="23" t="n">
        <f aca="false">Report!C1332</f>
        <v>46266</v>
      </c>
      <c r="B1024" s="1" t="str">
        <f aca="false">Report!E1332</f>
        <v>J. A. F. DE LIMA</v>
      </c>
      <c r="C1024" s="17" t="n">
        <f aca="false">Report!U1332</f>
        <v>645.72</v>
      </c>
      <c r="D1024" s="1" t="str">
        <f aca="false">Report!X1332</f>
        <v>NF 160332 ELLEN</v>
      </c>
    </row>
    <row r="1025" customFormat="false" ht="12.75" hidden="false" customHeight="true" outlineLevel="0" collapsed="false">
      <c r="A1025" s="23" t="n">
        <f aca="false">Report!C1333</f>
        <v>46266</v>
      </c>
      <c r="B1025" s="1" t="str">
        <f aca="false">Report!E1333</f>
        <v>BONNA VITTA INDUSTRIA E COMERCIO LTDA.</v>
      </c>
      <c r="C1025" s="17" t="n">
        <f aca="false">Report!U1333</f>
        <v>1276.2</v>
      </c>
      <c r="D1025" s="1" t="str">
        <f aca="false">Report!X1333</f>
        <v>NF 3745 ELLEN</v>
      </c>
    </row>
    <row r="1026" customFormat="false" ht="12.75" hidden="false" customHeight="true" outlineLevel="0" collapsed="false">
      <c r="A1026" s="23" t="n">
        <f aca="false">Report!C1334</f>
        <v>46266</v>
      </c>
      <c r="B1026" s="1" t="str">
        <f aca="false">Report!E1334</f>
        <v>SUPER CANCUN COMERCIO DE PRODUTOS ALIMEN</v>
      </c>
      <c r="C1026" s="17" t="n">
        <f aca="false">Report!U1334</f>
        <v>548.18</v>
      </c>
      <c r="D1026" s="1" t="str">
        <f aca="false">Report!X1334</f>
        <v>NF 265359 ELLEN</v>
      </c>
    </row>
    <row r="1027" customFormat="false" ht="12.75" hidden="false" customHeight="true" outlineLevel="0" collapsed="false">
      <c r="A1027" s="23" t="n">
        <f aca="false">Report!C1335</f>
        <v>46266</v>
      </c>
      <c r="B1027" s="1" t="str">
        <f aca="false">Report!E1335</f>
        <v>L. J. DA SILVA LTDA</v>
      </c>
      <c r="C1027" s="17" t="n">
        <f aca="false">Report!U1335</f>
        <v>421</v>
      </c>
      <c r="D1027" s="1" t="str">
        <f aca="false">Report!X1335</f>
        <v>NF 37213 ELLEN</v>
      </c>
    </row>
    <row r="1028" customFormat="false" ht="12.75" hidden="false" customHeight="true" outlineLevel="0" collapsed="false">
      <c r="A1028" s="23" t="n">
        <f aca="false">Report!C1336</f>
        <v>46267</v>
      </c>
      <c r="B1028" s="1" t="str">
        <f aca="false">Report!E1336</f>
        <v>DISTRIBUIDORA LOPES LTDA</v>
      </c>
      <c r="C1028" s="17" t="n">
        <f aca="false">Report!U1336</f>
        <v>1279.58</v>
      </c>
      <c r="D1028" s="1" t="str">
        <f aca="false">Report!X1336</f>
        <v>NF 1709601 ELLEN</v>
      </c>
    </row>
    <row r="1029" customFormat="false" ht="12.75" hidden="false" customHeight="true" outlineLevel="0" collapsed="false">
      <c r="A1029" s="23" t="n">
        <f aca="false">Report!C1337</f>
        <v>46267</v>
      </c>
      <c r="B1029" s="1" t="str">
        <f aca="false">Report!E1337</f>
        <v>FH DISTRIBUIDORA DE ALIM. E BEBIDAS LTDA</v>
      </c>
      <c r="C1029" s="17" t="n">
        <f aca="false">Report!U1337</f>
        <v>700.7</v>
      </c>
      <c r="D1029" s="1" t="str">
        <f aca="false">Report!X1337</f>
        <v>NF 330057 ELLEN</v>
      </c>
    </row>
    <row r="1030" customFormat="false" ht="12.75" hidden="false" customHeight="true" outlineLevel="0" collapsed="false">
      <c r="A1030" s="23" t="n">
        <f aca="false">Report!C1338</f>
        <v>46267</v>
      </c>
      <c r="B1030" s="1" t="str">
        <f aca="false">Report!E1338</f>
        <v>VIA CERTA INDUSTRIA E COMERCIO DE SANEANTES LTDA</v>
      </c>
      <c r="C1030" s="17" t="n">
        <f aca="false">Report!U1338</f>
        <v>205.44</v>
      </c>
      <c r="D1030" s="1" t="str">
        <f aca="false">Report!X1338</f>
        <v>NF 44054 ELLEN</v>
      </c>
    </row>
    <row r="1031" customFormat="false" ht="12.75" hidden="false" customHeight="true" outlineLevel="0" collapsed="false">
      <c r="A1031" s="23" t="n">
        <f aca="false">Report!C1339</f>
        <v>46267</v>
      </c>
      <c r="B1031" s="1" t="str">
        <f aca="false">Report!E1339</f>
        <v>RISADINHA LTDA</v>
      </c>
      <c r="C1031" s="17" t="n">
        <f aca="false">Report!U1339</f>
        <v>830.14</v>
      </c>
      <c r="D1031" s="1" t="str">
        <f aca="false">Report!X1339</f>
        <v>NF 668739 ELLEN</v>
      </c>
    </row>
    <row r="1032" customFormat="false" ht="12.75" hidden="false" customHeight="true" outlineLevel="0" collapsed="false">
      <c r="A1032" s="23" t="n">
        <f aca="false">Report!C1340</f>
        <v>46267</v>
      </c>
      <c r="B1032" s="1" t="str">
        <f aca="false">Report!E1340</f>
        <v>BRF S A</v>
      </c>
      <c r="C1032" s="17" t="n">
        <f aca="false">Report!U1340</f>
        <v>1164.76</v>
      </c>
      <c r="D1032" s="1" t="str">
        <f aca="false">Report!X1340</f>
        <v>NF 1619132 ELLEN</v>
      </c>
    </row>
    <row r="1033" customFormat="false" ht="12.75" hidden="false" customHeight="true" outlineLevel="0" collapsed="false">
      <c r="A1033" s="15" t="n">
        <f aca="false">Report!C1341</f>
        <v>46267</v>
      </c>
      <c r="B1033" s="1" t="str">
        <f aca="false">Report!E1341</f>
        <v>EMPRESA BRASILEIRA DE DISTRIBUICAO LTDA</v>
      </c>
      <c r="C1033" s="17" t="n">
        <f aca="false">Report!U1341</f>
        <v>1154.64</v>
      </c>
      <c r="D1033" s="1" t="str">
        <f aca="false">Report!X1341</f>
        <v>NF 2310769 ELLEN</v>
      </c>
    </row>
    <row r="1034" customFormat="false" ht="12.75" hidden="false" customHeight="true" outlineLevel="0" collapsed="false">
      <c r="A1034" s="15" t="n">
        <f aca="false">Report!C1342</f>
        <v>46268</v>
      </c>
      <c r="B1034" s="1" t="str">
        <f aca="false">Report!E1342</f>
        <v>BRASIL NORTE BEBIDAS S/A</v>
      </c>
      <c r="C1034" s="17" t="n">
        <f aca="false">Report!U1342</f>
        <v>77.62</v>
      </c>
      <c r="D1034" s="1" t="str">
        <f aca="false">Report!X1342</f>
        <v>NF 1236492 ELLEN</v>
      </c>
    </row>
    <row r="1035" customFormat="false" ht="12.75" hidden="false" customHeight="true" outlineLevel="0" collapsed="false">
      <c r="A1035" s="15" t="n">
        <f aca="false">Report!C1344</f>
        <v>46268</v>
      </c>
      <c r="B1035" s="1" t="str">
        <f aca="false">Report!E1344</f>
        <v>DISTRIBUIDORA LOPES LTDA</v>
      </c>
      <c r="C1035" s="17" t="n">
        <f aca="false">Report!U1344</f>
        <v>692.26</v>
      </c>
      <c r="D1035" s="1" t="str">
        <f aca="false">Report!X1344</f>
        <v>NF 1710665 ELLEN</v>
      </c>
    </row>
    <row r="1036" customFormat="false" ht="12.75" hidden="false" customHeight="true" outlineLevel="0" collapsed="false">
      <c r="A1036" s="15" t="n">
        <f aca="false">Report!C1345</f>
        <v>46268</v>
      </c>
      <c r="B1036" s="1" t="str">
        <f aca="false">Report!E1345</f>
        <v>FENNIX BRASIL DISTRIBUIDORA DE PRODUTOS</v>
      </c>
      <c r="C1036" s="17" t="n">
        <f aca="false">Report!U1345</f>
        <v>668.78</v>
      </c>
      <c r="D1036" s="1" t="str">
        <f aca="false">Report!X1345</f>
        <v>NF 398227 ELLEN</v>
      </c>
    </row>
    <row r="1037" customFormat="false" ht="12.75" hidden="false" customHeight="true" outlineLevel="0" collapsed="false">
      <c r="A1037" s="15" t="n">
        <f aca="false">Report!C1346</f>
        <v>46268</v>
      </c>
      <c r="B1037" s="1" t="str">
        <f aca="false">Report!E1346</f>
        <v>AGM INDUSTRIA COMERCIO E REPRESENTACAO LTDA</v>
      </c>
      <c r="C1037" s="17" t="n">
        <f aca="false">Report!U1346</f>
        <v>1130.5</v>
      </c>
      <c r="D1037" s="1" t="str">
        <f aca="false">Report!X1346</f>
        <v>NF 48205 ELLEN</v>
      </c>
    </row>
    <row r="1038" customFormat="false" ht="12.75" hidden="false" customHeight="true" outlineLevel="0" collapsed="false">
      <c r="A1038" s="15" t="n">
        <f aca="false">Report!C1347</f>
        <v>46268</v>
      </c>
      <c r="B1038" s="1" t="str">
        <f aca="false">Report!E1347</f>
        <v>IRMÃOS LIMA  ATACADO  DE ALIMENTOS LTDA</v>
      </c>
      <c r="C1038" s="17" t="n">
        <f aca="false">Report!U1347</f>
        <v>1120.76</v>
      </c>
      <c r="D1038" s="1" t="str">
        <f aca="false">Report!X1347</f>
        <v>NF 297321 ELLEN</v>
      </c>
    </row>
    <row r="1039" customFormat="false" ht="12.75" hidden="false" customHeight="true" outlineLevel="0" collapsed="false">
      <c r="A1039" s="15" t="n">
        <f aca="false">Report!C1348</f>
        <v>46268</v>
      </c>
      <c r="B1039" s="1" t="str">
        <f aca="false">Report!E1348</f>
        <v>TAPAJOS COM DE PERFUMARIA COSMETICOS E G</v>
      </c>
      <c r="C1039" s="17" t="n">
        <f aca="false">Report!U1348</f>
        <v>793.81</v>
      </c>
      <c r="D1039" s="1" t="str">
        <f aca="false">Report!X1348</f>
        <v>NF 586415 ELLEN</v>
      </c>
    </row>
    <row r="1040" customFormat="false" ht="12.75" hidden="false" customHeight="true" outlineLevel="0" collapsed="false">
      <c r="A1040" s="15" t="n">
        <f aca="false">Report!C1351</f>
        <v>46269</v>
      </c>
      <c r="B1040" s="1" t="str">
        <f aca="false">Report!E1351</f>
        <v>VIA CERTA IMPORTACAO E DISTRIBUICAO DE A</v>
      </c>
      <c r="C1040" s="17" t="n">
        <f aca="false">Report!U1351</f>
        <v>1393.49</v>
      </c>
      <c r="D1040" s="1" t="str">
        <f aca="false">Report!X1351</f>
        <v>NF 53859 ELLEN</v>
      </c>
    </row>
    <row r="1041" customFormat="false" ht="12.75" hidden="false" customHeight="true" outlineLevel="0" collapsed="false">
      <c r="A1041" s="15" t="n">
        <f aca="false">Report!C1352</f>
        <v>46269</v>
      </c>
      <c r="B1041" s="1" t="str">
        <f aca="false">Report!E1352</f>
        <v>DUNORTE DISTRIBUIDORA DE PRODUTOS DE CONSUMO LTDA</v>
      </c>
      <c r="C1041" s="17" t="n">
        <f aca="false">Report!U1352</f>
        <v>748.32</v>
      </c>
      <c r="D1041" s="1" t="str">
        <f aca="false">Report!X1352</f>
        <v>NF 3237036 ELLEN</v>
      </c>
    </row>
    <row r="1042" customFormat="false" ht="12.75" hidden="false" customHeight="true" outlineLevel="0" collapsed="false">
      <c r="A1042" s="15" t="n">
        <f aca="false">Report!C1353</f>
        <v>46269</v>
      </c>
      <c r="B1042" s="1" t="str">
        <f aca="false">Report!E1353</f>
        <v>L S M COMERCIO DE ALIMENTOS E NAVEGACAO</v>
      </c>
      <c r="C1042" s="17" t="n">
        <f aca="false">Report!U1353</f>
        <v>474.75</v>
      </c>
      <c r="D1042" s="1" t="str">
        <f aca="false">Report!X1353</f>
        <v>NF 311351 ELLEN</v>
      </c>
    </row>
    <row r="1043" customFormat="false" ht="12.75" hidden="false" customHeight="true" outlineLevel="0" collapsed="false">
      <c r="A1043" s="15" t="n">
        <f aca="false">Report!C1355</f>
        <v>46270</v>
      </c>
      <c r="B1043" s="1" t="str">
        <f aca="false">Report!E1355</f>
        <v>DISTRIBUIDORA FARIAS LTDA.</v>
      </c>
      <c r="C1043" s="17" t="n">
        <f aca="false">Report!U1355</f>
        <v>706.56</v>
      </c>
      <c r="D1043" s="1" t="str">
        <f aca="false">Report!X1355</f>
        <v>NF 689222 ELLEN</v>
      </c>
    </row>
    <row r="1044" customFormat="false" ht="12.75" hidden="false" customHeight="true" outlineLevel="0" collapsed="false">
      <c r="A1044" s="15" t="n">
        <f aca="false">Report!C1356</f>
        <v>46270</v>
      </c>
      <c r="B1044" s="1" t="str">
        <f aca="false">Report!E1356</f>
        <v>DISTRIBUIDORA FARIAS LTDA.</v>
      </c>
      <c r="C1044" s="17" t="n">
        <f aca="false">Report!U1356</f>
        <v>1422.67</v>
      </c>
      <c r="D1044" s="1" t="str">
        <f aca="false">Report!X1356</f>
        <v>NF 689224 ELLEN</v>
      </c>
    </row>
    <row r="1045" customFormat="false" ht="12.75" hidden="false" customHeight="true" outlineLevel="0" collapsed="false">
      <c r="A1045" s="15" t="n">
        <f aca="false">Report!C1358</f>
        <v>46272</v>
      </c>
      <c r="B1045" s="1" t="str">
        <f aca="false">Report!E1358</f>
        <v>NATUREZA COMERCIO DE DESCARTAVEIS LTDA</v>
      </c>
      <c r="C1045" s="17" t="n">
        <f aca="false">Report!U1358</f>
        <v>509.85</v>
      </c>
      <c r="D1045" s="1" t="str">
        <f aca="false">Report!X1358</f>
        <v>NF 747704 ELLEN</v>
      </c>
    </row>
    <row r="1046" customFormat="false" ht="12.75" hidden="false" customHeight="true" outlineLevel="0" collapsed="false">
      <c r="A1046" s="15" t="n">
        <f aca="false">Report!C1359</f>
        <v>46272</v>
      </c>
      <c r="B1046" s="1" t="str">
        <f aca="false">Report!E1359</f>
        <v>TAPAJOS COM DE PERFUMARIA COSMETICOS E G</v>
      </c>
      <c r="C1046" s="17" t="n">
        <f aca="false">Report!U1359</f>
        <v>271.2</v>
      </c>
      <c r="D1046" s="1" t="str">
        <f aca="false">Report!X1359</f>
        <v>NF 586317 ELLEN</v>
      </c>
    </row>
    <row r="1047" customFormat="false" ht="12.75" hidden="false" customHeight="true" outlineLevel="0" collapsed="false">
      <c r="A1047" s="15" t="n">
        <f aca="false">Report!C1360</f>
        <v>46272</v>
      </c>
      <c r="B1047" s="1" t="str">
        <f aca="false">Report!E1360</f>
        <v>BF COMERCIO DE ALIMENTOS REPRESENTACAO L</v>
      </c>
      <c r="C1047" s="17" t="n">
        <f aca="false">Report!U1360</f>
        <v>691.91</v>
      </c>
      <c r="D1047" s="1" t="str">
        <f aca="false">Report!X1360</f>
        <v>NF 21279 ELLEN</v>
      </c>
    </row>
    <row r="1048" customFormat="false" ht="12.75" hidden="false" customHeight="true" outlineLevel="0" collapsed="false">
      <c r="A1048" s="15" t="n">
        <f aca="false">Report!C1361</f>
        <v>46272</v>
      </c>
      <c r="B1048" s="1" t="str">
        <f aca="false">Report!E1361</f>
        <v>DUNORTE DISTRIBUIDORA DE PRODUTOS DE CONSUMO LTDA</v>
      </c>
      <c r="C1048" s="17" t="n">
        <f aca="false">Report!U1361</f>
        <v>1352.12</v>
      </c>
      <c r="D1048" s="1" t="str">
        <f aca="false">Report!X1361</f>
        <v>NF 3237634 ELLEN</v>
      </c>
    </row>
    <row r="1049" customFormat="false" ht="12.75" hidden="false" customHeight="true" outlineLevel="0" collapsed="false">
      <c r="A1049" s="15" t="n">
        <f aca="false">Report!C1362</f>
        <v>46272</v>
      </c>
      <c r="B1049" s="1" t="str">
        <f aca="false">Report!E1362</f>
        <v>DURAES DISTRIBUIDORA DE ESTIVAS LTDA</v>
      </c>
      <c r="C1049" s="17" t="n">
        <f aca="false">Report!U1362</f>
        <v>606.56</v>
      </c>
      <c r="D1049" s="1" t="str">
        <f aca="false">Report!X1362</f>
        <v>NF 654907 ELLEN</v>
      </c>
    </row>
    <row r="1050" customFormat="false" ht="12.75" hidden="false" customHeight="true" outlineLevel="0" collapsed="false">
      <c r="A1050" s="15" t="n">
        <f aca="false">Report!C1363</f>
        <v>46272</v>
      </c>
      <c r="B1050" s="1" t="str">
        <f aca="false">Report!E1363</f>
        <v>MAXPEL COMERCIAL LTDA</v>
      </c>
      <c r="C1050" s="17" t="n">
        <f aca="false">Report!U1363</f>
        <v>983.76</v>
      </c>
      <c r="D1050" s="1" t="str">
        <f aca="false">Report!X1363</f>
        <v>NFS 319296/319297 - ELLEN</v>
      </c>
    </row>
    <row r="1051" customFormat="false" ht="12.75" hidden="false" customHeight="true" outlineLevel="0" collapsed="false">
      <c r="A1051" s="15" t="n">
        <f aca="false">Report!C1364</f>
        <v>46273</v>
      </c>
      <c r="B1051" s="1" t="str">
        <f aca="false">Report!E1364</f>
        <v>ATACADAO S.A.</v>
      </c>
      <c r="C1051" s="17" t="n">
        <f aca="false">Report!U1364</f>
        <v>1184.7</v>
      </c>
      <c r="D1051" s="1" t="str">
        <f aca="false">Report!X1364</f>
        <v>NF 1915876 ELLEN</v>
      </c>
    </row>
    <row r="1052" customFormat="false" ht="12.75" hidden="false" customHeight="true" outlineLevel="0" collapsed="false">
      <c r="A1052" s="15" t="n">
        <f aca="false">Report!C1365</f>
        <v>46273</v>
      </c>
      <c r="B1052" s="1" t="str">
        <f aca="false">Report!E1365</f>
        <v>PIARARA COMERCIO, IMPORTACAO E EXPORTACAO LTDA</v>
      </c>
      <c r="C1052" s="17" t="n">
        <f aca="false">Report!U1365</f>
        <v>599.85</v>
      </c>
      <c r="D1052" s="1" t="str">
        <f aca="false">Report!X1365</f>
        <v>NF 195597 ELLEN</v>
      </c>
    </row>
    <row r="1053" customFormat="false" ht="12.75" hidden="false" customHeight="true" outlineLevel="0" collapsed="false">
      <c r="A1053" s="15" t="n">
        <f aca="false">Report!C1366</f>
        <v>46273</v>
      </c>
      <c r="B1053" s="1" t="str">
        <f aca="false">Report!E1366</f>
        <v>ROCHA E PAIVA LTDA</v>
      </c>
      <c r="C1053" s="17" t="n">
        <f aca="false">Report!U1366</f>
        <v>584.64</v>
      </c>
      <c r="D1053" s="1" t="str">
        <f aca="false">Report!X1366</f>
        <v>NF 211355 ELLEN</v>
      </c>
    </row>
    <row r="1054" customFormat="false" ht="12.75" hidden="false" customHeight="true" outlineLevel="0" collapsed="false">
      <c r="A1054" s="15" t="n">
        <f aca="false">Report!C1367</f>
        <v>46273</v>
      </c>
      <c r="B1054" s="1" t="str">
        <f aca="false">Report!E1367</f>
        <v>J. A. F. DE LIMA</v>
      </c>
      <c r="C1054" s="17" t="n">
        <f aca="false">Report!U1367</f>
        <v>645.71</v>
      </c>
      <c r="D1054" s="1" t="str">
        <f aca="false">Report!X1367</f>
        <v>NF 160332 ELLEN</v>
      </c>
    </row>
    <row r="1055" customFormat="false" ht="12.75" hidden="false" customHeight="true" outlineLevel="0" collapsed="false">
      <c r="A1055" s="15" t="n">
        <f aca="false">Report!C1368</f>
        <v>46273</v>
      </c>
      <c r="B1055" s="1" t="str">
        <f aca="false">Report!E1368</f>
        <v>SUPER CANCUN COMERCIO DE PRODUTOS ALIMEN</v>
      </c>
      <c r="C1055" s="17" t="n">
        <f aca="false">Report!U1368</f>
        <v>548.18</v>
      </c>
      <c r="D1055" s="1" t="str">
        <f aca="false">Report!X1368</f>
        <v>NF 265359 ELLEN</v>
      </c>
    </row>
    <row r="1056" customFormat="false" ht="12.75" hidden="false" customHeight="true" outlineLevel="0" collapsed="false">
      <c r="A1056" s="15" t="n">
        <f aca="false">Report!C1369</f>
        <v>46273</v>
      </c>
      <c r="B1056" s="1" t="str">
        <f aca="false">Report!E1369</f>
        <v>L. J. DA SILVA LTDA</v>
      </c>
      <c r="C1056" s="17" t="n">
        <f aca="false">Report!U1369</f>
        <v>421</v>
      </c>
      <c r="D1056" s="1" t="str">
        <f aca="false">Report!X1369</f>
        <v>NF 37213 ELLEN</v>
      </c>
    </row>
    <row r="1057" customFormat="false" ht="12.75" hidden="false" customHeight="true" outlineLevel="0" collapsed="false">
      <c r="A1057" s="15" t="n">
        <f aca="false">Report!C1370</f>
        <v>46274</v>
      </c>
      <c r="B1057" s="1" t="str">
        <f aca="false">Report!E1370</f>
        <v>DISTRIBUIDORA LOPES LTDA</v>
      </c>
      <c r="C1057" s="17" t="n">
        <f aca="false">Report!U1370</f>
        <v>1279.58</v>
      </c>
      <c r="D1057" s="1" t="str">
        <f aca="false">Report!X1370</f>
        <v>NF 1709601 ELLEN</v>
      </c>
    </row>
    <row r="1058" customFormat="false" ht="12.75" hidden="false" customHeight="true" outlineLevel="0" collapsed="false">
      <c r="A1058" s="15" t="n">
        <f aca="false">Report!C1371</f>
        <v>46274</v>
      </c>
      <c r="B1058" s="1" t="str">
        <f aca="false">Report!E1371</f>
        <v>RISADINHA LTDA</v>
      </c>
      <c r="C1058" s="17" t="n">
        <f aca="false">Report!U1371</f>
        <v>830.13</v>
      </c>
      <c r="D1058" s="1" t="str">
        <f aca="false">Report!X1371</f>
        <v>NF 668739 ELLEN</v>
      </c>
    </row>
    <row r="1059" customFormat="false" ht="12.75" hidden="false" customHeight="true" outlineLevel="0" collapsed="false">
      <c r="A1059" s="15" t="n">
        <f aca="false">Report!C1372</f>
        <v>46274</v>
      </c>
      <c r="B1059" s="1" t="str">
        <f aca="false">Report!E1372</f>
        <v>EMPRESA BRASILEIRA DE DISTRIBUICAO LTDA</v>
      </c>
      <c r="C1059" s="17" t="n">
        <f aca="false">Report!U1372</f>
        <v>1154.65</v>
      </c>
      <c r="D1059" s="1" t="str">
        <f aca="false">Report!X1372</f>
        <v>NF 2310769 ELLEN</v>
      </c>
    </row>
    <row r="1060" customFormat="false" ht="12.75" hidden="false" customHeight="true" outlineLevel="0" collapsed="false">
      <c r="A1060" s="15" t="n">
        <f aca="false">Report!C1373</f>
        <v>46275</v>
      </c>
      <c r="B1060" s="1" t="str">
        <f aca="false">Report!E1373</f>
        <v>FUNNY PET DISTRIBUIDORA DE ALIMENTOS PAR</v>
      </c>
      <c r="C1060" s="17" t="n">
        <f aca="false">Report!U1373</f>
        <v>128.85</v>
      </c>
      <c r="D1060" s="1" t="str">
        <f aca="false">Report!X1373</f>
        <v>NF 20440 ELLEN</v>
      </c>
    </row>
    <row r="1061" customFormat="false" ht="12.75" hidden="false" customHeight="true" outlineLevel="0" collapsed="false">
      <c r="A1061" s="15" t="n">
        <f aca="false">Report!C1377</f>
        <v>46275</v>
      </c>
      <c r="B1061" s="1" t="str">
        <f aca="false">Report!E1377</f>
        <v>DISTRIBUIDORA LOPES LTDA</v>
      </c>
      <c r="C1061" s="17" t="n">
        <f aca="false">Report!U1377</f>
        <v>692.26</v>
      </c>
      <c r="D1061" s="1" t="str">
        <f aca="false">Report!X1377</f>
        <v>NF 1710665 ELLEN</v>
      </c>
    </row>
    <row r="1062" customFormat="false" ht="12.75" hidden="false" customHeight="true" outlineLevel="0" collapsed="false">
      <c r="A1062" s="15" t="n">
        <f aca="false">Report!C1378</f>
        <v>46275</v>
      </c>
      <c r="B1062" s="1" t="str">
        <f aca="false">Report!E1378</f>
        <v>AGM COMERCIO E DISTRIBUIDORA DE MATERIAS DE PERFUMARIA E LIMPEZA LTDA</v>
      </c>
      <c r="C1062" s="17" t="n">
        <f aca="false">Report!U1378</f>
        <v>2153.25</v>
      </c>
      <c r="D1062" s="1" t="str">
        <f aca="false">Report!X1378</f>
        <v>NF 163912 ELLEN</v>
      </c>
    </row>
    <row r="1063" customFormat="false" ht="12.75" hidden="false" customHeight="true" outlineLevel="0" collapsed="false">
      <c r="A1063" s="15" t="n">
        <f aca="false">Report!C1379</f>
        <v>46275</v>
      </c>
      <c r="B1063" s="1" t="str">
        <f aca="false">Report!E1379</f>
        <v>ATACADAO S.A.</v>
      </c>
      <c r="C1063" s="17" t="n">
        <f aca="false">Report!U1379</f>
        <v>561.84</v>
      </c>
      <c r="D1063" s="1" t="str">
        <f aca="false">Report!X1379</f>
        <v>NF 1919900 ELLEN</v>
      </c>
    </row>
    <row r="1064" customFormat="false" ht="12.75" hidden="false" customHeight="true" outlineLevel="0" collapsed="false">
      <c r="A1064" s="15" t="n">
        <f aca="false">Report!C1380</f>
        <v>46275</v>
      </c>
      <c r="B1064" s="1" t="str">
        <f aca="false">Report!E1380</f>
        <v>TAPAJOS COM DE PERFUMARIA COSMETICOS E G</v>
      </c>
      <c r="C1064" s="17" t="n">
        <f aca="false">Report!U1380</f>
        <v>793.81</v>
      </c>
      <c r="D1064" s="1" t="str">
        <f aca="false">Report!X1380</f>
        <v>NF 586415 ELLEN</v>
      </c>
    </row>
    <row r="1065" customFormat="false" ht="12.75" hidden="false" customHeight="true" outlineLevel="0" collapsed="false">
      <c r="A1065" s="15" t="n">
        <f aca="false">Report!C1381</f>
        <v>46277</v>
      </c>
      <c r="B1065" s="1" t="str">
        <f aca="false">Report!E1381</f>
        <v>DISTRIBUIDORA FARIAS LTDA.</v>
      </c>
      <c r="C1065" s="17" t="n">
        <f aca="false">Report!U1381</f>
        <v>706.55</v>
      </c>
      <c r="D1065" s="1" t="str">
        <f aca="false">Report!X1381</f>
        <v>NF 689222 ELLEN</v>
      </c>
    </row>
    <row r="1066" customFormat="false" ht="12.75" hidden="false" customHeight="true" outlineLevel="0" collapsed="false">
      <c r="A1066" s="15" t="n">
        <f aca="false">Report!C1382</f>
        <v>46277</v>
      </c>
      <c r="B1066" s="1" t="str">
        <f aca="false">Report!E1382</f>
        <v>DISTRIBUIDORA FARIAS LTDA.</v>
      </c>
      <c r="C1066" s="17" t="n">
        <f aca="false">Report!U1382</f>
        <v>1422.68</v>
      </c>
      <c r="D1066" s="1" t="str">
        <f aca="false">Report!X1382</f>
        <v>NF 689224 ELLEN</v>
      </c>
    </row>
    <row r="1067" customFormat="false" ht="12.75" hidden="false" customHeight="true" outlineLevel="0" collapsed="false">
      <c r="A1067" s="15" t="n">
        <f aca="false">Report!C1383</f>
        <v>46279</v>
      </c>
      <c r="B1067" s="1" t="str">
        <f aca="false">Report!E1383</f>
        <v>MAXPEL COMERCIAL LTDA</v>
      </c>
      <c r="C1067" s="17" t="n">
        <f aca="false">Report!U1383</f>
        <v>983.77</v>
      </c>
      <c r="D1067" s="1" t="str">
        <f aca="false">Report!X1383</f>
        <v>NFS 319296/319297 - ELLEN</v>
      </c>
    </row>
    <row r="1068" customFormat="false" ht="12.75" hidden="false" customHeight="true" outlineLevel="0" collapsed="false">
      <c r="A1068" s="15" t="n">
        <f aca="false">Report!C1386</f>
        <v>46280</v>
      </c>
      <c r="B1068" s="1" t="str">
        <f aca="false">Report!E1386</f>
        <v>ROCHA E PAIVA LTDA</v>
      </c>
      <c r="C1068" s="17" t="n">
        <f aca="false">Report!U1386</f>
        <v>584.64</v>
      </c>
      <c r="D1068" s="1" t="str">
        <f aca="false">Report!X1386</f>
        <v>NF 211355 ELLEN</v>
      </c>
    </row>
    <row r="1069" customFormat="false" ht="12.75" hidden="false" customHeight="true" outlineLevel="0" collapsed="false">
      <c r="A1069" s="15" t="n">
        <f aca="false">Report!C1387</f>
        <v>46280</v>
      </c>
      <c r="B1069" s="1" t="str">
        <f aca="false">Report!E1387</f>
        <v>J. A. F. DE LIMA</v>
      </c>
      <c r="C1069" s="17" t="n">
        <f aca="false">Report!U1387</f>
        <v>645.71</v>
      </c>
      <c r="D1069" s="1" t="str">
        <f aca="false">Report!X1387</f>
        <v>NF 160332 ELLEN</v>
      </c>
    </row>
    <row r="1070" customFormat="false" ht="12.75" hidden="false" customHeight="true" outlineLevel="0" collapsed="false">
      <c r="A1070" s="15" t="n">
        <f aca="false">Report!C1388</f>
        <v>46280</v>
      </c>
      <c r="B1070" s="1" t="str">
        <f aca="false">Report!E1388</f>
        <v>SUPER CANCUN COMERCIO DE PRODUTOS ALIMEN</v>
      </c>
      <c r="C1070" s="17" t="n">
        <f aca="false">Report!U1388</f>
        <v>548.18</v>
      </c>
      <c r="D1070" s="1" t="str">
        <f aca="false">Report!X1388</f>
        <v>NF 265359 ELLEN</v>
      </c>
    </row>
    <row r="1071" customFormat="false" ht="12.75" hidden="false" customHeight="true" outlineLevel="0" collapsed="false">
      <c r="A1071" s="15" t="n">
        <f aca="false">Report!C1389</f>
        <v>46281</v>
      </c>
      <c r="B1071" s="1" t="str">
        <f aca="false">Report!E1389</f>
        <v>FUNNY PET DISTRIBUIDORA DE ALIMENTOS PAR</v>
      </c>
      <c r="C1071" s="17" t="n">
        <f aca="false">Report!U1389</f>
        <v>1501.38</v>
      </c>
      <c r="D1071" s="1" t="str">
        <f aca="false">Report!X1389</f>
        <v>NF 21189 ELLEN</v>
      </c>
    </row>
    <row r="1072" customFormat="false" ht="12.75" hidden="false" customHeight="true" outlineLevel="0" collapsed="false">
      <c r="A1072" s="15" t="n">
        <f aca="false">Report!C1390</f>
        <v>46281</v>
      </c>
      <c r="B1072" s="1" t="str">
        <f aca="false">Report!E1390</f>
        <v>RISADINHA LTDA</v>
      </c>
      <c r="C1072" s="17" t="n">
        <f aca="false">Report!U1390</f>
        <v>830.13</v>
      </c>
      <c r="D1072" s="1" t="str">
        <f aca="false">Report!X1390</f>
        <v>NF 668739 ELLEN</v>
      </c>
    </row>
    <row r="1073" customFormat="false" ht="12.75" hidden="false" customHeight="true" outlineLevel="0" collapsed="false">
      <c r="A1073" s="15" t="n">
        <f aca="false">Report!C1391</f>
        <v>46281</v>
      </c>
      <c r="B1073" s="1" t="str">
        <f aca="false">Report!E1391</f>
        <v>EMPRESA BRASILEIRA DE DISTRIBUICAO LTDA</v>
      </c>
      <c r="C1073" s="17" t="n">
        <f aca="false">Report!U1391</f>
        <v>1154.65</v>
      </c>
      <c r="D1073" s="1" t="str">
        <f aca="false">Report!X1391</f>
        <v>NF 2310769 ELLEN</v>
      </c>
    </row>
    <row r="1074" customFormat="false" ht="12.75" hidden="false" customHeight="true" outlineLevel="0" collapsed="false">
      <c r="A1074" s="15" t="n">
        <f aca="false">Report!C1393</f>
        <v>46282</v>
      </c>
      <c r="B1074" s="1" t="str">
        <f aca="false">Report!E1393</f>
        <v>OPPORTUNITY ALIMENTOS PARA ANIMAIS LTDA</v>
      </c>
      <c r="C1074" s="17" t="n">
        <f aca="false">Report!U1393</f>
        <v>685.15</v>
      </c>
      <c r="D1074" s="1" t="str">
        <f aca="false">Report!X1393</f>
        <v>NF 35161 ELLEN</v>
      </c>
    </row>
    <row r="1075" customFormat="false" ht="12.75" hidden="false" customHeight="true" outlineLevel="0" collapsed="false">
      <c r="A1075" s="15" t="n">
        <f aca="false">Report!C1394</f>
        <v>46282</v>
      </c>
      <c r="B1075" s="1" t="str">
        <f aca="false">Report!E1394</f>
        <v>TAPAJOS COM DE PERFUMARIA COSMETICOS E G</v>
      </c>
      <c r="C1075" s="17" t="n">
        <f aca="false">Report!U1394</f>
        <v>793.81</v>
      </c>
      <c r="D1075" s="1" t="str">
        <f aca="false">Report!X1394</f>
        <v>NF 586415 ELLEN</v>
      </c>
    </row>
    <row r="1076" customFormat="false" ht="12.75" hidden="false" customHeight="true" outlineLevel="0" collapsed="false">
      <c r="A1076" s="15" t="n">
        <f aca="false">Report!C1398</f>
        <v>46286</v>
      </c>
      <c r="B1076" s="1" t="str">
        <f aca="false">Report!E1398</f>
        <v>MAXPEL COMERCIAL LTDA</v>
      </c>
      <c r="C1076" s="17" t="n">
        <f aca="false">Report!U1398</f>
        <v>983.77</v>
      </c>
      <c r="D1076" s="1" t="str">
        <f aca="false">Report!X1398</f>
        <v>NFS 319296/319297 - ELLEN</v>
      </c>
    </row>
    <row r="1077" customFormat="false" ht="12.75" hidden="false" customHeight="true" outlineLevel="0" collapsed="false">
      <c r="A1077" s="15" t="n">
        <f aca="false">Report!C1405</f>
        <v>46296</v>
      </c>
      <c r="B1077" s="1" t="str">
        <f aca="false">Report!E1405</f>
        <v>A. CORREA JUNIOR</v>
      </c>
      <c r="C1077" s="17" t="n">
        <f aca="false">Report!U1405</f>
        <v>638.75</v>
      </c>
      <c r="D1077" s="1" t="str">
        <f aca="false">Report!X1405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1275</v>
      </c>
      <c r="B1" s="26" t="s">
        <v>1276</v>
      </c>
      <c r="C1" s="26" t="s">
        <v>1277</v>
      </c>
      <c r="D1" s="26" t="s">
        <v>1278</v>
      </c>
    </row>
    <row r="2" customFormat="false" ht="12.75" hidden="false" customHeight="true" outlineLevel="0" collapsed="false">
      <c r="A2" s="27" t="s">
        <v>1279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1280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1281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1282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1283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1284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7" t="s">
        <v>1285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7" t="s">
        <v>1286</v>
      </c>
      <c r="B9" s="17" t="n">
        <f aca="false">SUMIFS(Report!$U:$U,Report!$T:$T,"&lt;&gt;"&amp;"MERCADORIAS P/REVENDA",Report!$AA:$AA,"SIM",Report!$C:$C,"&gt;="&amp;DATE(2026,8,1),Report!$C:$C,"&lt;="&amp;DATE(2026,8,31))</f>
        <v>64552.79</v>
      </c>
      <c r="C9" s="17" t="n">
        <f aca="false">SUMIFS(Report!$U:$U,Report!$T:$T,"MERCADORIAS P/REVENDA",Report!$AA:$AA,"SIM",Report!$C:$C,"&gt;="&amp;DATE(2026,8,1),Report!$C:$C,"&lt;="&amp;DATE(2026,8,31))</f>
        <v>251199.12</v>
      </c>
      <c r="D9" s="17" t="n">
        <f aca="false">B9+C9</f>
        <v>315751.91</v>
      </c>
    </row>
    <row r="10" customFormat="false" ht="12.75" hidden="false" customHeight="true" outlineLevel="0" collapsed="false">
      <c r="A10" s="27" t="s">
        <v>1287</v>
      </c>
      <c r="B10" s="17" t="n">
        <f aca="false">SUMIFS(Report!$U:$U,Report!$T:$T,"&lt;&gt;"&amp;"MERCADORIAS P/REVENDA",Report!$AA:$AA,"SIM",Report!$C:$C,"&gt;="&amp;DATE(2026,9,1),Report!$C:$C,"&lt;="&amp;DATE(2026,9,30))</f>
        <v>29444.48</v>
      </c>
      <c r="C10" s="17" t="n">
        <f aca="false">SUMIFS(Report!$U:$U,Report!$T:$T,"MERCADORIAS P/REVENDA",Report!$AA:$AA,"SIM",Report!$C:$C,"&gt;="&amp;DATE(2026,9,1),Report!$C:$C,"&lt;="&amp;DATE(2026,9,30))</f>
        <v>51847.65</v>
      </c>
      <c r="D10" s="17" t="n">
        <f aca="false">B10+C10</f>
        <v>81292.13</v>
      </c>
    </row>
    <row r="11" customFormat="false" ht="12.75" hidden="false" customHeight="true" outlineLevel="0" collapsed="false">
      <c r="A11" s="27" t="s">
        <v>1288</v>
      </c>
      <c r="B11" s="17" t="n">
        <f aca="false">SUMIFS(Report!$U:$U,Report!$T:$T,"&lt;&gt;"&amp;"MERCADORIAS P/REVENDA",Report!$AA:$AA,"SIM",Report!$C:$C,"&gt;="&amp;DATE(2026,10,1),Report!$C:$C,"&lt;="&amp;DATE(2026,10,31))</f>
        <v>12743.87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13382.62</v>
      </c>
    </row>
    <row r="12" customFormat="false" ht="12.75" hidden="false" customHeight="true" outlineLevel="0" collapsed="false">
      <c r="A12" s="27" t="s">
        <v>1289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1290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1291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1292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1293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1294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1295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1296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1297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1298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1299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1300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1301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1302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1303</v>
      </c>
      <c r="B26" s="30" t="n">
        <f aca="false">SUM(B2:B25)</f>
        <v>311936.98</v>
      </c>
      <c r="C26" s="30" t="n">
        <f aca="false">SUM(C2:C25)</f>
        <v>881634.33</v>
      </c>
      <c r="D26" s="30" t="n">
        <f aca="false">SUM(D2:D25)</f>
        <v>1193571.31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1304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1278</v>
      </c>
      <c r="AA2" s="32"/>
      <c r="AB2" s="33" t="s">
        <v>1305</v>
      </c>
      <c r="AC2" s="33" t="s">
        <v>1306</v>
      </c>
      <c r="AE2" s="33" t="s">
        <v>1307</v>
      </c>
    </row>
    <row r="3" customFormat="false" ht="12.75" hidden="false" customHeight="true" outlineLevel="0" collapsed="false">
      <c r="A3" s="34" t="s">
        <v>1308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392835.65</v>
      </c>
      <c r="H3" s="30" t="n">
        <f aca="false">SUMIFS(Report!$U:$U,Report!$AA:$AA,"SIM",Report!$C:$C,"&gt;="&amp;DATE(2026,7,1),Report!$C:$C,"&lt;="&amp;DATE(2026,7,31))</f>
        <v>390309</v>
      </c>
      <c r="I3" s="30" t="n">
        <f aca="false">SUMIFS(Report!$U:$U,Report!$AA:$AA,"SIM",Report!$C:$C,"&gt;="&amp;DATE(2026,8,1),Report!$C:$C,"&lt;="&amp;DATE(2026,8,31))</f>
        <v>315751.91</v>
      </c>
      <c r="J3" s="30" t="n">
        <f aca="false">SUMIFS(Report!$U:$U,Report!$AA:$AA,"SIM",Report!$C:$C,"&gt;="&amp;DATE(2026,9,1),Report!$C:$C,"&lt;="&amp;DATE(2026,9,30))</f>
        <v>81292.13</v>
      </c>
      <c r="K3" s="30" t="n">
        <f aca="false">SUMIFS(Report!$U:$U,Report!$AA:$AA,"SIM",Report!$C:$C,"&gt;="&amp;DATE(2026,10,1),Report!$C:$C,"&lt;="&amp;DATE(2026,10,31))</f>
        <v>13382.62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1193571.31</v>
      </c>
      <c r="AB3" s="1" t="s">
        <v>192</v>
      </c>
      <c r="AC3" s="1" t="s">
        <v>1309</v>
      </c>
      <c r="AE3" s="1" t="s">
        <v>1310</v>
      </c>
    </row>
    <row r="4" customFormat="false" ht="12.75" hidden="false" customHeight="true" outlineLevel="0" collapsed="false">
      <c r="A4" s="1" t="s">
        <v>1309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32788.65</v>
      </c>
      <c r="J4" s="17" t="n">
        <f aca="false">SUMIFS(Report!$U:$U,Report!$Z:$Z,"Despesa",Report!$AA:$AA,"SIM",Report!$C:$C,"&gt;="&amp;DATE(2026,9,1),Report!$C:$C,"&lt;="&amp;DATE(2026,9,30))</f>
        <v>24240.4</v>
      </c>
      <c r="K4" s="17" t="n">
        <f aca="false">SUMIFS(Report!$U:$U,Report!$Z:$Z,"Despesa",Report!$AA:$AA,"SIM",Report!$C:$C,"&gt;="&amp;DATE(2026,10,1),Report!$C:$C,"&lt;="&amp;DATE(2026,10,31))</f>
        <v>7650.31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160661.1</v>
      </c>
      <c r="AB4" s="1" t="s">
        <v>136</v>
      </c>
      <c r="AC4" s="1" t="s">
        <v>1309</v>
      </c>
    </row>
    <row r="5" customFormat="false" ht="12.75" hidden="false" customHeight="true" outlineLevel="0" collapsed="false">
      <c r="A5" s="1" t="s">
        <v>1311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1309</v>
      </c>
    </row>
    <row r="6" customFormat="false" ht="12.75" hidden="false" customHeight="true" outlineLevel="0" collapsed="false">
      <c r="A6" s="1" t="s">
        <v>1312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467</v>
      </c>
      <c r="AC6" s="1" t="s">
        <v>1309</v>
      </c>
    </row>
    <row r="7" customFormat="false" ht="12.75" hidden="false" customHeight="true" outlineLevel="0" collapsed="false">
      <c r="A7" s="1" t="s">
        <v>1313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251199.12</v>
      </c>
      <c r="J7" s="17" t="n">
        <f aca="false">SUMIFS(Report!$U:$U,Report!$Z:$Z,"Mercadoria",Report!$AA:$AA,"SIM",Report!$C:$C,"&gt;="&amp;DATE(2026,9,1),Report!$C:$C,"&lt;="&amp;DATE(2026,9,30))</f>
        <v>51847.65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881634.33</v>
      </c>
      <c r="AB7" s="1" t="s">
        <v>450</v>
      </c>
      <c r="AC7" s="1" t="s">
        <v>1314</v>
      </c>
    </row>
    <row r="8" customFormat="false" ht="12.75" hidden="false" customHeight="true" outlineLevel="0" collapsed="false">
      <c r="A8" s="1" t="s">
        <v>1315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2380.74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26860.81</v>
      </c>
      <c r="AB8" s="1" t="s">
        <v>850</v>
      </c>
      <c r="AC8" s="1" t="s">
        <v>1309</v>
      </c>
    </row>
    <row r="9" customFormat="false" ht="12.75" hidden="false" customHeight="true" outlineLevel="0" collapsed="false">
      <c r="A9" s="1" t="s">
        <v>1314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535</v>
      </c>
      <c r="AC9" s="1" t="s">
        <v>1309</v>
      </c>
    </row>
    <row r="10" customFormat="false" ht="12.75" hidden="false" customHeight="true" outlineLevel="0" collapsed="false">
      <c r="A10" s="34" t="s">
        <v>1316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605</v>
      </c>
      <c r="AC10" s="1" t="s">
        <v>1309</v>
      </c>
    </row>
    <row r="11" customFormat="false" ht="12.75" hidden="false" customHeight="true" outlineLevel="0" collapsed="false">
      <c r="AB11" s="1" t="s">
        <v>444</v>
      </c>
      <c r="AC11" s="1" t="s">
        <v>1309</v>
      </c>
    </row>
    <row r="12" customFormat="false" ht="12.75" hidden="false" customHeight="true" outlineLevel="0" collapsed="false">
      <c r="A12" s="1" t="s">
        <v>1317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1309</v>
      </c>
    </row>
    <row r="13" customFormat="false" ht="12.75" hidden="false" customHeight="true" outlineLevel="0" collapsed="false">
      <c r="A13" s="1" t="s">
        <v>1318</v>
      </c>
      <c r="AB13" s="1" t="s">
        <v>944</v>
      </c>
      <c r="AC13" s="1" t="s">
        <v>1309</v>
      </c>
    </row>
    <row r="14" customFormat="false" ht="12.75" hidden="false" customHeight="true" outlineLevel="0" collapsed="false">
      <c r="AB14" s="1" t="s">
        <v>149</v>
      </c>
      <c r="AC14" s="1" t="s">
        <v>1309</v>
      </c>
    </row>
    <row r="15" customFormat="false" ht="12.75" hidden="false" customHeight="true" outlineLevel="0" collapsed="false">
      <c r="AB15" s="1" t="s">
        <v>63</v>
      </c>
      <c r="AC15" s="1" t="s">
        <v>1309</v>
      </c>
    </row>
    <row r="16" customFormat="false" ht="12.75" hidden="false" customHeight="true" outlineLevel="0" collapsed="false">
      <c r="AB16" s="1" t="s">
        <v>590</v>
      </c>
      <c r="AC16" s="1" t="s">
        <v>1314</v>
      </c>
    </row>
    <row r="17" customFormat="false" ht="12.75" hidden="false" customHeight="true" outlineLevel="0" collapsed="false">
      <c r="AB17" s="1" t="s">
        <v>296</v>
      </c>
      <c r="AC17" s="1" t="s">
        <v>1311</v>
      </c>
    </row>
    <row r="18" customFormat="false" ht="12.75" hidden="false" customHeight="true" outlineLevel="0" collapsed="false">
      <c r="AB18" s="1" t="s">
        <v>486</v>
      </c>
      <c r="AC18" s="1" t="s">
        <v>1309</v>
      </c>
    </row>
    <row r="19" customFormat="false" ht="12.75" hidden="false" customHeight="true" outlineLevel="0" collapsed="false">
      <c r="AB19" s="1" t="s">
        <v>749</v>
      </c>
      <c r="AC19" s="1" t="s">
        <v>1314</v>
      </c>
    </row>
    <row r="20" customFormat="false" ht="12.75" hidden="false" customHeight="true" outlineLevel="0" collapsed="false">
      <c r="AB20" s="1" t="s">
        <v>963</v>
      </c>
      <c r="AC20" s="1" t="s">
        <v>1314</v>
      </c>
    </row>
    <row r="21" customFormat="false" ht="12.75" hidden="false" customHeight="true" outlineLevel="0" collapsed="false">
      <c r="AB21" s="1" t="s">
        <v>429</v>
      </c>
      <c r="AC21" s="1" t="s">
        <v>1312</v>
      </c>
    </row>
    <row r="22" customFormat="false" ht="12.75" hidden="false" customHeight="true" outlineLevel="0" collapsed="false">
      <c r="AB22" s="1" t="s">
        <v>33</v>
      </c>
      <c r="AC22" s="1" t="s">
        <v>1309</v>
      </c>
    </row>
    <row r="23" customFormat="false" ht="12.75" hidden="false" customHeight="true" outlineLevel="0" collapsed="false">
      <c r="AB23" s="1" t="s">
        <v>347</v>
      </c>
      <c r="AC23" s="1" t="s">
        <v>1309</v>
      </c>
    </row>
    <row r="24" customFormat="false" ht="12.75" hidden="false" customHeight="true" outlineLevel="0" collapsed="false">
      <c r="AB24" s="1" t="s">
        <v>664</v>
      </c>
      <c r="AC24" s="1" t="s">
        <v>1309</v>
      </c>
    </row>
    <row r="25" customFormat="false" ht="12.75" hidden="false" customHeight="true" outlineLevel="0" collapsed="false">
      <c r="AB25" s="1" t="s">
        <v>1319</v>
      </c>
      <c r="AC25" s="1" t="s">
        <v>1312</v>
      </c>
    </row>
    <row r="26" customFormat="false" ht="12.75" hidden="false" customHeight="true" outlineLevel="0" collapsed="false">
      <c r="AB26" s="1" t="s">
        <v>682</v>
      </c>
      <c r="AC26" s="1" t="s">
        <v>1309</v>
      </c>
    </row>
    <row r="27" customFormat="false" ht="12.75" hidden="false" customHeight="true" outlineLevel="0" collapsed="false">
      <c r="AB27" s="1" t="s">
        <v>427</v>
      </c>
      <c r="AC27" s="1" t="s">
        <v>1312</v>
      </c>
    </row>
    <row r="28" customFormat="false" ht="12.75" hidden="false" customHeight="true" outlineLevel="0" collapsed="false">
      <c r="AB28" s="1" t="s">
        <v>257</v>
      </c>
      <c r="AC28" s="1" t="s">
        <v>1309</v>
      </c>
    </row>
    <row r="29" customFormat="false" ht="12.75" hidden="false" customHeight="true" outlineLevel="0" collapsed="false">
      <c r="AB29" s="1" t="s">
        <v>145</v>
      </c>
      <c r="AC29" s="1" t="s">
        <v>1309</v>
      </c>
    </row>
    <row r="30" customFormat="false" ht="12.75" hidden="false" customHeight="true" outlineLevel="0" collapsed="false">
      <c r="AB30" s="1" t="s">
        <v>361</v>
      </c>
      <c r="AC30" s="1" t="s">
        <v>1312</v>
      </c>
    </row>
    <row r="31" customFormat="false" ht="12.75" hidden="false" customHeight="true" outlineLevel="0" collapsed="false">
      <c r="AB31" s="1" t="s">
        <v>938</v>
      </c>
      <c r="AC31" s="1" t="s">
        <v>1309</v>
      </c>
    </row>
    <row r="32" customFormat="false" ht="12.75" hidden="false" customHeight="true" outlineLevel="0" collapsed="false">
      <c r="AB32" s="1" t="s">
        <v>243</v>
      </c>
      <c r="AC32" s="1" t="s">
        <v>1311</v>
      </c>
    </row>
    <row r="33" customFormat="false" ht="12.75" hidden="false" customHeight="true" outlineLevel="0" collapsed="false">
      <c r="AB33" s="1" t="s">
        <v>660</v>
      </c>
      <c r="AC33" s="1" t="s">
        <v>1309</v>
      </c>
    </row>
    <row r="34" customFormat="false" ht="12.75" hidden="false" customHeight="true" outlineLevel="0" collapsed="false">
      <c r="AB34" s="1" t="s">
        <v>286</v>
      </c>
      <c r="AC34" s="1" t="s">
        <v>1309</v>
      </c>
    </row>
    <row r="35" customFormat="false" ht="12.75" hidden="false" customHeight="true" outlineLevel="0" collapsed="false">
      <c r="AB35" s="1" t="s">
        <v>38</v>
      </c>
      <c r="AC35" s="1" t="s">
        <v>1309</v>
      </c>
    </row>
    <row r="36" customFormat="false" ht="12.75" hidden="false" customHeight="true" outlineLevel="0" collapsed="false">
      <c r="AB36" s="1" t="s">
        <v>57</v>
      </c>
      <c r="AC36" s="1" t="s">
        <v>1309</v>
      </c>
    </row>
    <row r="37" customFormat="false" ht="12.75" hidden="false" customHeight="true" outlineLevel="0" collapsed="false">
      <c r="AB37" s="1" t="s">
        <v>538</v>
      </c>
      <c r="AC37" s="1" t="s">
        <v>1309</v>
      </c>
    </row>
    <row r="38" customFormat="false" ht="12.75" hidden="false" customHeight="true" outlineLevel="0" collapsed="false">
      <c r="AB38" s="1" t="s">
        <v>186</v>
      </c>
      <c r="AC38" s="1" t="s">
        <v>1309</v>
      </c>
    </row>
    <row r="39" customFormat="false" ht="12.75" hidden="false" customHeight="true" outlineLevel="0" collapsed="false">
      <c r="AB39" s="1" t="s">
        <v>49</v>
      </c>
      <c r="AC39" s="1" t="s">
        <v>1313</v>
      </c>
    </row>
    <row r="40" customFormat="false" ht="12.75" hidden="false" customHeight="true" outlineLevel="0" collapsed="false">
      <c r="AB40" s="1" t="s">
        <v>434</v>
      </c>
      <c r="AC40" s="1" t="s">
        <v>1309</v>
      </c>
    </row>
    <row r="41" customFormat="false" ht="12.75" hidden="false" customHeight="true" outlineLevel="0" collapsed="false">
      <c r="AB41" s="1" t="s">
        <v>44</v>
      </c>
      <c r="AC41" s="1" t="s">
        <v>1315</v>
      </c>
    </row>
    <row r="42" customFormat="false" ht="12.75" hidden="false" customHeight="true" outlineLevel="0" collapsed="false">
      <c r="AB42" s="1" t="s">
        <v>940</v>
      </c>
      <c r="AC42" s="1" t="s">
        <v>1309</v>
      </c>
    </row>
    <row r="43" customFormat="false" ht="12.75" hidden="false" customHeight="true" outlineLevel="0" collapsed="false">
      <c r="AB43" s="1" t="s">
        <v>405</v>
      </c>
      <c r="AC43" s="1" t="s">
        <v>1314</v>
      </c>
    </row>
    <row r="44" customFormat="false" ht="12.75" hidden="false" customHeight="true" outlineLevel="0" collapsed="false">
      <c r="AB44" s="1" t="s">
        <v>441</v>
      </c>
      <c r="AC44" s="1" t="s">
        <v>1309</v>
      </c>
    </row>
    <row r="45" customFormat="false" ht="12.75" hidden="false" customHeight="true" outlineLevel="0" collapsed="false">
      <c r="AB45" s="1" t="s">
        <v>225</v>
      </c>
      <c r="AC45" s="1" t="s">
        <v>1314</v>
      </c>
    </row>
    <row r="46" customFormat="false" ht="12.75" hidden="false" customHeight="true" outlineLevel="0" collapsed="false">
      <c r="AB46" s="1" t="s">
        <v>230</v>
      </c>
      <c r="AC46" s="1" t="s">
        <v>1314</v>
      </c>
    </row>
    <row r="47" customFormat="false" ht="12.75" hidden="false" customHeight="true" outlineLevel="0" collapsed="false">
      <c r="AB47" s="1" t="s">
        <v>455</v>
      </c>
      <c r="AC47" s="1" t="s">
        <v>1312</v>
      </c>
    </row>
    <row r="48" customFormat="false" ht="12.75" hidden="false" customHeight="true" outlineLevel="0" collapsed="false">
      <c r="AB48" s="1" t="s">
        <v>110</v>
      </c>
      <c r="AC48" s="1" t="s">
        <v>1309</v>
      </c>
    </row>
    <row r="49" customFormat="false" ht="12.75" hidden="false" customHeight="true" outlineLevel="0" collapsed="false">
      <c r="AB49" s="1" t="s">
        <v>1059</v>
      </c>
      <c r="AC49" s="1" t="s">
        <v>1309</v>
      </c>
    </row>
    <row r="50" customFormat="false" ht="12.75" hidden="false" customHeight="true" outlineLevel="0" collapsed="false">
      <c r="AB50" s="1" t="s">
        <v>101</v>
      </c>
      <c r="AC50" s="1" t="s">
        <v>1314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1320</v>
      </c>
      <c r="B1" s="25" t="s">
        <v>1304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1278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200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1034.15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540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645.5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12312.32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749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1319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660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3811.78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251199.12</v>
      </c>
      <c r="K38" s="17" t="n">
        <f aca="false">SUMIFS(Report!$U:$U,Report!$T:$T,$A38,Report!$C:$C,"&gt;="&amp;DATE(2026,9,1),Report!$C:$C,"&lt;="&amp;DATE(2026,9,30))</f>
        <v>51847.65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881634.33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2380.74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26860.81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2" t="s">
        <v>225</v>
      </c>
      <c r="B44" s="32" t="str">
        <f aca="false">IFERROR(INDEX('Resumo Grupos'!$AC$3:$AC$200,MATCH($A44,'Resumo Grupos'!$AB$3:$AB$200,0)),"n/d")</f>
        <v>Salários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2147.05</v>
      </c>
      <c r="I44" s="35" t="n">
        <f aca="false">SUMIFS(Report!$U:$U,Report!$T:$T,$A44,Report!$C:$C,"&gt;="&amp;DATE(2026,7,1),Report!$C:$C,"&lt;="&amp;DATE(2026,7,31))</f>
        <v>0</v>
      </c>
      <c r="J44" s="35" t="n">
        <f aca="false">SUMIFS(Report!$U:$U,Report!$T:$T,$A44,Report!$C:$C,"&gt;="&amp;DATE(2026,8,1),Report!$C:$C,"&lt;="&amp;DATE(2026,8,31))</f>
        <v>0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666.67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2000.01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34" t="s">
        <v>1303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392835.65</v>
      </c>
      <c r="I50" s="30" t="n">
        <f aca="false">SUM(I2:I49)</f>
        <v>390309</v>
      </c>
      <c r="J50" s="30" t="n">
        <f aca="false">SUM(J2:J49)</f>
        <v>315751.91</v>
      </c>
      <c r="K50" s="30" t="n">
        <f aca="false">SUM(K2:K49)</f>
        <v>81292.13</v>
      </c>
      <c r="L50" s="30" t="n">
        <f aca="false">SUM(L2:L49)</f>
        <v>13382.62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1193571.31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1321</v>
      </c>
      <c r="B1" s="37" t="n">
        <f aca="false">SUMIFS(Report!$U:$U,Report!$T:$T,"&lt;&gt;"&amp;"MERCADORIAS P/REVENDA",Report!$AA:$AA,"SIM",Report!$C:$C,"&gt;="&amp;DATE(2026,1,1),Report!$C:$C,"&lt;="&amp;DATE(2027,12,31))</f>
        <v>311936.98</v>
      </c>
      <c r="C1" s="37" t="n">
        <f aca="false">SUMIFS(Report!$U:$U,Report!$T:$T,"MERCADORIAS P/REVENDA",Report!$AA:$AA,"SIM",Report!$C:$C,"&gt;="&amp;DATE(2026,1,1),Report!$C:$C,"&lt;="&amp;DATE(2027,12,31))</f>
        <v>881634.33</v>
      </c>
      <c r="D1" s="38" t="s">
        <v>1322</v>
      </c>
      <c r="E1" s="37" t="n">
        <f aca="false">SUMIFS(Report!$U:$U,Report!$AA:$AA,"NAO",Report!$C:$C,"&gt;="&amp;DATE(2026,1,1),Report!$C:$C,"&lt;="&amp;DATE(2027,12,31))</f>
        <v>0</v>
      </c>
      <c r="F1" s="37" t="n">
        <f aca="false">B1+C1</f>
        <v>1193571.31</v>
      </c>
      <c r="H1" s="1"/>
      <c r="I1" s="17"/>
    </row>
    <row r="2" customFormat="false" ht="12.75" hidden="false" customHeight="true" outlineLevel="0" collapsed="false">
      <c r="A2" s="24" t="s">
        <v>1323</v>
      </c>
      <c r="B2" s="26" t="s">
        <v>1276</v>
      </c>
      <c r="C2" s="26" t="s">
        <v>1277</v>
      </c>
      <c r="D2" s="38" t="s">
        <v>1324</v>
      </c>
      <c r="E2" s="37" t="n">
        <f aca="false">F1+E1</f>
        <v>1193571.31</v>
      </c>
      <c r="F2" s="26" t="s">
        <v>1325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6989.25</v>
      </c>
      <c r="C175" s="40" t="n">
        <f aca="false">SUMIFS(Report!$U:$U,Report!$T:$T,"MERCADORIAS P/REVENDA",Report!$AA:$AA,"SIM",Report!$C:$C,A175)</f>
        <v>7658.53</v>
      </c>
      <c r="D175" s="41"/>
      <c r="E175" s="41"/>
      <c r="F175" s="40" t="n">
        <f aca="false">B175+C175</f>
        <v>14647.78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6989.25</v>
      </c>
      <c r="C176" s="30" t="n">
        <f aca="false">SUM(C169:C175)</f>
        <v>7658.53</v>
      </c>
      <c r="D176" s="34"/>
      <c r="E176" s="34"/>
      <c r="F176" s="30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8636.65</v>
      </c>
      <c r="D181" s="41"/>
      <c r="E181" s="41"/>
      <c r="F181" s="40" t="n">
        <f aca="false">B181+C181</f>
        <v>8636.65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119.97</v>
      </c>
      <c r="C182" s="40" t="n">
        <f aca="false">SUMIFS(Report!$U:$U,Report!$T:$T,"MERCADORIAS P/REVENDA",Report!$AA:$AA,"SIM",Report!$C:$C,A182)</f>
        <v>644.97</v>
      </c>
      <c r="D182" s="41"/>
      <c r="E182" s="41"/>
      <c r="F182" s="40" t="n">
        <f aca="false">B182+C182</f>
        <v>764.94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620.88</v>
      </c>
      <c r="C183" s="40" t="n">
        <f aca="false">SUMIFS(Report!$U:$U,Report!$T:$T,"MERCADORIAS P/REVENDA",Report!$AA:$AA,"SIM",Report!$C:$C,A183)</f>
        <v>8613.99</v>
      </c>
      <c r="D183" s="41"/>
      <c r="E183" s="41"/>
      <c r="F183" s="40" t="n">
        <f aca="false">B183+C183</f>
        <v>9234.87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20216.67</v>
      </c>
      <c r="C184" s="30" t="n">
        <f aca="false">SUM(C177:C183)</f>
        <v>61596.92</v>
      </c>
      <c r="D184" s="34"/>
      <c r="E184" s="34"/>
      <c r="F184" s="30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3761.67</v>
      </c>
      <c r="D189" s="41"/>
      <c r="E189" s="41"/>
      <c r="F189" s="40" t="n">
        <f aca="false">B189+C189</f>
        <v>3761.67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2080.52</v>
      </c>
      <c r="D190" s="41"/>
      <c r="E190" s="41"/>
      <c r="F190" s="40" t="n">
        <f aca="false">B190+C190</f>
        <v>2080.52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9488.68</v>
      </c>
      <c r="C191" s="40" t="n">
        <f aca="false">SUMIFS(Report!$U:$U,Report!$T:$T,"MERCADORIAS P/REVENDA",Report!$AA:$AA,"SIM",Report!$C:$C,A191)</f>
        <v>17195.06</v>
      </c>
      <c r="D191" s="41"/>
      <c r="E191" s="41"/>
      <c r="F191" s="40" t="n">
        <f aca="false">B191+C191</f>
        <v>26683.74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23663.26</v>
      </c>
      <c r="C192" s="30" t="n">
        <f aca="false">SUM(C185:C191)</f>
        <v>71112.12</v>
      </c>
      <c r="D192" s="34"/>
      <c r="E192" s="34"/>
      <c r="F192" s="30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1015.07</v>
      </c>
      <c r="C197" s="40" t="n">
        <f aca="false">SUMIFS(Report!$U:$U,Report!$T:$T,"MERCADORIAS P/REVENDA",Report!$AA:$AA,"SIM",Report!$C:$C,A197)</f>
        <v>1362.17</v>
      </c>
      <c r="D197" s="41"/>
      <c r="E197" s="41"/>
      <c r="F197" s="40" t="n">
        <f aca="false">B197+C197</f>
        <v>2377.24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0</v>
      </c>
      <c r="D198" s="41"/>
      <c r="E198" s="41"/>
      <c r="F198" s="40" t="n">
        <f aca="false">B198+C198</f>
        <v>0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13464.33</v>
      </c>
      <c r="C199" s="40" t="n">
        <f aca="false">SUMIFS(Report!$U:$U,Report!$T:$T,"MERCADORIAS P/REVENDA",Report!$AA:$AA,"SIM",Report!$C:$C,A199)</f>
        <v>13427.7</v>
      </c>
      <c r="D199" s="41"/>
      <c r="E199" s="41"/>
      <c r="F199" s="40" t="n">
        <f aca="false">B199+C199</f>
        <v>26892.03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26344.53</v>
      </c>
      <c r="C200" s="30" t="n">
        <f aca="false">SUM(C193:C199)</f>
        <v>48086.6</v>
      </c>
      <c r="D200" s="34"/>
      <c r="E200" s="34"/>
      <c r="F200" s="30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7347.72</v>
      </c>
      <c r="D205" s="41"/>
      <c r="E205" s="41"/>
      <c r="F205" s="40" t="n">
        <f aca="false">B205+C205</f>
        <v>7347.72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1589.28</v>
      </c>
      <c r="D206" s="41"/>
      <c r="E206" s="41"/>
      <c r="F206" s="40" t="n">
        <f aca="false">B206+C206</f>
        <v>1589.28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1305</v>
      </c>
      <c r="C207" s="40" t="n">
        <f aca="false">SUMIFS(Report!$U:$U,Report!$T:$T,"MERCADORIAS P/REVENDA",Report!$AA:$AA,"SIM",Report!$C:$C,A207)</f>
        <v>14050.67</v>
      </c>
      <c r="D207" s="41"/>
      <c r="E207" s="41"/>
      <c r="F207" s="40" t="n">
        <f aca="false">B207+C207</f>
        <v>15355.67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33258.76</v>
      </c>
      <c r="C208" s="30" t="n">
        <f aca="false">SUM(C201:C207)</f>
        <v>75518.62</v>
      </c>
      <c r="D208" s="34"/>
      <c r="E208" s="34"/>
      <c r="F208" s="30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258</v>
      </c>
      <c r="C213" s="40" t="n">
        <f aca="false">SUMIFS(Report!$U:$U,Report!$T:$T,"MERCADORIAS P/REVENDA",Report!$AA:$AA,"SIM",Report!$C:$C,A213)</f>
        <v>8204.38</v>
      </c>
      <c r="D213" s="41"/>
      <c r="E213" s="41"/>
      <c r="F213" s="40" t="n">
        <f aca="false">B213+C213</f>
        <v>8462.38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573.02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573.02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5330.98</v>
      </c>
      <c r="C215" s="40" t="n">
        <f aca="false">SUMIFS(Report!$U:$U,Report!$T:$T,"MERCADORIAS P/REVENDA",Report!$AA:$AA,"SIM",Report!$C:$C,A215)</f>
        <v>4940.99</v>
      </c>
      <c r="D215" s="41"/>
      <c r="E215" s="41"/>
      <c r="F215" s="40" t="n">
        <f aca="false">B215+C215</f>
        <v>10271.97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36832.46</v>
      </c>
      <c r="C216" s="30" t="n">
        <f aca="false">SUM(C209:C215)</f>
        <v>75148.66</v>
      </c>
      <c r="D216" s="34"/>
      <c r="E216" s="34"/>
      <c r="F216" s="30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0</v>
      </c>
      <c r="C221" s="40" t="n">
        <f aca="false">SUMIFS(Report!$U:$U,Report!$T:$T,"MERCADORIAS P/REVENDA",Report!$AA:$AA,"SIM",Report!$C:$C,A221)</f>
        <v>2664.11</v>
      </c>
      <c r="D221" s="41"/>
      <c r="E221" s="41"/>
      <c r="F221" s="40" t="n">
        <f aca="false">B221+C221</f>
        <v>2664.11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1361.81</v>
      </c>
      <c r="D222" s="41"/>
      <c r="E222" s="41"/>
      <c r="F222" s="40" t="n">
        <f aca="false">B222+C222</f>
        <v>1361.81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737.43</v>
      </c>
      <c r="C223" s="40" t="n">
        <f aca="false">SUMIFS(Report!$U:$U,Report!$T:$T,"MERCADORIAS P/REVENDA",Report!$AA:$AA,"SIM",Report!$C:$C,A223)</f>
        <v>7819.88</v>
      </c>
      <c r="D223" s="41"/>
      <c r="E223" s="41"/>
      <c r="F223" s="40" t="n">
        <f aca="false">B223+C223</f>
        <v>8557.31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6780.66</v>
      </c>
      <c r="C224" s="30" t="n">
        <f aca="false">SUM(C217:C223)</f>
        <v>73517.39</v>
      </c>
      <c r="D224" s="34"/>
      <c r="E224" s="34"/>
      <c r="F224" s="30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247.27</v>
      </c>
      <c r="C229" s="40" t="n">
        <f aca="false">SUMIFS(Report!$U:$U,Report!$T:$T,"MERCADORIAS P/REVENDA",Report!$AA:$AA,"SIM",Report!$C:$C,A229)</f>
        <v>6413.08</v>
      </c>
      <c r="D229" s="41"/>
      <c r="E229" s="41"/>
      <c r="F229" s="40" t="n">
        <f aca="false">B229+C229</f>
        <v>6660.35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2273.8</v>
      </c>
      <c r="D230" s="41"/>
      <c r="E230" s="41"/>
      <c r="F230" s="40" t="n">
        <f aca="false">B230+C230</f>
        <v>2273.8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8024.28</v>
      </c>
      <c r="C231" s="40" t="n">
        <f aca="false">SUMIFS(Report!$U:$U,Report!$T:$T,"MERCADORIAS P/REVENDA",Report!$AA:$AA,"SIM",Report!$C:$C,A231)</f>
        <v>3792.93</v>
      </c>
      <c r="D231" s="41"/>
      <c r="E231" s="41"/>
      <c r="F231" s="40" t="n">
        <f aca="false">B231+C231</f>
        <v>11817.21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16918.09</v>
      </c>
      <c r="C232" s="30" t="n">
        <f aca="false">SUM(C225:C231)</f>
        <v>60989.77</v>
      </c>
      <c r="D232" s="34"/>
      <c r="E232" s="34"/>
      <c r="F232" s="30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646.17</v>
      </c>
      <c r="C237" s="40" t="n">
        <f aca="false">SUMIFS(Report!$U:$U,Report!$T:$T,"MERCADORIAS P/REVENDA",Report!$AA:$AA,"SIM",Report!$C:$C,A237)</f>
        <v>4144</v>
      </c>
      <c r="D237" s="41"/>
      <c r="E237" s="41"/>
      <c r="F237" s="40" t="n">
        <f aca="false">B237+C237</f>
        <v>4790.17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50</v>
      </c>
      <c r="C238" s="40" t="n">
        <f aca="false">SUMIFS(Report!$U:$U,Report!$T:$T,"MERCADORIAS P/REVENDA",Report!$AA:$AA,"SIM",Report!$C:$C,A238)</f>
        <v>819.53</v>
      </c>
      <c r="D238" s="41"/>
      <c r="E238" s="41"/>
      <c r="F238" s="40" t="n">
        <f aca="false">B238+C238</f>
        <v>869.53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6704.11</v>
      </c>
      <c r="C239" s="40" t="n">
        <f aca="false">SUMIFS(Report!$U:$U,Report!$T:$T,"MERCADORIAS P/REVENDA",Report!$AA:$AA,"SIM",Report!$C:$C,A239)</f>
        <v>6271.3</v>
      </c>
      <c r="D239" s="41"/>
      <c r="E239" s="41"/>
      <c r="F239" s="40" t="n">
        <f aca="false">B239+C239</f>
        <v>12975.41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26951.71</v>
      </c>
      <c r="C240" s="30" t="n">
        <f aca="false">SUM(C233:C239)</f>
        <v>60496.77</v>
      </c>
      <c r="D240" s="34"/>
      <c r="E240" s="34"/>
      <c r="F240" s="30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3056.82</v>
      </c>
      <c r="C245" s="40" t="n">
        <f aca="false">SUMIFS(Report!$U:$U,Report!$T:$T,"MERCADORIAS P/REVENDA",Report!$AA:$AA,"SIM",Report!$C:$C,A245)</f>
        <v>12984.07</v>
      </c>
      <c r="D245" s="41"/>
      <c r="E245" s="41"/>
      <c r="F245" s="40" t="n">
        <f aca="false">B245+C245</f>
        <v>16040.89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0</v>
      </c>
      <c r="C246" s="40" t="n">
        <f aca="false">SUMIFS(Report!$U:$U,Report!$T:$T,"MERCADORIAS P/REVENDA",Report!$AA:$AA,"SIM",Report!$C:$C,A246)</f>
        <v>0</v>
      </c>
      <c r="D246" s="41"/>
      <c r="E246" s="41"/>
      <c r="F246" s="40" t="n">
        <f aca="false">B246+C246</f>
        <v>0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0</v>
      </c>
      <c r="C247" s="40" t="n">
        <f aca="false">SUMIFS(Report!$U:$U,Report!$T:$T,"MERCADORIAS P/REVENDA",Report!$AA:$AA,"SIM",Report!$C:$C,A247)</f>
        <v>8325.77</v>
      </c>
      <c r="D247" s="41"/>
      <c r="E247" s="41"/>
      <c r="F247" s="40" t="n">
        <f aca="false">B247+C247</f>
        <v>8325.77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10297.27</v>
      </c>
      <c r="C248" s="30" t="n">
        <f aca="false">SUM(C241:C247)</f>
        <v>65133.27</v>
      </c>
      <c r="D248" s="34"/>
      <c r="E248" s="34"/>
      <c r="F248" s="30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8307.55</v>
      </c>
      <c r="D253" s="41"/>
      <c r="E253" s="41"/>
      <c r="F253" s="40" t="n">
        <f aca="false">B253+C253</f>
        <v>8307.55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707.65</v>
      </c>
      <c r="C254" s="40" t="n">
        <f aca="false">SUMIFS(Report!$U:$U,Report!$T:$T,"MERCADORIAS P/REVENDA",Report!$AA:$AA,"SIM",Report!$C:$C,A254)</f>
        <v>0</v>
      </c>
      <c r="D254" s="41"/>
      <c r="E254" s="41"/>
      <c r="F254" s="40" t="n">
        <f aca="false">B254+C254</f>
        <v>707.65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4717.24</v>
      </c>
      <c r="C255" s="40" t="n">
        <f aca="false">SUMIFS(Report!$U:$U,Report!$T:$T,"MERCADORIAS P/REVENDA",Report!$AA:$AA,"SIM",Report!$C:$C,A255)</f>
        <v>15280.87</v>
      </c>
      <c r="D255" s="41"/>
      <c r="E255" s="41"/>
      <c r="F255" s="40" t="n">
        <f aca="false">B255+C255</f>
        <v>19998.11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26468.97</v>
      </c>
      <c r="C256" s="30" t="n">
        <f aca="false">SUM(C249:C255)</f>
        <v>66739.1</v>
      </c>
      <c r="D256" s="34"/>
      <c r="E256" s="34"/>
      <c r="F256" s="30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5928.88</v>
      </c>
      <c r="C261" s="40" t="n">
        <f aca="false">SUMIFS(Report!$U:$U,Report!$T:$T,"MERCADORIAS P/REVENDA",Report!$AA:$AA,"SIM",Report!$C:$C,A261)</f>
        <v>15834.76</v>
      </c>
      <c r="D261" s="41"/>
      <c r="E261" s="41"/>
      <c r="F261" s="40" t="n">
        <f aca="false">B261+C261</f>
        <v>21763.64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0</v>
      </c>
      <c r="C263" s="40" t="n">
        <f aca="false">SUMIFS(Report!$U:$U,Report!$T:$T,"MERCADORIAS P/REVENDA",Report!$AA:$AA,"SIM",Report!$C:$C,A263)</f>
        <v>9579.11</v>
      </c>
      <c r="D263" s="41"/>
      <c r="E263" s="41"/>
      <c r="F263" s="40" t="n">
        <f aca="false">B263+C263</f>
        <v>9579.11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9950.24</v>
      </c>
      <c r="C264" s="30" t="n">
        <f aca="false">SUM(C257:C263)</f>
        <v>85227.74</v>
      </c>
      <c r="D264" s="34"/>
      <c r="E264" s="34"/>
      <c r="F264" s="30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7768.74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10557.24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15105.77</v>
      </c>
      <c r="F268" s="17" t="n">
        <f aca="false">B268+C268</f>
        <v>15105.77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11498.76</v>
      </c>
      <c r="D269" s="41"/>
      <c r="E269" s="41"/>
      <c r="F269" s="40" t="n">
        <f aca="false">B269+C269</f>
        <v>11498.76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3814.8</v>
      </c>
      <c r="D270" s="41"/>
      <c r="E270" s="41"/>
      <c r="F270" s="40" t="n">
        <f aca="false">B270+C270</f>
        <v>3814.8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10755.79</v>
      </c>
      <c r="C271" s="40" t="n">
        <f aca="false">SUMIFS(Report!$U:$U,Report!$T:$T,"MERCADORIAS P/REVENDA",Report!$AA:$AA,"SIM",Report!$C:$C,A271)</f>
        <v>6265.12</v>
      </c>
      <c r="D271" s="41"/>
      <c r="E271" s="41"/>
      <c r="F271" s="40" t="n">
        <f aca="false">B271+C271</f>
        <v>17020.91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18873.8</v>
      </c>
      <c r="C272" s="30" t="n">
        <f aca="false">SUM(C265:C271)</f>
        <v>47790.85</v>
      </c>
      <c r="D272" s="34"/>
      <c r="E272" s="34"/>
      <c r="F272" s="30" t="n">
        <f aca="false">B272+C272</f>
        <v>66664.65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1330.93</v>
      </c>
      <c r="F273" s="17" t="n">
        <f aca="false">B273+C273</f>
        <v>2425.01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8013.24</v>
      </c>
      <c r="F274" s="17" t="n">
        <f aca="false">B274+C274</f>
        <v>12181.65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4844.41</v>
      </c>
      <c r="F275" s="17" t="n">
        <f aca="false">B275+C275</f>
        <v>5364.88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10234.21</v>
      </c>
      <c r="F276" s="17" t="n">
        <f aca="false">B276+C276</f>
        <v>10234.21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2129.23</v>
      </c>
      <c r="D277" s="41"/>
      <c r="E277" s="41"/>
      <c r="F277" s="40" t="n">
        <f aca="false">B277+C277</f>
        <v>2129.23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420</v>
      </c>
      <c r="C278" s="40" t="n">
        <f aca="false">SUMIFS(Report!$U:$U,Report!$T:$T,"MERCADORIAS P/REVENDA",Report!$AA:$AA,"SIM",Report!$C:$C,A278)</f>
        <v>446.28</v>
      </c>
      <c r="D278" s="41"/>
      <c r="E278" s="41"/>
      <c r="F278" s="40" t="n">
        <f aca="false">B278+C278</f>
        <v>866.28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3133.29</v>
      </c>
      <c r="D279" s="41"/>
      <c r="E279" s="41"/>
      <c r="F279" s="40" t="n">
        <f aca="false">B279+C279</f>
        <v>3133.29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6202.96</v>
      </c>
      <c r="C280" s="30" t="n">
        <f aca="false">SUM(C273:C279)</f>
        <v>30131.59</v>
      </c>
      <c r="D280" s="34"/>
      <c r="E280" s="34"/>
      <c r="F280" s="30" t="n">
        <f aca="false">B280+C280</f>
        <v>36334.55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2476.82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12925.42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4483.73</v>
      </c>
      <c r="F283" s="17" t="n">
        <f aca="false">B283+C283</f>
        <v>5004.19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2616.56</v>
      </c>
      <c r="F284" s="17" t="n">
        <f aca="false">B284+C284</f>
        <v>5318.96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250.1</v>
      </c>
      <c r="C285" s="40" t="n">
        <f aca="false">SUMIFS(Report!$U:$U,Report!$T:$T,"MERCADORIAS P/REVENDA",Report!$AA:$AA,"SIM",Report!$C:$C,A285)</f>
        <v>2129.23</v>
      </c>
      <c r="D285" s="41"/>
      <c r="E285" s="41"/>
      <c r="F285" s="40" t="n">
        <f aca="false">B285+C285</f>
        <v>2379.33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119.97</v>
      </c>
      <c r="C287" s="40" t="n">
        <f aca="false">SUMIFS(Report!$U:$U,Report!$T:$T,"MERCADORIAS P/REVENDA",Report!$AA:$AA,"SIM",Report!$C:$C,A287)</f>
        <v>4415.4</v>
      </c>
      <c r="D287" s="41"/>
      <c r="E287" s="41"/>
      <c r="F287" s="40" t="n">
        <f aca="false">B287+C287</f>
        <v>4535.37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6069.75</v>
      </c>
      <c r="C288" s="30" t="n">
        <f aca="false">SUM(C281:C287)</f>
        <v>29428.78</v>
      </c>
      <c r="D288" s="34"/>
      <c r="E288" s="34"/>
      <c r="F288" s="30" t="n">
        <f aca="false">B288+C288</f>
        <v>35498.53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1093.35</v>
      </c>
      <c r="C291" s="17" t="n">
        <f aca="false">SUMIFS(Report!$U:$U,Report!$T:$T,"MERCADORIAS P/REVENDA",Report!$AA:$AA,"SIM",Report!$C:$C,A291)</f>
        <v>4330.01</v>
      </c>
      <c r="F291" s="17" t="n">
        <f aca="false">B291+C291</f>
        <v>5423.36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2129.23</v>
      </c>
      <c r="D293" s="41"/>
      <c r="E293" s="41"/>
      <c r="F293" s="40" t="n">
        <f aca="false">B293+C293</f>
        <v>2129.23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983.77</v>
      </c>
      <c r="D295" s="41"/>
      <c r="E295" s="41"/>
      <c r="F295" s="40" t="n">
        <f aca="false">B295+C295</f>
        <v>983.77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1093.35</v>
      </c>
      <c r="C296" s="30" t="n">
        <f aca="false">SUM(C289:C295)</f>
        <v>14691.45</v>
      </c>
      <c r="D296" s="34"/>
      <c r="E296" s="34"/>
      <c r="F296" s="30" t="n">
        <f aca="false">B296+C296</f>
        <v>15784.8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1478.96</v>
      </c>
      <c r="F299" s="17" t="n">
        <f aca="false">B299+C299</f>
        <v>1478.96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734.2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734.2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983.77</v>
      </c>
      <c r="D303" s="41"/>
      <c r="E303" s="41"/>
      <c r="F303" s="40" t="n">
        <f aca="false">B303+C303</f>
        <v>983.77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6968.35</v>
      </c>
      <c r="C304" s="30" t="n">
        <f aca="false">SUM(C297:C303)</f>
        <v>7727.42</v>
      </c>
      <c r="D304" s="34"/>
      <c r="E304" s="34"/>
      <c r="F304" s="30" t="n">
        <f aca="false">B304+C304</f>
        <v>14695.77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498.69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498.69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4168.41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4168.41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15313.03</v>
      </c>
      <c r="C312" s="30" t="n">
        <f aca="false">SUM(C305:C311)</f>
        <v>0</v>
      </c>
      <c r="D312" s="34"/>
      <c r="E312" s="34"/>
      <c r="F312" s="30" t="n">
        <f aca="false">B312+C312</f>
        <v>15313.03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250.1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250.1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899.82</v>
      </c>
      <c r="C320" s="30" t="n">
        <f aca="false">SUM(C313:C319)</f>
        <v>638.75</v>
      </c>
      <c r="D320" s="34"/>
      <c r="E320" s="34"/>
      <c r="F320" s="30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933.35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933.35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1053.32</v>
      </c>
      <c r="C328" s="30" t="n">
        <f aca="false">SUM(C321:C327)</f>
        <v>0</v>
      </c>
      <c r="D328" s="34"/>
      <c r="E328" s="34"/>
      <c r="F328" s="30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247.27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247.27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6176.15</v>
      </c>
      <c r="C336" s="30" t="n">
        <f aca="false">SUM(C329:C335)</f>
        <v>0</v>
      </c>
      <c r="D336" s="34"/>
      <c r="E336" s="34"/>
      <c r="F336" s="30" t="n">
        <f aca="false">B336+C336</f>
        <v>6176.15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446.17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446.17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4168.41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4168.41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4614.58</v>
      </c>
      <c r="C344" s="30" t="n">
        <f aca="false">SUM(C337:C343)</f>
        <v>0</v>
      </c>
      <c r="D344" s="34"/>
      <c r="E344" s="34"/>
      <c r="F344" s="30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1326</v>
      </c>
      <c r="B1" s="43"/>
      <c r="C1" s="43"/>
      <c r="D1" s="43"/>
    </row>
    <row r="2" customFormat="false" ht="12.75" hidden="false" customHeight="true" outlineLevel="0" collapsed="false">
      <c r="A2" s="44" t="s">
        <v>1327</v>
      </c>
      <c r="B2" s="44"/>
      <c r="C2" s="44"/>
      <c r="D2" s="44"/>
    </row>
    <row r="4" customFormat="false" ht="24.75" hidden="false" customHeight="true" outlineLevel="0" collapsed="false">
      <c r="A4" s="45" t="s">
        <v>1275</v>
      </c>
      <c r="B4" s="45" t="s">
        <v>1328</v>
      </c>
      <c r="C4" s="45" t="s">
        <v>1329</v>
      </c>
    </row>
    <row r="5" customFormat="false" ht="12.75" hidden="false" customHeight="true" outlineLevel="0" collapsed="false">
      <c r="A5" s="46" t="s">
        <v>1279</v>
      </c>
      <c r="B5" s="46" t="n">
        <v>2026</v>
      </c>
      <c r="C5" s="47" t="n">
        <v>306569.53</v>
      </c>
    </row>
    <row r="6" customFormat="false" ht="12.75" hidden="false" customHeight="true" outlineLevel="0" collapsed="false">
      <c r="A6" s="46" t="s">
        <v>1280</v>
      </c>
      <c r="B6" s="46" t="n">
        <v>2026</v>
      </c>
      <c r="C6" s="47" t="n">
        <v>298653.71</v>
      </c>
    </row>
    <row r="7" customFormat="false" ht="12.75" hidden="false" customHeight="true" outlineLevel="0" collapsed="false">
      <c r="A7" s="46" t="s">
        <v>1281</v>
      </c>
      <c r="B7" s="46" t="n">
        <v>2026</v>
      </c>
      <c r="C7" s="47" t="n">
        <v>344581.2</v>
      </c>
    </row>
    <row r="8" customFormat="false" ht="12.75" hidden="false" customHeight="true" outlineLevel="0" collapsed="false">
      <c r="A8" s="46" t="s">
        <v>1282</v>
      </c>
      <c r="B8" s="46" t="n">
        <v>2026</v>
      </c>
      <c r="C8" s="47" t="n">
        <v>333926.29</v>
      </c>
    </row>
    <row r="9" customFormat="false" ht="12.75" hidden="false" customHeight="true" outlineLevel="0" collapsed="false">
      <c r="A9" s="46" t="s">
        <v>1283</v>
      </c>
      <c r="B9" s="46" t="n">
        <v>2026</v>
      </c>
      <c r="C9" s="47" t="n">
        <v>363676.33</v>
      </c>
    </row>
    <row r="10" customFormat="false" ht="12.75" hidden="false" customHeight="true" outlineLevel="0" collapsed="false">
      <c r="A10" s="46" t="s">
        <v>1284</v>
      </c>
      <c r="B10" s="46" t="n">
        <v>2026</v>
      </c>
      <c r="C10" s="47" t="n">
        <v>352563.43</v>
      </c>
    </row>
    <row r="11" customFormat="false" ht="12.75" hidden="false" customHeight="true" outlineLevel="0" collapsed="false">
      <c r="A11" s="46" t="s">
        <v>1285</v>
      </c>
      <c r="B11" s="46" t="n">
        <v>2026</v>
      </c>
      <c r="C11" s="47" t="n">
        <v>332480.59</v>
      </c>
    </row>
    <row r="12" customFormat="false" ht="13.5" hidden="false" customHeight="true" outlineLevel="0" collapsed="false">
      <c r="A12" s="46" t="s">
        <v>1286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1287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1288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1289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1290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1330</v>
      </c>
      <c r="B18" s="49"/>
      <c r="C18" s="50" t="n">
        <v>46230</v>
      </c>
    </row>
    <row r="20" customFormat="false" ht="12.75" hidden="false" customHeight="true" outlineLevel="0" collapsed="false">
      <c r="A20" s="44" t="s">
        <v>1331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1332</v>
      </c>
    </row>
    <row r="3" customFormat="false" ht="12.75" hidden="false" customHeight="true" outlineLevel="0" collapsed="false">
      <c r="A3" s="27" t="s">
        <v>1333</v>
      </c>
      <c r="E3" s="52" t="n">
        <v>0.8871</v>
      </c>
      <c r="F3" s="1" t="s">
        <v>1334</v>
      </c>
    </row>
    <row r="6" customFormat="false" ht="12.75" hidden="false" customHeight="true" outlineLevel="0" collapsed="false">
      <c r="A6" s="53" t="s">
        <v>1275</v>
      </c>
      <c r="B6" s="32" t="s">
        <v>1335</v>
      </c>
      <c r="C6" s="32" t="s">
        <v>1336</v>
      </c>
      <c r="D6" s="32" t="s">
        <v>1337</v>
      </c>
      <c r="E6" s="32" t="s">
        <v>1338</v>
      </c>
      <c r="F6" s="32" t="s">
        <v>1339</v>
      </c>
    </row>
    <row r="7" customFormat="false" ht="12.75" hidden="false" customHeight="true" outlineLevel="0" collapsed="false">
      <c r="A7" s="27" t="s">
        <v>1279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1280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1281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1282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1283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1284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  <c r="F12" s="17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7" t="s">
        <v>1285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  <c r="F13" s="17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7" t="s">
        <v>1286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251199.12</v>
      </c>
      <c r="E14" s="17" t="n">
        <f aca="false">IF(AND(ISNUMBER(C14),D14&gt;0),D14-C14,"")</f>
        <v>-43744.411389</v>
      </c>
      <c r="F14" s="17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7" t="s">
        <v>1287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51847.65</v>
      </c>
      <c r="E15" s="17" t="n">
        <f aca="false">IF(AND(ISNUMBER(C15),D15&gt;0),D15-C15,"")</f>
        <v>51847.65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1288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1289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1290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1303</v>
      </c>
      <c r="B19" s="35" t="n">
        <f aca="false">SUM(B7:B18)</f>
        <v>2332451.08</v>
      </c>
      <c r="C19" s="35" t="n">
        <f aca="false">SUM(C7:C18)</f>
        <v>2069117.353068</v>
      </c>
      <c r="D19" s="35" t="n">
        <f aca="false">SUM(D7:D18)</f>
        <v>881634.33</v>
      </c>
      <c r="E19" s="35" t="n">
        <f aca="false">IF(COUNT(E7:E18)=0,"sem dados comparaveis ainda",SUM(E7:E18))</f>
        <v>-48685.492485</v>
      </c>
      <c r="F19" s="35" t="n">
        <f aca="false">SUM(F7:F18)</f>
        <v>794813.44</v>
      </c>
    </row>
    <row r="21" customFormat="false" ht="12.75" hidden="false" customHeight="true" outlineLevel="0" collapsed="false">
      <c r="A21" s="27" t="s">
        <v>1340</v>
      </c>
    </row>
    <row r="23" customFormat="false" ht="12.75" hidden="false" customHeight="true" outlineLevel="0" collapsed="false">
      <c r="A23" s="27" t="s">
        <v>1341</v>
      </c>
    </row>
    <row r="25" customFormat="false" ht="12.75" hidden="false" customHeight="true" outlineLevel="0" collapsed="false">
      <c r="A25" s="27" t="s">
        <v>1342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1343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0" width="35"/>
  </cols>
  <sheetData>
    <row r="1" customFormat="false" ht="15" hidden="false" customHeight="false" outlineLevel="0" collapsed="false">
      <c r="A1" s="0" t="s">
        <v>1344</v>
      </c>
      <c r="B1" s="0" t="s">
        <v>1345</v>
      </c>
      <c r="C1" s="0" t="s">
        <v>1346</v>
      </c>
      <c r="D1" s="0" t="s">
        <v>1347</v>
      </c>
      <c r="E1" s="0" t="s">
        <v>1348</v>
      </c>
      <c r="F1" s="0" t="s">
        <v>1349</v>
      </c>
      <c r="G1" s="0" t="s">
        <v>1350</v>
      </c>
      <c r="H1" s="0" t="s">
        <v>1351</v>
      </c>
      <c r="I1" s="0" t="s">
        <v>1352</v>
      </c>
      <c r="J1" s="0" t="s">
        <v>1353</v>
      </c>
      <c r="K1" s="0" t="s">
        <v>1354</v>
      </c>
    </row>
    <row r="2" customFormat="false" ht="15" hidden="false" customHeight="false" outlineLevel="0" collapsed="false">
      <c r="A2" s="0" t="n">
        <v>2</v>
      </c>
      <c r="B2" s="0" t="n">
        <v>88296</v>
      </c>
      <c r="C2" s="0" t="s">
        <v>1355</v>
      </c>
      <c r="D2" s="0" t="s">
        <v>1356</v>
      </c>
      <c r="E2" s="54" t="n">
        <v>46174</v>
      </c>
      <c r="F2" s="54" t="n">
        <v>46171</v>
      </c>
      <c r="G2" s="0" t="s">
        <v>216</v>
      </c>
      <c r="H2" s="0" t="n">
        <v>1187025</v>
      </c>
      <c r="I2" s="0" t="n">
        <v>11</v>
      </c>
      <c r="J2" s="0" t="s">
        <v>1357</v>
      </c>
      <c r="K2" s="55" t="n">
        <v>672.85</v>
      </c>
    </row>
    <row r="3" customFormat="false" ht="15" hidden="false" customHeight="false" outlineLevel="0" collapsed="false">
      <c r="A3" s="0" t="n">
        <v>2</v>
      </c>
      <c r="B3" s="0" t="n">
        <v>1143885</v>
      </c>
      <c r="C3" s="0" t="s">
        <v>1358</v>
      </c>
      <c r="D3" s="0" t="s">
        <v>1359</v>
      </c>
      <c r="E3" s="54" t="n">
        <v>46174</v>
      </c>
      <c r="F3" s="54" t="n">
        <v>46171</v>
      </c>
      <c r="G3" s="0" t="s">
        <v>119</v>
      </c>
      <c r="H3" s="0" t="n">
        <v>1188052</v>
      </c>
      <c r="I3" s="0" t="n">
        <v>1</v>
      </c>
      <c r="J3" s="0" t="s">
        <v>1357</v>
      </c>
      <c r="K3" s="55" t="n">
        <v>305.12</v>
      </c>
    </row>
    <row r="4" customFormat="false" ht="15" hidden="false" customHeight="false" outlineLevel="0" collapsed="false">
      <c r="A4" s="0" t="n">
        <v>2</v>
      </c>
      <c r="B4" s="0" t="n">
        <v>1857569</v>
      </c>
      <c r="C4" s="0" t="s">
        <v>1360</v>
      </c>
      <c r="D4" s="0" t="s">
        <v>1359</v>
      </c>
      <c r="E4" s="54" t="n">
        <v>46174</v>
      </c>
      <c r="F4" s="54" t="n">
        <v>46171</v>
      </c>
      <c r="G4" s="0" t="s">
        <v>119</v>
      </c>
      <c r="H4" s="0" t="n">
        <v>1188066</v>
      </c>
      <c r="I4" s="0" t="n">
        <v>11</v>
      </c>
      <c r="J4" s="0" t="s">
        <v>1357</v>
      </c>
      <c r="K4" s="55" t="n">
        <v>319.14</v>
      </c>
    </row>
    <row r="5" customFormat="false" ht="15" hidden="false" customHeight="false" outlineLevel="0" collapsed="false">
      <c r="A5" s="0" t="n">
        <v>2</v>
      </c>
      <c r="B5" s="0" t="n">
        <v>1858412</v>
      </c>
      <c r="C5" s="0" t="s">
        <v>1360</v>
      </c>
      <c r="D5" s="0" t="s">
        <v>1359</v>
      </c>
      <c r="E5" s="54" t="n">
        <v>46174</v>
      </c>
      <c r="F5" s="54" t="n">
        <v>46171</v>
      </c>
      <c r="G5" s="0" t="s">
        <v>119</v>
      </c>
      <c r="H5" s="0" t="n">
        <v>1188049</v>
      </c>
      <c r="I5" s="0" t="n">
        <v>1</v>
      </c>
      <c r="J5" s="0" t="s">
        <v>1357</v>
      </c>
      <c r="K5" s="55" t="n">
        <v>225.8</v>
      </c>
    </row>
    <row r="6" customFormat="false" ht="15" hidden="false" customHeight="false" outlineLevel="0" collapsed="false">
      <c r="A6" s="0" t="n">
        <v>2</v>
      </c>
      <c r="B6" s="0" t="n">
        <v>1624511</v>
      </c>
      <c r="C6" s="0" t="s">
        <v>1361</v>
      </c>
      <c r="D6" s="0" t="s">
        <v>1362</v>
      </c>
      <c r="E6" s="54" t="n">
        <v>46174</v>
      </c>
      <c r="F6" s="54" t="n">
        <v>46172</v>
      </c>
      <c r="G6" s="0" t="s">
        <v>369</v>
      </c>
      <c r="H6" s="0" t="n">
        <v>1187101</v>
      </c>
      <c r="I6" s="0" t="n">
        <v>1</v>
      </c>
      <c r="J6" s="0" t="s">
        <v>1357</v>
      </c>
      <c r="K6" s="55" t="n">
        <v>172</v>
      </c>
    </row>
    <row r="7" customFormat="false" ht="15" hidden="false" customHeight="false" outlineLevel="0" collapsed="false">
      <c r="A7" s="0" t="n">
        <v>2</v>
      </c>
      <c r="B7" s="0" t="n">
        <v>14361</v>
      </c>
      <c r="C7" s="0" t="s">
        <v>1363</v>
      </c>
      <c r="D7" s="0" t="s">
        <v>1364</v>
      </c>
      <c r="E7" s="54" t="n">
        <v>46174</v>
      </c>
      <c r="F7" s="54" t="n">
        <v>46172</v>
      </c>
      <c r="G7" s="0" t="s">
        <v>248</v>
      </c>
      <c r="H7" s="0" t="n">
        <v>1188021</v>
      </c>
      <c r="I7" s="0" t="n">
        <v>1</v>
      </c>
      <c r="J7" s="0" t="s">
        <v>1357</v>
      </c>
      <c r="K7" s="55" t="n">
        <v>3329</v>
      </c>
    </row>
    <row r="8" customFormat="false" ht="15" hidden="false" customHeight="false" outlineLevel="0" collapsed="false">
      <c r="A8" s="0" t="n">
        <v>2</v>
      </c>
      <c r="B8" s="0" t="n">
        <v>643</v>
      </c>
      <c r="C8" s="0" t="s">
        <v>1355</v>
      </c>
      <c r="D8" s="0" t="s">
        <v>1365</v>
      </c>
      <c r="E8" s="54" t="n">
        <v>46174</v>
      </c>
      <c r="F8" s="54" t="n">
        <v>46174</v>
      </c>
      <c r="G8" s="0" t="s">
        <v>194</v>
      </c>
      <c r="H8" s="0" t="n">
        <v>1188208</v>
      </c>
      <c r="I8" s="0" t="n">
        <v>1</v>
      </c>
      <c r="J8" s="0" t="s">
        <v>1357</v>
      </c>
      <c r="K8" s="55" t="n">
        <v>334.6</v>
      </c>
    </row>
    <row r="9" customFormat="false" ht="15" hidden="false" customHeight="false" outlineLevel="0" collapsed="false">
      <c r="A9" s="0" t="n">
        <v>2</v>
      </c>
      <c r="B9" s="0" t="n">
        <v>3301</v>
      </c>
      <c r="C9" s="0" t="s">
        <v>1363</v>
      </c>
      <c r="D9" s="0" t="s">
        <v>1366</v>
      </c>
      <c r="E9" s="54" t="n">
        <v>46174</v>
      </c>
      <c r="F9" s="54" t="n">
        <v>46172</v>
      </c>
      <c r="G9" s="0" t="s">
        <v>188</v>
      </c>
      <c r="H9" s="0" t="n">
        <v>1187124</v>
      </c>
      <c r="I9" s="0" t="n">
        <v>1</v>
      </c>
      <c r="J9" s="0" t="s">
        <v>1357</v>
      </c>
      <c r="K9" s="55" t="n">
        <v>449.5</v>
      </c>
    </row>
    <row r="10" customFormat="false" ht="15" hidden="false" customHeight="false" outlineLevel="0" collapsed="false">
      <c r="A10" s="0" t="n">
        <v>2</v>
      </c>
      <c r="B10" s="0" t="n">
        <v>14975</v>
      </c>
      <c r="C10" s="0" t="s">
        <v>1363</v>
      </c>
      <c r="D10" s="0" t="s">
        <v>1367</v>
      </c>
      <c r="E10" s="54" t="n">
        <v>46174</v>
      </c>
      <c r="F10" s="54" t="n">
        <v>46174</v>
      </c>
      <c r="G10" s="0" t="s">
        <v>266</v>
      </c>
      <c r="H10" s="0" t="n">
        <v>1187978</v>
      </c>
      <c r="I10" s="0" t="n">
        <v>1</v>
      </c>
      <c r="J10" s="0" t="s">
        <v>1357</v>
      </c>
      <c r="K10" s="55" t="n">
        <v>374.01</v>
      </c>
    </row>
    <row r="11" customFormat="false" ht="15" hidden="false" customHeight="false" outlineLevel="0" collapsed="false">
      <c r="A11" s="0" t="n">
        <v>2</v>
      </c>
      <c r="B11" s="0" t="n">
        <v>483</v>
      </c>
      <c r="C11" s="0" t="s">
        <v>1363</v>
      </c>
      <c r="D11" s="0" t="s">
        <v>1368</v>
      </c>
      <c r="E11" s="54" t="n">
        <v>46175</v>
      </c>
      <c r="F11" s="54" t="n">
        <v>46174</v>
      </c>
      <c r="G11" s="0" t="s">
        <v>130</v>
      </c>
      <c r="H11" s="0" t="n">
        <v>1192348</v>
      </c>
      <c r="I11" s="0" t="n">
        <v>1</v>
      </c>
      <c r="J11" s="0" t="s">
        <v>1357</v>
      </c>
      <c r="K11" s="55" t="n">
        <v>180</v>
      </c>
    </row>
    <row r="12" customFormat="false" ht="15" hidden="false" customHeight="false" outlineLevel="0" collapsed="false">
      <c r="A12" s="0" t="n">
        <v>2</v>
      </c>
      <c r="B12" s="0" t="n">
        <v>287</v>
      </c>
      <c r="C12" s="0" t="s">
        <v>1363</v>
      </c>
      <c r="D12" s="0" t="s">
        <v>1369</v>
      </c>
      <c r="E12" s="54" t="n">
        <v>46175</v>
      </c>
      <c r="F12" s="54" t="n">
        <v>46170</v>
      </c>
      <c r="G12" s="0" t="s">
        <v>220</v>
      </c>
      <c r="H12" s="0" t="n">
        <v>1193359</v>
      </c>
      <c r="I12" s="0" t="n">
        <v>1</v>
      </c>
      <c r="J12" s="0" t="s">
        <v>1357</v>
      </c>
      <c r="K12" s="55" t="n">
        <v>570</v>
      </c>
    </row>
    <row r="13" customFormat="false" ht="15" hidden="false" customHeight="false" outlineLevel="0" collapsed="false">
      <c r="A13" s="0" t="n">
        <v>2</v>
      </c>
      <c r="B13" s="0" t="n">
        <v>1025111</v>
      </c>
      <c r="C13" s="0" t="s">
        <v>1363</v>
      </c>
      <c r="D13" s="0" t="s">
        <v>1370</v>
      </c>
      <c r="E13" s="54" t="n">
        <v>46175</v>
      </c>
      <c r="F13" s="54" t="n">
        <v>46174</v>
      </c>
      <c r="G13" s="0" t="s">
        <v>210</v>
      </c>
      <c r="H13" s="0" t="n">
        <v>1191352</v>
      </c>
      <c r="I13" s="0" t="n">
        <v>1</v>
      </c>
      <c r="J13" s="0" t="s">
        <v>1357</v>
      </c>
      <c r="K13" s="55" t="n">
        <v>337.08</v>
      </c>
    </row>
    <row r="14" customFormat="false" ht="15" hidden="false" customHeight="false" outlineLevel="0" collapsed="false">
      <c r="A14" s="0" t="n">
        <v>2</v>
      </c>
      <c r="B14" s="0" t="n">
        <v>1664082</v>
      </c>
      <c r="C14" s="0" t="s">
        <v>1363</v>
      </c>
      <c r="D14" s="0" t="s">
        <v>1371</v>
      </c>
      <c r="E14" s="54" t="n">
        <v>46175</v>
      </c>
      <c r="F14" s="54" t="n">
        <v>46170</v>
      </c>
      <c r="G14" s="0" t="s">
        <v>201</v>
      </c>
      <c r="H14" s="0" t="n">
        <v>1191332</v>
      </c>
      <c r="I14" s="0" t="n">
        <v>1</v>
      </c>
      <c r="J14" s="0" t="s">
        <v>1357</v>
      </c>
      <c r="K14" s="55" t="n">
        <v>342.59</v>
      </c>
    </row>
    <row r="15" customFormat="false" ht="15" hidden="false" customHeight="false" outlineLevel="0" collapsed="false">
      <c r="A15" s="0" t="n">
        <v>2</v>
      </c>
      <c r="B15" s="0" t="n">
        <v>1624969</v>
      </c>
      <c r="C15" s="0" t="s">
        <v>1361</v>
      </c>
      <c r="D15" s="0" t="s">
        <v>1362</v>
      </c>
      <c r="E15" s="54" t="n">
        <v>46175</v>
      </c>
      <c r="F15" s="54" t="n">
        <v>46174</v>
      </c>
      <c r="G15" s="0" t="s">
        <v>369</v>
      </c>
      <c r="H15" s="0" t="n">
        <v>1192343</v>
      </c>
      <c r="I15" s="0" t="n">
        <v>1</v>
      </c>
      <c r="J15" s="0" t="s">
        <v>1357</v>
      </c>
      <c r="K15" s="55" t="n">
        <v>130.5</v>
      </c>
    </row>
    <row r="16" customFormat="false" ht="15" hidden="false" customHeight="false" outlineLevel="0" collapsed="false">
      <c r="A16" s="0" t="n">
        <v>2</v>
      </c>
      <c r="B16" s="0" t="n">
        <v>5932</v>
      </c>
      <c r="C16" s="0" t="s">
        <v>1355</v>
      </c>
      <c r="D16" s="0" t="s">
        <v>1372</v>
      </c>
      <c r="E16" s="54" t="n">
        <v>46175</v>
      </c>
      <c r="F16" s="54" t="n">
        <v>46175</v>
      </c>
      <c r="G16" s="0" t="s">
        <v>141</v>
      </c>
      <c r="H16" s="0" t="n">
        <v>1193349</v>
      </c>
      <c r="I16" s="0" t="n">
        <v>1</v>
      </c>
      <c r="J16" s="0" t="s">
        <v>1357</v>
      </c>
      <c r="K16" s="55" t="n">
        <v>140</v>
      </c>
    </row>
    <row r="17" customFormat="false" ht="15" hidden="false" customHeight="false" outlineLevel="0" collapsed="false">
      <c r="A17" s="0" t="n">
        <v>2</v>
      </c>
      <c r="B17" s="0" t="n">
        <v>2473</v>
      </c>
      <c r="C17" s="0" t="s">
        <v>1363</v>
      </c>
      <c r="D17" s="0" t="s">
        <v>1373</v>
      </c>
      <c r="E17" s="54" t="n">
        <v>46175</v>
      </c>
      <c r="F17" s="54" t="n">
        <v>46175</v>
      </c>
      <c r="G17" s="0" t="s">
        <v>132</v>
      </c>
      <c r="H17" s="0" t="n">
        <v>1192377</v>
      </c>
      <c r="I17" s="0" t="n">
        <v>6</v>
      </c>
      <c r="J17" s="0" t="s">
        <v>1357</v>
      </c>
      <c r="K17" s="55" t="n">
        <v>195</v>
      </c>
    </row>
    <row r="18" customFormat="false" ht="15" hidden="false" customHeight="false" outlineLevel="0" collapsed="false">
      <c r="A18" s="0" t="n">
        <v>2</v>
      </c>
      <c r="B18" s="0" t="n">
        <v>2474</v>
      </c>
      <c r="C18" s="0" t="s">
        <v>1363</v>
      </c>
      <c r="D18" s="0" t="s">
        <v>1373</v>
      </c>
      <c r="E18" s="54" t="n">
        <v>46175</v>
      </c>
      <c r="F18" s="54" t="n">
        <v>46175</v>
      </c>
      <c r="G18" s="0" t="s">
        <v>132</v>
      </c>
      <c r="H18" s="0" t="n">
        <v>1193292</v>
      </c>
      <c r="I18" s="0" t="n">
        <v>6</v>
      </c>
      <c r="J18" s="0" t="s">
        <v>1357</v>
      </c>
      <c r="K18" s="55" t="n">
        <v>1465.86</v>
      </c>
    </row>
    <row r="19" customFormat="false" ht="15" hidden="false" customHeight="false" outlineLevel="0" collapsed="false">
      <c r="A19" s="0" t="n">
        <v>2</v>
      </c>
      <c r="B19" s="0" t="n">
        <v>2626</v>
      </c>
      <c r="C19" s="0" t="s">
        <v>1363</v>
      </c>
      <c r="D19" s="0" t="s">
        <v>1373</v>
      </c>
      <c r="E19" s="54" t="n">
        <v>46175</v>
      </c>
      <c r="F19" s="54" t="n">
        <v>46175</v>
      </c>
      <c r="G19" s="0" t="s">
        <v>132</v>
      </c>
      <c r="H19" s="0" t="n">
        <v>1192361</v>
      </c>
      <c r="I19" s="0" t="n">
        <v>2</v>
      </c>
      <c r="J19" s="0" t="s">
        <v>1357</v>
      </c>
      <c r="K19" s="55" t="n">
        <v>195</v>
      </c>
    </row>
    <row r="20" customFormat="false" ht="15" hidden="false" customHeight="false" outlineLevel="0" collapsed="false">
      <c r="A20" s="0" t="n">
        <v>2</v>
      </c>
      <c r="B20" s="0" t="n">
        <v>262026</v>
      </c>
      <c r="C20" s="0" t="s">
        <v>1363</v>
      </c>
      <c r="D20" s="0" t="s">
        <v>1373</v>
      </c>
      <c r="E20" s="54" t="n">
        <v>46175</v>
      </c>
      <c r="F20" s="54" t="n">
        <v>46175</v>
      </c>
      <c r="G20" s="0" t="s">
        <v>132</v>
      </c>
      <c r="H20" s="0" t="n">
        <v>1193282</v>
      </c>
      <c r="I20" s="0" t="n">
        <v>2</v>
      </c>
      <c r="J20" s="0" t="s">
        <v>1357</v>
      </c>
      <c r="K20" s="55" t="n">
        <v>1465.86</v>
      </c>
    </row>
    <row r="21" customFormat="false" ht="15" hidden="false" customHeight="false" outlineLevel="0" collapsed="false">
      <c r="A21" s="0" t="n">
        <v>2</v>
      </c>
      <c r="B21" s="0" t="n">
        <v>3628</v>
      </c>
      <c r="C21" s="0" t="s">
        <v>1363</v>
      </c>
      <c r="D21" s="0" t="s">
        <v>1374</v>
      </c>
      <c r="E21" s="54" t="n">
        <v>46175</v>
      </c>
      <c r="F21" s="54" t="n">
        <v>46174</v>
      </c>
      <c r="G21" s="0" t="s">
        <v>92</v>
      </c>
      <c r="H21" s="0" t="n">
        <v>1193352</v>
      </c>
      <c r="I21" s="0" t="n">
        <v>1</v>
      </c>
      <c r="J21" s="0" t="s">
        <v>1357</v>
      </c>
      <c r="K21" s="55" t="n">
        <v>209.7</v>
      </c>
    </row>
    <row r="22" customFormat="false" ht="15" hidden="false" customHeight="false" outlineLevel="0" collapsed="false">
      <c r="A22" s="0" t="n">
        <v>2</v>
      </c>
      <c r="B22" s="0" t="n">
        <v>517670</v>
      </c>
      <c r="C22" s="0" t="s">
        <v>1363</v>
      </c>
      <c r="D22" s="0" t="s">
        <v>1375</v>
      </c>
      <c r="E22" s="54" t="n">
        <v>46176</v>
      </c>
      <c r="F22" s="54" t="n">
        <v>46175</v>
      </c>
      <c r="G22" s="0" t="s">
        <v>117</v>
      </c>
      <c r="H22" s="0" t="n">
        <v>1197279</v>
      </c>
      <c r="I22" s="0" t="n">
        <v>1</v>
      </c>
      <c r="J22" s="0" t="s">
        <v>1357</v>
      </c>
      <c r="K22" s="55" t="n">
        <v>431.22</v>
      </c>
    </row>
    <row r="23" customFormat="false" ht="15" hidden="false" customHeight="false" outlineLevel="0" collapsed="false">
      <c r="A23" s="0" t="n">
        <v>2</v>
      </c>
      <c r="B23" s="0" t="n">
        <v>1149104</v>
      </c>
      <c r="C23" s="0" t="s">
        <v>1358</v>
      </c>
      <c r="D23" s="0" t="s">
        <v>1359</v>
      </c>
      <c r="E23" s="54" t="n">
        <v>46176</v>
      </c>
      <c r="F23" s="54" t="n">
        <v>46175</v>
      </c>
      <c r="G23" s="0" t="s">
        <v>119</v>
      </c>
      <c r="H23" s="0" t="n">
        <v>1197727</v>
      </c>
      <c r="I23" s="0" t="n">
        <v>1</v>
      </c>
      <c r="J23" s="0" t="s">
        <v>1357</v>
      </c>
      <c r="K23" s="55" t="n">
        <v>552.17</v>
      </c>
    </row>
    <row r="24" customFormat="false" ht="15" hidden="false" customHeight="false" outlineLevel="0" collapsed="false">
      <c r="A24" s="0" t="n">
        <v>2</v>
      </c>
      <c r="B24" s="0" t="n">
        <v>1862359</v>
      </c>
      <c r="C24" s="0" t="s">
        <v>1360</v>
      </c>
      <c r="D24" s="0" t="s">
        <v>1359</v>
      </c>
      <c r="E24" s="54" t="n">
        <v>46176</v>
      </c>
      <c r="F24" s="54" t="n">
        <v>46175</v>
      </c>
      <c r="G24" s="0" t="s">
        <v>119</v>
      </c>
      <c r="H24" s="0" t="n">
        <v>1197731</v>
      </c>
      <c r="I24" s="0" t="n">
        <v>11</v>
      </c>
      <c r="J24" s="0" t="s">
        <v>1357</v>
      </c>
      <c r="K24" s="55" t="n">
        <v>182.54</v>
      </c>
    </row>
    <row r="25" customFormat="false" ht="15" hidden="false" customHeight="false" outlineLevel="0" collapsed="false">
      <c r="A25" s="0" t="n">
        <v>2</v>
      </c>
      <c r="B25" s="0" t="n">
        <v>1863917</v>
      </c>
      <c r="C25" s="0" t="s">
        <v>1360</v>
      </c>
      <c r="D25" s="0" t="s">
        <v>1359</v>
      </c>
      <c r="E25" s="54" t="n">
        <v>46176</v>
      </c>
      <c r="F25" s="54" t="n">
        <v>46175</v>
      </c>
      <c r="G25" s="0" t="s">
        <v>119</v>
      </c>
      <c r="H25" s="0" t="n">
        <v>1197719</v>
      </c>
      <c r="I25" s="0" t="n">
        <v>1</v>
      </c>
      <c r="J25" s="0" t="s">
        <v>1357</v>
      </c>
      <c r="K25" s="55" t="n">
        <v>953.47</v>
      </c>
    </row>
    <row r="26" customFormat="false" ht="15" hidden="false" customHeight="false" outlineLevel="0" collapsed="false">
      <c r="A26" s="0" t="n">
        <v>2</v>
      </c>
      <c r="B26" s="0" t="n">
        <v>170938</v>
      </c>
      <c r="C26" s="0" t="s">
        <v>1363</v>
      </c>
      <c r="D26" s="0" t="s">
        <v>1376</v>
      </c>
      <c r="E26" s="54" t="n">
        <v>46176</v>
      </c>
      <c r="F26" s="54" t="n">
        <v>46175</v>
      </c>
      <c r="G26" s="0" t="s">
        <v>332</v>
      </c>
      <c r="H26" s="0" t="n">
        <v>1197015</v>
      </c>
      <c r="I26" s="0" t="n">
        <v>1</v>
      </c>
      <c r="J26" s="0" t="s">
        <v>1357</v>
      </c>
      <c r="K26" s="55" t="n">
        <v>2264.85</v>
      </c>
    </row>
    <row r="27" customFormat="false" ht="15" hidden="false" customHeight="false" outlineLevel="0" collapsed="false">
      <c r="A27" s="0" t="n">
        <v>2</v>
      </c>
      <c r="B27" s="0" t="n">
        <v>30795</v>
      </c>
      <c r="C27" s="0" t="s">
        <v>1363</v>
      </c>
      <c r="D27" s="0" t="s">
        <v>1377</v>
      </c>
      <c r="E27" s="54" t="n">
        <v>46176</v>
      </c>
      <c r="F27" s="54" t="n">
        <v>46176</v>
      </c>
      <c r="G27" s="0" t="s">
        <v>126</v>
      </c>
      <c r="H27" s="0" t="n">
        <v>1198387</v>
      </c>
      <c r="I27" s="0" t="n">
        <v>11</v>
      </c>
      <c r="J27" s="0" t="s">
        <v>1357</v>
      </c>
      <c r="K27" s="55" t="n">
        <v>199</v>
      </c>
    </row>
    <row r="28" customFormat="false" ht="15" hidden="false" customHeight="false" outlineLevel="0" collapsed="false">
      <c r="A28" s="0" t="n">
        <v>2</v>
      </c>
      <c r="B28" s="0" t="n">
        <v>294</v>
      </c>
      <c r="C28" s="0" t="s">
        <v>1363</v>
      </c>
      <c r="D28" s="0" t="s">
        <v>1369</v>
      </c>
      <c r="E28" s="54" t="n">
        <v>46177</v>
      </c>
      <c r="F28" s="54" t="n">
        <v>46177</v>
      </c>
      <c r="G28" s="0" t="s">
        <v>220</v>
      </c>
      <c r="H28" s="0" t="n">
        <v>1202289</v>
      </c>
      <c r="I28" s="0" t="n">
        <v>11</v>
      </c>
      <c r="J28" s="0" t="s">
        <v>1357</v>
      </c>
      <c r="K28" s="55" t="n">
        <v>950</v>
      </c>
    </row>
    <row r="29" customFormat="false" ht="15" hidden="false" customHeight="false" outlineLevel="0" collapsed="false">
      <c r="A29" s="0" t="n">
        <v>2</v>
      </c>
      <c r="B29" s="0" t="n">
        <v>30864</v>
      </c>
      <c r="C29" s="0" t="s">
        <v>1363</v>
      </c>
      <c r="D29" s="0" t="s">
        <v>1378</v>
      </c>
      <c r="E29" s="54" t="n">
        <v>46177</v>
      </c>
      <c r="F29" s="54" t="n">
        <v>46176</v>
      </c>
      <c r="G29" s="0" t="s">
        <v>128</v>
      </c>
      <c r="H29" s="0" t="n">
        <v>1201508</v>
      </c>
      <c r="I29" s="0" t="n">
        <v>11</v>
      </c>
      <c r="J29" s="0" t="s">
        <v>1357</v>
      </c>
      <c r="K29" s="55" t="n">
        <v>1600.8</v>
      </c>
    </row>
    <row r="30" customFormat="false" ht="15" hidden="false" customHeight="false" outlineLevel="0" collapsed="false">
      <c r="A30" s="0" t="n">
        <v>2</v>
      </c>
      <c r="B30" s="0" t="n">
        <v>195681</v>
      </c>
      <c r="C30" s="0" t="s">
        <v>1363</v>
      </c>
      <c r="D30" s="0" t="s">
        <v>1379</v>
      </c>
      <c r="E30" s="54" t="n">
        <v>46178</v>
      </c>
      <c r="F30" s="54" t="n">
        <v>46178</v>
      </c>
      <c r="G30" s="0" t="s">
        <v>179</v>
      </c>
      <c r="H30" s="0" t="n">
        <v>1206913</v>
      </c>
      <c r="I30" s="0" t="n">
        <v>1</v>
      </c>
      <c r="J30" s="0" t="s">
        <v>1357</v>
      </c>
      <c r="K30" s="55" t="n">
        <v>618.56</v>
      </c>
    </row>
    <row r="31" customFormat="false" ht="15" hidden="false" customHeight="false" outlineLevel="0" collapsed="false">
      <c r="A31" s="0" t="n">
        <v>2</v>
      </c>
      <c r="B31" s="0" t="n">
        <v>1626342</v>
      </c>
      <c r="C31" s="0" t="s">
        <v>1361</v>
      </c>
      <c r="D31" s="0" t="s">
        <v>1362</v>
      </c>
      <c r="E31" s="54" t="n">
        <v>46178</v>
      </c>
      <c r="F31" s="54" t="n">
        <v>46176</v>
      </c>
      <c r="G31" s="0" t="s">
        <v>369</v>
      </c>
      <c r="H31" s="0" t="n">
        <v>1206599</v>
      </c>
      <c r="I31" s="0" t="n">
        <v>1</v>
      </c>
      <c r="J31" s="0" t="s">
        <v>1357</v>
      </c>
      <c r="K31" s="55" t="n">
        <v>133.5</v>
      </c>
    </row>
    <row r="32" customFormat="false" ht="15" hidden="false" customHeight="false" outlineLevel="0" collapsed="false">
      <c r="A32" s="0" t="n">
        <v>2</v>
      </c>
      <c r="B32" s="0" t="n">
        <v>1627236</v>
      </c>
      <c r="C32" s="0" t="s">
        <v>1361</v>
      </c>
      <c r="D32" s="0" t="s">
        <v>1362</v>
      </c>
      <c r="E32" s="54" t="n">
        <v>46178</v>
      </c>
      <c r="F32" s="54" t="n">
        <v>46178</v>
      </c>
      <c r="G32" s="0" t="s">
        <v>369</v>
      </c>
      <c r="H32" s="0" t="n">
        <v>1208226</v>
      </c>
      <c r="I32" s="0" t="n">
        <v>1</v>
      </c>
      <c r="J32" s="0" t="s">
        <v>1357</v>
      </c>
      <c r="K32" s="55" t="n">
        <v>90</v>
      </c>
    </row>
    <row r="33" customFormat="false" ht="15" hidden="false" customHeight="false" outlineLevel="0" collapsed="false">
      <c r="A33" s="0" t="n">
        <v>2</v>
      </c>
      <c r="B33" s="0" t="n">
        <v>1627239</v>
      </c>
      <c r="C33" s="0" t="s">
        <v>1361</v>
      </c>
      <c r="D33" s="0" t="s">
        <v>1362</v>
      </c>
      <c r="E33" s="54" t="n">
        <v>46178</v>
      </c>
      <c r="F33" s="54" t="n">
        <v>46178</v>
      </c>
      <c r="G33" s="0" t="s">
        <v>369</v>
      </c>
      <c r="H33" s="0" t="n">
        <v>1208237</v>
      </c>
      <c r="I33" s="0" t="n">
        <v>1</v>
      </c>
      <c r="J33" s="0" t="s">
        <v>1357</v>
      </c>
      <c r="K33" s="55" t="n">
        <v>81.5</v>
      </c>
    </row>
    <row r="34" customFormat="false" ht="15" hidden="false" customHeight="false" outlineLevel="0" collapsed="false">
      <c r="A34" s="0" t="n">
        <v>2</v>
      </c>
      <c r="B34" s="0" t="n">
        <v>308379</v>
      </c>
      <c r="C34" s="0" t="s">
        <v>1363</v>
      </c>
      <c r="D34" s="0" t="s">
        <v>1380</v>
      </c>
      <c r="E34" s="54" t="n">
        <v>46178</v>
      </c>
      <c r="F34" s="54" t="n">
        <v>46176</v>
      </c>
      <c r="G34" s="0" t="s">
        <v>82</v>
      </c>
      <c r="H34" s="0" t="n">
        <v>1206519</v>
      </c>
      <c r="I34" s="0" t="n">
        <v>11</v>
      </c>
      <c r="J34" s="0" t="s">
        <v>1357</v>
      </c>
      <c r="K34" s="55" t="n">
        <v>1169.23</v>
      </c>
    </row>
    <row r="35" customFormat="false" ht="15" hidden="false" customHeight="false" outlineLevel="0" collapsed="false">
      <c r="A35" s="0" t="n">
        <v>2</v>
      </c>
      <c r="B35" s="0" t="n">
        <v>3322</v>
      </c>
      <c r="C35" s="0" t="s">
        <v>1363</v>
      </c>
      <c r="D35" s="0" t="s">
        <v>1381</v>
      </c>
      <c r="E35" s="54" t="n">
        <v>46178</v>
      </c>
      <c r="F35" s="54" t="n">
        <v>46178</v>
      </c>
      <c r="G35" s="0" t="s">
        <v>171</v>
      </c>
      <c r="H35" s="0" t="n">
        <v>1208207</v>
      </c>
      <c r="I35" s="0" t="n">
        <v>1</v>
      </c>
      <c r="J35" s="0" t="s">
        <v>1357</v>
      </c>
      <c r="K35" s="55" t="n">
        <v>161</v>
      </c>
    </row>
    <row r="36" customFormat="false" ht="15" hidden="false" customHeight="false" outlineLevel="0" collapsed="false">
      <c r="A36" s="0" t="n">
        <v>2</v>
      </c>
      <c r="B36" s="0" t="n">
        <v>5947</v>
      </c>
      <c r="C36" s="0" t="s">
        <v>1355</v>
      </c>
      <c r="D36" s="0" t="s">
        <v>1372</v>
      </c>
      <c r="E36" s="54" t="n">
        <v>46178</v>
      </c>
      <c r="F36" s="54" t="n">
        <v>46178</v>
      </c>
      <c r="G36" s="0" t="s">
        <v>141</v>
      </c>
      <c r="H36" s="0" t="n">
        <v>1221476</v>
      </c>
      <c r="I36" s="0" t="n">
        <v>1</v>
      </c>
      <c r="J36" s="0" t="s">
        <v>1357</v>
      </c>
      <c r="K36" s="55" t="n">
        <v>140</v>
      </c>
    </row>
    <row r="37" customFormat="false" ht="15" hidden="false" customHeight="false" outlineLevel="0" collapsed="false">
      <c r="A37" s="0" t="n">
        <v>2</v>
      </c>
      <c r="B37" s="0" t="n">
        <v>2479</v>
      </c>
      <c r="C37" s="0" t="s">
        <v>1363</v>
      </c>
      <c r="D37" s="0" t="s">
        <v>1373</v>
      </c>
      <c r="E37" s="54" t="n">
        <v>46178</v>
      </c>
      <c r="F37" s="54" t="n">
        <v>46178</v>
      </c>
      <c r="G37" s="0" t="s">
        <v>132</v>
      </c>
      <c r="H37" s="0" t="n">
        <v>1207974</v>
      </c>
      <c r="I37" s="0" t="n">
        <v>6</v>
      </c>
      <c r="J37" s="0" t="s">
        <v>1357</v>
      </c>
      <c r="K37" s="55" t="n">
        <v>1281.95</v>
      </c>
    </row>
    <row r="38" customFormat="false" ht="15" hidden="false" customHeight="false" outlineLevel="0" collapsed="false">
      <c r="A38" s="0" t="n">
        <v>2</v>
      </c>
      <c r="B38" s="0" t="n">
        <v>2480</v>
      </c>
      <c r="C38" s="0" t="s">
        <v>1363</v>
      </c>
      <c r="D38" s="0" t="s">
        <v>1373</v>
      </c>
      <c r="E38" s="54" t="n">
        <v>46178</v>
      </c>
      <c r="F38" s="54" t="n">
        <v>46178</v>
      </c>
      <c r="G38" s="0" t="s">
        <v>132</v>
      </c>
      <c r="H38" s="0" t="n">
        <v>1208155</v>
      </c>
      <c r="I38" s="0" t="n">
        <v>6</v>
      </c>
      <c r="J38" s="0" t="s">
        <v>1357</v>
      </c>
      <c r="K38" s="55" t="n">
        <v>247</v>
      </c>
    </row>
    <row r="39" customFormat="false" ht="15" hidden="false" customHeight="false" outlineLevel="0" collapsed="false">
      <c r="A39" s="0" t="n">
        <v>2</v>
      </c>
      <c r="B39" s="0" t="n">
        <v>5626</v>
      </c>
      <c r="C39" s="0" t="s">
        <v>1363</v>
      </c>
      <c r="D39" s="0" t="s">
        <v>1373</v>
      </c>
      <c r="E39" s="54" t="n">
        <v>46178</v>
      </c>
      <c r="F39" s="54" t="n">
        <v>46178</v>
      </c>
      <c r="G39" s="0" t="s">
        <v>132</v>
      </c>
      <c r="H39" s="0" t="n">
        <v>1207963</v>
      </c>
      <c r="I39" s="0" t="n">
        <v>2</v>
      </c>
      <c r="J39" s="0" t="s">
        <v>1357</v>
      </c>
      <c r="K39" s="55" t="n">
        <v>1281.95</v>
      </c>
    </row>
    <row r="40" customFormat="false" ht="15" hidden="false" customHeight="false" outlineLevel="0" collapsed="false">
      <c r="A40" s="0" t="n">
        <v>2</v>
      </c>
      <c r="B40" s="0" t="n">
        <v>562026</v>
      </c>
      <c r="C40" s="0" t="s">
        <v>1363</v>
      </c>
      <c r="D40" s="0" t="s">
        <v>1373</v>
      </c>
      <c r="E40" s="54" t="n">
        <v>46178</v>
      </c>
      <c r="F40" s="54" t="n">
        <v>46178</v>
      </c>
      <c r="G40" s="0" t="s">
        <v>132</v>
      </c>
      <c r="H40" s="0" t="n">
        <v>1208124</v>
      </c>
      <c r="I40" s="0" t="n">
        <v>2</v>
      </c>
      <c r="J40" s="0" t="s">
        <v>1357</v>
      </c>
      <c r="K40" s="55" t="n">
        <v>247</v>
      </c>
    </row>
    <row r="41" customFormat="false" ht="15" hidden="false" customHeight="false" outlineLevel="0" collapsed="false">
      <c r="A41" s="0" t="n">
        <v>2</v>
      </c>
      <c r="B41" s="0" t="n">
        <v>3659</v>
      </c>
      <c r="C41" s="0" t="s">
        <v>1363</v>
      </c>
      <c r="D41" s="0" t="s">
        <v>1374</v>
      </c>
      <c r="E41" s="54" t="n">
        <v>46178</v>
      </c>
      <c r="F41" s="54" t="n">
        <v>46177</v>
      </c>
      <c r="G41" s="0" t="s">
        <v>92</v>
      </c>
      <c r="H41" s="0" t="n">
        <v>1208198</v>
      </c>
      <c r="I41" s="0" t="n">
        <v>1</v>
      </c>
      <c r="J41" s="0" t="s">
        <v>1357</v>
      </c>
      <c r="K41" s="55" t="n">
        <v>126.04</v>
      </c>
    </row>
    <row r="42" customFormat="false" ht="15" hidden="false" customHeight="false" outlineLevel="0" collapsed="false">
      <c r="A42" s="0" t="n">
        <v>2</v>
      </c>
      <c r="B42" s="0" t="n">
        <v>654</v>
      </c>
      <c r="C42" s="0" t="s">
        <v>1355</v>
      </c>
      <c r="D42" s="0" t="s">
        <v>1365</v>
      </c>
      <c r="E42" s="54" t="n">
        <v>46178</v>
      </c>
      <c r="F42" s="54" t="n">
        <v>46178</v>
      </c>
      <c r="G42" s="0" t="s">
        <v>194</v>
      </c>
      <c r="H42" s="0" t="n">
        <v>1208221</v>
      </c>
      <c r="I42" s="0" t="n">
        <v>1</v>
      </c>
      <c r="J42" s="0" t="s">
        <v>1357</v>
      </c>
      <c r="K42" s="55" t="n">
        <v>282.25</v>
      </c>
    </row>
    <row r="43" customFormat="false" ht="15" hidden="false" customHeight="false" outlineLevel="0" collapsed="false">
      <c r="A43" s="0" t="n">
        <v>2</v>
      </c>
      <c r="B43" s="0" t="n">
        <v>487</v>
      </c>
      <c r="C43" s="0" t="s">
        <v>1363</v>
      </c>
      <c r="D43" s="0" t="s">
        <v>1368</v>
      </c>
      <c r="E43" s="54" t="n">
        <v>46181</v>
      </c>
      <c r="F43" s="54" t="n">
        <v>46178</v>
      </c>
      <c r="G43" s="0" t="s">
        <v>130</v>
      </c>
      <c r="H43" s="0" t="n">
        <v>1221458</v>
      </c>
      <c r="I43" s="0" t="n">
        <v>1</v>
      </c>
      <c r="J43" s="0" t="s">
        <v>1357</v>
      </c>
      <c r="K43" s="55" t="n">
        <v>180</v>
      </c>
    </row>
    <row r="44" customFormat="false" ht="15" hidden="false" customHeight="false" outlineLevel="0" collapsed="false">
      <c r="A44" s="0" t="n">
        <v>2</v>
      </c>
      <c r="B44" s="0" t="n">
        <v>1867172</v>
      </c>
      <c r="C44" s="0" t="s">
        <v>1360</v>
      </c>
      <c r="D44" s="0" t="s">
        <v>1359</v>
      </c>
      <c r="E44" s="54" t="n">
        <v>46181</v>
      </c>
      <c r="F44" s="54" t="n">
        <v>46178</v>
      </c>
      <c r="G44" s="0" t="s">
        <v>119</v>
      </c>
      <c r="H44" s="0" t="n">
        <v>1222918</v>
      </c>
      <c r="I44" s="0" t="n">
        <v>11</v>
      </c>
      <c r="J44" s="0" t="s">
        <v>1357</v>
      </c>
      <c r="K44" s="55" t="n">
        <v>219.97</v>
      </c>
    </row>
    <row r="45" customFormat="false" ht="15" hidden="false" customHeight="false" outlineLevel="0" collapsed="false">
      <c r="A45" s="0" t="n">
        <v>2</v>
      </c>
      <c r="B45" s="0" t="n">
        <v>1868653</v>
      </c>
      <c r="C45" s="0" t="s">
        <v>1360</v>
      </c>
      <c r="D45" s="0" t="s">
        <v>1359</v>
      </c>
      <c r="E45" s="54" t="n">
        <v>46181</v>
      </c>
      <c r="F45" s="54" t="n">
        <v>46178</v>
      </c>
      <c r="G45" s="0" t="s">
        <v>119</v>
      </c>
      <c r="H45" s="0" t="n">
        <v>1222988</v>
      </c>
      <c r="I45" s="0" t="n">
        <v>1</v>
      </c>
      <c r="J45" s="0" t="s">
        <v>1357</v>
      </c>
      <c r="K45" s="55" t="n">
        <v>1134.74</v>
      </c>
    </row>
    <row r="46" customFormat="false" ht="15" hidden="false" customHeight="false" outlineLevel="0" collapsed="false">
      <c r="A46" s="0" t="n">
        <v>2</v>
      </c>
      <c r="B46" s="0" t="n">
        <v>171066</v>
      </c>
      <c r="C46" s="0" t="s">
        <v>1363</v>
      </c>
      <c r="D46" s="0" t="s">
        <v>1376</v>
      </c>
      <c r="E46" s="54" t="n">
        <v>46181</v>
      </c>
      <c r="F46" s="54" t="n">
        <v>46178</v>
      </c>
      <c r="G46" s="0" t="s">
        <v>332</v>
      </c>
      <c r="H46" s="0" t="n">
        <v>1221695</v>
      </c>
      <c r="I46" s="0" t="n">
        <v>1</v>
      </c>
      <c r="J46" s="0" t="s">
        <v>1357</v>
      </c>
      <c r="K46" s="55" t="n">
        <v>1068</v>
      </c>
    </row>
    <row r="47" customFormat="false" ht="15" hidden="false" customHeight="false" outlineLevel="0" collapsed="false">
      <c r="A47" s="0" t="n">
        <v>2</v>
      </c>
      <c r="B47" s="0" t="n">
        <v>1668916</v>
      </c>
      <c r="C47" s="0" t="s">
        <v>1363</v>
      </c>
      <c r="D47" s="0" t="s">
        <v>1371</v>
      </c>
      <c r="E47" s="54" t="n">
        <v>46181</v>
      </c>
      <c r="F47" s="54" t="n">
        <v>46178</v>
      </c>
      <c r="G47" s="0" t="s">
        <v>201</v>
      </c>
      <c r="H47" s="0" t="n">
        <v>1221613</v>
      </c>
      <c r="I47" s="0" t="n">
        <v>1</v>
      </c>
      <c r="J47" s="0" t="s">
        <v>1357</v>
      </c>
      <c r="K47" s="55" t="n">
        <v>333.54</v>
      </c>
    </row>
    <row r="48" customFormat="false" ht="15" hidden="false" customHeight="false" outlineLevel="0" collapsed="false">
      <c r="A48" s="0" t="n">
        <v>2</v>
      </c>
      <c r="B48" s="0" t="n">
        <v>1628195</v>
      </c>
      <c r="C48" s="0" t="s">
        <v>1361</v>
      </c>
      <c r="D48" s="0" t="s">
        <v>1362</v>
      </c>
      <c r="E48" s="54" t="n">
        <v>46181</v>
      </c>
      <c r="F48" s="54" t="n">
        <v>46181</v>
      </c>
      <c r="G48" s="0" t="s">
        <v>369</v>
      </c>
      <c r="H48" s="0" t="n">
        <v>1222859</v>
      </c>
      <c r="I48" s="0" t="n">
        <v>1</v>
      </c>
      <c r="J48" s="0" t="s">
        <v>1357</v>
      </c>
      <c r="K48" s="55" t="n">
        <v>232</v>
      </c>
    </row>
    <row r="49" customFormat="false" ht="15" hidden="false" customHeight="false" outlineLevel="0" collapsed="false">
      <c r="A49" s="0" t="n">
        <v>2</v>
      </c>
      <c r="B49" s="0" t="n">
        <v>1628316</v>
      </c>
      <c r="C49" s="0" t="s">
        <v>1361</v>
      </c>
      <c r="D49" s="0" t="s">
        <v>1362</v>
      </c>
      <c r="E49" s="54" t="n">
        <v>46181</v>
      </c>
      <c r="F49" s="54" t="n">
        <v>46181</v>
      </c>
      <c r="G49" s="0" t="s">
        <v>369</v>
      </c>
      <c r="H49" s="0" t="n">
        <v>1222861</v>
      </c>
      <c r="I49" s="0" t="n">
        <v>1</v>
      </c>
      <c r="J49" s="0" t="s">
        <v>1357</v>
      </c>
      <c r="K49" s="55" t="n">
        <v>72</v>
      </c>
    </row>
    <row r="50" customFormat="false" ht="15" hidden="false" customHeight="false" outlineLevel="0" collapsed="false">
      <c r="A50" s="0" t="n">
        <v>2</v>
      </c>
      <c r="B50" s="0" t="n">
        <v>5642</v>
      </c>
      <c r="C50" s="0" t="s">
        <v>1363</v>
      </c>
      <c r="D50" s="0" t="s">
        <v>1382</v>
      </c>
      <c r="E50" s="54" t="n">
        <v>46181</v>
      </c>
      <c r="F50" s="54" t="n">
        <v>46180</v>
      </c>
      <c r="G50" s="0" t="s">
        <v>1383</v>
      </c>
      <c r="H50" s="0" t="n">
        <v>1223267</v>
      </c>
      <c r="I50" s="0" t="n">
        <v>1</v>
      </c>
      <c r="J50" s="0" t="s">
        <v>1357</v>
      </c>
      <c r="K50" s="55" t="n">
        <v>688.3</v>
      </c>
    </row>
    <row r="51" customFormat="false" ht="15" hidden="false" customHeight="false" outlineLevel="0" collapsed="false">
      <c r="A51" s="0" t="n">
        <v>2</v>
      </c>
      <c r="B51" s="0" t="n">
        <v>385542</v>
      </c>
      <c r="C51" s="0" t="s">
        <v>1363</v>
      </c>
      <c r="D51" s="0" t="s">
        <v>1384</v>
      </c>
      <c r="E51" s="54" t="n">
        <v>46181</v>
      </c>
      <c r="F51" s="54" t="n">
        <v>46178</v>
      </c>
      <c r="G51" s="0" t="s">
        <v>164</v>
      </c>
      <c r="H51" s="0" t="n">
        <v>1221500</v>
      </c>
      <c r="I51" s="0" t="n">
        <v>1</v>
      </c>
      <c r="J51" s="0" t="s">
        <v>1357</v>
      </c>
      <c r="K51" s="55" t="n">
        <v>1049.39</v>
      </c>
    </row>
    <row r="52" customFormat="false" ht="15" hidden="false" customHeight="false" outlineLevel="0" collapsed="false">
      <c r="A52" s="0" t="n">
        <v>2</v>
      </c>
      <c r="B52" s="0" t="n">
        <v>303660</v>
      </c>
      <c r="C52" s="0" t="s">
        <v>1363</v>
      </c>
      <c r="D52" s="0" t="s">
        <v>1385</v>
      </c>
      <c r="E52" s="54" t="n">
        <v>46181</v>
      </c>
      <c r="F52" s="54" t="n">
        <v>46178</v>
      </c>
      <c r="G52" s="0" t="s">
        <v>208</v>
      </c>
      <c r="H52" s="0" t="n">
        <v>1222609</v>
      </c>
      <c r="I52" s="0" t="n">
        <v>1</v>
      </c>
      <c r="J52" s="0" t="s">
        <v>1357</v>
      </c>
      <c r="K52" s="55" t="n">
        <v>5728.5</v>
      </c>
    </row>
    <row r="53" customFormat="false" ht="15" hidden="false" customHeight="false" outlineLevel="0" collapsed="false">
      <c r="A53" s="0" t="n">
        <v>2</v>
      </c>
      <c r="B53" s="0" t="n">
        <v>5957</v>
      </c>
      <c r="C53" s="0" t="s">
        <v>1355</v>
      </c>
      <c r="D53" s="0" t="s">
        <v>1372</v>
      </c>
      <c r="E53" s="54" t="n">
        <v>46181</v>
      </c>
      <c r="F53" s="54" t="n">
        <v>46181</v>
      </c>
      <c r="G53" s="0" t="s">
        <v>141</v>
      </c>
      <c r="H53" s="0" t="n">
        <v>1226536</v>
      </c>
      <c r="I53" s="0" t="n">
        <v>1</v>
      </c>
      <c r="J53" s="0" t="s">
        <v>1357</v>
      </c>
      <c r="K53" s="55" t="n">
        <v>140</v>
      </c>
    </row>
    <row r="54" customFormat="false" ht="15" hidden="false" customHeight="false" outlineLevel="0" collapsed="false">
      <c r="A54" s="0" t="n">
        <v>2</v>
      </c>
      <c r="B54" s="0" t="n">
        <v>2485</v>
      </c>
      <c r="C54" s="0" t="s">
        <v>1363</v>
      </c>
      <c r="D54" s="0" t="s">
        <v>1373</v>
      </c>
      <c r="E54" s="54" t="n">
        <v>46181</v>
      </c>
      <c r="F54" s="54" t="n">
        <v>46181</v>
      </c>
      <c r="G54" s="0" t="s">
        <v>132</v>
      </c>
      <c r="H54" s="0" t="n">
        <v>1221843</v>
      </c>
      <c r="I54" s="0" t="n">
        <v>6</v>
      </c>
      <c r="J54" s="0" t="s">
        <v>1357</v>
      </c>
      <c r="K54" s="55" t="n">
        <v>180</v>
      </c>
    </row>
    <row r="55" customFormat="false" ht="15" hidden="false" customHeight="false" outlineLevel="0" collapsed="false">
      <c r="A55" s="0" t="n">
        <v>2</v>
      </c>
      <c r="B55" s="0" t="n">
        <v>2486</v>
      </c>
      <c r="C55" s="0" t="s">
        <v>1363</v>
      </c>
      <c r="D55" s="0" t="s">
        <v>1373</v>
      </c>
      <c r="E55" s="54" t="n">
        <v>46181</v>
      </c>
      <c r="F55" s="54" t="n">
        <v>46181</v>
      </c>
      <c r="G55" s="0" t="s">
        <v>132</v>
      </c>
      <c r="H55" s="0" t="n">
        <v>1222855</v>
      </c>
      <c r="I55" s="0" t="n">
        <v>6</v>
      </c>
      <c r="J55" s="0" t="s">
        <v>1357</v>
      </c>
      <c r="K55" s="55" t="n">
        <v>195</v>
      </c>
    </row>
    <row r="56" customFormat="false" ht="15" hidden="false" customHeight="false" outlineLevel="0" collapsed="false">
      <c r="A56" s="0" t="n">
        <v>2</v>
      </c>
      <c r="B56" s="0" t="n">
        <v>8626</v>
      </c>
      <c r="C56" s="0" t="s">
        <v>1363</v>
      </c>
      <c r="D56" s="0" t="s">
        <v>1373</v>
      </c>
      <c r="E56" s="54" t="n">
        <v>46181</v>
      </c>
      <c r="F56" s="54" t="n">
        <v>46181</v>
      </c>
      <c r="G56" s="0" t="s">
        <v>132</v>
      </c>
      <c r="H56" s="0" t="n">
        <v>1221834</v>
      </c>
      <c r="I56" s="0" t="n">
        <v>2</v>
      </c>
      <c r="J56" s="0" t="s">
        <v>1357</v>
      </c>
      <c r="K56" s="55" t="n">
        <v>180</v>
      </c>
    </row>
    <row r="57" customFormat="false" ht="15" hidden="false" customHeight="false" outlineLevel="0" collapsed="false">
      <c r="A57" s="0" t="n">
        <v>2</v>
      </c>
      <c r="B57" s="0" t="n">
        <v>862026</v>
      </c>
      <c r="C57" s="0" t="s">
        <v>1363</v>
      </c>
      <c r="D57" s="0" t="s">
        <v>1373</v>
      </c>
      <c r="E57" s="54" t="n">
        <v>46181</v>
      </c>
      <c r="F57" s="54" t="n">
        <v>46181</v>
      </c>
      <c r="G57" s="0" t="s">
        <v>132</v>
      </c>
      <c r="H57" s="0" t="n">
        <v>1222854</v>
      </c>
      <c r="I57" s="0" t="n">
        <v>2</v>
      </c>
      <c r="J57" s="0" t="s">
        <v>1357</v>
      </c>
      <c r="K57" s="55" t="n">
        <v>195</v>
      </c>
    </row>
    <row r="58" customFormat="false" ht="15" hidden="false" customHeight="false" outlineLevel="0" collapsed="false">
      <c r="A58" s="0" t="n">
        <v>2</v>
      </c>
      <c r="B58" s="0" t="n">
        <v>656</v>
      </c>
      <c r="C58" s="0" t="s">
        <v>1355</v>
      </c>
      <c r="D58" s="0" t="s">
        <v>1365</v>
      </c>
      <c r="E58" s="54" t="n">
        <v>46181</v>
      </c>
      <c r="F58" s="54" t="n">
        <v>46181</v>
      </c>
      <c r="G58" s="0" t="s">
        <v>194</v>
      </c>
      <c r="H58" s="0" t="n">
        <v>1223311</v>
      </c>
      <c r="I58" s="0" t="n">
        <v>1</v>
      </c>
      <c r="J58" s="0" t="s">
        <v>1357</v>
      </c>
      <c r="K58" s="55" t="n">
        <v>307.2</v>
      </c>
    </row>
    <row r="59" customFormat="false" ht="15" hidden="false" customHeight="false" outlineLevel="0" collapsed="false">
      <c r="A59" s="0" t="n">
        <v>2</v>
      </c>
      <c r="B59" s="0" t="n">
        <v>3362</v>
      </c>
      <c r="C59" s="0" t="s">
        <v>1363</v>
      </c>
      <c r="D59" s="0" t="s">
        <v>1366</v>
      </c>
      <c r="E59" s="54" t="n">
        <v>46181</v>
      </c>
      <c r="F59" s="54" t="n">
        <v>46181</v>
      </c>
      <c r="G59" s="0" t="s">
        <v>188</v>
      </c>
      <c r="H59" s="0" t="n">
        <v>1222883</v>
      </c>
      <c r="I59" s="0" t="n">
        <v>1</v>
      </c>
      <c r="J59" s="0" t="s">
        <v>1357</v>
      </c>
      <c r="K59" s="55" t="n">
        <v>561.5</v>
      </c>
    </row>
    <row r="60" customFormat="false" ht="15" hidden="false" customHeight="false" outlineLevel="0" collapsed="false">
      <c r="A60" s="0" t="n">
        <v>2</v>
      </c>
      <c r="B60" s="0" t="n">
        <v>30915</v>
      </c>
      <c r="C60" s="0" t="s">
        <v>1363</v>
      </c>
      <c r="D60" s="0" t="s">
        <v>1378</v>
      </c>
      <c r="E60" s="54" t="n">
        <v>46181</v>
      </c>
      <c r="F60" s="54" t="n">
        <v>46178</v>
      </c>
      <c r="G60" s="0" t="s">
        <v>128</v>
      </c>
      <c r="H60" s="0" t="n">
        <v>1221751</v>
      </c>
      <c r="I60" s="0" t="n">
        <v>1</v>
      </c>
      <c r="J60" s="0" t="s">
        <v>1357</v>
      </c>
      <c r="K60" s="55" t="n">
        <v>3840</v>
      </c>
    </row>
    <row r="61" customFormat="false" ht="15" hidden="false" customHeight="false" outlineLevel="0" collapsed="false">
      <c r="A61" s="0" t="n">
        <v>2</v>
      </c>
      <c r="B61" s="0" t="n">
        <v>493</v>
      </c>
      <c r="C61" s="0" t="s">
        <v>1363</v>
      </c>
      <c r="D61" s="0" t="s">
        <v>1368</v>
      </c>
      <c r="E61" s="54" t="n">
        <v>46182</v>
      </c>
      <c r="F61" s="54" t="n">
        <v>46181</v>
      </c>
      <c r="G61" s="0" t="s">
        <v>130</v>
      </c>
      <c r="H61" s="0" t="n">
        <v>1227245</v>
      </c>
      <c r="I61" s="0" t="n">
        <v>1</v>
      </c>
      <c r="J61" s="0" t="s">
        <v>1357</v>
      </c>
      <c r="K61" s="55" t="n">
        <v>180</v>
      </c>
    </row>
    <row r="62" customFormat="false" ht="15" hidden="false" customHeight="false" outlineLevel="0" collapsed="false">
      <c r="A62" s="0" t="n">
        <v>2</v>
      </c>
      <c r="B62" s="0" t="n">
        <v>20868</v>
      </c>
      <c r="C62" s="0" t="s">
        <v>1363</v>
      </c>
      <c r="D62" s="0" t="s">
        <v>1386</v>
      </c>
      <c r="E62" s="54" t="n">
        <v>46182</v>
      </c>
      <c r="F62" s="54" t="n">
        <v>46182</v>
      </c>
      <c r="G62" s="0" t="s">
        <v>166</v>
      </c>
      <c r="H62" s="0" t="n">
        <v>1227446</v>
      </c>
      <c r="I62" s="0" t="n">
        <v>1</v>
      </c>
      <c r="J62" s="0" t="s">
        <v>1357</v>
      </c>
      <c r="K62" s="55" t="n">
        <v>909.57</v>
      </c>
    </row>
    <row r="63" customFormat="false" ht="15" hidden="false" customHeight="false" outlineLevel="0" collapsed="false">
      <c r="A63" s="0" t="n">
        <v>2</v>
      </c>
      <c r="B63" s="0" t="n">
        <v>223109</v>
      </c>
      <c r="C63" s="0" t="s">
        <v>1355</v>
      </c>
      <c r="D63" s="0" t="s">
        <v>1387</v>
      </c>
      <c r="E63" s="54" t="n">
        <v>46182</v>
      </c>
      <c r="F63" s="54" t="n">
        <v>46182</v>
      </c>
      <c r="G63" s="0" t="s">
        <v>390</v>
      </c>
      <c r="H63" s="0" t="n">
        <v>1228116</v>
      </c>
      <c r="I63" s="0" t="n">
        <v>1</v>
      </c>
      <c r="J63" s="0" t="s">
        <v>1357</v>
      </c>
      <c r="K63" s="55" t="n">
        <v>796.16</v>
      </c>
    </row>
    <row r="64" customFormat="false" ht="15" hidden="false" customHeight="false" outlineLevel="0" collapsed="false">
      <c r="A64" s="0" t="n">
        <v>2</v>
      </c>
      <c r="B64" s="0" t="n">
        <v>2487</v>
      </c>
      <c r="C64" s="0" t="s">
        <v>1363</v>
      </c>
      <c r="D64" s="0" t="s">
        <v>1373</v>
      </c>
      <c r="E64" s="54" t="n">
        <v>46182</v>
      </c>
      <c r="F64" s="54" t="n">
        <v>46182</v>
      </c>
      <c r="G64" s="0" t="s">
        <v>132</v>
      </c>
      <c r="H64" s="0" t="n">
        <v>1227926</v>
      </c>
      <c r="I64" s="0" t="n">
        <v>6</v>
      </c>
      <c r="J64" s="0" t="s">
        <v>1357</v>
      </c>
      <c r="K64" s="55" t="n">
        <v>1926.18</v>
      </c>
    </row>
    <row r="65" customFormat="false" ht="15" hidden="false" customHeight="false" outlineLevel="0" collapsed="false">
      <c r="A65" s="0" t="n">
        <v>2</v>
      </c>
      <c r="B65" s="0" t="n">
        <v>9626</v>
      </c>
      <c r="C65" s="0" t="s">
        <v>1363</v>
      </c>
      <c r="D65" s="0" t="s">
        <v>1373</v>
      </c>
      <c r="E65" s="54" t="n">
        <v>46182</v>
      </c>
      <c r="F65" s="54" t="n">
        <v>46182</v>
      </c>
      <c r="G65" s="0" t="s">
        <v>132</v>
      </c>
      <c r="H65" s="0" t="n">
        <v>1227727</v>
      </c>
      <c r="I65" s="0" t="n">
        <v>2</v>
      </c>
      <c r="J65" s="0" t="s">
        <v>1357</v>
      </c>
      <c r="K65" s="55" t="n">
        <v>1926.18</v>
      </c>
    </row>
    <row r="66" customFormat="false" ht="15" hidden="false" customHeight="false" outlineLevel="0" collapsed="false">
      <c r="A66" s="0" t="n">
        <v>2</v>
      </c>
      <c r="B66" s="0" t="n">
        <v>40955</v>
      </c>
      <c r="C66" s="0" t="s">
        <v>1363</v>
      </c>
      <c r="D66" s="0" t="s">
        <v>1388</v>
      </c>
      <c r="E66" s="54" t="n">
        <v>46182</v>
      </c>
      <c r="F66" s="54" t="n">
        <v>46182</v>
      </c>
      <c r="G66" s="0" t="s">
        <v>388</v>
      </c>
      <c r="H66" s="0" t="n">
        <v>1228096</v>
      </c>
      <c r="I66" s="0" t="n">
        <v>1</v>
      </c>
      <c r="J66" s="0" t="s">
        <v>1357</v>
      </c>
      <c r="K66" s="55" t="n">
        <v>460</v>
      </c>
    </row>
    <row r="67" customFormat="false" ht="15" hidden="false" customHeight="false" outlineLevel="0" collapsed="false">
      <c r="A67" s="0" t="n">
        <v>2</v>
      </c>
      <c r="B67" s="0" t="n">
        <v>3699</v>
      </c>
      <c r="C67" s="0" t="s">
        <v>1363</v>
      </c>
      <c r="D67" s="0" t="s">
        <v>1374</v>
      </c>
      <c r="E67" s="54" t="n">
        <v>46182</v>
      </c>
      <c r="F67" s="54" t="n">
        <v>46181</v>
      </c>
      <c r="G67" s="0" t="s">
        <v>92</v>
      </c>
      <c r="H67" s="0" t="n">
        <v>1226545</v>
      </c>
      <c r="I67" s="0" t="n">
        <v>1</v>
      </c>
      <c r="J67" s="0" t="s">
        <v>1357</v>
      </c>
      <c r="K67" s="55" t="n">
        <v>186.94</v>
      </c>
    </row>
    <row r="68" customFormat="false" ht="15" hidden="false" customHeight="false" outlineLevel="0" collapsed="false">
      <c r="A68" s="0" t="n">
        <v>2</v>
      </c>
      <c r="B68" s="0" t="n">
        <v>420</v>
      </c>
      <c r="C68" s="0" t="s">
        <v>1363</v>
      </c>
      <c r="D68" s="0" t="s">
        <v>1389</v>
      </c>
      <c r="E68" s="54" t="n">
        <v>46182</v>
      </c>
      <c r="F68" s="54" t="n">
        <v>46176</v>
      </c>
      <c r="G68" s="0" t="s">
        <v>614</v>
      </c>
      <c r="H68" s="0" t="n">
        <v>1226736</v>
      </c>
      <c r="I68" s="0" t="n">
        <v>11</v>
      </c>
      <c r="J68" s="0" t="s">
        <v>1357</v>
      </c>
      <c r="K68" s="55" t="n">
        <v>1377</v>
      </c>
    </row>
    <row r="69" customFormat="false" ht="15" hidden="false" customHeight="false" outlineLevel="0" collapsed="false">
      <c r="A69" s="0" t="n">
        <v>2</v>
      </c>
      <c r="B69" s="0" t="n">
        <v>297</v>
      </c>
      <c r="C69" s="0" t="s">
        <v>1363</v>
      </c>
      <c r="D69" s="0" t="s">
        <v>1390</v>
      </c>
      <c r="E69" s="54" t="n">
        <v>46183</v>
      </c>
      <c r="F69" s="54" t="n">
        <v>46179</v>
      </c>
      <c r="G69" s="0" t="s">
        <v>1391</v>
      </c>
      <c r="H69" s="0" t="n">
        <v>1231085</v>
      </c>
      <c r="I69" s="0" t="n">
        <v>1</v>
      </c>
      <c r="J69" s="0" t="s">
        <v>1357</v>
      </c>
      <c r="K69" s="55" t="n">
        <v>190.5</v>
      </c>
    </row>
    <row r="70" customFormat="false" ht="15" hidden="false" customHeight="false" outlineLevel="0" collapsed="false">
      <c r="A70" s="0" t="n">
        <v>2</v>
      </c>
      <c r="B70" s="0" t="n">
        <v>459236</v>
      </c>
      <c r="C70" s="0" t="s">
        <v>1363</v>
      </c>
      <c r="D70" s="0" t="s">
        <v>1392</v>
      </c>
      <c r="E70" s="54" t="n">
        <v>46183</v>
      </c>
      <c r="F70" s="54" t="n">
        <v>46181</v>
      </c>
      <c r="G70" s="0" t="s">
        <v>357</v>
      </c>
      <c r="H70" s="0" t="n">
        <v>1232206</v>
      </c>
      <c r="I70" s="0" t="n">
        <v>11</v>
      </c>
      <c r="J70" s="0" t="s">
        <v>1357</v>
      </c>
      <c r="K70" s="55" t="n">
        <v>338</v>
      </c>
    </row>
    <row r="71" customFormat="false" ht="15" hidden="false" customHeight="false" outlineLevel="0" collapsed="false">
      <c r="A71" s="0" t="n">
        <v>2</v>
      </c>
      <c r="B71" s="0" t="n">
        <v>518105</v>
      </c>
      <c r="C71" s="0" t="s">
        <v>1363</v>
      </c>
      <c r="D71" s="0" t="s">
        <v>1375</v>
      </c>
      <c r="E71" s="54" t="n">
        <v>46183</v>
      </c>
      <c r="F71" s="54" t="n">
        <v>46182</v>
      </c>
      <c r="G71" s="0" t="s">
        <v>117</v>
      </c>
      <c r="H71" s="0" t="n">
        <v>1231128</v>
      </c>
      <c r="I71" s="0" t="n">
        <v>1</v>
      </c>
      <c r="J71" s="0" t="s">
        <v>1357</v>
      </c>
      <c r="K71" s="55" t="n">
        <v>1927.2</v>
      </c>
    </row>
    <row r="72" customFormat="false" ht="15" hidden="false" customHeight="false" outlineLevel="0" collapsed="false">
      <c r="A72" s="0" t="n">
        <v>2</v>
      </c>
      <c r="B72" s="0" t="n">
        <v>670477</v>
      </c>
      <c r="C72" s="0" t="s">
        <v>1363</v>
      </c>
      <c r="D72" s="0" t="s">
        <v>1393</v>
      </c>
      <c r="E72" s="54" t="n">
        <v>46183</v>
      </c>
      <c r="F72" s="54" t="n">
        <v>46170</v>
      </c>
      <c r="G72" s="0" t="s">
        <v>199</v>
      </c>
      <c r="H72" s="0" t="n">
        <v>1231901</v>
      </c>
      <c r="I72" s="0" t="n">
        <v>1</v>
      </c>
      <c r="J72" s="0" t="s">
        <v>1357</v>
      </c>
      <c r="K72" s="55" t="n">
        <v>715.2</v>
      </c>
    </row>
    <row r="73" customFormat="false" ht="15" hidden="false" customHeight="false" outlineLevel="0" collapsed="false">
      <c r="A73" s="0" t="n">
        <v>2</v>
      </c>
      <c r="B73" s="0" t="n">
        <v>1629655</v>
      </c>
      <c r="C73" s="0" t="s">
        <v>1361</v>
      </c>
      <c r="D73" s="0" t="s">
        <v>1362</v>
      </c>
      <c r="E73" s="54" t="n">
        <v>46183</v>
      </c>
      <c r="F73" s="54" t="n">
        <v>46183</v>
      </c>
      <c r="G73" s="0" t="s">
        <v>369</v>
      </c>
      <c r="H73" s="0" t="n">
        <v>1231783</v>
      </c>
      <c r="I73" s="0" t="n">
        <v>1</v>
      </c>
      <c r="J73" s="0" t="s">
        <v>1357</v>
      </c>
      <c r="K73" s="55" t="n">
        <v>171.5</v>
      </c>
    </row>
    <row r="74" customFormat="false" ht="15" hidden="false" customHeight="false" outlineLevel="0" collapsed="false">
      <c r="A74" s="0" t="n">
        <v>2</v>
      </c>
      <c r="B74" s="0" t="n">
        <v>30199</v>
      </c>
      <c r="C74" s="0" t="s">
        <v>1394</v>
      </c>
      <c r="D74" s="0" t="s">
        <v>1395</v>
      </c>
      <c r="E74" s="54" t="n">
        <v>46183</v>
      </c>
      <c r="F74" s="54" t="n">
        <v>46183</v>
      </c>
      <c r="G74" s="0" t="s">
        <v>250</v>
      </c>
      <c r="H74" s="0" t="n">
        <v>1231774</v>
      </c>
      <c r="I74" s="0" t="n">
        <v>1</v>
      </c>
      <c r="J74" s="0" t="s">
        <v>1357</v>
      </c>
      <c r="K74" s="55" t="n">
        <v>1101.98</v>
      </c>
    </row>
    <row r="75" customFormat="false" ht="15" hidden="false" customHeight="false" outlineLevel="0" collapsed="false">
      <c r="A75" s="0" t="n">
        <v>2</v>
      </c>
      <c r="B75" s="0" t="n">
        <v>34450</v>
      </c>
      <c r="C75" s="0" t="s">
        <v>1396</v>
      </c>
      <c r="D75" s="0" t="s">
        <v>1395</v>
      </c>
      <c r="E75" s="54" t="n">
        <v>46183</v>
      </c>
      <c r="F75" s="54" t="n">
        <v>46183</v>
      </c>
      <c r="G75" s="0" t="s">
        <v>250</v>
      </c>
      <c r="H75" s="0" t="n">
        <v>1231766</v>
      </c>
      <c r="I75" s="0" t="n">
        <v>1</v>
      </c>
      <c r="J75" s="0" t="s">
        <v>1357</v>
      </c>
      <c r="K75" s="55" t="n">
        <v>1844.15</v>
      </c>
    </row>
    <row r="76" customFormat="false" ht="15" hidden="false" customHeight="false" outlineLevel="0" collapsed="false">
      <c r="A76" s="0" t="n">
        <v>2</v>
      </c>
      <c r="B76" s="0" t="n">
        <v>386175</v>
      </c>
      <c r="C76" s="0" t="s">
        <v>1363</v>
      </c>
      <c r="D76" s="0" t="s">
        <v>1384</v>
      </c>
      <c r="E76" s="54" t="n">
        <v>46183</v>
      </c>
      <c r="F76" s="54" t="n">
        <v>46182</v>
      </c>
      <c r="G76" s="0" t="s">
        <v>164</v>
      </c>
      <c r="H76" s="0" t="n">
        <v>1230947</v>
      </c>
      <c r="I76" s="0" t="n">
        <v>1</v>
      </c>
      <c r="J76" s="0" t="s">
        <v>1357</v>
      </c>
      <c r="K76" s="55" t="n">
        <v>1474.13</v>
      </c>
    </row>
    <row r="77" customFormat="false" ht="15" hidden="false" customHeight="false" outlineLevel="0" collapsed="false">
      <c r="A77" s="0" t="n">
        <v>2</v>
      </c>
      <c r="B77" s="0" t="n">
        <v>1616</v>
      </c>
      <c r="C77" s="0" t="s">
        <v>1363</v>
      </c>
      <c r="D77" s="0" t="s">
        <v>1397</v>
      </c>
      <c r="E77" s="54" t="n">
        <v>46183</v>
      </c>
      <c r="F77" s="54" t="n">
        <v>46183</v>
      </c>
      <c r="G77" s="0" t="s">
        <v>400</v>
      </c>
      <c r="H77" s="0" t="n">
        <v>1231978</v>
      </c>
      <c r="I77" s="0" t="n">
        <v>1</v>
      </c>
      <c r="J77" s="0" t="s">
        <v>1357</v>
      </c>
      <c r="K77" s="55" t="n">
        <v>250</v>
      </c>
    </row>
    <row r="78" customFormat="false" ht="15" hidden="false" customHeight="false" outlineLevel="0" collapsed="false">
      <c r="A78" s="0" t="n">
        <v>2</v>
      </c>
      <c r="B78" s="0" t="n">
        <v>502</v>
      </c>
      <c r="C78" s="0" t="s">
        <v>1363</v>
      </c>
      <c r="D78" s="0" t="s">
        <v>1398</v>
      </c>
      <c r="E78" s="54" t="n">
        <v>46183</v>
      </c>
      <c r="F78" s="54" t="n">
        <v>46183</v>
      </c>
      <c r="G78" s="0" t="s">
        <v>320</v>
      </c>
      <c r="H78" s="0" t="n">
        <v>1231225</v>
      </c>
      <c r="I78" s="0" t="n">
        <v>1</v>
      </c>
      <c r="J78" s="0" t="s">
        <v>1357</v>
      </c>
      <c r="K78" s="55" t="n">
        <v>160.32</v>
      </c>
    </row>
    <row r="79" customFormat="false" ht="15" hidden="false" customHeight="false" outlineLevel="0" collapsed="false">
      <c r="A79" s="0" t="n">
        <v>2</v>
      </c>
      <c r="B79" s="0" t="n">
        <v>5967</v>
      </c>
      <c r="C79" s="0" t="s">
        <v>1355</v>
      </c>
      <c r="D79" s="0" t="s">
        <v>1372</v>
      </c>
      <c r="E79" s="54" t="n">
        <v>46183</v>
      </c>
      <c r="F79" s="54" t="n">
        <v>46183</v>
      </c>
      <c r="G79" s="0" t="s">
        <v>141</v>
      </c>
      <c r="H79" s="0" t="n">
        <v>1232441</v>
      </c>
      <c r="I79" s="0" t="n">
        <v>1</v>
      </c>
      <c r="J79" s="0" t="s">
        <v>1357</v>
      </c>
      <c r="K79" s="55" t="n">
        <v>200</v>
      </c>
    </row>
    <row r="80" customFormat="false" ht="15" hidden="false" customHeight="false" outlineLevel="0" collapsed="false">
      <c r="A80" s="0" t="n">
        <v>2</v>
      </c>
      <c r="B80" s="0" t="n">
        <v>1366479</v>
      </c>
      <c r="C80" s="0" t="s">
        <v>1363</v>
      </c>
      <c r="D80" s="0" t="s">
        <v>1399</v>
      </c>
      <c r="E80" s="54" t="n">
        <v>46183</v>
      </c>
      <c r="F80" s="54" t="n">
        <v>46182</v>
      </c>
      <c r="G80" s="0" t="s">
        <v>1400</v>
      </c>
      <c r="H80" s="0" t="n">
        <v>1232476</v>
      </c>
      <c r="I80" s="0" t="n">
        <v>1</v>
      </c>
      <c r="J80" s="0" t="s">
        <v>1357</v>
      </c>
      <c r="K80" s="55" t="n">
        <v>1837.1</v>
      </c>
    </row>
    <row r="81" customFormat="false" ht="15" hidden="false" customHeight="false" outlineLevel="0" collapsed="false">
      <c r="A81" s="0" t="n">
        <v>2</v>
      </c>
      <c r="B81" s="0" t="n">
        <v>14437</v>
      </c>
      <c r="C81" s="0" t="s">
        <v>1363</v>
      </c>
      <c r="D81" s="0" t="s">
        <v>1364</v>
      </c>
      <c r="E81" s="54" t="n">
        <v>46183</v>
      </c>
      <c r="F81" s="54" t="n">
        <v>46182</v>
      </c>
      <c r="G81" s="0" t="s">
        <v>248</v>
      </c>
      <c r="H81" s="0" t="n">
        <v>1231585</v>
      </c>
      <c r="I81" s="0" t="n">
        <v>1</v>
      </c>
      <c r="J81" s="0" t="s">
        <v>1357</v>
      </c>
      <c r="K81" s="55" t="n">
        <v>4433</v>
      </c>
    </row>
    <row r="82" customFormat="false" ht="15" hidden="false" customHeight="false" outlineLevel="0" collapsed="false">
      <c r="A82" s="0" t="n">
        <v>2</v>
      </c>
      <c r="B82" s="0" t="n">
        <v>2488</v>
      </c>
      <c r="C82" s="0" t="s">
        <v>1363</v>
      </c>
      <c r="D82" s="0" t="s">
        <v>1373</v>
      </c>
      <c r="E82" s="54" t="n">
        <v>46183</v>
      </c>
      <c r="F82" s="54" t="n">
        <v>46183</v>
      </c>
      <c r="G82" s="0" t="s">
        <v>132</v>
      </c>
      <c r="H82" s="0" t="n">
        <v>1231001</v>
      </c>
      <c r="I82" s="0" t="n">
        <v>6</v>
      </c>
      <c r="J82" s="0" t="s">
        <v>1357</v>
      </c>
      <c r="K82" s="55" t="n">
        <v>1094</v>
      </c>
    </row>
    <row r="83" customFormat="false" ht="15" hidden="false" customHeight="false" outlineLevel="0" collapsed="false">
      <c r="A83" s="0" t="n">
        <v>2</v>
      </c>
      <c r="B83" s="0" t="n">
        <v>2489</v>
      </c>
      <c r="C83" s="0" t="s">
        <v>1363</v>
      </c>
      <c r="D83" s="0" t="s">
        <v>1373</v>
      </c>
      <c r="E83" s="54" t="n">
        <v>46183</v>
      </c>
      <c r="F83" s="54" t="n">
        <v>46183</v>
      </c>
      <c r="G83" s="0" t="s">
        <v>132</v>
      </c>
      <c r="H83" s="0" t="n">
        <v>1231255</v>
      </c>
      <c r="I83" s="0" t="n">
        <v>6</v>
      </c>
      <c r="J83" s="0" t="s">
        <v>1357</v>
      </c>
      <c r="K83" s="55" t="n">
        <v>600</v>
      </c>
    </row>
    <row r="84" customFormat="false" ht="15" hidden="false" customHeight="false" outlineLevel="0" collapsed="false">
      <c r="A84" s="0" t="n">
        <v>2</v>
      </c>
      <c r="B84" s="0" t="n">
        <v>2490</v>
      </c>
      <c r="C84" s="0" t="s">
        <v>1363</v>
      </c>
      <c r="D84" s="0" t="s">
        <v>1373</v>
      </c>
      <c r="E84" s="54" t="n">
        <v>46183</v>
      </c>
      <c r="F84" s="54" t="n">
        <v>46183</v>
      </c>
      <c r="G84" s="0" t="s">
        <v>132</v>
      </c>
      <c r="H84" s="0" t="n">
        <v>1231437</v>
      </c>
      <c r="I84" s="0" t="n">
        <v>6</v>
      </c>
      <c r="J84" s="0" t="s">
        <v>1357</v>
      </c>
      <c r="K84" s="55" t="n">
        <v>1800</v>
      </c>
    </row>
    <row r="85" customFormat="false" ht="15" hidden="false" customHeight="false" outlineLevel="0" collapsed="false">
      <c r="A85" s="0" t="n">
        <v>2</v>
      </c>
      <c r="B85" s="0" t="n">
        <v>2493</v>
      </c>
      <c r="C85" s="0" t="s">
        <v>1363</v>
      </c>
      <c r="D85" s="0" t="s">
        <v>1373</v>
      </c>
      <c r="E85" s="54" t="n">
        <v>46183</v>
      </c>
      <c r="F85" s="54" t="n">
        <v>46183</v>
      </c>
      <c r="G85" s="0" t="s">
        <v>132</v>
      </c>
      <c r="H85" s="0" t="n">
        <v>1231753</v>
      </c>
      <c r="I85" s="0" t="n">
        <v>6</v>
      </c>
      <c r="J85" s="0" t="s">
        <v>1357</v>
      </c>
      <c r="K85" s="55" t="n">
        <v>195</v>
      </c>
    </row>
    <row r="86" customFormat="false" ht="15" hidden="false" customHeight="false" outlineLevel="0" collapsed="false">
      <c r="A86" s="0" t="n">
        <v>2</v>
      </c>
      <c r="B86" s="0" t="n">
        <v>10626</v>
      </c>
      <c r="C86" s="0" t="s">
        <v>1363</v>
      </c>
      <c r="D86" s="0" t="s">
        <v>1373</v>
      </c>
      <c r="E86" s="54" t="n">
        <v>46183</v>
      </c>
      <c r="F86" s="54" t="n">
        <v>46183</v>
      </c>
      <c r="G86" s="0" t="s">
        <v>132</v>
      </c>
      <c r="H86" s="0" t="n">
        <v>1230995</v>
      </c>
      <c r="I86" s="0" t="n">
        <v>2</v>
      </c>
      <c r="J86" s="0" t="s">
        <v>1357</v>
      </c>
      <c r="K86" s="55" t="n">
        <v>1094</v>
      </c>
    </row>
    <row r="87" customFormat="false" ht="15" hidden="false" customHeight="false" outlineLevel="0" collapsed="false">
      <c r="A87" s="0" t="n">
        <v>2</v>
      </c>
      <c r="B87" s="0" t="n">
        <v>106262</v>
      </c>
      <c r="C87" s="0" t="s">
        <v>1363</v>
      </c>
      <c r="D87" s="0" t="s">
        <v>1373</v>
      </c>
      <c r="E87" s="54" t="n">
        <v>46183</v>
      </c>
      <c r="F87" s="54" t="n">
        <v>46183</v>
      </c>
      <c r="G87" s="0" t="s">
        <v>132</v>
      </c>
      <c r="H87" s="0" t="n">
        <v>1231739</v>
      </c>
      <c r="I87" s="0" t="n">
        <v>2</v>
      </c>
      <c r="J87" s="0" t="s">
        <v>1357</v>
      </c>
      <c r="K87" s="55" t="n">
        <v>195</v>
      </c>
    </row>
    <row r="88" customFormat="false" ht="15" hidden="false" customHeight="false" outlineLevel="0" collapsed="false">
      <c r="A88" s="0" t="n">
        <v>2</v>
      </c>
      <c r="B88" s="0" t="n">
        <v>1062026</v>
      </c>
      <c r="C88" s="0" t="s">
        <v>1363</v>
      </c>
      <c r="D88" s="0" t="s">
        <v>1373</v>
      </c>
      <c r="E88" s="54" t="n">
        <v>46183</v>
      </c>
      <c r="F88" s="54" t="n">
        <v>46183</v>
      </c>
      <c r="G88" s="0" t="s">
        <v>132</v>
      </c>
      <c r="H88" s="0" t="n">
        <v>1231248</v>
      </c>
      <c r="I88" s="0" t="n">
        <v>2</v>
      </c>
      <c r="J88" s="0" t="s">
        <v>1357</v>
      </c>
      <c r="K88" s="55" t="n">
        <v>600</v>
      </c>
    </row>
    <row r="89" customFormat="false" ht="15" hidden="false" customHeight="false" outlineLevel="0" collapsed="false">
      <c r="A89" s="0" t="n">
        <v>2</v>
      </c>
      <c r="B89" s="0" t="n">
        <v>10620261</v>
      </c>
      <c r="C89" s="0" t="s">
        <v>1363</v>
      </c>
      <c r="D89" s="0" t="s">
        <v>1373</v>
      </c>
      <c r="E89" s="54" t="n">
        <v>46183</v>
      </c>
      <c r="F89" s="54" t="n">
        <v>46183</v>
      </c>
      <c r="G89" s="0" t="s">
        <v>132</v>
      </c>
      <c r="H89" s="0" t="n">
        <v>1231424</v>
      </c>
      <c r="I89" s="0" t="n">
        <v>2</v>
      </c>
      <c r="J89" s="0" t="s">
        <v>1357</v>
      </c>
      <c r="K89" s="55" t="n">
        <v>1800</v>
      </c>
    </row>
    <row r="90" customFormat="false" ht="15" hidden="false" customHeight="false" outlineLevel="0" collapsed="false">
      <c r="A90" s="0" t="n">
        <v>2</v>
      </c>
      <c r="B90" s="0" t="n">
        <v>562635</v>
      </c>
      <c r="C90" s="0" t="s">
        <v>1401</v>
      </c>
      <c r="D90" s="0" t="s">
        <v>1402</v>
      </c>
      <c r="E90" s="54" t="n">
        <v>46183</v>
      </c>
      <c r="F90" s="54" t="n">
        <v>46176</v>
      </c>
      <c r="G90" s="0" t="s">
        <v>206</v>
      </c>
      <c r="H90" s="0" t="n">
        <v>1231205</v>
      </c>
      <c r="I90" s="0" t="n">
        <v>11</v>
      </c>
      <c r="J90" s="0" t="s">
        <v>1357</v>
      </c>
      <c r="K90" s="55" t="n">
        <v>18322.09</v>
      </c>
    </row>
    <row r="91" customFormat="false" ht="15" hidden="false" customHeight="false" outlineLevel="0" collapsed="false">
      <c r="A91" s="0" t="n">
        <v>2</v>
      </c>
      <c r="B91" s="0" t="n">
        <v>1829</v>
      </c>
      <c r="C91" s="0" t="s">
        <v>1363</v>
      </c>
      <c r="D91" s="0" t="s">
        <v>1403</v>
      </c>
      <c r="E91" s="54" t="n">
        <v>46184</v>
      </c>
      <c r="F91" s="54" t="n">
        <v>46176</v>
      </c>
      <c r="G91" s="0" t="s">
        <v>73</v>
      </c>
      <c r="H91" s="0" t="n">
        <v>1235276</v>
      </c>
      <c r="I91" s="0" t="n">
        <v>11</v>
      </c>
      <c r="J91" s="0" t="s">
        <v>1357</v>
      </c>
      <c r="K91" s="55" t="n">
        <v>3870.5</v>
      </c>
    </row>
    <row r="92" customFormat="false" ht="15" hidden="false" customHeight="false" outlineLevel="0" collapsed="false">
      <c r="A92" s="0" t="n">
        <v>2</v>
      </c>
      <c r="B92" s="0" t="n">
        <v>18534</v>
      </c>
      <c r="C92" s="0" t="s">
        <v>1404</v>
      </c>
      <c r="D92" s="0" t="s">
        <v>1405</v>
      </c>
      <c r="E92" s="54" t="n">
        <v>46184</v>
      </c>
      <c r="F92" s="54" t="n">
        <v>46179</v>
      </c>
      <c r="G92" s="0" t="s">
        <v>351</v>
      </c>
      <c r="H92" s="0" t="n">
        <v>1236453</v>
      </c>
      <c r="I92" s="0" t="n">
        <v>1</v>
      </c>
      <c r="J92" s="0" t="s">
        <v>1357</v>
      </c>
      <c r="K92" s="55" t="n">
        <v>2512.45</v>
      </c>
    </row>
    <row r="93" customFormat="false" ht="15" hidden="false" customHeight="false" outlineLevel="0" collapsed="false">
      <c r="A93" s="0" t="n">
        <v>2</v>
      </c>
      <c r="B93" s="0" t="n">
        <v>843146</v>
      </c>
      <c r="C93" s="0" t="s">
        <v>1363</v>
      </c>
      <c r="D93" s="0" t="s">
        <v>1406</v>
      </c>
      <c r="E93" s="54" t="n">
        <v>46184</v>
      </c>
      <c r="F93" s="54" t="n">
        <v>46183</v>
      </c>
      <c r="G93" s="0" t="s">
        <v>175</v>
      </c>
      <c r="H93" s="0" t="n">
        <v>1236541</v>
      </c>
      <c r="I93" s="0" t="n">
        <v>1</v>
      </c>
      <c r="J93" s="0" t="s">
        <v>1357</v>
      </c>
      <c r="K93" s="55" t="n">
        <v>433.35</v>
      </c>
    </row>
    <row r="94" customFormat="false" ht="15" hidden="false" customHeight="false" outlineLevel="0" collapsed="false">
      <c r="A94" s="0" t="n">
        <v>2</v>
      </c>
      <c r="B94" s="0" t="n">
        <v>843147</v>
      </c>
      <c r="C94" s="0" t="s">
        <v>1363</v>
      </c>
      <c r="D94" s="0" t="s">
        <v>1406</v>
      </c>
      <c r="E94" s="54" t="n">
        <v>46184</v>
      </c>
      <c r="F94" s="54" t="n">
        <v>46183</v>
      </c>
      <c r="G94" s="0" t="s">
        <v>175</v>
      </c>
      <c r="H94" s="0" t="n">
        <v>1236598</v>
      </c>
      <c r="I94" s="0" t="n">
        <v>1</v>
      </c>
      <c r="J94" s="0" t="s">
        <v>1357</v>
      </c>
      <c r="K94" s="55" t="n">
        <v>1689.49</v>
      </c>
    </row>
    <row r="95" customFormat="false" ht="15" hidden="false" customHeight="false" outlineLevel="0" collapsed="false">
      <c r="A95" s="0" t="n">
        <v>2</v>
      </c>
      <c r="B95" s="0" t="n">
        <v>1671078</v>
      </c>
      <c r="C95" s="0" t="s">
        <v>1363</v>
      </c>
      <c r="D95" s="0" t="s">
        <v>1371</v>
      </c>
      <c r="E95" s="54" t="n">
        <v>46184</v>
      </c>
      <c r="F95" s="54" t="n">
        <v>46183</v>
      </c>
      <c r="G95" s="0" t="s">
        <v>201</v>
      </c>
      <c r="H95" s="0" t="n">
        <v>1234920</v>
      </c>
      <c r="I95" s="0" t="n">
        <v>1</v>
      </c>
      <c r="J95" s="0" t="s">
        <v>1357</v>
      </c>
      <c r="K95" s="55" t="n">
        <v>478.8</v>
      </c>
    </row>
    <row r="96" customFormat="false" ht="15" hidden="false" customHeight="false" outlineLevel="0" collapsed="false">
      <c r="A96" s="0" t="n">
        <v>2</v>
      </c>
      <c r="B96" s="0" t="n">
        <v>3201284</v>
      </c>
      <c r="C96" s="0" t="s">
        <v>1363</v>
      </c>
      <c r="D96" s="0" t="s">
        <v>1407</v>
      </c>
      <c r="E96" s="54" t="n">
        <v>46184</v>
      </c>
      <c r="F96" s="54" t="n">
        <v>46183</v>
      </c>
      <c r="G96" s="0" t="s">
        <v>85</v>
      </c>
      <c r="H96" s="0" t="n">
        <v>1236667</v>
      </c>
      <c r="I96" s="0" t="n">
        <v>11</v>
      </c>
      <c r="J96" s="0" t="s">
        <v>1357</v>
      </c>
      <c r="K96" s="55" t="n">
        <v>3312.16</v>
      </c>
    </row>
    <row r="97" customFormat="false" ht="15" hidden="false" customHeight="false" outlineLevel="0" collapsed="false">
      <c r="A97" s="0" t="n">
        <v>2</v>
      </c>
      <c r="B97" s="0" t="n">
        <v>1235911</v>
      </c>
      <c r="C97" s="0" t="s">
        <v>1363</v>
      </c>
      <c r="D97" s="0" t="s">
        <v>1408</v>
      </c>
      <c r="E97" s="54" t="n">
        <v>46184</v>
      </c>
      <c r="F97" s="54" t="n">
        <v>46184</v>
      </c>
      <c r="G97" s="0" t="s">
        <v>410</v>
      </c>
      <c r="H97" s="0" t="n">
        <v>1235244</v>
      </c>
      <c r="I97" s="0" t="n">
        <v>1</v>
      </c>
      <c r="J97" s="0" t="s">
        <v>1357</v>
      </c>
      <c r="K97" s="55" t="n">
        <v>345.7</v>
      </c>
    </row>
    <row r="98" customFormat="false" ht="15" hidden="false" customHeight="false" outlineLevel="0" collapsed="false">
      <c r="A98" s="0" t="n">
        <v>2</v>
      </c>
      <c r="B98" s="0" t="n">
        <v>581432</v>
      </c>
      <c r="C98" s="0" t="s">
        <v>1394</v>
      </c>
      <c r="D98" s="0" t="s">
        <v>1409</v>
      </c>
      <c r="E98" s="54" t="n">
        <v>46184</v>
      </c>
      <c r="F98" s="54" t="n">
        <v>46183</v>
      </c>
      <c r="G98" s="0" t="s">
        <v>412</v>
      </c>
      <c r="H98" s="0" t="n">
        <v>1236954</v>
      </c>
      <c r="I98" s="0" t="n">
        <v>1</v>
      </c>
      <c r="J98" s="0" t="s">
        <v>1357</v>
      </c>
      <c r="K98" s="55" t="n">
        <v>278</v>
      </c>
    </row>
    <row r="99" customFormat="false" ht="15" hidden="false" customHeight="false" outlineLevel="0" collapsed="false">
      <c r="A99" s="0" t="n">
        <v>2</v>
      </c>
      <c r="B99" s="0" t="n">
        <v>253249</v>
      </c>
      <c r="C99" s="0" t="s">
        <v>1363</v>
      </c>
      <c r="D99" s="0" t="s">
        <v>1410</v>
      </c>
      <c r="E99" s="54" t="n">
        <v>46184</v>
      </c>
      <c r="F99" s="54" t="n">
        <v>46183</v>
      </c>
      <c r="G99" s="0" t="s">
        <v>489</v>
      </c>
      <c r="H99" s="0" t="n">
        <v>1236653</v>
      </c>
      <c r="I99" s="0" t="n">
        <v>1</v>
      </c>
      <c r="J99" s="0" t="s">
        <v>1357</v>
      </c>
      <c r="K99" s="55" t="n">
        <v>734.33</v>
      </c>
    </row>
    <row r="100" customFormat="false" ht="15" hidden="false" customHeight="false" outlineLevel="0" collapsed="false">
      <c r="A100" s="0" t="n">
        <v>2</v>
      </c>
      <c r="B100" s="0" t="n">
        <v>1006</v>
      </c>
      <c r="C100" s="0" t="s">
        <v>1363</v>
      </c>
      <c r="D100" s="0" t="s">
        <v>1411</v>
      </c>
      <c r="E100" s="54" t="n">
        <v>46184</v>
      </c>
      <c r="F100" s="54" t="n">
        <v>46176</v>
      </c>
      <c r="G100" s="0" t="s">
        <v>616</v>
      </c>
      <c r="H100" s="0" t="n">
        <v>1235087</v>
      </c>
      <c r="I100" s="0" t="n">
        <v>11</v>
      </c>
      <c r="J100" s="0" t="s">
        <v>1357</v>
      </c>
      <c r="K100" s="55" t="n">
        <v>1366.12</v>
      </c>
    </row>
    <row r="101" customFormat="false" ht="15" hidden="false" customHeight="false" outlineLevel="0" collapsed="false">
      <c r="A101" s="0" t="n">
        <v>2</v>
      </c>
      <c r="B101" s="0" t="n">
        <v>1159468</v>
      </c>
      <c r="C101" s="0" t="s">
        <v>1358</v>
      </c>
      <c r="D101" s="0" t="s">
        <v>1359</v>
      </c>
      <c r="E101" s="54" t="n">
        <v>46185</v>
      </c>
      <c r="F101" s="54" t="n">
        <v>46184</v>
      </c>
      <c r="G101" s="0" t="s">
        <v>119</v>
      </c>
      <c r="H101" s="0" t="n">
        <v>1241797</v>
      </c>
      <c r="I101" s="0" t="n">
        <v>1</v>
      </c>
      <c r="J101" s="0" t="s">
        <v>1357</v>
      </c>
      <c r="K101" s="55" t="n">
        <v>192.43</v>
      </c>
    </row>
    <row r="102" customFormat="false" ht="15" hidden="false" customHeight="false" outlineLevel="0" collapsed="false">
      <c r="A102" s="0" t="n">
        <v>2</v>
      </c>
      <c r="B102" s="0" t="n">
        <v>1159469</v>
      </c>
      <c r="C102" s="0" t="s">
        <v>1358</v>
      </c>
      <c r="D102" s="0" t="s">
        <v>1359</v>
      </c>
      <c r="E102" s="54" t="n">
        <v>46185</v>
      </c>
      <c r="F102" s="54" t="n">
        <v>46184</v>
      </c>
      <c r="G102" s="0" t="s">
        <v>119</v>
      </c>
      <c r="H102" s="0" t="n">
        <v>1241801</v>
      </c>
      <c r="I102" s="0" t="n">
        <v>1</v>
      </c>
      <c r="J102" s="0" t="s">
        <v>1357</v>
      </c>
      <c r="K102" s="55" t="n">
        <v>544.32</v>
      </c>
    </row>
    <row r="103" customFormat="false" ht="15" hidden="false" customHeight="false" outlineLevel="0" collapsed="false">
      <c r="A103" s="0" t="n">
        <v>2</v>
      </c>
      <c r="B103" s="0" t="n">
        <v>1877756</v>
      </c>
      <c r="C103" s="0" t="s">
        <v>1360</v>
      </c>
      <c r="D103" s="0" t="s">
        <v>1359</v>
      </c>
      <c r="E103" s="54" t="n">
        <v>46185</v>
      </c>
      <c r="F103" s="54" t="n">
        <v>46184</v>
      </c>
      <c r="G103" s="0" t="s">
        <v>119</v>
      </c>
      <c r="H103" s="0" t="n">
        <v>1241783</v>
      </c>
      <c r="I103" s="0" t="n">
        <v>1</v>
      </c>
      <c r="J103" s="0" t="s">
        <v>1357</v>
      </c>
      <c r="K103" s="55" t="n">
        <v>16.61</v>
      </c>
    </row>
    <row r="104" customFormat="false" ht="15" hidden="false" customHeight="false" outlineLevel="0" collapsed="false">
      <c r="A104" s="0" t="n">
        <v>2</v>
      </c>
      <c r="B104" s="0" t="n">
        <v>1877757</v>
      </c>
      <c r="C104" s="0" t="s">
        <v>1360</v>
      </c>
      <c r="D104" s="0" t="s">
        <v>1359</v>
      </c>
      <c r="E104" s="54" t="n">
        <v>46185</v>
      </c>
      <c r="F104" s="54" t="n">
        <v>46184</v>
      </c>
      <c r="G104" s="0" t="s">
        <v>119</v>
      </c>
      <c r="H104" s="0" t="n">
        <v>1241857</v>
      </c>
      <c r="I104" s="0" t="n">
        <v>1</v>
      </c>
      <c r="J104" s="0" t="s">
        <v>1357</v>
      </c>
      <c r="K104" s="55" t="n">
        <v>1081.08</v>
      </c>
    </row>
    <row r="105" customFormat="false" ht="15" hidden="false" customHeight="false" outlineLevel="0" collapsed="false">
      <c r="A105" s="0" t="n">
        <v>2</v>
      </c>
      <c r="B105" s="0" t="n">
        <v>1595886</v>
      </c>
      <c r="C105" s="0" t="s">
        <v>1363</v>
      </c>
      <c r="D105" s="0" t="s">
        <v>1412</v>
      </c>
      <c r="E105" s="54" t="n">
        <v>46185</v>
      </c>
      <c r="F105" s="54" t="n">
        <v>46185</v>
      </c>
      <c r="G105" s="0" t="s">
        <v>94</v>
      </c>
      <c r="H105" s="0" t="n">
        <v>1239822</v>
      </c>
      <c r="I105" s="0" t="n">
        <v>1</v>
      </c>
      <c r="J105" s="0" t="s">
        <v>1357</v>
      </c>
      <c r="K105" s="55" t="n">
        <v>2208.28</v>
      </c>
    </row>
    <row r="106" customFormat="false" ht="15" hidden="false" customHeight="false" outlineLevel="0" collapsed="false">
      <c r="A106" s="0" t="n">
        <v>2</v>
      </c>
      <c r="B106" s="0" t="n">
        <v>1026809</v>
      </c>
      <c r="C106" s="0" t="s">
        <v>1363</v>
      </c>
      <c r="D106" s="0" t="s">
        <v>1370</v>
      </c>
      <c r="E106" s="54" t="n">
        <v>46185</v>
      </c>
      <c r="F106" s="54" t="n">
        <v>46184</v>
      </c>
      <c r="G106" s="0" t="s">
        <v>210</v>
      </c>
      <c r="H106" s="0" t="n">
        <v>1241572</v>
      </c>
      <c r="I106" s="0" t="n">
        <v>1</v>
      </c>
      <c r="J106" s="0" t="s">
        <v>1357</v>
      </c>
      <c r="K106" s="55" t="n">
        <v>440.45</v>
      </c>
    </row>
    <row r="107" customFormat="false" ht="15" hidden="false" customHeight="false" outlineLevel="0" collapsed="false">
      <c r="A107" s="0" t="n">
        <v>2</v>
      </c>
      <c r="B107" s="0" t="n">
        <v>1672321</v>
      </c>
      <c r="C107" s="0" t="s">
        <v>1363</v>
      </c>
      <c r="D107" s="0" t="s">
        <v>1371</v>
      </c>
      <c r="E107" s="54" t="n">
        <v>46185</v>
      </c>
      <c r="F107" s="54" t="n">
        <v>46185</v>
      </c>
      <c r="G107" s="0" t="s">
        <v>201</v>
      </c>
      <c r="H107" s="0" t="n">
        <v>1240331</v>
      </c>
      <c r="I107" s="0" t="n">
        <v>1</v>
      </c>
      <c r="J107" s="0" t="s">
        <v>1357</v>
      </c>
      <c r="K107" s="55" t="n">
        <v>767.16</v>
      </c>
    </row>
    <row r="108" customFormat="false" ht="15" hidden="false" customHeight="false" outlineLevel="0" collapsed="false">
      <c r="A108" s="0" t="n">
        <v>2</v>
      </c>
      <c r="B108" s="0" t="n">
        <v>645628</v>
      </c>
      <c r="C108" s="0" t="s">
        <v>1363</v>
      </c>
      <c r="D108" s="0" t="s">
        <v>1413</v>
      </c>
      <c r="E108" s="54" t="n">
        <v>46185</v>
      </c>
      <c r="F108" s="54" t="n">
        <v>46183</v>
      </c>
      <c r="G108" s="0" t="s">
        <v>80</v>
      </c>
      <c r="H108" s="0" t="n">
        <v>1241897</v>
      </c>
      <c r="I108" s="0" t="n">
        <v>1</v>
      </c>
      <c r="J108" s="0" t="s">
        <v>1357</v>
      </c>
      <c r="K108" s="55" t="n">
        <v>1150.4</v>
      </c>
    </row>
    <row r="109" customFormat="false" ht="15" hidden="false" customHeight="false" outlineLevel="0" collapsed="false">
      <c r="A109" s="0" t="n">
        <v>2</v>
      </c>
      <c r="B109" s="0" t="n">
        <v>394904</v>
      </c>
      <c r="C109" s="0" t="s">
        <v>1363</v>
      </c>
      <c r="D109" s="0" t="s">
        <v>1414</v>
      </c>
      <c r="E109" s="54" t="n">
        <v>46185</v>
      </c>
      <c r="F109" s="54" t="n">
        <v>46184</v>
      </c>
      <c r="G109" s="0" t="s">
        <v>82</v>
      </c>
      <c r="H109" s="0" t="n">
        <v>1240497</v>
      </c>
      <c r="I109" s="0" t="n">
        <v>11</v>
      </c>
      <c r="J109" s="0" t="s">
        <v>1357</v>
      </c>
      <c r="K109" s="55" t="n">
        <v>1727.71</v>
      </c>
    </row>
    <row r="110" customFormat="false" ht="15" hidden="false" customHeight="false" outlineLevel="0" collapsed="false">
      <c r="A110" s="0" t="n">
        <v>2</v>
      </c>
      <c r="B110" s="0" t="n">
        <v>30896</v>
      </c>
      <c r="C110" s="0" t="s">
        <v>1363</v>
      </c>
      <c r="D110" s="0" t="s">
        <v>1377</v>
      </c>
      <c r="E110" s="54" t="n">
        <v>46185</v>
      </c>
      <c r="F110" s="54" t="n">
        <v>46184</v>
      </c>
      <c r="G110" s="0" t="s">
        <v>126</v>
      </c>
      <c r="H110" s="0" t="n">
        <v>1241605</v>
      </c>
      <c r="I110" s="0" t="n">
        <v>1</v>
      </c>
      <c r="J110" s="0" t="s">
        <v>1357</v>
      </c>
      <c r="K110" s="55" t="n">
        <v>231.5</v>
      </c>
    </row>
    <row r="111" customFormat="false" ht="15" hidden="false" customHeight="false" outlineLevel="0" collapsed="false">
      <c r="A111" s="0" t="n">
        <v>2</v>
      </c>
      <c r="B111" s="0" t="n">
        <v>2494</v>
      </c>
      <c r="C111" s="0" t="s">
        <v>1363</v>
      </c>
      <c r="D111" s="0" t="s">
        <v>1373</v>
      </c>
      <c r="E111" s="54" t="n">
        <v>46185</v>
      </c>
      <c r="F111" s="54" t="n">
        <v>46185</v>
      </c>
      <c r="G111" s="0" t="s">
        <v>132</v>
      </c>
      <c r="H111" s="0" t="n">
        <v>1240627</v>
      </c>
      <c r="I111" s="0" t="n">
        <v>6</v>
      </c>
      <c r="J111" s="0" t="s">
        <v>1357</v>
      </c>
      <c r="K111" s="55" t="n">
        <v>260</v>
      </c>
    </row>
    <row r="112" customFormat="false" ht="15" hidden="false" customHeight="false" outlineLevel="0" collapsed="false">
      <c r="A112" s="0" t="n">
        <v>2</v>
      </c>
      <c r="B112" s="0" t="n">
        <v>2495</v>
      </c>
      <c r="C112" s="0" t="s">
        <v>1363</v>
      </c>
      <c r="D112" s="0" t="s">
        <v>1373</v>
      </c>
      <c r="E112" s="54" t="n">
        <v>46185</v>
      </c>
      <c r="F112" s="54" t="n">
        <v>46185</v>
      </c>
      <c r="G112" s="0" t="s">
        <v>132</v>
      </c>
      <c r="H112" s="0" t="n">
        <v>1241673</v>
      </c>
      <c r="I112" s="0" t="n">
        <v>6</v>
      </c>
      <c r="J112" s="0" t="s">
        <v>1357</v>
      </c>
      <c r="K112" s="55" t="n">
        <v>1323.79</v>
      </c>
    </row>
    <row r="113" customFormat="false" ht="15" hidden="false" customHeight="false" outlineLevel="0" collapsed="false">
      <c r="A113" s="0" t="n">
        <v>2</v>
      </c>
      <c r="B113" s="0" t="n">
        <v>12626</v>
      </c>
      <c r="C113" s="0" t="s">
        <v>1363</v>
      </c>
      <c r="D113" s="0" t="s">
        <v>1373</v>
      </c>
      <c r="E113" s="54" t="n">
        <v>46185</v>
      </c>
      <c r="F113" s="54" t="n">
        <v>46185</v>
      </c>
      <c r="G113" s="0" t="s">
        <v>132</v>
      </c>
      <c r="H113" s="0" t="n">
        <v>1240618</v>
      </c>
      <c r="I113" s="0" t="n">
        <v>2</v>
      </c>
      <c r="J113" s="0" t="s">
        <v>1357</v>
      </c>
      <c r="K113" s="55" t="n">
        <v>260</v>
      </c>
    </row>
    <row r="114" customFormat="false" ht="15" hidden="false" customHeight="false" outlineLevel="0" collapsed="false">
      <c r="A114" s="0" t="n">
        <v>2</v>
      </c>
      <c r="B114" s="0" t="n">
        <v>1262026</v>
      </c>
      <c r="C114" s="0" t="s">
        <v>1363</v>
      </c>
      <c r="D114" s="0" t="s">
        <v>1373</v>
      </c>
      <c r="E114" s="54" t="n">
        <v>46185</v>
      </c>
      <c r="F114" s="54" t="n">
        <v>46185</v>
      </c>
      <c r="G114" s="0" t="s">
        <v>132</v>
      </c>
      <c r="H114" s="0" t="n">
        <v>1241650</v>
      </c>
      <c r="I114" s="0" t="n">
        <v>2</v>
      </c>
      <c r="J114" s="0" t="s">
        <v>1357</v>
      </c>
      <c r="K114" s="55" t="n">
        <v>1323.79</v>
      </c>
    </row>
    <row r="115" customFormat="false" ht="15" hidden="false" customHeight="false" outlineLevel="0" collapsed="false">
      <c r="A115" s="0" t="n">
        <v>2</v>
      </c>
      <c r="B115" s="0" t="n">
        <v>3741</v>
      </c>
      <c r="C115" s="0" t="s">
        <v>1363</v>
      </c>
      <c r="D115" s="0" t="s">
        <v>1374</v>
      </c>
      <c r="E115" s="54" t="n">
        <v>46185</v>
      </c>
      <c r="F115" s="54" t="n">
        <v>46184</v>
      </c>
      <c r="G115" s="0" t="s">
        <v>92</v>
      </c>
      <c r="H115" s="0" t="n">
        <v>1241587</v>
      </c>
      <c r="I115" s="0" t="n">
        <v>1</v>
      </c>
      <c r="J115" s="0" t="s">
        <v>1357</v>
      </c>
      <c r="K115" s="55" t="n">
        <v>184.96</v>
      </c>
    </row>
    <row r="116" customFormat="false" ht="15" hidden="false" customHeight="false" outlineLevel="0" collapsed="false">
      <c r="A116" s="0" t="n">
        <v>2</v>
      </c>
      <c r="B116" s="0" t="n">
        <v>7725</v>
      </c>
      <c r="C116" s="0" t="s">
        <v>1363</v>
      </c>
      <c r="D116" s="0" t="s">
        <v>1415</v>
      </c>
      <c r="E116" s="54" t="n">
        <v>46185</v>
      </c>
      <c r="F116" s="54" t="n">
        <v>46180</v>
      </c>
      <c r="G116" s="0" t="s">
        <v>381</v>
      </c>
      <c r="H116" s="0" t="n">
        <v>1300203</v>
      </c>
      <c r="I116" s="0" t="n">
        <v>11</v>
      </c>
      <c r="J116" s="0" t="s">
        <v>1357</v>
      </c>
      <c r="K116" s="55" t="n">
        <v>1149.74</v>
      </c>
    </row>
    <row r="117" customFormat="false" ht="15" hidden="false" customHeight="false" outlineLevel="0" collapsed="false">
      <c r="A117" s="0" t="n">
        <v>2</v>
      </c>
      <c r="B117" s="0" t="n">
        <v>664</v>
      </c>
      <c r="C117" s="0" t="s">
        <v>1355</v>
      </c>
      <c r="D117" s="0" t="s">
        <v>1365</v>
      </c>
      <c r="E117" s="54" t="n">
        <v>46185</v>
      </c>
      <c r="F117" s="54" t="n">
        <v>46185</v>
      </c>
      <c r="G117" s="0" t="s">
        <v>194</v>
      </c>
      <c r="H117" s="0" t="n">
        <v>1241529</v>
      </c>
      <c r="I117" s="0" t="n">
        <v>1</v>
      </c>
      <c r="J117" s="0" t="s">
        <v>1357</v>
      </c>
      <c r="K117" s="55" t="n">
        <v>379.6</v>
      </c>
    </row>
    <row r="118" customFormat="false" ht="15" hidden="false" customHeight="false" outlineLevel="0" collapsed="false">
      <c r="A118" s="0" t="n">
        <v>2</v>
      </c>
      <c r="B118" s="0" t="n">
        <v>496</v>
      </c>
      <c r="C118" s="0" t="s">
        <v>1363</v>
      </c>
      <c r="D118" s="0" t="s">
        <v>1368</v>
      </c>
      <c r="E118" s="54" t="n">
        <v>46186</v>
      </c>
      <c r="F118" s="54" t="n">
        <v>46185</v>
      </c>
      <c r="G118" s="0" t="s">
        <v>130</v>
      </c>
      <c r="H118" s="0" t="n">
        <v>1244039</v>
      </c>
      <c r="I118" s="0" t="n">
        <v>1</v>
      </c>
      <c r="J118" s="0" t="s">
        <v>1357</v>
      </c>
      <c r="K118" s="55" t="n">
        <v>180</v>
      </c>
    </row>
    <row r="119" customFormat="false" ht="15" hidden="false" customHeight="false" outlineLevel="0" collapsed="false">
      <c r="A119" s="0" t="n">
        <v>2</v>
      </c>
      <c r="B119" s="0" t="n">
        <v>299</v>
      </c>
      <c r="C119" s="0" t="s">
        <v>1363</v>
      </c>
      <c r="D119" s="0" t="s">
        <v>1369</v>
      </c>
      <c r="E119" s="54" t="n">
        <v>46186</v>
      </c>
      <c r="F119" s="54" t="n">
        <v>46185</v>
      </c>
      <c r="G119" s="0" t="s">
        <v>220</v>
      </c>
      <c r="H119" s="0" t="n">
        <v>1244883</v>
      </c>
      <c r="I119" s="0" t="n">
        <v>1</v>
      </c>
      <c r="J119" s="0" t="s">
        <v>1357</v>
      </c>
      <c r="K119" s="55" t="n">
        <v>950</v>
      </c>
    </row>
    <row r="120" customFormat="false" ht="15" hidden="false" customHeight="false" outlineLevel="0" collapsed="false">
      <c r="A120" s="0" t="n">
        <v>2</v>
      </c>
      <c r="B120" s="0" t="n">
        <v>3201857</v>
      </c>
      <c r="C120" s="0" t="s">
        <v>1363</v>
      </c>
      <c r="D120" s="0" t="s">
        <v>1407</v>
      </c>
      <c r="E120" s="54" t="n">
        <v>46186</v>
      </c>
      <c r="F120" s="54" t="n">
        <v>46184</v>
      </c>
      <c r="G120" s="0" t="s">
        <v>85</v>
      </c>
      <c r="H120" s="0" t="n">
        <v>1244627</v>
      </c>
      <c r="I120" s="0" t="n">
        <v>1</v>
      </c>
      <c r="J120" s="0" t="s">
        <v>1357</v>
      </c>
      <c r="K120" s="55" t="n">
        <v>892.08</v>
      </c>
    </row>
    <row r="121" customFormat="false" ht="15" hidden="false" customHeight="false" outlineLevel="0" collapsed="false">
      <c r="A121" s="0" t="n">
        <v>2</v>
      </c>
      <c r="B121" s="0" t="n">
        <v>1631088</v>
      </c>
      <c r="C121" s="0" t="s">
        <v>1361</v>
      </c>
      <c r="D121" s="0" t="s">
        <v>1362</v>
      </c>
      <c r="E121" s="54" t="n">
        <v>46186</v>
      </c>
      <c r="F121" s="54" t="n">
        <v>46185</v>
      </c>
      <c r="G121" s="0" t="s">
        <v>369</v>
      </c>
      <c r="H121" s="0" t="n">
        <v>1244024</v>
      </c>
      <c r="I121" s="0" t="n">
        <v>1</v>
      </c>
      <c r="J121" s="0" t="s">
        <v>1357</v>
      </c>
      <c r="K121" s="55" t="n">
        <v>64</v>
      </c>
    </row>
    <row r="122" customFormat="false" ht="15" hidden="false" customHeight="false" outlineLevel="0" collapsed="false">
      <c r="A122" s="0" t="n">
        <v>2</v>
      </c>
      <c r="B122" s="0" t="n">
        <v>51542</v>
      </c>
      <c r="C122" s="0" t="s">
        <v>1363</v>
      </c>
      <c r="D122" s="0" t="s">
        <v>1416</v>
      </c>
      <c r="E122" s="54" t="n">
        <v>46186</v>
      </c>
      <c r="F122" s="54" t="n">
        <v>46185</v>
      </c>
      <c r="G122" s="0" t="s">
        <v>422</v>
      </c>
      <c r="H122" s="0" t="n">
        <v>1244029</v>
      </c>
      <c r="I122" s="0" t="n">
        <v>1</v>
      </c>
      <c r="J122" s="0" t="s">
        <v>1357</v>
      </c>
      <c r="K122" s="55" t="n">
        <v>246.96</v>
      </c>
    </row>
    <row r="123" customFormat="false" ht="15" hidden="false" customHeight="false" outlineLevel="0" collapsed="false">
      <c r="A123" s="0" t="n">
        <v>2</v>
      </c>
      <c r="B123" s="0" t="n">
        <v>1415530</v>
      </c>
      <c r="C123" s="0" t="s">
        <v>1363</v>
      </c>
      <c r="D123" s="0" t="s">
        <v>1417</v>
      </c>
      <c r="E123" s="54" t="n">
        <v>46186</v>
      </c>
      <c r="F123" s="54" t="n">
        <v>46184</v>
      </c>
      <c r="G123" s="0" t="s">
        <v>417</v>
      </c>
      <c r="H123" s="0" t="n">
        <v>1244221</v>
      </c>
      <c r="I123" s="0" t="n">
        <v>1</v>
      </c>
      <c r="J123" s="0" t="s">
        <v>1357</v>
      </c>
      <c r="K123" s="55" t="n">
        <v>2215.88</v>
      </c>
    </row>
    <row r="124" customFormat="false" ht="15" hidden="false" customHeight="false" outlineLevel="0" collapsed="false">
      <c r="A124" s="0" t="n">
        <v>2</v>
      </c>
      <c r="B124" s="0" t="n">
        <v>1601</v>
      </c>
      <c r="C124" s="0" t="s">
        <v>1418</v>
      </c>
      <c r="D124" s="0" t="s">
        <v>1419</v>
      </c>
      <c r="E124" s="54" t="n">
        <v>46186</v>
      </c>
      <c r="F124" s="54" t="n">
        <v>46184</v>
      </c>
      <c r="G124" s="0" t="s">
        <v>512</v>
      </c>
      <c r="H124" s="0" t="n">
        <v>1244274</v>
      </c>
      <c r="I124" s="0" t="n">
        <v>1</v>
      </c>
      <c r="J124" s="0" t="s">
        <v>1357</v>
      </c>
      <c r="K124" s="55" t="n">
        <v>1783.9</v>
      </c>
    </row>
    <row r="125" customFormat="false" ht="15" hidden="false" customHeight="false" outlineLevel="0" collapsed="false">
      <c r="A125" s="0" t="n">
        <v>2</v>
      </c>
      <c r="B125" s="0" t="n">
        <v>193355</v>
      </c>
      <c r="C125" s="0" t="s">
        <v>1418</v>
      </c>
      <c r="D125" s="0" t="s">
        <v>1420</v>
      </c>
      <c r="E125" s="54" t="n">
        <v>46186</v>
      </c>
      <c r="F125" s="54" t="n">
        <v>46183</v>
      </c>
      <c r="G125" s="0" t="s">
        <v>168</v>
      </c>
      <c r="H125" s="0" t="n">
        <v>1244256</v>
      </c>
      <c r="I125" s="0" t="n">
        <v>1</v>
      </c>
      <c r="J125" s="0" t="s">
        <v>1357</v>
      </c>
      <c r="K125" s="55" t="n">
        <v>540.3</v>
      </c>
    </row>
    <row r="126" customFormat="false" ht="15" hidden="false" customHeight="false" outlineLevel="0" collapsed="false">
      <c r="A126" s="0" t="n">
        <v>2</v>
      </c>
      <c r="B126" s="0" t="n">
        <v>563269</v>
      </c>
      <c r="C126" s="0" t="s">
        <v>1401</v>
      </c>
      <c r="D126" s="0" t="s">
        <v>1402</v>
      </c>
      <c r="E126" s="54" t="n">
        <v>46186</v>
      </c>
      <c r="F126" s="54" t="n">
        <v>46183</v>
      </c>
      <c r="G126" s="0" t="s">
        <v>206</v>
      </c>
      <c r="H126" s="0" t="n">
        <v>1244689</v>
      </c>
      <c r="I126" s="0" t="n">
        <v>1</v>
      </c>
      <c r="J126" s="0" t="s">
        <v>1357</v>
      </c>
      <c r="K126" s="55" t="n">
        <v>3138.67</v>
      </c>
    </row>
    <row r="127" customFormat="false" ht="15" hidden="false" customHeight="false" outlineLevel="0" collapsed="false">
      <c r="A127" s="0" t="n">
        <v>2</v>
      </c>
      <c r="B127" s="0" t="n">
        <v>878392</v>
      </c>
      <c r="C127" s="0" t="s">
        <v>1363</v>
      </c>
      <c r="D127" s="0" t="s">
        <v>1421</v>
      </c>
      <c r="E127" s="54" t="n">
        <v>46188</v>
      </c>
      <c r="F127" s="54" t="n">
        <v>46184</v>
      </c>
      <c r="G127" s="0" t="s">
        <v>197</v>
      </c>
      <c r="H127" s="0" t="n">
        <v>1255113</v>
      </c>
      <c r="I127" s="0" t="n">
        <v>1</v>
      </c>
      <c r="J127" s="0" t="s">
        <v>1357</v>
      </c>
      <c r="K127" s="55" t="n">
        <v>2373.94</v>
      </c>
    </row>
    <row r="128" customFormat="false" ht="15" hidden="false" customHeight="false" outlineLevel="0" collapsed="false">
      <c r="A128" s="0" t="n">
        <v>2</v>
      </c>
      <c r="B128" s="0" t="n">
        <v>878758</v>
      </c>
      <c r="C128" s="0" t="s">
        <v>1363</v>
      </c>
      <c r="D128" s="0" t="s">
        <v>1421</v>
      </c>
      <c r="E128" s="54" t="n">
        <v>46188</v>
      </c>
      <c r="F128" s="54" t="n">
        <v>46185</v>
      </c>
      <c r="G128" s="0" t="s">
        <v>197</v>
      </c>
      <c r="H128" s="0" t="n">
        <v>1257254</v>
      </c>
      <c r="I128" s="0" t="n">
        <v>1</v>
      </c>
      <c r="J128" s="0" t="s">
        <v>1357</v>
      </c>
      <c r="K128" s="55" t="n">
        <v>1767.24</v>
      </c>
    </row>
    <row r="129" customFormat="false" ht="15" hidden="false" customHeight="false" outlineLevel="0" collapsed="false">
      <c r="A129" s="0" t="n">
        <v>2</v>
      </c>
      <c r="B129" s="0" t="n">
        <v>171507</v>
      </c>
      <c r="C129" s="0" t="s">
        <v>1363</v>
      </c>
      <c r="D129" s="0" t="s">
        <v>1376</v>
      </c>
      <c r="E129" s="54" t="n">
        <v>46188</v>
      </c>
      <c r="F129" s="54" t="n">
        <v>46186</v>
      </c>
      <c r="G129" s="0" t="s">
        <v>332</v>
      </c>
      <c r="H129" s="0" t="n">
        <v>1257108</v>
      </c>
      <c r="I129" s="0" t="n">
        <v>1</v>
      </c>
      <c r="J129" s="0" t="s">
        <v>1357</v>
      </c>
      <c r="K129" s="55" t="n">
        <v>4757.6</v>
      </c>
    </row>
    <row r="130" customFormat="false" ht="15" hidden="false" customHeight="false" outlineLevel="0" collapsed="false">
      <c r="A130" s="0" t="n">
        <v>2</v>
      </c>
      <c r="B130" s="0" t="n">
        <v>854255</v>
      </c>
      <c r="C130" s="0" t="s">
        <v>1422</v>
      </c>
      <c r="D130" s="0" t="s">
        <v>1423</v>
      </c>
      <c r="E130" s="54" t="n">
        <v>46188</v>
      </c>
      <c r="F130" s="54" t="n">
        <v>46184</v>
      </c>
      <c r="G130" s="0" t="s">
        <v>212</v>
      </c>
      <c r="H130" s="0" t="n">
        <v>1257356</v>
      </c>
      <c r="I130" s="0" t="n">
        <v>1</v>
      </c>
      <c r="J130" s="0" t="s">
        <v>1357</v>
      </c>
      <c r="K130" s="55" t="n">
        <v>4705.7</v>
      </c>
    </row>
    <row r="131" customFormat="false" ht="15" hidden="false" customHeight="false" outlineLevel="0" collapsed="false">
      <c r="A131" s="0" t="n">
        <v>2</v>
      </c>
      <c r="B131" s="0" t="n">
        <v>10</v>
      </c>
      <c r="C131" s="0" t="s">
        <v>1418</v>
      </c>
      <c r="D131" s="0" t="s">
        <v>1424</v>
      </c>
      <c r="E131" s="54" t="n">
        <v>46188</v>
      </c>
      <c r="F131" s="54" t="n">
        <v>46178</v>
      </c>
      <c r="G131" s="0" t="s">
        <v>1425</v>
      </c>
      <c r="H131" s="0" t="n">
        <v>1255758</v>
      </c>
      <c r="I131" s="0" t="n">
        <v>11</v>
      </c>
      <c r="J131" s="0" t="s">
        <v>1357</v>
      </c>
      <c r="K131" s="55" t="n">
        <v>503</v>
      </c>
    </row>
    <row r="132" customFormat="false" ht="15" hidden="false" customHeight="false" outlineLevel="0" collapsed="false">
      <c r="A132" s="0" t="n">
        <v>2</v>
      </c>
      <c r="B132" s="0" t="n">
        <v>1631512</v>
      </c>
      <c r="C132" s="0" t="s">
        <v>1361</v>
      </c>
      <c r="D132" s="0" t="s">
        <v>1362</v>
      </c>
      <c r="E132" s="54" t="n">
        <v>46188</v>
      </c>
      <c r="F132" s="54" t="n">
        <v>46186</v>
      </c>
      <c r="G132" s="0" t="s">
        <v>369</v>
      </c>
      <c r="H132" s="0" t="n">
        <v>1255081</v>
      </c>
      <c r="I132" s="0" t="n">
        <v>1</v>
      </c>
      <c r="J132" s="0" t="s">
        <v>1357</v>
      </c>
      <c r="K132" s="55" t="n">
        <v>161</v>
      </c>
    </row>
    <row r="133" customFormat="false" ht="15" hidden="false" customHeight="false" outlineLevel="0" collapsed="false">
      <c r="A133" s="0" t="n">
        <v>2</v>
      </c>
      <c r="B133" s="0" t="n">
        <v>1631944</v>
      </c>
      <c r="C133" s="0" t="s">
        <v>1361</v>
      </c>
      <c r="D133" s="0" t="s">
        <v>1362</v>
      </c>
      <c r="E133" s="54" t="n">
        <v>46188</v>
      </c>
      <c r="F133" s="54" t="n">
        <v>46188</v>
      </c>
      <c r="G133" s="0" t="s">
        <v>369</v>
      </c>
      <c r="H133" s="0" t="n">
        <v>1257021</v>
      </c>
      <c r="I133" s="0" t="n">
        <v>1</v>
      </c>
      <c r="J133" s="0" t="s">
        <v>1357</v>
      </c>
      <c r="K133" s="55" t="n">
        <v>86</v>
      </c>
    </row>
    <row r="134" customFormat="false" ht="15" hidden="false" customHeight="false" outlineLevel="0" collapsed="false">
      <c r="A134" s="0" t="n">
        <v>2</v>
      </c>
      <c r="B134" s="0" t="n">
        <v>2316</v>
      </c>
      <c r="C134" s="0" t="s">
        <v>1363</v>
      </c>
      <c r="D134" s="0" t="s">
        <v>1426</v>
      </c>
      <c r="E134" s="54" t="n">
        <v>46188</v>
      </c>
      <c r="F134" s="54" t="n">
        <v>46178</v>
      </c>
      <c r="G134" s="0" t="s">
        <v>618</v>
      </c>
      <c r="H134" s="0" t="n">
        <v>1255668</v>
      </c>
      <c r="I134" s="0" t="n">
        <v>11</v>
      </c>
      <c r="J134" s="0" t="s">
        <v>1357</v>
      </c>
      <c r="K134" s="55" t="n">
        <v>1195</v>
      </c>
    </row>
    <row r="135" customFormat="false" ht="15" hidden="false" customHeight="false" outlineLevel="0" collapsed="false">
      <c r="A135" s="0" t="n">
        <v>2</v>
      </c>
      <c r="B135" s="0" t="n">
        <v>1771887</v>
      </c>
      <c r="C135" s="0" t="s">
        <v>1427</v>
      </c>
      <c r="D135" s="0" t="s">
        <v>1428</v>
      </c>
      <c r="E135" s="54" t="n">
        <v>46188</v>
      </c>
      <c r="F135" s="54" t="n">
        <v>46184</v>
      </c>
      <c r="G135" s="0" t="s">
        <v>156</v>
      </c>
      <c r="H135" s="0" t="n">
        <v>1255460</v>
      </c>
      <c r="I135" s="0" t="n">
        <v>1</v>
      </c>
      <c r="J135" s="0" t="s">
        <v>1357</v>
      </c>
      <c r="K135" s="55" t="n">
        <v>1839.99</v>
      </c>
    </row>
    <row r="136" customFormat="false" ht="15" hidden="false" customHeight="false" outlineLevel="0" collapsed="false">
      <c r="A136" s="0" t="n">
        <v>2</v>
      </c>
      <c r="B136" s="0" t="n">
        <v>1415346</v>
      </c>
      <c r="C136" s="0" t="s">
        <v>1363</v>
      </c>
      <c r="D136" s="0" t="s">
        <v>1417</v>
      </c>
      <c r="E136" s="54" t="n">
        <v>46188</v>
      </c>
      <c r="F136" s="54" t="n">
        <v>46184</v>
      </c>
      <c r="G136" s="0" t="s">
        <v>417</v>
      </c>
      <c r="H136" s="0" t="n">
        <v>1255566</v>
      </c>
      <c r="I136" s="0" t="n">
        <v>11</v>
      </c>
      <c r="J136" s="0" t="s">
        <v>1357</v>
      </c>
      <c r="K136" s="55" t="n">
        <v>33.84</v>
      </c>
    </row>
    <row r="137" customFormat="false" ht="15" hidden="false" customHeight="false" outlineLevel="0" collapsed="false">
      <c r="A137" s="0" t="n">
        <v>2</v>
      </c>
      <c r="B137" s="0" t="n">
        <v>1415347</v>
      </c>
      <c r="C137" s="0" t="s">
        <v>1363</v>
      </c>
      <c r="D137" s="0" t="s">
        <v>1417</v>
      </c>
      <c r="E137" s="54" t="n">
        <v>46188</v>
      </c>
      <c r="F137" s="54" t="n">
        <v>46184</v>
      </c>
      <c r="G137" s="0" t="s">
        <v>417</v>
      </c>
      <c r="H137" s="0" t="n">
        <v>1255613</v>
      </c>
      <c r="I137" s="0" t="n">
        <v>11</v>
      </c>
      <c r="J137" s="0" t="s">
        <v>1357</v>
      </c>
      <c r="K137" s="55" t="n">
        <v>98.61</v>
      </c>
    </row>
    <row r="138" customFormat="false" ht="15" hidden="false" customHeight="false" outlineLevel="0" collapsed="false">
      <c r="A138" s="0" t="n">
        <v>2</v>
      </c>
      <c r="B138" s="0" t="n">
        <v>1415529</v>
      </c>
      <c r="C138" s="0" t="s">
        <v>1363</v>
      </c>
      <c r="D138" s="0" t="s">
        <v>1417</v>
      </c>
      <c r="E138" s="54" t="n">
        <v>46188</v>
      </c>
      <c r="F138" s="54" t="n">
        <v>46184</v>
      </c>
      <c r="G138" s="0" t="s">
        <v>417</v>
      </c>
      <c r="H138" s="0" t="n">
        <v>1255250</v>
      </c>
      <c r="I138" s="0" t="n">
        <v>1</v>
      </c>
      <c r="J138" s="0" t="s">
        <v>1357</v>
      </c>
      <c r="K138" s="55" t="n">
        <v>4498.56</v>
      </c>
    </row>
    <row r="139" customFormat="false" ht="15" hidden="false" customHeight="false" outlineLevel="0" collapsed="false">
      <c r="A139" s="0" t="n">
        <v>2</v>
      </c>
      <c r="B139" s="0" t="n">
        <v>1416973</v>
      </c>
      <c r="C139" s="0" t="s">
        <v>1363</v>
      </c>
      <c r="D139" s="0" t="s">
        <v>1417</v>
      </c>
      <c r="E139" s="54" t="n">
        <v>46188</v>
      </c>
      <c r="F139" s="54" t="n">
        <v>46188</v>
      </c>
      <c r="G139" s="0" t="s">
        <v>417</v>
      </c>
      <c r="H139" s="0" t="n">
        <v>1257189</v>
      </c>
      <c r="I139" s="0" t="n">
        <v>1</v>
      </c>
      <c r="J139" s="0" t="s">
        <v>1357</v>
      </c>
      <c r="K139" s="55" t="n">
        <v>1537.8</v>
      </c>
    </row>
    <row r="140" customFormat="false" ht="15" hidden="false" customHeight="false" outlineLevel="0" collapsed="false">
      <c r="A140" s="0" t="n">
        <v>2</v>
      </c>
      <c r="B140" s="0" t="n">
        <v>1417149</v>
      </c>
      <c r="C140" s="0" t="s">
        <v>1363</v>
      </c>
      <c r="D140" s="0" t="s">
        <v>1417</v>
      </c>
      <c r="E140" s="54" t="n">
        <v>46188</v>
      </c>
      <c r="F140" s="54" t="n">
        <v>46188</v>
      </c>
      <c r="G140" s="0" t="s">
        <v>417</v>
      </c>
      <c r="H140" s="0" t="n">
        <v>1257210</v>
      </c>
      <c r="I140" s="0" t="n">
        <v>11</v>
      </c>
      <c r="J140" s="0" t="s">
        <v>1357</v>
      </c>
      <c r="K140" s="55" t="n">
        <v>27.07</v>
      </c>
    </row>
    <row r="141" customFormat="false" ht="15" hidden="false" customHeight="false" outlineLevel="0" collapsed="false">
      <c r="A141" s="0" t="n">
        <v>2</v>
      </c>
      <c r="B141" s="0" t="n">
        <v>2496</v>
      </c>
      <c r="C141" s="0" t="s">
        <v>1363</v>
      </c>
      <c r="D141" s="0" t="s">
        <v>1373</v>
      </c>
      <c r="E141" s="54" t="n">
        <v>46188</v>
      </c>
      <c r="F141" s="54" t="n">
        <v>46188</v>
      </c>
      <c r="G141" s="0" t="s">
        <v>132</v>
      </c>
      <c r="H141" s="0" t="n">
        <v>1255540</v>
      </c>
      <c r="I141" s="0" t="n">
        <v>6</v>
      </c>
      <c r="J141" s="0" t="s">
        <v>1357</v>
      </c>
      <c r="K141" s="55" t="n">
        <v>210</v>
      </c>
    </row>
    <row r="142" customFormat="false" ht="15" hidden="false" customHeight="false" outlineLevel="0" collapsed="false">
      <c r="A142" s="0" t="n">
        <v>2</v>
      </c>
      <c r="B142" s="0" t="n">
        <v>15626</v>
      </c>
      <c r="C142" s="0" t="s">
        <v>1363</v>
      </c>
      <c r="D142" s="0" t="s">
        <v>1373</v>
      </c>
      <c r="E142" s="54" t="n">
        <v>46188</v>
      </c>
      <c r="F142" s="54" t="n">
        <v>46188</v>
      </c>
      <c r="G142" s="0" t="s">
        <v>132</v>
      </c>
      <c r="H142" s="0" t="n">
        <v>1255530</v>
      </c>
      <c r="I142" s="0" t="n">
        <v>2</v>
      </c>
      <c r="J142" s="0" t="s">
        <v>1357</v>
      </c>
      <c r="K142" s="55" t="n">
        <v>210</v>
      </c>
    </row>
    <row r="143" customFormat="false" ht="15" hidden="false" customHeight="false" outlineLevel="0" collapsed="false">
      <c r="A143" s="0" t="n">
        <v>2</v>
      </c>
      <c r="B143" s="0" t="n">
        <v>1161721</v>
      </c>
      <c r="C143" s="0" t="s">
        <v>1358</v>
      </c>
      <c r="D143" s="0" t="s">
        <v>1359</v>
      </c>
      <c r="E143" s="54" t="n">
        <v>46189</v>
      </c>
      <c r="F143" s="54" t="n">
        <v>46185</v>
      </c>
      <c r="G143" s="0" t="s">
        <v>119</v>
      </c>
      <c r="H143" s="0" t="n">
        <v>1261517</v>
      </c>
      <c r="I143" s="0" t="n">
        <v>11</v>
      </c>
      <c r="J143" s="0" t="s">
        <v>1357</v>
      </c>
      <c r="K143" s="55" t="n">
        <v>1009.81</v>
      </c>
    </row>
    <row r="144" customFormat="false" ht="15" hidden="false" customHeight="false" outlineLevel="0" collapsed="false">
      <c r="A144" s="0" t="n">
        <v>2</v>
      </c>
      <c r="B144" s="0" t="n">
        <v>1161723</v>
      </c>
      <c r="C144" s="0" t="s">
        <v>1358</v>
      </c>
      <c r="D144" s="0" t="s">
        <v>1359</v>
      </c>
      <c r="E144" s="54" t="n">
        <v>46189</v>
      </c>
      <c r="F144" s="54" t="n">
        <v>46185</v>
      </c>
      <c r="G144" s="0" t="s">
        <v>119</v>
      </c>
      <c r="H144" s="0" t="n">
        <v>1261488</v>
      </c>
      <c r="I144" s="0" t="n">
        <v>1</v>
      </c>
      <c r="J144" s="0" t="s">
        <v>1357</v>
      </c>
      <c r="K144" s="55" t="n">
        <v>203.42</v>
      </c>
    </row>
    <row r="145" customFormat="false" ht="15" hidden="false" customHeight="false" outlineLevel="0" collapsed="false">
      <c r="A145" s="0" t="n">
        <v>2</v>
      </c>
      <c r="B145" s="0" t="n">
        <v>1162362</v>
      </c>
      <c r="C145" s="0" t="s">
        <v>1358</v>
      </c>
      <c r="D145" s="0" t="s">
        <v>1359</v>
      </c>
      <c r="E145" s="54" t="n">
        <v>46189</v>
      </c>
      <c r="F145" s="54" t="n">
        <v>46185</v>
      </c>
      <c r="G145" s="0" t="s">
        <v>119</v>
      </c>
      <c r="H145" s="0" t="n">
        <v>1261495</v>
      </c>
      <c r="I145" s="0" t="n">
        <v>1</v>
      </c>
      <c r="J145" s="0" t="s">
        <v>1357</v>
      </c>
      <c r="K145" s="55" t="n">
        <v>639.86</v>
      </c>
    </row>
    <row r="146" customFormat="false" ht="15" hidden="false" customHeight="false" outlineLevel="0" collapsed="false">
      <c r="A146" s="0" t="n">
        <v>2</v>
      </c>
      <c r="B146" s="0" t="n">
        <v>1880950</v>
      </c>
      <c r="C146" s="0" t="s">
        <v>1360</v>
      </c>
      <c r="D146" s="0" t="s">
        <v>1359</v>
      </c>
      <c r="E146" s="54" t="n">
        <v>46189</v>
      </c>
      <c r="F146" s="54" t="n">
        <v>46185</v>
      </c>
      <c r="G146" s="0" t="s">
        <v>119</v>
      </c>
      <c r="H146" s="0" t="n">
        <v>1261504</v>
      </c>
      <c r="I146" s="0" t="n">
        <v>1</v>
      </c>
      <c r="J146" s="0" t="s">
        <v>1357</v>
      </c>
      <c r="K146" s="55" t="n">
        <v>2177.76</v>
      </c>
    </row>
    <row r="147" customFormat="false" ht="15" hidden="false" customHeight="false" outlineLevel="0" collapsed="false">
      <c r="A147" s="0" t="n">
        <v>2</v>
      </c>
      <c r="B147" s="0" t="n">
        <v>394</v>
      </c>
      <c r="C147" s="0" t="s">
        <v>1418</v>
      </c>
      <c r="D147" s="0" t="s">
        <v>1429</v>
      </c>
      <c r="E147" s="54" t="n">
        <v>46189</v>
      </c>
      <c r="F147" s="54" t="n">
        <v>46136</v>
      </c>
      <c r="G147" s="0" t="s">
        <v>1430</v>
      </c>
      <c r="H147" s="0" t="n">
        <v>1261713</v>
      </c>
      <c r="I147" s="0" t="n">
        <v>11</v>
      </c>
      <c r="J147" s="0" t="s">
        <v>1357</v>
      </c>
      <c r="K147" s="55" t="n">
        <v>390</v>
      </c>
    </row>
    <row r="148" customFormat="false" ht="15" hidden="false" customHeight="false" outlineLevel="0" collapsed="false">
      <c r="A148" s="0" t="n">
        <v>2</v>
      </c>
      <c r="B148" s="0" t="n">
        <v>3183807</v>
      </c>
      <c r="C148" s="0" t="s">
        <v>1363</v>
      </c>
      <c r="D148" s="0" t="s">
        <v>1407</v>
      </c>
      <c r="E148" s="54" t="n">
        <v>46189</v>
      </c>
      <c r="F148" s="54" t="n">
        <v>46142</v>
      </c>
      <c r="G148" s="0" t="s">
        <v>85</v>
      </c>
      <c r="H148" s="0" t="n">
        <v>1260789</v>
      </c>
      <c r="I148" s="0" t="n">
        <v>11</v>
      </c>
      <c r="J148" s="0" t="s">
        <v>1357</v>
      </c>
      <c r="K148" s="55" t="n">
        <v>14.13</v>
      </c>
    </row>
    <row r="149" customFormat="false" ht="15" hidden="false" customHeight="false" outlineLevel="0" collapsed="false">
      <c r="A149" s="0" t="n">
        <v>2</v>
      </c>
      <c r="B149" s="0" t="n">
        <v>3202460</v>
      </c>
      <c r="C149" s="0" t="s">
        <v>1363</v>
      </c>
      <c r="D149" s="0" t="s">
        <v>1407</v>
      </c>
      <c r="E149" s="54" t="n">
        <v>46189</v>
      </c>
      <c r="F149" s="54" t="n">
        <v>46185</v>
      </c>
      <c r="G149" s="0" t="s">
        <v>85</v>
      </c>
      <c r="H149" s="0" t="n">
        <v>1260856</v>
      </c>
      <c r="I149" s="0" t="n">
        <v>11</v>
      </c>
      <c r="J149" s="0" t="s">
        <v>1357</v>
      </c>
      <c r="K149" s="55" t="n">
        <v>1923.44</v>
      </c>
    </row>
    <row r="150" customFormat="false" ht="15" hidden="false" customHeight="false" outlineLevel="0" collapsed="false">
      <c r="A150" s="0" t="n">
        <v>2</v>
      </c>
      <c r="B150" s="0" t="n">
        <v>20499</v>
      </c>
      <c r="C150" s="0" t="s">
        <v>1404</v>
      </c>
      <c r="D150" s="0" t="s">
        <v>1431</v>
      </c>
      <c r="E150" s="54" t="n">
        <v>46189</v>
      </c>
      <c r="F150" s="54" t="n">
        <v>46186</v>
      </c>
      <c r="G150" s="0" t="s">
        <v>554</v>
      </c>
      <c r="H150" s="0" t="n">
        <v>1261052</v>
      </c>
      <c r="I150" s="0" t="n">
        <v>1</v>
      </c>
      <c r="J150" s="0" t="s">
        <v>1357</v>
      </c>
      <c r="K150" s="55" t="n">
        <v>6357.12</v>
      </c>
    </row>
    <row r="151" customFormat="false" ht="15" hidden="false" customHeight="false" outlineLevel="0" collapsed="false">
      <c r="A151" s="0" t="n">
        <v>2</v>
      </c>
      <c r="B151" s="0" t="n">
        <v>102727</v>
      </c>
      <c r="C151" s="0" t="s">
        <v>1404</v>
      </c>
      <c r="D151" s="0" t="s">
        <v>1432</v>
      </c>
      <c r="E151" s="54" t="n">
        <v>46189</v>
      </c>
      <c r="F151" s="54" t="n">
        <v>46188</v>
      </c>
      <c r="G151" s="0" t="s">
        <v>569</v>
      </c>
      <c r="H151" s="0" t="n">
        <v>1260463</v>
      </c>
      <c r="I151" s="0" t="n">
        <v>1</v>
      </c>
      <c r="J151" s="0" t="s">
        <v>1357</v>
      </c>
      <c r="K151" s="55" t="n">
        <v>720.48</v>
      </c>
    </row>
    <row r="152" customFormat="false" ht="15" hidden="false" customHeight="false" outlineLevel="0" collapsed="false">
      <c r="A152" s="0" t="n">
        <v>2</v>
      </c>
      <c r="B152" s="0" t="n">
        <v>2499</v>
      </c>
      <c r="C152" s="0" t="s">
        <v>1363</v>
      </c>
      <c r="D152" s="0" t="s">
        <v>1373</v>
      </c>
      <c r="E152" s="54" t="n">
        <v>46189</v>
      </c>
      <c r="F152" s="54" t="n">
        <v>46189</v>
      </c>
      <c r="G152" s="0" t="s">
        <v>132</v>
      </c>
      <c r="H152" s="0" t="n">
        <v>1261940</v>
      </c>
      <c r="I152" s="0" t="n">
        <v>6</v>
      </c>
      <c r="J152" s="0" t="s">
        <v>1357</v>
      </c>
      <c r="K152" s="55" t="n">
        <v>1513.16</v>
      </c>
    </row>
    <row r="153" customFormat="false" ht="15" hidden="false" customHeight="false" outlineLevel="0" collapsed="false">
      <c r="A153" s="0" t="n">
        <v>2</v>
      </c>
      <c r="B153" s="0" t="n">
        <v>1662026</v>
      </c>
      <c r="C153" s="0" t="s">
        <v>1363</v>
      </c>
      <c r="D153" s="0" t="s">
        <v>1373</v>
      </c>
      <c r="E153" s="54" t="n">
        <v>46189</v>
      </c>
      <c r="F153" s="54" t="n">
        <v>46189</v>
      </c>
      <c r="G153" s="0" t="s">
        <v>132</v>
      </c>
      <c r="H153" s="0" t="n">
        <v>1261929</v>
      </c>
      <c r="I153" s="0" t="n">
        <v>2</v>
      </c>
      <c r="J153" s="0" t="s">
        <v>1357</v>
      </c>
      <c r="K153" s="55" t="n">
        <v>1513.16</v>
      </c>
    </row>
    <row r="154" customFormat="false" ht="15" hidden="false" customHeight="false" outlineLevel="0" collapsed="false">
      <c r="A154" s="0" t="n">
        <v>2</v>
      </c>
      <c r="B154" s="0" t="n">
        <v>3777</v>
      </c>
      <c r="C154" s="0" t="s">
        <v>1363</v>
      </c>
      <c r="D154" s="0" t="s">
        <v>1374</v>
      </c>
      <c r="E154" s="54" t="n">
        <v>46189</v>
      </c>
      <c r="F154" s="54" t="n">
        <v>46188</v>
      </c>
      <c r="G154" s="0" t="s">
        <v>92</v>
      </c>
      <c r="H154" s="0" t="n">
        <v>1261465</v>
      </c>
      <c r="I154" s="0" t="n">
        <v>1</v>
      </c>
      <c r="J154" s="0" t="s">
        <v>1357</v>
      </c>
      <c r="K154" s="55" t="n">
        <v>185.2</v>
      </c>
    </row>
    <row r="155" customFormat="false" ht="15" hidden="false" customHeight="false" outlineLevel="0" collapsed="false">
      <c r="A155" s="0" t="n">
        <v>2</v>
      </c>
      <c r="B155" s="0" t="n">
        <v>18964</v>
      </c>
      <c r="C155" s="0" t="s">
        <v>1363</v>
      </c>
      <c r="D155" s="0" t="s">
        <v>1433</v>
      </c>
      <c r="E155" s="54" t="n">
        <v>46189</v>
      </c>
      <c r="F155" s="54" t="n">
        <v>46139</v>
      </c>
      <c r="G155" s="0" t="s">
        <v>1434</v>
      </c>
      <c r="H155" s="0" t="n">
        <v>1261588</v>
      </c>
      <c r="I155" s="0" t="n">
        <v>39</v>
      </c>
      <c r="J155" s="0" t="s">
        <v>1357</v>
      </c>
      <c r="K155" s="55" t="n">
        <v>545</v>
      </c>
    </row>
    <row r="156" customFormat="false" ht="15" hidden="false" customHeight="false" outlineLevel="0" collapsed="false">
      <c r="A156" s="0" t="n">
        <v>2</v>
      </c>
      <c r="B156" s="0" t="n">
        <v>35695</v>
      </c>
      <c r="C156" s="0" t="s">
        <v>1363</v>
      </c>
      <c r="D156" s="0" t="s">
        <v>1435</v>
      </c>
      <c r="E156" s="54" t="n">
        <v>46189</v>
      </c>
      <c r="F156" s="54" t="n">
        <v>46142</v>
      </c>
      <c r="G156" s="0" t="s">
        <v>1436</v>
      </c>
      <c r="H156" s="0" t="n">
        <v>1261842</v>
      </c>
      <c r="I156" s="0" t="n">
        <v>39</v>
      </c>
      <c r="J156" s="0" t="s">
        <v>1357</v>
      </c>
      <c r="K156" s="55" t="n">
        <v>13.1</v>
      </c>
    </row>
    <row r="157" customFormat="false" ht="15" hidden="false" customHeight="false" outlineLevel="0" collapsed="false">
      <c r="A157" s="0" t="n">
        <v>2</v>
      </c>
      <c r="B157" s="0" t="n">
        <v>658429</v>
      </c>
      <c r="C157" s="0" t="s">
        <v>1363</v>
      </c>
      <c r="D157" s="0" t="s">
        <v>1437</v>
      </c>
      <c r="E157" s="54" t="n">
        <v>46189</v>
      </c>
      <c r="F157" s="54" t="n">
        <v>46184</v>
      </c>
      <c r="G157" s="0" t="s">
        <v>300</v>
      </c>
      <c r="H157" s="0" t="n">
        <v>1261007</v>
      </c>
      <c r="I157" s="0" t="n">
        <v>1</v>
      </c>
      <c r="J157" s="0" t="s">
        <v>1357</v>
      </c>
      <c r="K157" s="55" t="n">
        <v>2201.6</v>
      </c>
    </row>
    <row r="158" customFormat="false" ht="15" hidden="false" customHeight="false" outlineLevel="0" collapsed="false">
      <c r="A158" s="0" t="n">
        <v>2</v>
      </c>
      <c r="B158" s="0" t="n">
        <v>260896</v>
      </c>
      <c r="C158" s="0" t="s">
        <v>1363</v>
      </c>
      <c r="D158" s="0" t="s">
        <v>1438</v>
      </c>
      <c r="E158" s="54" t="n">
        <v>46189</v>
      </c>
      <c r="F158" s="54" t="n">
        <v>46183</v>
      </c>
      <c r="G158" s="0" t="s">
        <v>245</v>
      </c>
      <c r="H158" s="0" t="n">
        <v>1260710</v>
      </c>
      <c r="I158" s="0" t="n">
        <v>1</v>
      </c>
      <c r="J158" s="0" t="s">
        <v>1357</v>
      </c>
      <c r="K158" s="55" t="n">
        <v>482.36</v>
      </c>
    </row>
    <row r="159" customFormat="false" ht="15" hidden="false" customHeight="false" outlineLevel="0" collapsed="false">
      <c r="A159" s="0" t="n">
        <v>2</v>
      </c>
      <c r="B159" s="0" t="n">
        <v>304</v>
      </c>
      <c r="C159" s="0" t="s">
        <v>1363</v>
      </c>
      <c r="D159" s="0" t="s">
        <v>1369</v>
      </c>
      <c r="E159" s="54" t="n">
        <v>46190</v>
      </c>
      <c r="F159" s="54" t="n">
        <v>46190</v>
      </c>
      <c r="G159" s="0" t="s">
        <v>220</v>
      </c>
      <c r="H159" s="0" t="n">
        <v>1266335</v>
      </c>
      <c r="I159" s="0" t="n">
        <v>1</v>
      </c>
      <c r="J159" s="0" t="s">
        <v>1357</v>
      </c>
      <c r="K159" s="55" t="n">
        <v>925</v>
      </c>
    </row>
    <row r="160" customFormat="false" ht="15" hidden="false" customHeight="false" outlineLevel="0" collapsed="false">
      <c r="A160" s="0" t="n">
        <v>2</v>
      </c>
      <c r="B160" s="0" t="n">
        <v>518753</v>
      </c>
      <c r="C160" s="0" t="s">
        <v>1363</v>
      </c>
      <c r="D160" s="0" t="s">
        <v>1375</v>
      </c>
      <c r="E160" s="54" t="n">
        <v>46190</v>
      </c>
      <c r="F160" s="54" t="n">
        <v>46189</v>
      </c>
      <c r="G160" s="0" t="s">
        <v>117</v>
      </c>
      <c r="H160" s="0" t="n">
        <v>1264969</v>
      </c>
      <c r="I160" s="0" t="n">
        <v>1</v>
      </c>
      <c r="J160" s="0" t="s">
        <v>1357</v>
      </c>
      <c r="K160" s="55" t="n">
        <v>684</v>
      </c>
    </row>
    <row r="161" customFormat="false" ht="15" hidden="false" customHeight="false" outlineLevel="0" collapsed="false">
      <c r="A161" s="0" t="n">
        <v>2</v>
      </c>
      <c r="B161" s="0" t="n">
        <v>860219</v>
      </c>
      <c r="C161" s="0" t="s">
        <v>1422</v>
      </c>
      <c r="D161" s="0" t="s">
        <v>1423</v>
      </c>
      <c r="E161" s="54" t="n">
        <v>46190</v>
      </c>
      <c r="F161" s="54" t="n">
        <v>46189</v>
      </c>
      <c r="G161" s="0" t="s">
        <v>212</v>
      </c>
      <c r="H161" s="0" t="n">
        <v>1265880</v>
      </c>
      <c r="I161" s="0" t="n">
        <v>1</v>
      </c>
      <c r="J161" s="0" t="s">
        <v>1357</v>
      </c>
      <c r="K161" s="55" t="n">
        <v>614.97</v>
      </c>
    </row>
    <row r="162" customFormat="false" ht="15" hidden="false" customHeight="false" outlineLevel="0" collapsed="false">
      <c r="A162" s="0" t="n">
        <v>2</v>
      </c>
      <c r="B162" s="0" t="n">
        <v>1633308</v>
      </c>
      <c r="C162" s="0" t="s">
        <v>1361</v>
      </c>
      <c r="D162" s="0" t="s">
        <v>1362</v>
      </c>
      <c r="E162" s="54" t="n">
        <v>46190</v>
      </c>
      <c r="F162" s="54" t="n">
        <v>46190</v>
      </c>
      <c r="G162" s="0" t="s">
        <v>369</v>
      </c>
      <c r="H162" s="0" t="n">
        <v>1265907</v>
      </c>
      <c r="I162" s="0" t="n">
        <v>1</v>
      </c>
      <c r="J162" s="0" t="s">
        <v>1357</v>
      </c>
      <c r="K162" s="55" t="n">
        <v>190.5</v>
      </c>
    </row>
    <row r="163" customFormat="false" ht="15" hidden="false" customHeight="false" outlineLevel="0" collapsed="false">
      <c r="A163" s="0" t="n">
        <v>2</v>
      </c>
      <c r="B163" s="0" t="n">
        <v>30415</v>
      </c>
      <c r="C163" s="0" t="s">
        <v>1394</v>
      </c>
      <c r="D163" s="0" t="s">
        <v>1395</v>
      </c>
      <c r="E163" s="54" t="n">
        <v>46190</v>
      </c>
      <c r="F163" s="54" t="n">
        <v>46190</v>
      </c>
      <c r="G163" s="0" t="s">
        <v>250</v>
      </c>
      <c r="H163" s="0" t="n">
        <v>1265916</v>
      </c>
      <c r="I163" s="0" t="n">
        <v>11</v>
      </c>
      <c r="J163" s="0" t="s">
        <v>1357</v>
      </c>
      <c r="K163" s="55" t="n">
        <v>1103.76</v>
      </c>
    </row>
    <row r="164" customFormat="false" ht="15" hidden="false" customHeight="false" outlineLevel="0" collapsed="false">
      <c r="A164" s="0" t="n">
        <v>2</v>
      </c>
      <c r="B164" s="0" t="n">
        <v>132836</v>
      </c>
      <c r="C164" s="0" t="s">
        <v>1363</v>
      </c>
      <c r="D164" s="0" t="s">
        <v>1439</v>
      </c>
      <c r="E164" s="54" t="n">
        <v>46190</v>
      </c>
      <c r="F164" s="54" t="n">
        <v>46189</v>
      </c>
      <c r="G164" s="0" t="s">
        <v>492</v>
      </c>
      <c r="H164" s="0" t="n">
        <v>1264865</v>
      </c>
      <c r="I164" s="0" t="n">
        <v>1</v>
      </c>
      <c r="J164" s="0" t="s">
        <v>1357</v>
      </c>
      <c r="K164" s="55" t="n">
        <v>194.4</v>
      </c>
    </row>
    <row r="165" customFormat="false" ht="15" hidden="false" customHeight="false" outlineLevel="0" collapsed="false">
      <c r="A165" s="0" t="n">
        <v>2</v>
      </c>
      <c r="B165" s="0" t="n">
        <v>27994</v>
      </c>
      <c r="C165" s="0" t="s">
        <v>1440</v>
      </c>
      <c r="D165" s="0" t="s">
        <v>1441</v>
      </c>
      <c r="E165" s="54" t="n">
        <v>46190</v>
      </c>
      <c r="F165" s="54" t="n">
        <v>46189</v>
      </c>
      <c r="G165" s="0" t="s">
        <v>123</v>
      </c>
      <c r="H165" s="0" t="n">
        <v>1265426</v>
      </c>
      <c r="I165" s="0" t="n">
        <v>1</v>
      </c>
      <c r="J165" s="0" t="s">
        <v>1357</v>
      </c>
      <c r="K165" s="55" t="n">
        <v>212.4</v>
      </c>
    </row>
    <row r="166" customFormat="false" ht="15" hidden="false" customHeight="false" outlineLevel="0" collapsed="false">
      <c r="A166" s="0" t="n">
        <v>2</v>
      </c>
      <c r="B166" s="0" t="n">
        <v>2500</v>
      </c>
      <c r="C166" s="0" t="s">
        <v>1363</v>
      </c>
      <c r="D166" s="0" t="s">
        <v>1373</v>
      </c>
      <c r="E166" s="54" t="n">
        <v>46190</v>
      </c>
      <c r="F166" s="54" t="n">
        <v>46190</v>
      </c>
      <c r="G166" s="0" t="s">
        <v>132</v>
      </c>
      <c r="H166" s="0" t="n">
        <v>1266172</v>
      </c>
      <c r="I166" s="0" t="n">
        <v>6</v>
      </c>
      <c r="J166" s="0" t="s">
        <v>1357</v>
      </c>
      <c r="K166" s="55" t="n">
        <v>210</v>
      </c>
    </row>
    <row r="167" customFormat="false" ht="15" hidden="false" customHeight="false" outlineLevel="0" collapsed="false">
      <c r="A167" s="0" t="n">
        <v>2</v>
      </c>
      <c r="B167" s="0" t="n">
        <v>17626</v>
      </c>
      <c r="C167" s="0" t="s">
        <v>1363</v>
      </c>
      <c r="D167" s="0" t="s">
        <v>1373</v>
      </c>
      <c r="E167" s="54" t="n">
        <v>46190</v>
      </c>
      <c r="F167" s="54" t="n">
        <v>46190</v>
      </c>
      <c r="G167" s="0" t="s">
        <v>132</v>
      </c>
      <c r="H167" s="0" t="n">
        <v>1266169</v>
      </c>
      <c r="I167" s="0" t="n">
        <v>2</v>
      </c>
      <c r="J167" s="0" t="s">
        <v>1357</v>
      </c>
      <c r="K167" s="55" t="n">
        <v>210</v>
      </c>
    </row>
    <row r="168" customFormat="false" ht="15" hidden="false" customHeight="false" outlineLevel="0" collapsed="false">
      <c r="A168" s="0" t="n">
        <v>2</v>
      </c>
      <c r="B168" s="0" t="n">
        <v>416678</v>
      </c>
      <c r="C168" s="0" t="s">
        <v>1418</v>
      </c>
      <c r="D168" s="0" t="s">
        <v>1442</v>
      </c>
      <c r="E168" s="54" t="n">
        <v>46190</v>
      </c>
      <c r="F168" s="54" t="n">
        <v>46186</v>
      </c>
      <c r="G168" s="0" t="s">
        <v>204</v>
      </c>
      <c r="H168" s="0" t="n">
        <v>1265709</v>
      </c>
      <c r="I168" s="0" t="n">
        <v>1</v>
      </c>
      <c r="J168" s="0" t="s">
        <v>1357</v>
      </c>
      <c r="K168" s="55" t="n">
        <v>184.73</v>
      </c>
    </row>
    <row r="169" customFormat="false" ht="15" hidden="false" customHeight="false" outlineLevel="0" collapsed="false">
      <c r="A169" s="0" t="n">
        <v>2</v>
      </c>
      <c r="B169" s="0" t="n">
        <v>1773</v>
      </c>
      <c r="C169" s="0" t="s">
        <v>1418</v>
      </c>
      <c r="D169" s="0" t="s">
        <v>1419</v>
      </c>
      <c r="E169" s="54" t="n">
        <v>46190</v>
      </c>
      <c r="F169" s="54" t="n">
        <v>46189</v>
      </c>
      <c r="G169" s="0" t="s">
        <v>512</v>
      </c>
      <c r="H169" s="0" t="n">
        <v>1264875</v>
      </c>
      <c r="I169" s="0" t="n">
        <v>1</v>
      </c>
      <c r="J169" s="0" t="s">
        <v>1357</v>
      </c>
      <c r="K169" s="55" t="n">
        <v>1834</v>
      </c>
    </row>
    <row r="170" customFormat="false" ht="15" hidden="false" customHeight="false" outlineLevel="0" collapsed="false">
      <c r="A170" s="0" t="n">
        <v>2</v>
      </c>
      <c r="B170" s="0" t="n">
        <v>669</v>
      </c>
      <c r="C170" s="0" t="s">
        <v>1355</v>
      </c>
      <c r="D170" s="0" t="s">
        <v>1365</v>
      </c>
      <c r="E170" s="54" t="n">
        <v>46190</v>
      </c>
      <c r="F170" s="54" t="n">
        <v>46189</v>
      </c>
      <c r="G170" s="0" t="s">
        <v>194</v>
      </c>
      <c r="H170" s="0" t="n">
        <v>1264871</v>
      </c>
      <c r="I170" s="0" t="n">
        <v>1</v>
      </c>
      <c r="J170" s="0" t="s">
        <v>1357</v>
      </c>
      <c r="K170" s="55" t="n">
        <v>304.75</v>
      </c>
    </row>
    <row r="171" customFormat="false" ht="15" hidden="false" customHeight="false" outlineLevel="0" collapsed="false">
      <c r="A171" s="0" t="n">
        <v>2</v>
      </c>
      <c r="B171" s="0" t="n">
        <v>3415</v>
      </c>
      <c r="C171" s="0" t="s">
        <v>1363</v>
      </c>
      <c r="D171" s="0" t="s">
        <v>1366</v>
      </c>
      <c r="E171" s="54" t="n">
        <v>46190</v>
      </c>
      <c r="F171" s="54" t="n">
        <v>46190</v>
      </c>
      <c r="G171" s="0" t="s">
        <v>188</v>
      </c>
      <c r="H171" s="0" t="n">
        <v>1265699</v>
      </c>
      <c r="I171" s="0" t="n">
        <v>1</v>
      </c>
      <c r="J171" s="0" t="s">
        <v>1357</v>
      </c>
      <c r="K171" s="55" t="n">
        <v>274.85</v>
      </c>
    </row>
    <row r="172" customFormat="false" ht="15" hidden="false" customHeight="false" outlineLevel="0" collapsed="false">
      <c r="A172" s="0" t="n">
        <v>2</v>
      </c>
      <c r="B172" s="0" t="n">
        <v>346452</v>
      </c>
      <c r="C172" s="0" t="s">
        <v>1355</v>
      </c>
      <c r="D172" s="0" t="s">
        <v>1443</v>
      </c>
      <c r="E172" s="54" t="n">
        <v>46190</v>
      </c>
      <c r="F172" s="54" t="n">
        <v>46183</v>
      </c>
      <c r="G172" s="0" t="s">
        <v>154</v>
      </c>
      <c r="H172" s="0" t="n">
        <v>1266289</v>
      </c>
      <c r="I172" s="0" t="n">
        <v>1</v>
      </c>
      <c r="J172" s="0" t="s">
        <v>1357</v>
      </c>
      <c r="K172" s="55" t="n">
        <v>2631.81</v>
      </c>
    </row>
    <row r="173" customFormat="false" ht="15" hidden="false" customHeight="false" outlineLevel="0" collapsed="false">
      <c r="A173" s="0" t="n">
        <v>2</v>
      </c>
      <c r="B173" s="0" t="n">
        <v>41243</v>
      </c>
      <c r="C173" s="0" t="s">
        <v>1394</v>
      </c>
      <c r="D173" s="0" t="s">
        <v>1444</v>
      </c>
      <c r="E173" s="54" t="n">
        <v>46190</v>
      </c>
      <c r="F173" s="54" t="n">
        <v>46189</v>
      </c>
      <c r="G173" s="0" t="s">
        <v>728</v>
      </c>
      <c r="H173" s="0" t="n">
        <v>1265758</v>
      </c>
      <c r="I173" s="0" t="n">
        <v>1</v>
      </c>
      <c r="J173" s="0" t="s">
        <v>1357</v>
      </c>
      <c r="K173" s="55" t="n">
        <v>1222.04</v>
      </c>
    </row>
    <row r="174" customFormat="false" ht="15" hidden="false" customHeight="false" outlineLevel="0" collapsed="false">
      <c r="A174" s="0" t="n">
        <v>2</v>
      </c>
      <c r="B174" s="0" t="n">
        <v>184</v>
      </c>
      <c r="C174" s="0" t="s">
        <v>1363</v>
      </c>
      <c r="D174" s="0" t="s">
        <v>1445</v>
      </c>
      <c r="E174" s="54" t="n">
        <v>46191</v>
      </c>
      <c r="F174" s="54" t="n">
        <v>46190</v>
      </c>
      <c r="G174" s="0" t="s">
        <v>602</v>
      </c>
      <c r="H174" s="0" t="n">
        <v>1268798</v>
      </c>
      <c r="I174" s="0" t="n">
        <v>39</v>
      </c>
      <c r="J174" s="0" t="s">
        <v>1357</v>
      </c>
      <c r="K174" s="55" t="n">
        <v>1840</v>
      </c>
    </row>
    <row r="175" customFormat="false" ht="15" hidden="false" customHeight="false" outlineLevel="0" collapsed="false">
      <c r="A175" s="0" t="n">
        <v>2</v>
      </c>
      <c r="B175" s="0" t="n">
        <v>1165748</v>
      </c>
      <c r="C175" s="0" t="s">
        <v>1358</v>
      </c>
      <c r="D175" s="0" t="s">
        <v>1359</v>
      </c>
      <c r="E175" s="54" t="n">
        <v>46191</v>
      </c>
      <c r="F175" s="54" t="n">
        <v>46189</v>
      </c>
      <c r="G175" s="0" t="s">
        <v>119</v>
      </c>
      <c r="H175" s="0" t="n">
        <v>1268774</v>
      </c>
      <c r="I175" s="0" t="n">
        <v>11</v>
      </c>
      <c r="J175" s="0" t="s">
        <v>1357</v>
      </c>
      <c r="K175" s="55" t="n">
        <v>101.71</v>
      </c>
    </row>
    <row r="176" customFormat="false" ht="15" hidden="false" customHeight="false" outlineLevel="0" collapsed="false">
      <c r="A176" s="0" t="n">
        <v>2</v>
      </c>
      <c r="B176" s="0" t="n">
        <v>1887053</v>
      </c>
      <c r="C176" s="0" t="s">
        <v>1360</v>
      </c>
      <c r="D176" s="0" t="s">
        <v>1359</v>
      </c>
      <c r="E176" s="54" t="n">
        <v>46191</v>
      </c>
      <c r="F176" s="54" t="n">
        <v>46189</v>
      </c>
      <c r="G176" s="0" t="s">
        <v>119</v>
      </c>
      <c r="H176" s="0" t="n">
        <v>1268754</v>
      </c>
      <c r="I176" s="0" t="n">
        <v>1</v>
      </c>
      <c r="J176" s="0" t="s">
        <v>1357</v>
      </c>
      <c r="K176" s="55" t="n">
        <v>1579.97</v>
      </c>
    </row>
    <row r="177" customFormat="false" ht="15" hidden="false" customHeight="false" outlineLevel="0" collapsed="false">
      <c r="A177" s="0" t="n">
        <v>2</v>
      </c>
      <c r="B177" s="0" t="n">
        <v>252</v>
      </c>
      <c r="C177" s="0" t="s">
        <v>1363</v>
      </c>
      <c r="D177" s="0" t="s">
        <v>1446</v>
      </c>
      <c r="E177" s="54" t="n">
        <v>46191</v>
      </c>
      <c r="F177" s="54" t="n">
        <v>46190</v>
      </c>
      <c r="G177" s="0" t="s">
        <v>716</v>
      </c>
      <c r="H177" s="0" t="n">
        <v>1269959</v>
      </c>
      <c r="I177" s="0" t="n">
        <v>1</v>
      </c>
      <c r="J177" s="0" t="s">
        <v>1357</v>
      </c>
      <c r="K177" s="55" t="n">
        <v>324.43</v>
      </c>
    </row>
    <row r="178" customFormat="false" ht="15" hidden="false" customHeight="false" outlineLevel="0" collapsed="false">
      <c r="A178" s="0" t="n">
        <v>2</v>
      </c>
      <c r="B178" s="0" t="n">
        <v>674937</v>
      </c>
      <c r="C178" s="0" t="s">
        <v>1363</v>
      </c>
      <c r="D178" s="0" t="s">
        <v>1393</v>
      </c>
      <c r="E178" s="54" t="n">
        <v>46191</v>
      </c>
      <c r="F178" s="54" t="n">
        <v>46190</v>
      </c>
      <c r="G178" s="0" t="s">
        <v>199</v>
      </c>
      <c r="H178" s="0" t="n">
        <v>1269305</v>
      </c>
      <c r="I178" s="0" t="n">
        <v>1</v>
      </c>
      <c r="J178" s="0" t="s">
        <v>1357</v>
      </c>
      <c r="K178" s="55" t="n">
        <v>3166.01</v>
      </c>
    </row>
    <row r="179" customFormat="false" ht="15" hidden="false" customHeight="false" outlineLevel="0" collapsed="false">
      <c r="A179" s="0" t="n">
        <v>2</v>
      </c>
      <c r="B179" s="0" t="n">
        <v>674938</v>
      </c>
      <c r="C179" s="0" t="s">
        <v>1363</v>
      </c>
      <c r="D179" s="0" t="s">
        <v>1393</v>
      </c>
      <c r="E179" s="54" t="n">
        <v>46191</v>
      </c>
      <c r="F179" s="54" t="n">
        <v>46190</v>
      </c>
      <c r="G179" s="0" t="s">
        <v>199</v>
      </c>
      <c r="H179" s="0" t="n">
        <v>1269265</v>
      </c>
      <c r="I179" s="0" t="n">
        <v>1</v>
      </c>
      <c r="J179" s="0" t="s">
        <v>1357</v>
      </c>
      <c r="K179" s="55" t="n">
        <v>658.25</v>
      </c>
    </row>
    <row r="180" customFormat="false" ht="15" hidden="false" customHeight="false" outlineLevel="0" collapsed="false">
      <c r="A180" s="0" t="n">
        <v>2</v>
      </c>
      <c r="B180" s="0" t="n">
        <v>326863</v>
      </c>
      <c r="C180" s="0" t="s">
        <v>1363</v>
      </c>
      <c r="D180" s="0" t="s">
        <v>1447</v>
      </c>
      <c r="E180" s="54" t="n">
        <v>46191</v>
      </c>
      <c r="F180" s="54" t="n">
        <v>46190</v>
      </c>
      <c r="G180" s="0" t="s">
        <v>261</v>
      </c>
      <c r="H180" s="0" t="n">
        <v>1268848</v>
      </c>
      <c r="I180" s="0" t="n">
        <v>1</v>
      </c>
      <c r="J180" s="0" t="s">
        <v>1357</v>
      </c>
      <c r="K180" s="55" t="n">
        <v>992.4</v>
      </c>
    </row>
    <row r="181" customFormat="false" ht="15" hidden="false" customHeight="false" outlineLevel="0" collapsed="false">
      <c r="A181" s="0" t="n">
        <v>2</v>
      </c>
      <c r="B181" s="0" t="n">
        <v>2495</v>
      </c>
      <c r="C181" s="0" t="s">
        <v>1363</v>
      </c>
      <c r="D181" s="0" t="s">
        <v>1448</v>
      </c>
      <c r="E181" s="54" t="n">
        <v>46191</v>
      </c>
      <c r="F181" s="54" t="n">
        <v>46191</v>
      </c>
      <c r="G181" s="0" t="s">
        <v>298</v>
      </c>
      <c r="H181" s="0" t="n">
        <v>1269763</v>
      </c>
      <c r="I181" s="0" t="n">
        <v>1</v>
      </c>
      <c r="J181" s="0" t="s">
        <v>1357</v>
      </c>
      <c r="K181" s="55" t="n">
        <v>660</v>
      </c>
    </row>
    <row r="182" customFormat="false" ht="15" hidden="false" customHeight="false" outlineLevel="0" collapsed="false">
      <c r="A182" s="0" t="n">
        <v>2</v>
      </c>
      <c r="B182" s="0" t="n">
        <v>20440</v>
      </c>
      <c r="C182" s="0" t="s">
        <v>1404</v>
      </c>
      <c r="D182" s="0" t="s">
        <v>1431</v>
      </c>
      <c r="E182" s="54" t="n">
        <v>46191</v>
      </c>
      <c r="F182" s="54" t="n">
        <v>46185</v>
      </c>
      <c r="G182" s="0" t="s">
        <v>554</v>
      </c>
      <c r="H182" s="0" t="n">
        <v>1268715</v>
      </c>
      <c r="I182" s="0" t="n">
        <v>1</v>
      </c>
      <c r="J182" s="0" t="s">
        <v>1357</v>
      </c>
      <c r="K182" s="55" t="n">
        <v>128.85</v>
      </c>
    </row>
    <row r="183" customFormat="false" ht="15" hidden="false" customHeight="false" outlineLevel="0" collapsed="false">
      <c r="A183" s="0" t="n">
        <v>2</v>
      </c>
      <c r="B183" s="0" t="n">
        <v>387833</v>
      </c>
      <c r="C183" s="0" t="s">
        <v>1363</v>
      </c>
      <c r="D183" s="0" t="s">
        <v>1384</v>
      </c>
      <c r="E183" s="54" t="n">
        <v>46191</v>
      </c>
      <c r="F183" s="54" t="n">
        <v>46190</v>
      </c>
      <c r="G183" s="0" t="s">
        <v>164</v>
      </c>
      <c r="H183" s="0" t="n">
        <v>1269162</v>
      </c>
      <c r="I183" s="0" t="n">
        <v>1</v>
      </c>
      <c r="J183" s="0" t="s">
        <v>1357</v>
      </c>
      <c r="K183" s="55" t="n">
        <v>7993.6</v>
      </c>
    </row>
    <row r="184" customFormat="false" ht="15" hidden="false" customHeight="false" outlineLevel="0" collapsed="false">
      <c r="A184" s="0" t="n">
        <v>2</v>
      </c>
      <c r="B184" s="0" t="n">
        <v>31025</v>
      </c>
      <c r="C184" s="0" t="s">
        <v>1363</v>
      </c>
      <c r="D184" s="0" t="s">
        <v>1377</v>
      </c>
      <c r="E184" s="54" t="n">
        <v>46191</v>
      </c>
      <c r="F184" s="54" t="n">
        <v>46191</v>
      </c>
      <c r="G184" s="0" t="s">
        <v>126</v>
      </c>
      <c r="H184" s="0" t="n">
        <v>1269843</v>
      </c>
      <c r="I184" s="0" t="n">
        <v>1</v>
      </c>
      <c r="J184" s="0" t="s">
        <v>1357</v>
      </c>
      <c r="K184" s="55" t="n">
        <v>199</v>
      </c>
    </row>
    <row r="185" customFormat="false" ht="15" hidden="false" customHeight="false" outlineLevel="0" collapsed="false">
      <c r="A185" s="0" t="n">
        <v>2</v>
      </c>
      <c r="B185" s="0" t="n">
        <v>14505</v>
      </c>
      <c r="C185" s="0" t="s">
        <v>1363</v>
      </c>
      <c r="D185" s="0" t="s">
        <v>1364</v>
      </c>
      <c r="E185" s="54" t="n">
        <v>46191</v>
      </c>
      <c r="F185" s="54" t="n">
        <v>46191</v>
      </c>
      <c r="G185" s="0" t="s">
        <v>248</v>
      </c>
      <c r="H185" s="0" t="n">
        <v>1270055</v>
      </c>
      <c r="I185" s="0" t="n">
        <v>1</v>
      </c>
      <c r="J185" s="0" t="s">
        <v>1357</v>
      </c>
      <c r="K185" s="55" t="n">
        <v>5018.15</v>
      </c>
    </row>
    <row r="186" customFormat="false" ht="15" hidden="false" customHeight="false" outlineLevel="0" collapsed="false">
      <c r="A186" s="0" t="n">
        <v>2</v>
      </c>
      <c r="B186" s="0" t="n">
        <v>729265</v>
      </c>
      <c r="C186" s="0" t="s">
        <v>1427</v>
      </c>
      <c r="D186" s="0" t="s">
        <v>1449</v>
      </c>
      <c r="E186" s="54" t="n">
        <v>46191</v>
      </c>
      <c r="F186" s="54" t="n">
        <v>46189</v>
      </c>
      <c r="G186" s="0" t="s">
        <v>123</v>
      </c>
      <c r="H186" s="0" t="n">
        <v>1269061</v>
      </c>
      <c r="I186" s="0" t="n">
        <v>1</v>
      </c>
      <c r="J186" s="0" t="s">
        <v>1357</v>
      </c>
      <c r="K186" s="55" t="n">
        <v>980.5</v>
      </c>
    </row>
    <row r="187" customFormat="false" ht="15" hidden="false" customHeight="false" outlineLevel="0" collapsed="false">
      <c r="A187" s="0" t="n">
        <v>2</v>
      </c>
      <c r="B187" s="0" t="n">
        <v>729799</v>
      </c>
      <c r="C187" s="0" t="s">
        <v>1427</v>
      </c>
      <c r="D187" s="0" t="s">
        <v>1449</v>
      </c>
      <c r="E187" s="54" t="n">
        <v>46191</v>
      </c>
      <c r="F187" s="54" t="n">
        <v>46190</v>
      </c>
      <c r="G187" s="0" t="s">
        <v>123</v>
      </c>
      <c r="H187" s="0" t="n">
        <v>1269854</v>
      </c>
      <c r="I187" s="0" t="n">
        <v>1</v>
      </c>
      <c r="J187" s="0" t="s">
        <v>1357</v>
      </c>
      <c r="K187" s="55" t="n">
        <v>381.51</v>
      </c>
    </row>
    <row r="188" customFormat="false" ht="15" hidden="false" customHeight="false" outlineLevel="0" collapsed="false">
      <c r="A188" s="0" t="n">
        <v>2</v>
      </c>
      <c r="B188" s="0" t="n">
        <v>10423</v>
      </c>
      <c r="C188" s="0" t="s">
        <v>1363</v>
      </c>
      <c r="D188" s="0" t="s">
        <v>1450</v>
      </c>
      <c r="E188" s="54" t="n">
        <v>46191</v>
      </c>
      <c r="F188" s="54" t="n">
        <v>46191</v>
      </c>
      <c r="G188" s="0" t="s">
        <v>633</v>
      </c>
      <c r="H188" s="0" t="n">
        <v>1270149</v>
      </c>
      <c r="I188" s="0" t="n">
        <v>1</v>
      </c>
      <c r="J188" s="0" t="s">
        <v>1357</v>
      </c>
      <c r="K188" s="55" t="n">
        <v>1104.75</v>
      </c>
    </row>
    <row r="189" customFormat="false" ht="15" hidden="false" customHeight="false" outlineLevel="0" collapsed="false">
      <c r="A189" s="0" t="n">
        <v>2</v>
      </c>
      <c r="B189" s="0" t="n">
        <v>315</v>
      </c>
      <c r="C189" s="0" t="s">
        <v>1363</v>
      </c>
      <c r="D189" s="0" t="s">
        <v>1390</v>
      </c>
      <c r="E189" s="54" t="n">
        <v>46195</v>
      </c>
      <c r="F189" s="54" t="n">
        <v>46192</v>
      </c>
      <c r="G189" s="0" t="s">
        <v>1391</v>
      </c>
      <c r="H189" s="0" t="n">
        <v>1289205</v>
      </c>
      <c r="I189" s="0" t="n">
        <v>1</v>
      </c>
      <c r="J189" s="0" t="s">
        <v>1357</v>
      </c>
      <c r="K189" s="55" t="n">
        <v>264</v>
      </c>
    </row>
    <row r="190" customFormat="false" ht="15" hidden="false" customHeight="false" outlineLevel="0" collapsed="false">
      <c r="A190" s="0" t="n">
        <v>2</v>
      </c>
      <c r="B190" s="0" t="n">
        <v>504</v>
      </c>
      <c r="C190" s="0" t="s">
        <v>1363</v>
      </c>
      <c r="D190" s="0" t="s">
        <v>1368</v>
      </c>
      <c r="E190" s="54" t="n">
        <v>46195</v>
      </c>
      <c r="F190" s="54" t="n">
        <v>46192</v>
      </c>
      <c r="G190" s="0" t="s">
        <v>130</v>
      </c>
      <c r="H190" s="0" t="n">
        <v>1289127</v>
      </c>
      <c r="I190" s="0" t="n">
        <v>1</v>
      </c>
      <c r="J190" s="0" t="s">
        <v>1357</v>
      </c>
      <c r="K190" s="55" t="n">
        <v>156</v>
      </c>
    </row>
    <row r="191" customFormat="false" ht="15" hidden="false" customHeight="false" outlineLevel="0" collapsed="false">
      <c r="A191" s="0" t="n">
        <v>2</v>
      </c>
      <c r="B191" s="0" t="n">
        <v>313</v>
      </c>
      <c r="C191" s="0" t="s">
        <v>1363</v>
      </c>
      <c r="D191" s="0" t="s">
        <v>1369</v>
      </c>
      <c r="E191" s="54" t="n">
        <v>46195</v>
      </c>
      <c r="F191" s="54" t="n">
        <v>46193</v>
      </c>
      <c r="G191" s="0" t="s">
        <v>220</v>
      </c>
      <c r="H191" s="0" t="n">
        <v>1289610</v>
      </c>
      <c r="I191" s="0" t="n">
        <v>1</v>
      </c>
      <c r="J191" s="0" t="s">
        <v>1357</v>
      </c>
      <c r="K191" s="55" t="n">
        <v>260</v>
      </c>
    </row>
    <row r="192" customFormat="false" ht="15" hidden="false" customHeight="false" outlineLevel="0" collapsed="false">
      <c r="A192" s="0" t="n">
        <v>2</v>
      </c>
      <c r="B192" s="0" t="n">
        <v>161137</v>
      </c>
      <c r="C192" s="0" t="s">
        <v>1363</v>
      </c>
      <c r="D192" s="0" t="s">
        <v>1451</v>
      </c>
      <c r="E192" s="54" t="n">
        <v>46195</v>
      </c>
      <c r="F192" s="54" t="n">
        <v>46191</v>
      </c>
      <c r="G192" s="0" t="s">
        <v>746</v>
      </c>
      <c r="H192" s="0" t="n">
        <v>1290565</v>
      </c>
      <c r="I192" s="0" t="n">
        <v>1</v>
      </c>
      <c r="J192" s="0" t="s">
        <v>1357</v>
      </c>
      <c r="K192" s="55" t="n">
        <v>592.5</v>
      </c>
    </row>
    <row r="193" customFormat="false" ht="15" hidden="false" customHeight="false" outlineLevel="0" collapsed="false">
      <c r="A193" s="0" t="n">
        <v>2</v>
      </c>
      <c r="B193" s="0" t="n">
        <v>47502</v>
      </c>
      <c r="C193" s="0" t="s">
        <v>1363</v>
      </c>
      <c r="D193" s="0" t="s">
        <v>1452</v>
      </c>
      <c r="E193" s="54" t="n">
        <v>46195</v>
      </c>
      <c r="F193" s="54" t="n">
        <v>46191</v>
      </c>
      <c r="G193" s="0" t="s">
        <v>744</v>
      </c>
      <c r="H193" s="0" t="n">
        <v>1290433</v>
      </c>
      <c r="I193" s="0" t="n">
        <v>1</v>
      </c>
      <c r="J193" s="0" t="s">
        <v>1357</v>
      </c>
      <c r="K193" s="55" t="n">
        <v>603.5</v>
      </c>
    </row>
    <row r="194" customFormat="false" ht="15" hidden="false" customHeight="false" outlineLevel="0" collapsed="false">
      <c r="A194" s="0" t="n">
        <v>2</v>
      </c>
      <c r="B194" s="0" t="n">
        <v>1894392</v>
      </c>
      <c r="C194" s="0" t="s">
        <v>1363</v>
      </c>
      <c r="D194" s="0" t="s">
        <v>1453</v>
      </c>
      <c r="E194" s="54" t="n">
        <v>46195</v>
      </c>
      <c r="F194" s="54" t="n">
        <v>46193</v>
      </c>
      <c r="G194" s="0" t="s">
        <v>764</v>
      </c>
      <c r="H194" s="0" t="n">
        <v>1289620</v>
      </c>
      <c r="I194" s="0" t="n">
        <v>1</v>
      </c>
      <c r="J194" s="0" t="s">
        <v>1357</v>
      </c>
      <c r="K194" s="55" t="n">
        <v>671.67</v>
      </c>
    </row>
    <row r="195" customFormat="false" ht="15" hidden="false" customHeight="false" outlineLevel="0" collapsed="false">
      <c r="A195" s="0" t="n">
        <v>2</v>
      </c>
      <c r="B195" s="0" t="n">
        <v>18762</v>
      </c>
      <c r="C195" s="0" t="s">
        <v>1404</v>
      </c>
      <c r="D195" s="0" t="s">
        <v>1405</v>
      </c>
      <c r="E195" s="54" t="n">
        <v>46195</v>
      </c>
      <c r="F195" s="54" t="n">
        <v>46192</v>
      </c>
      <c r="G195" s="0" t="s">
        <v>351</v>
      </c>
      <c r="H195" s="0" t="n">
        <v>1289973</v>
      </c>
      <c r="I195" s="0" t="n">
        <v>1</v>
      </c>
      <c r="J195" s="0" t="s">
        <v>1357</v>
      </c>
      <c r="K195" s="55" t="n">
        <v>4300.92</v>
      </c>
    </row>
    <row r="196" customFormat="false" ht="15" hidden="false" customHeight="false" outlineLevel="0" collapsed="false">
      <c r="A196" s="0" t="n">
        <v>2</v>
      </c>
      <c r="B196" s="0" t="n">
        <v>1169404</v>
      </c>
      <c r="C196" s="0" t="s">
        <v>1358</v>
      </c>
      <c r="D196" s="0" t="s">
        <v>1359</v>
      </c>
      <c r="E196" s="54" t="n">
        <v>46195</v>
      </c>
      <c r="F196" s="54" t="n">
        <v>46191</v>
      </c>
      <c r="G196" s="0" t="s">
        <v>119</v>
      </c>
      <c r="H196" s="0" t="n">
        <v>1290006</v>
      </c>
      <c r="I196" s="0" t="n">
        <v>1</v>
      </c>
      <c r="J196" s="0" t="s">
        <v>1357</v>
      </c>
      <c r="K196" s="55" t="n">
        <v>50.85</v>
      </c>
    </row>
    <row r="197" customFormat="false" ht="15" hidden="false" customHeight="false" outlineLevel="0" collapsed="false">
      <c r="A197" s="0" t="n">
        <v>2</v>
      </c>
      <c r="B197" s="0" t="n">
        <v>1170564</v>
      </c>
      <c r="C197" s="0" t="s">
        <v>1358</v>
      </c>
      <c r="D197" s="0" t="s">
        <v>1359</v>
      </c>
      <c r="E197" s="54" t="n">
        <v>46195</v>
      </c>
      <c r="F197" s="54" t="n">
        <v>46192</v>
      </c>
      <c r="G197" s="0" t="s">
        <v>119</v>
      </c>
      <c r="H197" s="0" t="n">
        <v>1290071</v>
      </c>
      <c r="I197" s="0" t="n">
        <v>1</v>
      </c>
      <c r="J197" s="0" t="s">
        <v>1357</v>
      </c>
      <c r="K197" s="55" t="n">
        <v>22.95</v>
      </c>
    </row>
    <row r="198" customFormat="false" ht="15" hidden="false" customHeight="false" outlineLevel="0" collapsed="false">
      <c r="A198" s="0" t="n">
        <v>2</v>
      </c>
      <c r="B198" s="0" t="n">
        <v>1171501</v>
      </c>
      <c r="C198" s="0" t="s">
        <v>1358</v>
      </c>
      <c r="D198" s="0" t="s">
        <v>1359</v>
      </c>
      <c r="E198" s="54" t="n">
        <v>46195</v>
      </c>
      <c r="F198" s="54" t="n">
        <v>46192</v>
      </c>
      <c r="G198" s="0" t="s">
        <v>119</v>
      </c>
      <c r="H198" s="0" t="n">
        <v>1290102</v>
      </c>
      <c r="I198" s="0" t="n">
        <v>1</v>
      </c>
      <c r="J198" s="0" t="s">
        <v>1357</v>
      </c>
      <c r="K198" s="55" t="n">
        <v>2287.85</v>
      </c>
    </row>
    <row r="199" customFormat="false" ht="15" hidden="false" customHeight="false" outlineLevel="0" collapsed="false">
      <c r="A199" s="0" t="n">
        <v>2</v>
      </c>
      <c r="B199" s="0" t="n">
        <v>1890993</v>
      </c>
      <c r="C199" s="0" t="s">
        <v>1360</v>
      </c>
      <c r="D199" s="0" t="s">
        <v>1359</v>
      </c>
      <c r="E199" s="54" t="n">
        <v>46195</v>
      </c>
      <c r="F199" s="54" t="n">
        <v>46191</v>
      </c>
      <c r="G199" s="0" t="s">
        <v>119</v>
      </c>
      <c r="H199" s="0" t="n">
        <v>1290014</v>
      </c>
      <c r="I199" s="0" t="n">
        <v>11</v>
      </c>
      <c r="J199" s="0" t="s">
        <v>1357</v>
      </c>
      <c r="K199" s="55" t="n">
        <v>463.56</v>
      </c>
    </row>
    <row r="200" customFormat="false" ht="15" hidden="false" customHeight="false" outlineLevel="0" collapsed="false">
      <c r="A200" s="0" t="n">
        <v>2</v>
      </c>
      <c r="B200" s="0" t="n">
        <v>1892638</v>
      </c>
      <c r="C200" s="0" t="s">
        <v>1360</v>
      </c>
      <c r="D200" s="0" t="s">
        <v>1359</v>
      </c>
      <c r="E200" s="54" t="n">
        <v>46195</v>
      </c>
      <c r="F200" s="54" t="n">
        <v>46192</v>
      </c>
      <c r="G200" s="0" t="s">
        <v>119</v>
      </c>
      <c r="H200" s="0" t="n">
        <v>1290124</v>
      </c>
      <c r="I200" s="0" t="n">
        <v>11</v>
      </c>
      <c r="J200" s="0" t="s">
        <v>1357</v>
      </c>
      <c r="K200" s="55" t="n">
        <v>93.77</v>
      </c>
    </row>
    <row r="201" customFormat="false" ht="15" hidden="false" customHeight="false" outlineLevel="0" collapsed="false">
      <c r="A201" s="0" t="n">
        <v>2</v>
      </c>
      <c r="B201" s="0" t="n">
        <v>1893322</v>
      </c>
      <c r="C201" s="0" t="s">
        <v>1360</v>
      </c>
      <c r="D201" s="0" t="s">
        <v>1359</v>
      </c>
      <c r="E201" s="54" t="n">
        <v>46195</v>
      </c>
      <c r="F201" s="54" t="n">
        <v>46192</v>
      </c>
      <c r="G201" s="0" t="s">
        <v>119</v>
      </c>
      <c r="H201" s="0" t="n">
        <v>1290089</v>
      </c>
      <c r="I201" s="0" t="n">
        <v>1</v>
      </c>
      <c r="J201" s="0" t="s">
        <v>1357</v>
      </c>
      <c r="K201" s="55" t="n">
        <v>840.06</v>
      </c>
    </row>
    <row r="202" customFormat="false" ht="15" hidden="false" customHeight="false" outlineLevel="0" collapsed="false">
      <c r="A202" s="0" t="n">
        <v>2</v>
      </c>
      <c r="B202" s="0" t="n">
        <v>1598763</v>
      </c>
      <c r="C202" s="0" t="s">
        <v>1363</v>
      </c>
      <c r="D202" s="0" t="s">
        <v>1412</v>
      </c>
      <c r="E202" s="54" t="n">
        <v>46195</v>
      </c>
      <c r="F202" s="54" t="n">
        <v>46192</v>
      </c>
      <c r="G202" s="0" t="s">
        <v>94</v>
      </c>
      <c r="H202" s="0" t="n">
        <v>1289535</v>
      </c>
      <c r="I202" s="0" t="n">
        <v>1</v>
      </c>
      <c r="J202" s="0" t="s">
        <v>1357</v>
      </c>
      <c r="K202" s="55" t="n">
        <v>1342.31</v>
      </c>
    </row>
    <row r="203" customFormat="false" ht="15" hidden="false" customHeight="false" outlineLevel="0" collapsed="false">
      <c r="A203" s="0" t="n">
        <v>2</v>
      </c>
      <c r="B203" s="0" t="n">
        <v>1027913</v>
      </c>
      <c r="C203" s="0" t="s">
        <v>1363</v>
      </c>
      <c r="D203" s="0" t="s">
        <v>1370</v>
      </c>
      <c r="E203" s="54" t="n">
        <v>46195</v>
      </c>
      <c r="F203" s="54" t="n">
        <v>46191</v>
      </c>
      <c r="G203" s="0" t="s">
        <v>210</v>
      </c>
      <c r="H203" s="0" t="n">
        <v>1289139</v>
      </c>
      <c r="I203" s="0" t="n">
        <v>1</v>
      </c>
      <c r="J203" s="0" t="s">
        <v>1357</v>
      </c>
      <c r="K203" s="55" t="n">
        <v>370.84</v>
      </c>
    </row>
    <row r="204" customFormat="false" ht="15" hidden="false" customHeight="false" outlineLevel="0" collapsed="false">
      <c r="A204" s="0" t="n">
        <v>2</v>
      </c>
      <c r="B204" s="0" t="n">
        <v>1676804</v>
      </c>
      <c r="C204" s="0" t="s">
        <v>1363</v>
      </c>
      <c r="D204" s="0" t="s">
        <v>1371</v>
      </c>
      <c r="E204" s="54" t="n">
        <v>46195</v>
      </c>
      <c r="F204" s="54" t="n">
        <v>46191</v>
      </c>
      <c r="G204" s="0" t="s">
        <v>201</v>
      </c>
      <c r="H204" s="0" t="n">
        <v>1289449</v>
      </c>
      <c r="I204" s="0" t="n">
        <v>1</v>
      </c>
      <c r="J204" s="0" t="s">
        <v>1357</v>
      </c>
      <c r="K204" s="55" t="n">
        <v>3464.65</v>
      </c>
    </row>
    <row r="205" customFormat="false" ht="15" hidden="false" customHeight="false" outlineLevel="0" collapsed="false">
      <c r="A205" s="0" t="n">
        <v>2</v>
      </c>
      <c r="B205" s="0" t="n">
        <v>1676964</v>
      </c>
      <c r="C205" s="0" t="s">
        <v>1363</v>
      </c>
      <c r="D205" s="0" t="s">
        <v>1371</v>
      </c>
      <c r="E205" s="54" t="n">
        <v>46195</v>
      </c>
      <c r="F205" s="54" t="n">
        <v>46191</v>
      </c>
      <c r="G205" s="0" t="s">
        <v>201</v>
      </c>
      <c r="H205" s="0" t="n">
        <v>1289156</v>
      </c>
      <c r="I205" s="0" t="n">
        <v>1</v>
      </c>
      <c r="J205" s="0" t="s">
        <v>1357</v>
      </c>
      <c r="K205" s="55" t="n">
        <v>334.45</v>
      </c>
    </row>
    <row r="206" customFormat="false" ht="15" hidden="false" customHeight="false" outlineLevel="0" collapsed="false">
      <c r="A206" s="0" t="n">
        <v>2</v>
      </c>
      <c r="B206" s="0" t="n">
        <v>1678138</v>
      </c>
      <c r="C206" s="0" t="s">
        <v>1363</v>
      </c>
      <c r="D206" s="0" t="s">
        <v>1371</v>
      </c>
      <c r="E206" s="54" t="n">
        <v>46195</v>
      </c>
      <c r="F206" s="54" t="n">
        <v>46195</v>
      </c>
      <c r="G206" s="0" t="s">
        <v>201</v>
      </c>
      <c r="H206" s="0" t="n">
        <v>1289428</v>
      </c>
      <c r="I206" s="0" t="n">
        <v>1</v>
      </c>
      <c r="J206" s="0" t="s">
        <v>1357</v>
      </c>
      <c r="K206" s="55" t="n">
        <v>724</v>
      </c>
    </row>
    <row r="207" customFormat="false" ht="15" hidden="false" customHeight="false" outlineLevel="0" collapsed="false">
      <c r="A207" s="0" t="n">
        <v>2</v>
      </c>
      <c r="B207" s="0" t="n">
        <v>310316</v>
      </c>
      <c r="C207" s="0" t="s">
        <v>1363</v>
      </c>
      <c r="D207" s="0" t="s">
        <v>1380</v>
      </c>
      <c r="E207" s="54" t="n">
        <v>46195</v>
      </c>
      <c r="F207" s="54" t="n">
        <v>46192</v>
      </c>
      <c r="G207" s="0" t="s">
        <v>82</v>
      </c>
      <c r="H207" s="0" t="n">
        <v>1290743</v>
      </c>
      <c r="I207" s="0" t="n">
        <v>11</v>
      </c>
      <c r="J207" s="0" t="s">
        <v>1357</v>
      </c>
      <c r="K207" s="55" t="n">
        <v>2018.54</v>
      </c>
    </row>
    <row r="208" customFormat="false" ht="15" hidden="false" customHeight="false" outlineLevel="0" collapsed="false">
      <c r="A208" s="0" t="n">
        <v>2</v>
      </c>
      <c r="B208" s="0" t="n">
        <v>5679</v>
      </c>
      <c r="C208" s="0" t="s">
        <v>1363</v>
      </c>
      <c r="D208" s="0" t="s">
        <v>1382</v>
      </c>
      <c r="E208" s="54" t="n">
        <v>46195</v>
      </c>
      <c r="F208" s="54" t="n">
        <v>46192</v>
      </c>
      <c r="G208" s="0" t="s">
        <v>1383</v>
      </c>
      <c r="H208" s="0" t="n">
        <v>1289146</v>
      </c>
      <c r="I208" s="0" t="n">
        <v>1</v>
      </c>
      <c r="J208" s="0" t="s">
        <v>1357</v>
      </c>
      <c r="K208" s="55" t="n">
        <v>306</v>
      </c>
    </row>
    <row r="209" customFormat="false" ht="15" hidden="false" customHeight="false" outlineLevel="0" collapsed="false">
      <c r="A209" s="0" t="n">
        <v>2</v>
      </c>
      <c r="B209" s="0" t="n">
        <v>3407</v>
      </c>
      <c r="C209" s="0" t="s">
        <v>1363</v>
      </c>
      <c r="D209" s="0" t="s">
        <v>1381</v>
      </c>
      <c r="E209" s="54" t="n">
        <v>46195</v>
      </c>
      <c r="F209" s="54" t="n">
        <v>46192</v>
      </c>
      <c r="G209" s="0" t="s">
        <v>171</v>
      </c>
      <c r="H209" s="0" t="n">
        <v>1289327</v>
      </c>
      <c r="I209" s="0" t="n">
        <v>1</v>
      </c>
      <c r="J209" s="0" t="s">
        <v>1357</v>
      </c>
      <c r="K209" s="55" t="n">
        <v>110</v>
      </c>
    </row>
    <row r="210" customFormat="false" ht="15" hidden="false" customHeight="false" outlineLevel="0" collapsed="false">
      <c r="A210" s="0" t="n">
        <v>2</v>
      </c>
      <c r="B210" s="0" t="n">
        <v>2503</v>
      </c>
      <c r="C210" s="0" t="s">
        <v>1363</v>
      </c>
      <c r="D210" s="0" t="s">
        <v>1373</v>
      </c>
      <c r="E210" s="54" t="n">
        <v>46195</v>
      </c>
      <c r="F210" s="54" t="n">
        <v>46195</v>
      </c>
      <c r="G210" s="0" t="s">
        <v>132</v>
      </c>
      <c r="H210" s="0" t="n">
        <v>1289851</v>
      </c>
      <c r="I210" s="0" t="n">
        <v>6</v>
      </c>
      <c r="J210" s="0" t="s">
        <v>1357</v>
      </c>
      <c r="K210" s="55" t="n">
        <v>210</v>
      </c>
    </row>
    <row r="211" customFormat="false" ht="15" hidden="false" customHeight="false" outlineLevel="0" collapsed="false">
      <c r="A211" s="0" t="n">
        <v>2</v>
      </c>
      <c r="B211" s="0" t="n">
        <v>2504</v>
      </c>
      <c r="C211" s="0" t="s">
        <v>1363</v>
      </c>
      <c r="D211" s="0" t="s">
        <v>1373</v>
      </c>
      <c r="E211" s="54" t="n">
        <v>46195</v>
      </c>
      <c r="F211" s="54" t="n">
        <v>46195</v>
      </c>
      <c r="G211" s="0" t="s">
        <v>132</v>
      </c>
      <c r="H211" s="0" t="n">
        <v>1289925</v>
      </c>
      <c r="I211" s="0" t="n">
        <v>6</v>
      </c>
      <c r="J211" s="0" t="s">
        <v>1357</v>
      </c>
      <c r="K211" s="55" t="n">
        <v>1454</v>
      </c>
    </row>
    <row r="212" customFormat="false" ht="15" hidden="false" customHeight="false" outlineLevel="0" collapsed="false">
      <c r="A212" s="0" t="n">
        <v>2</v>
      </c>
      <c r="B212" s="0" t="n">
        <v>22626</v>
      </c>
      <c r="C212" s="0" t="s">
        <v>1363</v>
      </c>
      <c r="D212" s="0" t="s">
        <v>1373</v>
      </c>
      <c r="E212" s="54" t="n">
        <v>46195</v>
      </c>
      <c r="F212" s="54" t="n">
        <v>46195</v>
      </c>
      <c r="G212" s="0" t="s">
        <v>132</v>
      </c>
      <c r="H212" s="0" t="n">
        <v>1289848</v>
      </c>
      <c r="I212" s="0" t="n">
        <v>2</v>
      </c>
      <c r="J212" s="0" t="s">
        <v>1357</v>
      </c>
      <c r="K212" s="55" t="n">
        <v>210</v>
      </c>
    </row>
    <row r="213" customFormat="false" ht="15" hidden="false" customHeight="false" outlineLevel="0" collapsed="false">
      <c r="A213" s="0" t="n">
        <v>2</v>
      </c>
      <c r="B213" s="0" t="n">
        <v>2262026</v>
      </c>
      <c r="C213" s="0" t="s">
        <v>1363</v>
      </c>
      <c r="D213" s="0" t="s">
        <v>1373</v>
      </c>
      <c r="E213" s="54" t="n">
        <v>46195</v>
      </c>
      <c r="F213" s="54" t="n">
        <v>46195</v>
      </c>
      <c r="G213" s="0" t="s">
        <v>132</v>
      </c>
      <c r="H213" s="0" t="n">
        <v>1289917</v>
      </c>
      <c r="I213" s="0" t="n">
        <v>2</v>
      </c>
      <c r="J213" s="0" t="s">
        <v>1357</v>
      </c>
      <c r="K213" s="55" t="n">
        <v>1454</v>
      </c>
    </row>
    <row r="214" customFormat="false" ht="15" hidden="false" customHeight="false" outlineLevel="0" collapsed="false">
      <c r="A214" s="0" t="n">
        <v>2</v>
      </c>
      <c r="B214" s="0" t="n">
        <v>419092</v>
      </c>
      <c r="C214" s="0" t="s">
        <v>1418</v>
      </c>
      <c r="D214" s="0" t="s">
        <v>1442</v>
      </c>
      <c r="E214" s="54" t="n">
        <v>46195</v>
      </c>
      <c r="F214" s="54" t="n">
        <v>46191</v>
      </c>
      <c r="G214" s="0" t="s">
        <v>204</v>
      </c>
      <c r="H214" s="0" t="n">
        <v>1289284</v>
      </c>
      <c r="I214" s="0" t="n">
        <v>1</v>
      </c>
      <c r="J214" s="0" t="s">
        <v>1357</v>
      </c>
      <c r="K214" s="55" t="n">
        <v>1859.99</v>
      </c>
    </row>
    <row r="215" customFormat="false" ht="15" hidden="false" customHeight="false" outlineLevel="0" collapsed="false">
      <c r="A215" s="0" t="n">
        <v>2</v>
      </c>
      <c r="B215" s="0" t="n">
        <v>721</v>
      </c>
      <c r="C215" s="0" t="s">
        <v>1363</v>
      </c>
      <c r="D215" s="0" t="s">
        <v>1454</v>
      </c>
      <c r="E215" s="54" t="n">
        <v>46195</v>
      </c>
      <c r="F215" s="54" t="n">
        <v>46191</v>
      </c>
      <c r="G215" s="0" t="s">
        <v>518</v>
      </c>
      <c r="H215" s="0" t="n">
        <v>1289354</v>
      </c>
      <c r="I215" s="0" t="n">
        <v>1</v>
      </c>
      <c r="J215" s="0" t="s">
        <v>1357</v>
      </c>
      <c r="K215" s="55" t="n">
        <v>480.78</v>
      </c>
    </row>
    <row r="216" customFormat="false" ht="15" hidden="false" customHeight="false" outlineLevel="0" collapsed="false">
      <c r="A216" s="0" t="n">
        <v>2</v>
      </c>
      <c r="B216" s="0" t="n">
        <v>207912</v>
      </c>
      <c r="C216" s="0" t="s">
        <v>1363</v>
      </c>
      <c r="D216" s="0" t="s">
        <v>1455</v>
      </c>
      <c r="E216" s="54" t="n">
        <v>46195</v>
      </c>
      <c r="F216" s="54" t="n">
        <v>46191</v>
      </c>
      <c r="G216" s="0" t="s">
        <v>684</v>
      </c>
      <c r="H216" s="0" t="n">
        <v>1289570</v>
      </c>
      <c r="I216" s="0" t="n">
        <v>1</v>
      </c>
      <c r="J216" s="0" t="s">
        <v>1357</v>
      </c>
      <c r="K216" s="55" t="n">
        <v>1774.55</v>
      </c>
    </row>
    <row r="217" customFormat="false" ht="15" hidden="false" customHeight="false" outlineLevel="0" collapsed="false">
      <c r="A217" s="0" t="n">
        <v>2</v>
      </c>
      <c r="B217" s="0" t="n">
        <v>3457</v>
      </c>
      <c r="C217" s="0" t="s">
        <v>1363</v>
      </c>
      <c r="D217" s="0" t="s">
        <v>1366</v>
      </c>
      <c r="E217" s="54" t="n">
        <v>46195</v>
      </c>
      <c r="F217" s="54" t="n">
        <v>46195</v>
      </c>
      <c r="G217" s="0" t="s">
        <v>188</v>
      </c>
      <c r="H217" s="0" t="n">
        <v>1291003</v>
      </c>
      <c r="I217" s="0" t="n">
        <v>1</v>
      </c>
      <c r="J217" s="0" t="s">
        <v>1357</v>
      </c>
      <c r="K217" s="55" t="n">
        <v>454.65</v>
      </c>
    </row>
    <row r="218" customFormat="false" ht="15" hidden="false" customHeight="false" outlineLevel="0" collapsed="false">
      <c r="A218" s="0" t="n">
        <v>2</v>
      </c>
      <c r="B218" s="0" t="n">
        <v>1959276</v>
      </c>
      <c r="C218" s="0" t="s">
        <v>1363</v>
      </c>
      <c r="D218" s="0" t="s">
        <v>1456</v>
      </c>
      <c r="E218" s="54" t="n">
        <v>46195</v>
      </c>
      <c r="F218" s="54" t="n">
        <v>46191</v>
      </c>
      <c r="G218" s="0" t="s">
        <v>160</v>
      </c>
      <c r="H218" s="0" t="n">
        <v>1289819</v>
      </c>
      <c r="I218" s="0" t="n">
        <v>1</v>
      </c>
      <c r="J218" s="0" t="s">
        <v>1357</v>
      </c>
      <c r="K218" s="55" t="n">
        <v>1961.16</v>
      </c>
    </row>
    <row r="219" customFormat="false" ht="15" hidden="false" customHeight="false" outlineLevel="0" collapsed="false">
      <c r="A219" s="0" t="n">
        <v>2</v>
      </c>
      <c r="B219" s="0" t="n">
        <v>31246</v>
      </c>
      <c r="C219" s="0" t="s">
        <v>1363</v>
      </c>
      <c r="D219" s="0" t="s">
        <v>1378</v>
      </c>
      <c r="E219" s="54" t="n">
        <v>46195</v>
      </c>
      <c r="F219" s="54" t="n">
        <v>46193</v>
      </c>
      <c r="G219" s="0" t="s">
        <v>128</v>
      </c>
      <c r="H219" s="0" t="n">
        <v>1289585</v>
      </c>
      <c r="I219" s="0" t="n">
        <v>1</v>
      </c>
      <c r="J219" s="0" t="s">
        <v>1357</v>
      </c>
      <c r="K219" s="55" t="n">
        <v>920</v>
      </c>
    </row>
    <row r="220" customFormat="false" ht="15" hidden="false" customHeight="false" outlineLevel="0" collapsed="false">
      <c r="A220" s="0" t="n">
        <v>2</v>
      </c>
      <c r="B220" s="0" t="n">
        <v>31247</v>
      </c>
      <c r="C220" s="0" t="s">
        <v>1363</v>
      </c>
      <c r="D220" s="0" t="s">
        <v>1378</v>
      </c>
      <c r="E220" s="54" t="n">
        <v>46195</v>
      </c>
      <c r="F220" s="54" t="n">
        <v>46193</v>
      </c>
      <c r="G220" s="0" t="s">
        <v>128</v>
      </c>
      <c r="H220" s="0" t="n">
        <v>1290342</v>
      </c>
      <c r="I220" s="0" t="n">
        <v>1</v>
      </c>
      <c r="J220" s="0" t="s">
        <v>1357</v>
      </c>
      <c r="K220" s="55" t="n">
        <v>1538.7</v>
      </c>
    </row>
    <row r="221" customFormat="false" ht="15" hidden="false" customHeight="false" outlineLevel="0" collapsed="false">
      <c r="A221" s="0" t="n">
        <v>2</v>
      </c>
      <c r="B221" s="0" t="n">
        <v>10605</v>
      </c>
      <c r="C221" s="0" t="s">
        <v>1363</v>
      </c>
      <c r="D221" s="0" t="s">
        <v>1457</v>
      </c>
      <c r="E221" s="54" t="n">
        <v>46195</v>
      </c>
      <c r="F221" s="54" t="n">
        <v>46191</v>
      </c>
      <c r="G221" s="0" t="s">
        <v>181</v>
      </c>
      <c r="H221" s="0" t="n">
        <v>1289129</v>
      </c>
      <c r="I221" s="0" t="n">
        <v>1</v>
      </c>
      <c r="J221" s="0" t="s">
        <v>1357</v>
      </c>
      <c r="K221" s="55" t="n">
        <v>228</v>
      </c>
    </row>
    <row r="222" customFormat="false" ht="15" hidden="false" customHeight="false" outlineLevel="0" collapsed="false">
      <c r="A222" s="0" t="n">
        <v>2</v>
      </c>
      <c r="B222" s="0" t="n">
        <v>15043</v>
      </c>
      <c r="C222" s="0" t="s">
        <v>1363</v>
      </c>
      <c r="D222" s="0" t="s">
        <v>1367</v>
      </c>
      <c r="E222" s="54" t="n">
        <v>46195</v>
      </c>
      <c r="F222" s="54" t="n">
        <v>46195</v>
      </c>
      <c r="G222" s="0" t="s">
        <v>266</v>
      </c>
      <c r="H222" s="0" t="n">
        <v>1289836</v>
      </c>
      <c r="I222" s="0" t="n">
        <v>1</v>
      </c>
      <c r="J222" s="0" t="s">
        <v>1357</v>
      </c>
      <c r="K222" s="55" t="n">
        <v>298.83</v>
      </c>
    </row>
    <row r="223" customFormat="false" ht="15" hidden="false" customHeight="false" outlineLevel="0" collapsed="false">
      <c r="A223" s="0" t="n">
        <v>2</v>
      </c>
      <c r="B223" s="0" t="n">
        <v>509</v>
      </c>
      <c r="C223" s="0" t="s">
        <v>1363</v>
      </c>
      <c r="D223" s="0" t="s">
        <v>1368</v>
      </c>
      <c r="E223" s="54" t="n">
        <v>46196</v>
      </c>
      <c r="F223" s="54" t="n">
        <v>46195</v>
      </c>
      <c r="G223" s="0" t="s">
        <v>130</v>
      </c>
      <c r="H223" s="0" t="n">
        <v>1294252</v>
      </c>
      <c r="I223" s="0" t="n">
        <v>1</v>
      </c>
      <c r="J223" s="0" t="s">
        <v>1357</v>
      </c>
      <c r="K223" s="55" t="n">
        <v>180</v>
      </c>
    </row>
    <row r="224" customFormat="false" ht="15" hidden="false" customHeight="false" outlineLevel="0" collapsed="false">
      <c r="A224" s="0" t="n">
        <v>2</v>
      </c>
      <c r="B224" s="0" t="n">
        <v>869753</v>
      </c>
      <c r="C224" s="0" t="s">
        <v>1422</v>
      </c>
      <c r="D224" s="0" t="s">
        <v>1423</v>
      </c>
      <c r="E224" s="54" t="n">
        <v>46196</v>
      </c>
      <c r="F224" s="54" t="n">
        <v>46193</v>
      </c>
      <c r="G224" s="0" t="s">
        <v>212</v>
      </c>
      <c r="H224" s="0" t="n">
        <v>1294209</v>
      </c>
      <c r="I224" s="0" t="n">
        <v>1</v>
      </c>
      <c r="J224" s="0" t="s">
        <v>1357</v>
      </c>
      <c r="K224" s="55" t="n">
        <v>1062.39</v>
      </c>
    </row>
    <row r="225" customFormat="false" ht="15" hidden="false" customHeight="false" outlineLevel="0" collapsed="false">
      <c r="A225" s="0" t="n">
        <v>2</v>
      </c>
      <c r="B225" s="0" t="n">
        <v>646732</v>
      </c>
      <c r="C225" s="0" t="s">
        <v>1363</v>
      </c>
      <c r="D225" s="0" t="s">
        <v>1413</v>
      </c>
      <c r="E225" s="54" t="n">
        <v>46196</v>
      </c>
      <c r="F225" s="54" t="n">
        <v>46193</v>
      </c>
      <c r="G225" s="0" t="s">
        <v>80</v>
      </c>
      <c r="H225" s="0" t="n">
        <v>1293976</v>
      </c>
      <c r="I225" s="0" t="n">
        <v>1</v>
      </c>
      <c r="J225" s="0" t="s">
        <v>1357</v>
      </c>
      <c r="K225" s="55" t="n">
        <v>694.35</v>
      </c>
    </row>
    <row r="226" customFormat="false" ht="15" hidden="false" customHeight="false" outlineLevel="0" collapsed="false">
      <c r="A226" s="0" t="n">
        <v>2</v>
      </c>
      <c r="B226" s="0" t="n">
        <v>8155</v>
      </c>
      <c r="C226" s="0" t="s">
        <v>1363</v>
      </c>
      <c r="D226" s="0" t="s">
        <v>1458</v>
      </c>
      <c r="E226" s="54" t="n">
        <v>46196</v>
      </c>
      <c r="F226" s="54" t="n">
        <v>46195</v>
      </c>
      <c r="G226" s="0" t="s">
        <v>305</v>
      </c>
      <c r="H226" s="0" t="n">
        <v>1294314</v>
      </c>
      <c r="I226" s="0" t="n">
        <v>39</v>
      </c>
      <c r="J226" s="0" t="s">
        <v>1357</v>
      </c>
      <c r="K226" s="55" t="n">
        <v>2212.3</v>
      </c>
    </row>
    <row r="227" customFormat="false" ht="15" hidden="false" customHeight="false" outlineLevel="0" collapsed="false">
      <c r="A227" s="0" t="n">
        <v>2</v>
      </c>
      <c r="B227" s="0" t="n">
        <v>1635973</v>
      </c>
      <c r="C227" s="0" t="s">
        <v>1361</v>
      </c>
      <c r="D227" s="0" t="s">
        <v>1362</v>
      </c>
      <c r="E227" s="54" t="n">
        <v>46196</v>
      </c>
      <c r="F227" s="54" t="n">
        <v>46195</v>
      </c>
      <c r="G227" s="0" t="s">
        <v>369</v>
      </c>
      <c r="H227" s="0" t="n">
        <v>1293939</v>
      </c>
      <c r="I227" s="0" t="n">
        <v>1</v>
      </c>
      <c r="J227" s="0" t="s">
        <v>1357</v>
      </c>
      <c r="K227" s="55" t="n">
        <v>97</v>
      </c>
    </row>
    <row r="228" customFormat="false" ht="15" hidden="false" customHeight="false" outlineLevel="0" collapsed="false">
      <c r="A228" s="0" t="n">
        <v>2</v>
      </c>
      <c r="B228" s="0" t="n">
        <v>1635976</v>
      </c>
      <c r="C228" s="0" t="s">
        <v>1361</v>
      </c>
      <c r="D228" s="0" t="s">
        <v>1362</v>
      </c>
      <c r="E228" s="54" t="n">
        <v>46196</v>
      </c>
      <c r="F228" s="54" t="n">
        <v>46195</v>
      </c>
      <c r="G228" s="0" t="s">
        <v>369</v>
      </c>
      <c r="H228" s="0" t="n">
        <v>1293930</v>
      </c>
      <c r="I228" s="0" t="n">
        <v>1</v>
      </c>
      <c r="J228" s="0" t="s">
        <v>1357</v>
      </c>
      <c r="K228" s="55" t="n">
        <v>105</v>
      </c>
    </row>
    <row r="229" customFormat="false" ht="15" hidden="false" customHeight="false" outlineLevel="0" collapsed="false">
      <c r="A229" s="0" t="n">
        <v>2</v>
      </c>
      <c r="B229" s="0" t="n">
        <v>1635978</v>
      </c>
      <c r="C229" s="0" t="s">
        <v>1361</v>
      </c>
      <c r="D229" s="0" t="s">
        <v>1362</v>
      </c>
      <c r="E229" s="54" t="n">
        <v>46196</v>
      </c>
      <c r="F229" s="54" t="n">
        <v>46195</v>
      </c>
      <c r="G229" s="0" t="s">
        <v>369</v>
      </c>
      <c r="H229" s="0" t="n">
        <v>1293925</v>
      </c>
      <c r="I229" s="0" t="n">
        <v>1</v>
      </c>
      <c r="J229" s="0" t="s">
        <v>1357</v>
      </c>
      <c r="K229" s="55" t="n">
        <v>183</v>
      </c>
    </row>
    <row r="230" customFormat="false" ht="15" hidden="false" customHeight="false" outlineLevel="0" collapsed="false">
      <c r="A230" s="0" t="n">
        <v>2</v>
      </c>
      <c r="B230" s="0" t="n">
        <v>2507</v>
      </c>
      <c r="C230" s="0" t="s">
        <v>1363</v>
      </c>
      <c r="D230" s="0" t="s">
        <v>1373</v>
      </c>
      <c r="E230" s="54" t="n">
        <v>46196</v>
      </c>
      <c r="F230" s="54" t="n">
        <v>46196</v>
      </c>
      <c r="G230" s="0" t="s">
        <v>132</v>
      </c>
      <c r="H230" s="0" t="n">
        <v>1295652</v>
      </c>
      <c r="I230" s="0" t="n">
        <v>6</v>
      </c>
      <c r="J230" s="0" t="s">
        <v>1357</v>
      </c>
      <c r="K230" s="55" t="n">
        <v>2140.44</v>
      </c>
    </row>
    <row r="231" customFormat="false" ht="15" hidden="false" customHeight="false" outlineLevel="0" collapsed="false">
      <c r="A231" s="0" t="n">
        <v>2</v>
      </c>
      <c r="B231" s="0" t="n">
        <v>23626</v>
      </c>
      <c r="C231" s="0" t="s">
        <v>1363</v>
      </c>
      <c r="D231" s="0" t="s">
        <v>1373</v>
      </c>
      <c r="E231" s="54" t="n">
        <v>46196</v>
      </c>
      <c r="F231" s="54" t="n">
        <v>46196</v>
      </c>
      <c r="G231" s="0" t="s">
        <v>132</v>
      </c>
      <c r="H231" s="0" t="n">
        <v>1295647</v>
      </c>
      <c r="I231" s="0" t="n">
        <v>2</v>
      </c>
      <c r="J231" s="0" t="s">
        <v>1357</v>
      </c>
      <c r="K231" s="55" t="n">
        <v>2140.44</v>
      </c>
    </row>
    <row r="232" customFormat="false" ht="15" hidden="false" customHeight="false" outlineLevel="0" collapsed="false">
      <c r="A232" s="0" t="n">
        <v>2</v>
      </c>
      <c r="B232" s="0" t="n">
        <v>3858</v>
      </c>
      <c r="C232" s="0" t="s">
        <v>1363</v>
      </c>
      <c r="D232" s="0" t="s">
        <v>1374</v>
      </c>
      <c r="E232" s="54" t="n">
        <v>46196</v>
      </c>
      <c r="F232" s="54" t="n">
        <v>46195</v>
      </c>
      <c r="G232" s="0" t="s">
        <v>92</v>
      </c>
      <c r="H232" s="0" t="n">
        <v>1295747</v>
      </c>
      <c r="I232" s="0" t="n">
        <v>1</v>
      </c>
      <c r="J232" s="0" t="s">
        <v>1357</v>
      </c>
      <c r="K232" s="55" t="n">
        <v>162.56</v>
      </c>
    </row>
    <row r="233" customFormat="false" ht="15" hidden="false" customHeight="false" outlineLevel="0" collapsed="false">
      <c r="A233" s="0" t="n">
        <v>2</v>
      </c>
      <c r="B233" s="0" t="n">
        <v>2453</v>
      </c>
      <c r="C233" s="0" t="s">
        <v>1363</v>
      </c>
      <c r="D233" s="0" t="s">
        <v>1459</v>
      </c>
      <c r="E233" s="54" t="n">
        <v>46196</v>
      </c>
      <c r="F233" s="54" t="n">
        <v>46196</v>
      </c>
      <c r="G233" s="0" t="s">
        <v>703</v>
      </c>
      <c r="H233" s="0" t="n">
        <v>1295171</v>
      </c>
      <c r="I233" s="0" t="n">
        <v>39</v>
      </c>
      <c r="J233" s="0" t="s">
        <v>1357</v>
      </c>
      <c r="K233" s="55" t="n">
        <v>635.32</v>
      </c>
    </row>
    <row r="234" customFormat="false" ht="15" hidden="false" customHeight="false" outlineLevel="0" collapsed="false">
      <c r="A234" s="0" t="n">
        <v>2</v>
      </c>
      <c r="B234" s="0" t="n">
        <v>10</v>
      </c>
      <c r="C234" s="0" t="s">
        <v>1363</v>
      </c>
      <c r="D234" s="0" t="s">
        <v>1460</v>
      </c>
      <c r="E234" s="54" t="n">
        <v>46197</v>
      </c>
      <c r="F234" s="54" t="n">
        <v>46195</v>
      </c>
      <c r="G234" s="0" t="s">
        <v>463</v>
      </c>
      <c r="H234" s="0" t="n">
        <v>1300830</v>
      </c>
      <c r="I234" s="0" t="n">
        <v>1</v>
      </c>
      <c r="J234" s="0" t="s">
        <v>1357</v>
      </c>
      <c r="K234" s="55" t="n">
        <v>140</v>
      </c>
    </row>
    <row r="235" customFormat="false" ht="15" hidden="false" customHeight="false" outlineLevel="0" collapsed="false">
      <c r="A235" s="0" t="n">
        <v>2</v>
      </c>
      <c r="B235" s="0" t="n">
        <v>11</v>
      </c>
      <c r="C235" s="0" t="s">
        <v>1363</v>
      </c>
      <c r="D235" s="0" t="s">
        <v>1460</v>
      </c>
      <c r="E235" s="54" t="n">
        <v>46197</v>
      </c>
      <c r="F235" s="54" t="n">
        <v>46195</v>
      </c>
      <c r="G235" s="0" t="s">
        <v>463</v>
      </c>
      <c r="H235" s="0" t="n">
        <v>1300844</v>
      </c>
      <c r="I235" s="0" t="n">
        <v>1</v>
      </c>
      <c r="J235" s="0" t="s">
        <v>1357</v>
      </c>
      <c r="K235" s="55" t="n">
        <v>140</v>
      </c>
    </row>
    <row r="236" customFormat="false" ht="15" hidden="false" customHeight="false" outlineLevel="0" collapsed="false">
      <c r="A236" s="0" t="n">
        <v>2</v>
      </c>
      <c r="B236" s="0" t="n">
        <v>12</v>
      </c>
      <c r="C236" s="0" t="s">
        <v>1363</v>
      </c>
      <c r="D236" s="0" t="s">
        <v>1460</v>
      </c>
      <c r="E236" s="54" t="n">
        <v>46197</v>
      </c>
      <c r="F236" s="54" t="n">
        <v>46195</v>
      </c>
      <c r="G236" s="0" t="s">
        <v>463</v>
      </c>
      <c r="H236" s="0" t="n">
        <v>1300868</v>
      </c>
      <c r="I236" s="0" t="n">
        <v>1</v>
      </c>
      <c r="J236" s="0" t="s">
        <v>1357</v>
      </c>
      <c r="K236" s="55" t="n">
        <v>200</v>
      </c>
    </row>
    <row r="237" customFormat="false" ht="15" hidden="false" customHeight="false" outlineLevel="0" collapsed="false">
      <c r="A237" s="0" t="n">
        <v>2</v>
      </c>
      <c r="B237" s="0" t="n">
        <v>37</v>
      </c>
      <c r="C237" s="0" t="s">
        <v>1363</v>
      </c>
      <c r="D237" s="0" t="s">
        <v>1460</v>
      </c>
      <c r="E237" s="54" t="n">
        <v>46197</v>
      </c>
      <c r="F237" s="54" t="n">
        <v>46197</v>
      </c>
      <c r="G237" s="0" t="s">
        <v>463</v>
      </c>
      <c r="H237" s="0" t="n">
        <v>1300876</v>
      </c>
      <c r="I237" s="0" t="n">
        <v>1</v>
      </c>
      <c r="J237" s="0" t="s">
        <v>1357</v>
      </c>
      <c r="K237" s="55" t="n">
        <v>120</v>
      </c>
    </row>
    <row r="238" customFormat="false" ht="15" hidden="false" customHeight="false" outlineLevel="0" collapsed="false">
      <c r="A238" s="0" t="n">
        <v>2</v>
      </c>
      <c r="B238" s="0" t="n">
        <v>519349</v>
      </c>
      <c r="C238" s="0" t="s">
        <v>1363</v>
      </c>
      <c r="D238" s="0" t="s">
        <v>1375</v>
      </c>
      <c r="E238" s="54" t="n">
        <v>46197</v>
      </c>
      <c r="F238" s="54" t="n">
        <v>46196</v>
      </c>
      <c r="G238" s="0" t="s">
        <v>117</v>
      </c>
      <c r="H238" s="0" t="n">
        <v>1299637</v>
      </c>
      <c r="I238" s="0" t="n">
        <v>1</v>
      </c>
      <c r="J238" s="0" t="s">
        <v>1357</v>
      </c>
      <c r="K238" s="55" t="n">
        <v>304.45</v>
      </c>
    </row>
    <row r="239" customFormat="false" ht="15" hidden="false" customHeight="false" outlineLevel="0" collapsed="false">
      <c r="A239" s="0" t="n">
        <v>2</v>
      </c>
      <c r="B239" s="0" t="n">
        <v>253</v>
      </c>
      <c r="C239" s="0" t="s">
        <v>1363</v>
      </c>
      <c r="D239" s="0" t="s">
        <v>1461</v>
      </c>
      <c r="E239" s="54" t="n">
        <v>46197</v>
      </c>
      <c r="F239" s="54" t="n">
        <v>46195</v>
      </c>
      <c r="G239" s="0" t="s">
        <v>718</v>
      </c>
      <c r="H239" s="0" t="n">
        <v>1299537</v>
      </c>
      <c r="I239" s="0" t="n">
        <v>1</v>
      </c>
      <c r="J239" s="0" t="s">
        <v>1357</v>
      </c>
      <c r="K239" s="55" t="n">
        <v>845</v>
      </c>
    </row>
    <row r="240" customFormat="false" ht="15" hidden="false" customHeight="false" outlineLevel="0" collapsed="false">
      <c r="A240" s="0" t="n">
        <v>2</v>
      </c>
      <c r="B240" s="0" t="n">
        <v>388857</v>
      </c>
      <c r="C240" s="0" t="s">
        <v>1363</v>
      </c>
      <c r="D240" s="0" t="s">
        <v>1384</v>
      </c>
      <c r="E240" s="54" t="n">
        <v>46197</v>
      </c>
      <c r="F240" s="54" t="n">
        <v>46196</v>
      </c>
      <c r="G240" s="0" t="s">
        <v>164</v>
      </c>
      <c r="H240" s="0" t="n">
        <v>1300169</v>
      </c>
      <c r="I240" s="0" t="n">
        <v>1</v>
      </c>
      <c r="J240" s="0" t="s">
        <v>1357</v>
      </c>
      <c r="K240" s="55" t="n">
        <v>628.88</v>
      </c>
    </row>
    <row r="241" customFormat="false" ht="15" hidden="false" customHeight="false" outlineLevel="0" collapsed="false">
      <c r="A241" s="0" t="n">
        <v>2</v>
      </c>
      <c r="B241" s="0" t="n">
        <v>1378386</v>
      </c>
      <c r="C241" s="0" t="s">
        <v>1363</v>
      </c>
      <c r="D241" s="0" t="s">
        <v>1399</v>
      </c>
      <c r="E241" s="54" t="n">
        <v>46197</v>
      </c>
      <c r="F241" s="54" t="n">
        <v>46196</v>
      </c>
      <c r="G241" s="0" t="s">
        <v>1400</v>
      </c>
      <c r="H241" s="0" t="n">
        <v>1299327</v>
      </c>
      <c r="I241" s="0" t="n">
        <v>1</v>
      </c>
      <c r="J241" s="0" t="s">
        <v>1357</v>
      </c>
      <c r="K241" s="55" t="n">
        <v>1831.6</v>
      </c>
    </row>
    <row r="242" customFormat="false" ht="15" hidden="false" customHeight="false" outlineLevel="0" collapsed="false">
      <c r="A242" s="0" t="n">
        <v>2</v>
      </c>
      <c r="B242" s="0" t="n">
        <v>316130</v>
      </c>
      <c r="C242" s="0" t="s">
        <v>1363</v>
      </c>
      <c r="D242" s="0" t="s">
        <v>1462</v>
      </c>
      <c r="E242" s="54" t="n">
        <v>46197</v>
      </c>
      <c r="F242" s="54" t="n">
        <v>46191</v>
      </c>
      <c r="G242" s="0" t="s">
        <v>818</v>
      </c>
      <c r="H242" s="0" t="n">
        <v>1299105</v>
      </c>
      <c r="I242" s="0" t="n">
        <v>1</v>
      </c>
      <c r="J242" s="0" t="s">
        <v>1357</v>
      </c>
      <c r="K242" s="55" t="n">
        <v>1996.2</v>
      </c>
    </row>
    <row r="243" customFormat="false" ht="15" hidden="false" customHeight="false" outlineLevel="0" collapsed="false">
      <c r="A243" s="0" t="n">
        <v>2</v>
      </c>
      <c r="B243" s="0" t="n">
        <v>34213</v>
      </c>
      <c r="C243" s="0" t="s">
        <v>1418</v>
      </c>
      <c r="D243" s="0" t="s">
        <v>1463</v>
      </c>
      <c r="E243" s="54" t="n">
        <v>46197</v>
      </c>
      <c r="F243" s="54" t="n">
        <v>46190</v>
      </c>
      <c r="G243" s="0" t="s">
        <v>292</v>
      </c>
      <c r="H243" s="0" t="n">
        <v>1300279</v>
      </c>
      <c r="I243" s="0" t="n">
        <v>1</v>
      </c>
      <c r="J243" s="0" t="s">
        <v>1357</v>
      </c>
      <c r="K243" s="55" t="n">
        <v>1185.3</v>
      </c>
    </row>
    <row r="244" customFormat="false" ht="15" hidden="false" customHeight="false" outlineLevel="0" collapsed="false">
      <c r="A244" s="0" t="n">
        <v>2</v>
      </c>
      <c r="B244" s="0" t="n">
        <v>678</v>
      </c>
      <c r="C244" s="0" t="s">
        <v>1355</v>
      </c>
      <c r="D244" s="0" t="s">
        <v>1365</v>
      </c>
      <c r="E244" s="54" t="n">
        <v>46197</v>
      </c>
      <c r="F244" s="54" t="n">
        <v>46196</v>
      </c>
      <c r="G244" s="0" t="s">
        <v>194</v>
      </c>
      <c r="H244" s="0" t="n">
        <v>1299215</v>
      </c>
      <c r="I244" s="0" t="n">
        <v>1</v>
      </c>
      <c r="J244" s="0" t="s">
        <v>1357</v>
      </c>
      <c r="K244" s="55" t="n">
        <v>234.8</v>
      </c>
    </row>
    <row r="245" customFormat="false" ht="15" hidden="false" customHeight="false" outlineLevel="0" collapsed="false">
      <c r="A245" s="0" t="n">
        <v>2</v>
      </c>
      <c r="B245" s="0" t="n">
        <v>679</v>
      </c>
      <c r="C245" s="0" t="s">
        <v>1355</v>
      </c>
      <c r="D245" s="0" t="s">
        <v>1365</v>
      </c>
      <c r="E245" s="54" t="n">
        <v>46197</v>
      </c>
      <c r="F245" s="54" t="n">
        <v>46196</v>
      </c>
      <c r="G245" s="0" t="s">
        <v>194</v>
      </c>
      <c r="H245" s="0" t="n">
        <v>1299227</v>
      </c>
      <c r="I245" s="0" t="n">
        <v>1</v>
      </c>
      <c r="J245" s="0" t="s">
        <v>1357</v>
      </c>
      <c r="K245" s="55" t="n">
        <v>307.2</v>
      </c>
    </row>
    <row r="246" customFormat="false" ht="15" hidden="false" customHeight="false" outlineLevel="0" collapsed="false">
      <c r="A246" s="0" t="n">
        <v>2</v>
      </c>
      <c r="B246" s="0" t="n">
        <v>10860</v>
      </c>
      <c r="C246" s="0" t="s">
        <v>1363</v>
      </c>
      <c r="D246" s="0" t="s">
        <v>1464</v>
      </c>
      <c r="E246" s="54" t="n">
        <v>46197</v>
      </c>
      <c r="F246" s="54" t="n">
        <v>46185</v>
      </c>
      <c r="G246" s="0" t="s">
        <v>254</v>
      </c>
      <c r="H246" s="0" t="n">
        <v>1300232</v>
      </c>
      <c r="I246" s="0" t="n">
        <v>1</v>
      </c>
      <c r="J246" s="0" t="s">
        <v>1357</v>
      </c>
      <c r="K246" s="55" t="n">
        <v>6809.05</v>
      </c>
    </row>
    <row r="247" customFormat="false" ht="15" hidden="false" customHeight="false" outlineLevel="0" collapsed="false">
      <c r="A247" s="0" t="n">
        <v>2</v>
      </c>
      <c r="B247" s="0" t="n">
        <v>44</v>
      </c>
      <c r="C247" s="0" t="s">
        <v>1363</v>
      </c>
      <c r="D247" s="0" t="s">
        <v>1460</v>
      </c>
      <c r="E247" s="54" t="n">
        <v>46198</v>
      </c>
      <c r="F247" s="54" t="n">
        <v>46198</v>
      </c>
      <c r="G247" s="0" t="s">
        <v>463</v>
      </c>
      <c r="H247" s="0" t="n">
        <v>1309637</v>
      </c>
      <c r="I247" s="0" t="n">
        <v>1</v>
      </c>
      <c r="J247" s="0" t="s">
        <v>1357</v>
      </c>
      <c r="K247" s="55" t="n">
        <v>180</v>
      </c>
    </row>
    <row r="248" customFormat="false" ht="15" hidden="false" customHeight="false" outlineLevel="0" collapsed="false">
      <c r="A248" s="0" t="n">
        <v>2</v>
      </c>
      <c r="B248" s="0" t="n">
        <v>1175404</v>
      </c>
      <c r="C248" s="0" t="s">
        <v>1358</v>
      </c>
      <c r="D248" s="0" t="s">
        <v>1359</v>
      </c>
      <c r="E248" s="54" t="n">
        <v>46198</v>
      </c>
      <c r="F248" s="54" t="n">
        <v>46196</v>
      </c>
      <c r="G248" s="0" t="s">
        <v>119</v>
      </c>
      <c r="H248" s="0" t="n">
        <v>1304726</v>
      </c>
      <c r="I248" s="0" t="n">
        <v>11</v>
      </c>
      <c r="J248" s="0" t="s">
        <v>1357</v>
      </c>
      <c r="K248" s="55" t="n">
        <v>120.27</v>
      </c>
    </row>
    <row r="249" customFormat="false" ht="15" hidden="false" customHeight="false" outlineLevel="0" collapsed="false">
      <c r="A249" s="0" t="n">
        <v>2</v>
      </c>
      <c r="B249" s="0" t="n">
        <v>1899276</v>
      </c>
      <c r="C249" s="0" t="s">
        <v>1360</v>
      </c>
      <c r="D249" s="0" t="s">
        <v>1359</v>
      </c>
      <c r="E249" s="54" t="n">
        <v>46198</v>
      </c>
      <c r="F249" s="54" t="n">
        <v>46196</v>
      </c>
      <c r="G249" s="0" t="s">
        <v>119</v>
      </c>
      <c r="H249" s="0" t="n">
        <v>1304701</v>
      </c>
      <c r="I249" s="0" t="n">
        <v>1</v>
      </c>
      <c r="J249" s="0" t="s">
        <v>1357</v>
      </c>
      <c r="K249" s="55" t="n">
        <v>1547.44</v>
      </c>
    </row>
    <row r="250" customFormat="false" ht="15" hidden="false" customHeight="false" outlineLevel="0" collapsed="false">
      <c r="A250" s="0" t="n">
        <v>2</v>
      </c>
      <c r="B250" s="0" t="n">
        <v>172089</v>
      </c>
      <c r="C250" s="0" t="s">
        <v>1363</v>
      </c>
      <c r="D250" s="0" t="s">
        <v>1376</v>
      </c>
      <c r="E250" s="54" t="n">
        <v>46198</v>
      </c>
      <c r="F250" s="54" t="n">
        <v>46197</v>
      </c>
      <c r="G250" s="0" t="s">
        <v>332</v>
      </c>
      <c r="H250" s="0" t="n">
        <v>1305206</v>
      </c>
      <c r="I250" s="0" t="n">
        <v>1</v>
      </c>
      <c r="J250" s="0" t="s">
        <v>1357</v>
      </c>
      <c r="K250" s="55" t="n">
        <v>4001</v>
      </c>
    </row>
    <row r="251" customFormat="false" ht="15" hidden="false" customHeight="false" outlineLevel="0" collapsed="false">
      <c r="A251" s="0" t="n">
        <v>2</v>
      </c>
      <c r="B251" s="0" t="n">
        <v>1680694</v>
      </c>
      <c r="C251" s="0" t="s">
        <v>1363</v>
      </c>
      <c r="D251" s="0" t="s">
        <v>1371</v>
      </c>
      <c r="E251" s="54" t="n">
        <v>46198</v>
      </c>
      <c r="F251" s="54" t="n">
        <v>46198</v>
      </c>
      <c r="G251" s="0" t="s">
        <v>201</v>
      </c>
      <c r="H251" s="0" t="n">
        <v>1305623</v>
      </c>
      <c r="I251" s="0" t="n">
        <v>1</v>
      </c>
      <c r="J251" s="0" t="s">
        <v>1357</v>
      </c>
      <c r="K251" s="55" t="n">
        <v>1383</v>
      </c>
    </row>
    <row r="252" customFormat="false" ht="15" hidden="false" customHeight="false" outlineLevel="0" collapsed="false">
      <c r="A252" s="0" t="n">
        <v>2</v>
      </c>
      <c r="B252" s="0" t="n">
        <v>9495</v>
      </c>
      <c r="C252" s="0" t="s">
        <v>1363</v>
      </c>
      <c r="D252" s="0" t="s">
        <v>1465</v>
      </c>
      <c r="E252" s="54" t="n">
        <v>46198</v>
      </c>
      <c r="F252" s="54" t="n">
        <v>46193</v>
      </c>
      <c r="G252" s="0" t="s">
        <v>579</v>
      </c>
      <c r="H252" s="0" t="n">
        <v>1305945</v>
      </c>
      <c r="I252" s="0" t="n">
        <v>1</v>
      </c>
      <c r="J252" s="0" t="s">
        <v>1357</v>
      </c>
      <c r="K252" s="55" t="n">
        <v>2655.92</v>
      </c>
    </row>
    <row r="253" customFormat="false" ht="15" hidden="false" customHeight="false" outlineLevel="0" collapsed="false">
      <c r="A253" s="0" t="n">
        <v>2</v>
      </c>
      <c r="B253" s="0" t="n">
        <v>1637144</v>
      </c>
      <c r="C253" s="0" t="s">
        <v>1361</v>
      </c>
      <c r="D253" s="0" t="s">
        <v>1362</v>
      </c>
      <c r="E253" s="54" t="n">
        <v>46198</v>
      </c>
      <c r="F253" s="54" t="n">
        <v>46197</v>
      </c>
      <c r="G253" s="0" t="s">
        <v>369</v>
      </c>
      <c r="H253" s="0" t="n">
        <v>1304633</v>
      </c>
      <c r="I253" s="0" t="n">
        <v>1</v>
      </c>
      <c r="J253" s="0" t="s">
        <v>1357</v>
      </c>
      <c r="K253" s="55" t="n">
        <v>141</v>
      </c>
    </row>
    <row r="254" customFormat="false" ht="15" hidden="false" customHeight="false" outlineLevel="0" collapsed="false">
      <c r="A254" s="0" t="n">
        <v>2</v>
      </c>
      <c r="B254" s="0" t="n">
        <v>847</v>
      </c>
      <c r="C254" s="0" t="s">
        <v>1363</v>
      </c>
      <c r="D254" s="0" t="s">
        <v>1466</v>
      </c>
      <c r="E254" s="54" t="n">
        <v>46198</v>
      </c>
      <c r="F254" s="54" t="n">
        <v>46196</v>
      </c>
      <c r="G254" s="0" t="s">
        <v>577</v>
      </c>
      <c r="H254" s="0" t="n">
        <v>1304773</v>
      </c>
      <c r="I254" s="0" t="n">
        <v>1</v>
      </c>
      <c r="J254" s="0" t="s">
        <v>1357</v>
      </c>
      <c r="K254" s="55" t="n">
        <v>338.79</v>
      </c>
    </row>
    <row r="255" customFormat="false" ht="15" hidden="false" customHeight="false" outlineLevel="0" collapsed="false">
      <c r="A255" s="0" t="n">
        <v>2</v>
      </c>
      <c r="B255" s="0" t="n">
        <v>596</v>
      </c>
      <c r="C255" s="0" t="s">
        <v>1363</v>
      </c>
      <c r="D255" s="0" t="s">
        <v>1467</v>
      </c>
      <c r="E255" s="54" t="n">
        <v>46198</v>
      </c>
      <c r="F255" s="54" t="n">
        <v>46176</v>
      </c>
      <c r="G255" s="0" t="s">
        <v>611</v>
      </c>
      <c r="H255" s="0" t="n">
        <v>1306421</v>
      </c>
      <c r="I255" s="0" t="n">
        <v>11</v>
      </c>
      <c r="J255" s="0" t="s">
        <v>1357</v>
      </c>
      <c r="K255" s="55" t="n">
        <v>2829</v>
      </c>
    </row>
    <row r="256" customFormat="false" ht="15" hidden="false" customHeight="false" outlineLevel="0" collapsed="false">
      <c r="A256" s="0" t="n">
        <v>2</v>
      </c>
      <c r="B256" s="0" t="n">
        <v>1996</v>
      </c>
      <c r="C256" s="0" t="s">
        <v>1418</v>
      </c>
      <c r="D256" s="0" t="s">
        <v>1419</v>
      </c>
      <c r="E256" s="54" t="n">
        <v>46198</v>
      </c>
      <c r="F256" s="54" t="n">
        <v>46197</v>
      </c>
      <c r="G256" s="0" t="s">
        <v>512</v>
      </c>
      <c r="H256" s="0" t="n">
        <v>1304877</v>
      </c>
      <c r="I256" s="0" t="n">
        <v>1</v>
      </c>
      <c r="J256" s="0" t="s">
        <v>1357</v>
      </c>
      <c r="K256" s="55" t="n">
        <v>1159.5</v>
      </c>
    </row>
    <row r="257" customFormat="false" ht="15" hidden="false" customHeight="false" outlineLevel="0" collapsed="false">
      <c r="A257" s="0" t="n">
        <v>2</v>
      </c>
      <c r="B257" s="0" t="n">
        <v>590547</v>
      </c>
      <c r="C257" s="0" t="s">
        <v>1394</v>
      </c>
      <c r="D257" s="0" t="s">
        <v>1409</v>
      </c>
      <c r="E257" s="54" t="n">
        <v>46198</v>
      </c>
      <c r="F257" s="54" t="n">
        <v>46197</v>
      </c>
      <c r="G257" s="0" t="s">
        <v>412</v>
      </c>
      <c r="H257" s="0" t="n">
        <v>1306154</v>
      </c>
      <c r="I257" s="0" t="n">
        <v>1</v>
      </c>
      <c r="J257" s="0" t="s">
        <v>1357</v>
      </c>
      <c r="K257" s="55" t="n">
        <v>262</v>
      </c>
    </row>
    <row r="258" customFormat="false" ht="15" hidden="false" customHeight="false" outlineLevel="0" collapsed="false">
      <c r="A258" s="0" t="n">
        <v>2</v>
      </c>
      <c r="B258" s="0" t="n">
        <v>1600681</v>
      </c>
      <c r="C258" s="0" t="s">
        <v>1363</v>
      </c>
      <c r="D258" s="0" t="s">
        <v>1412</v>
      </c>
      <c r="E258" s="54" t="n">
        <v>46199</v>
      </c>
      <c r="F258" s="54" t="n">
        <v>46199</v>
      </c>
      <c r="G258" s="0" t="s">
        <v>94</v>
      </c>
      <c r="H258" s="0" t="n">
        <v>1309874</v>
      </c>
      <c r="I258" s="0" t="n">
        <v>1</v>
      </c>
      <c r="J258" s="0" t="s">
        <v>1357</v>
      </c>
      <c r="K258" s="55" t="n">
        <v>3762.93</v>
      </c>
    </row>
    <row r="259" customFormat="false" ht="15" hidden="false" customHeight="false" outlineLevel="0" collapsed="false">
      <c r="A259" s="0" t="n">
        <v>2</v>
      </c>
      <c r="B259" s="0" t="n">
        <v>1029069</v>
      </c>
      <c r="C259" s="0" t="s">
        <v>1363</v>
      </c>
      <c r="D259" s="0" t="s">
        <v>1370</v>
      </c>
      <c r="E259" s="54" t="n">
        <v>46199</v>
      </c>
      <c r="F259" s="54" t="n">
        <v>46198</v>
      </c>
      <c r="G259" s="0" t="s">
        <v>210</v>
      </c>
      <c r="H259" s="0" t="n">
        <v>1309652</v>
      </c>
      <c r="I259" s="0" t="n">
        <v>1</v>
      </c>
      <c r="J259" s="0" t="s">
        <v>1357</v>
      </c>
      <c r="K259" s="55" t="n">
        <v>305.38</v>
      </c>
    </row>
    <row r="260" customFormat="false" ht="15" hidden="false" customHeight="false" outlineLevel="0" collapsed="false">
      <c r="A260" s="0" t="n">
        <v>2</v>
      </c>
      <c r="B260" s="0" t="n">
        <v>305929</v>
      </c>
      <c r="C260" s="0" t="s">
        <v>1363</v>
      </c>
      <c r="D260" s="0" t="s">
        <v>1385</v>
      </c>
      <c r="E260" s="54" t="n">
        <v>46199</v>
      </c>
      <c r="F260" s="54" t="n">
        <v>46198</v>
      </c>
      <c r="G260" s="0" t="s">
        <v>208</v>
      </c>
      <c r="H260" s="0" t="n">
        <v>1310401</v>
      </c>
      <c r="I260" s="0" t="n">
        <v>1</v>
      </c>
      <c r="J260" s="0" t="s">
        <v>1357</v>
      </c>
      <c r="K260" s="55" t="n">
        <v>3552.2</v>
      </c>
    </row>
    <row r="261" customFormat="false" ht="15" hidden="false" customHeight="false" outlineLevel="0" collapsed="false">
      <c r="A261" s="0" t="n">
        <v>2</v>
      </c>
      <c r="B261" s="0" t="n">
        <v>31144</v>
      </c>
      <c r="C261" s="0" t="s">
        <v>1363</v>
      </c>
      <c r="D261" s="0" t="s">
        <v>1377</v>
      </c>
      <c r="E261" s="54" t="n">
        <v>46199</v>
      </c>
      <c r="F261" s="54" t="n">
        <v>46198</v>
      </c>
      <c r="G261" s="0" t="s">
        <v>126</v>
      </c>
      <c r="H261" s="0" t="n">
        <v>1309632</v>
      </c>
      <c r="I261" s="0" t="n">
        <v>1</v>
      </c>
      <c r="J261" s="0" t="s">
        <v>1357</v>
      </c>
      <c r="K261" s="55" t="n">
        <v>199</v>
      </c>
    </row>
    <row r="262" customFormat="false" ht="15" hidden="false" customHeight="false" outlineLevel="0" collapsed="false">
      <c r="A262" s="0" t="n">
        <v>2</v>
      </c>
      <c r="B262" s="0" t="n">
        <v>1420058</v>
      </c>
      <c r="C262" s="0" t="s">
        <v>1363</v>
      </c>
      <c r="D262" s="0" t="s">
        <v>1417</v>
      </c>
      <c r="E262" s="54" t="n">
        <v>46199</v>
      </c>
      <c r="F262" s="54" t="n">
        <v>46196</v>
      </c>
      <c r="G262" s="0" t="s">
        <v>417</v>
      </c>
      <c r="H262" s="0" t="n">
        <v>1310309</v>
      </c>
      <c r="I262" s="0" t="n">
        <v>1</v>
      </c>
      <c r="J262" s="0" t="s">
        <v>1357</v>
      </c>
      <c r="K262" s="55" t="n">
        <v>418.83</v>
      </c>
    </row>
    <row r="263" customFormat="false" ht="15" hidden="false" customHeight="false" outlineLevel="0" collapsed="false">
      <c r="A263" s="0" t="n">
        <v>2</v>
      </c>
      <c r="B263" s="0" t="n">
        <v>1420059</v>
      </c>
      <c r="C263" s="0" t="s">
        <v>1363</v>
      </c>
      <c r="D263" s="0" t="s">
        <v>1417</v>
      </c>
      <c r="E263" s="54" t="n">
        <v>46199</v>
      </c>
      <c r="F263" s="54" t="n">
        <v>46196</v>
      </c>
      <c r="G263" s="0" t="s">
        <v>417</v>
      </c>
      <c r="H263" s="0" t="n">
        <v>1310314</v>
      </c>
      <c r="I263" s="0" t="n">
        <v>11</v>
      </c>
      <c r="J263" s="0" t="s">
        <v>1357</v>
      </c>
      <c r="K263" s="55" t="n">
        <v>20.3</v>
      </c>
    </row>
    <row r="264" customFormat="false" ht="15" hidden="false" customHeight="false" outlineLevel="0" collapsed="false">
      <c r="A264" s="0" t="n">
        <v>2</v>
      </c>
      <c r="B264" s="0" t="n">
        <v>2510</v>
      </c>
      <c r="C264" s="0" t="s">
        <v>1363</v>
      </c>
      <c r="D264" s="0" t="s">
        <v>1373</v>
      </c>
      <c r="E264" s="54" t="n">
        <v>46199</v>
      </c>
      <c r="F264" s="54" t="n">
        <v>46199</v>
      </c>
      <c r="G264" s="0" t="s">
        <v>132</v>
      </c>
      <c r="H264" s="0" t="n">
        <v>1310128</v>
      </c>
      <c r="I264" s="0" t="n">
        <v>6</v>
      </c>
      <c r="J264" s="0" t="s">
        <v>1357</v>
      </c>
      <c r="K264" s="55" t="n">
        <v>210</v>
      </c>
    </row>
    <row r="265" customFormat="false" ht="15" hidden="false" customHeight="false" outlineLevel="0" collapsed="false">
      <c r="A265" s="0" t="n">
        <v>2</v>
      </c>
      <c r="B265" s="0" t="n">
        <v>2511</v>
      </c>
      <c r="C265" s="0" t="s">
        <v>1363</v>
      </c>
      <c r="D265" s="0" t="s">
        <v>1373</v>
      </c>
      <c r="E265" s="54" t="n">
        <v>46199</v>
      </c>
      <c r="F265" s="54" t="n">
        <v>46199</v>
      </c>
      <c r="G265" s="0" t="s">
        <v>132</v>
      </c>
      <c r="H265" s="0" t="n">
        <v>1310262</v>
      </c>
      <c r="I265" s="0" t="n">
        <v>6</v>
      </c>
      <c r="J265" s="0" t="s">
        <v>1357</v>
      </c>
      <c r="K265" s="55" t="n">
        <v>1401.82</v>
      </c>
    </row>
    <row r="266" customFormat="false" ht="15" hidden="false" customHeight="false" outlineLevel="0" collapsed="false">
      <c r="A266" s="0" t="n">
        <v>2</v>
      </c>
      <c r="B266" s="0" t="n">
        <v>26626</v>
      </c>
      <c r="C266" s="0" t="s">
        <v>1363</v>
      </c>
      <c r="D266" s="0" t="s">
        <v>1373</v>
      </c>
      <c r="E266" s="54" t="n">
        <v>46199</v>
      </c>
      <c r="F266" s="54" t="n">
        <v>46199</v>
      </c>
      <c r="G266" s="0" t="s">
        <v>132</v>
      </c>
      <c r="H266" s="0" t="n">
        <v>1310124</v>
      </c>
      <c r="I266" s="0" t="n">
        <v>2</v>
      </c>
      <c r="J266" s="0" t="s">
        <v>1357</v>
      </c>
      <c r="K266" s="55" t="n">
        <v>210</v>
      </c>
    </row>
    <row r="267" customFormat="false" ht="15" hidden="false" customHeight="false" outlineLevel="0" collapsed="false">
      <c r="A267" s="0" t="n">
        <v>2</v>
      </c>
      <c r="B267" s="0" t="n">
        <v>2662026</v>
      </c>
      <c r="C267" s="0" t="s">
        <v>1363</v>
      </c>
      <c r="D267" s="0" t="s">
        <v>1373</v>
      </c>
      <c r="E267" s="54" t="n">
        <v>46199</v>
      </c>
      <c r="F267" s="54" t="n">
        <v>46199</v>
      </c>
      <c r="G267" s="0" t="s">
        <v>132</v>
      </c>
      <c r="H267" s="0" t="n">
        <v>1310249</v>
      </c>
      <c r="I267" s="0" t="n">
        <v>2</v>
      </c>
      <c r="J267" s="0" t="s">
        <v>1357</v>
      </c>
      <c r="K267" s="55" t="n">
        <v>1401.82</v>
      </c>
    </row>
    <row r="268" customFormat="false" ht="15" hidden="false" customHeight="false" outlineLevel="0" collapsed="false">
      <c r="A268" s="0" t="n">
        <v>2</v>
      </c>
      <c r="B268" s="0" t="n">
        <v>685</v>
      </c>
      <c r="C268" s="0" t="s">
        <v>1355</v>
      </c>
      <c r="D268" s="0" t="s">
        <v>1365</v>
      </c>
      <c r="E268" s="54" t="n">
        <v>46199</v>
      </c>
      <c r="F268" s="54" t="n">
        <v>46199</v>
      </c>
      <c r="G268" s="0" t="s">
        <v>194</v>
      </c>
      <c r="H268" s="0" t="n">
        <v>1310299</v>
      </c>
      <c r="I268" s="0" t="n">
        <v>1</v>
      </c>
      <c r="J268" s="0" t="s">
        <v>1357</v>
      </c>
      <c r="K268" s="55" t="n">
        <v>345.65</v>
      </c>
    </row>
    <row r="269" customFormat="false" ht="15" hidden="false" customHeight="false" outlineLevel="0" collapsed="false">
      <c r="A269" s="0" t="n">
        <v>2</v>
      </c>
      <c r="B269" s="0" t="n">
        <v>305</v>
      </c>
      <c r="C269" s="0" t="s">
        <v>1363</v>
      </c>
      <c r="D269" s="0" t="s">
        <v>1390</v>
      </c>
      <c r="E269" s="54" t="n">
        <v>46200</v>
      </c>
      <c r="F269" s="54" t="n">
        <v>46185</v>
      </c>
      <c r="G269" s="0" t="s">
        <v>1391</v>
      </c>
      <c r="H269" s="0" t="n">
        <v>1312808</v>
      </c>
      <c r="I269" s="0" t="n">
        <v>1</v>
      </c>
      <c r="J269" s="0" t="s">
        <v>1357</v>
      </c>
      <c r="K269" s="55" t="n">
        <v>212</v>
      </c>
    </row>
    <row r="270" customFormat="false" ht="15" hidden="false" customHeight="false" outlineLevel="0" collapsed="false">
      <c r="A270" s="0" t="n">
        <v>2</v>
      </c>
      <c r="B270" s="0" t="n">
        <v>325</v>
      </c>
      <c r="C270" s="0" t="s">
        <v>1363</v>
      </c>
      <c r="D270" s="0" t="s">
        <v>1390</v>
      </c>
      <c r="E270" s="54" t="n">
        <v>46200</v>
      </c>
      <c r="F270" s="54" t="n">
        <v>46199</v>
      </c>
      <c r="G270" s="0" t="s">
        <v>1391</v>
      </c>
      <c r="H270" s="0" t="n">
        <v>1312818</v>
      </c>
      <c r="I270" s="0" t="n">
        <v>1</v>
      </c>
      <c r="J270" s="0" t="s">
        <v>1357</v>
      </c>
      <c r="K270" s="55" t="n">
        <v>310</v>
      </c>
    </row>
    <row r="271" customFormat="false" ht="15" hidden="false" customHeight="false" outlineLevel="0" collapsed="false">
      <c r="A271" s="0" t="n">
        <v>2</v>
      </c>
      <c r="B271" s="0" t="n">
        <v>316</v>
      </c>
      <c r="C271" s="0" t="s">
        <v>1363</v>
      </c>
      <c r="D271" s="0" t="s">
        <v>1369</v>
      </c>
      <c r="E271" s="54" t="n">
        <v>46200</v>
      </c>
      <c r="F271" s="54" t="n">
        <v>46198</v>
      </c>
      <c r="G271" s="0" t="s">
        <v>220</v>
      </c>
      <c r="H271" s="0" t="n">
        <v>1312574</v>
      </c>
      <c r="I271" s="0" t="n">
        <v>1</v>
      </c>
      <c r="J271" s="0" t="s">
        <v>1357</v>
      </c>
      <c r="K271" s="55" t="n">
        <v>899.95</v>
      </c>
    </row>
    <row r="272" customFormat="false" ht="15" hidden="false" customHeight="false" outlineLevel="0" collapsed="false">
      <c r="A272" s="0" t="n">
        <v>2</v>
      </c>
      <c r="B272" s="0" t="n">
        <v>77922</v>
      </c>
      <c r="C272" s="0" t="s">
        <v>1363</v>
      </c>
      <c r="D272" s="0" t="s">
        <v>1468</v>
      </c>
      <c r="E272" s="54" t="n">
        <v>46200</v>
      </c>
      <c r="F272" s="54" t="n">
        <v>46197</v>
      </c>
      <c r="G272" s="0" t="s">
        <v>733</v>
      </c>
      <c r="H272" s="0" t="n">
        <v>1312612</v>
      </c>
      <c r="I272" s="0" t="n">
        <v>1</v>
      </c>
      <c r="J272" s="0" t="s">
        <v>1357</v>
      </c>
      <c r="K272" s="55" t="n">
        <v>155.16</v>
      </c>
    </row>
    <row r="273" customFormat="false" ht="15" hidden="false" customHeight="false" outlineLevel="0" collapsed="false">
      <c r="A273" s="0" t="n">
        <v>2</v>
      </c>
      <c r="B273" s="0" t="n">
        <v>18889</v>
      </c>
      <c r="C273" s="0" t="s">
        <v>1404</v>
      </c>
      <c r="D273" s="0" t="s">
        <v>1405</v>
      </c>
      <c r="E273" s="54" t="n">
        <v>46200</v>
      </c>
      <c r="F273" s="54" t="n">
        <v>46199</v>
      </c>
      <c r="G273" s="0" t="s">
        <v>351</v>
      </c>
      <c r="H273" s="0" t="n">
        <v>1312835</v>
      </c>
      <c r="I273" s="0" t="n">
        <v>1</v>
      </c>
      <c r="J273" s="0" t="s">
        <v>1357</v>
      </c>
      <c r="K273" s="55" t="n">
        <v>796.74</v>
      </c>
    </row>
    <row r="274" customFormat="false" ht="15" hidden="false" customHeight="false" outlineLevel="0" collapsed="false">
      <c r="A274" s="0" t="n">
        <v>2</v>
      </c>
      <c r="B274" s="0" t="n">
        <v>1638704</v>
      </c>
      <c r="C274" s="0" t="s">
        <v>1361</v>
      </c>
      <c r="D274" s="0" t="s">
        <v>1362</v>
      </c>
      <c r="E274" s="54" t="n">
        <v>46200</v>
      </c>
      <c r="F274" s="54" t="n">
        <v>46199</v>
      </c>
      <c r="G274" s="0" t="s">
        <v>369</v>
      </c>
      <c r="H274" s="0" t="n">
        <v>1312567</v>
      </c>
      <c r="I274" s="0" t="n">
        <v>1</v>
      </c>
      <c r="J274" s="0" t="s">
        <v>1357</v>
      </c>
      <c r="K274" s="55" t="n">
        <v>54</v>
      </c>
    </row>
    <row r="275" customFormat="false" ht="15" hidden="false" customHeight="false" outlineLevel="0" collapsed="false">
      <c r="A275" s="0" t="n">
        <v>2</v>
      </c>
      <c r="B275" s="0" t="n">
        <v>5720</v>
      </c>
      <c r="C275" s="0" t="s">
        <v>1363</v>
      </c>
      <c r="D275" s="0" t="s">
        <v>1382</v>
      </c>
      <c r="E275" s="54" t="n">
        <v>46200</v>
      </c>
      <c r="F275" s="54" t="n">
        <v>46200</v>
      </c>
      <c r="G275" s="0" t="s">
        <v>1383</v>
      </c>
      <c r="H275" s="0" t="n">
        <v>1312583</v>
      </c>
      <c r="I275" s="0" t="n">
        <v>1</v>
      </c>
      <c r="J275" s="0" t="s">
        <v>1357</v>
      </c>
      <c r="K275" s="55" t="n">
        <v>358.65</v>
      </c>
    </row>
    <row r="276" customFormat="false" ht="15" hidden="false" customHeight="false" outlineLevel="0" collapsed="false">
      <c r="A276" s="0" t="n">
        <v>2</v>
      </c>
      <c r="B276" s="0" t="n">
        <v>14560</v>
      </c>
      <c r="C276" s="0" t="s">
        <v>1363</v>
      </c>
      <c r="D276" s="0" t="s">
        <v>1364</v>
      </c>
      <c r="E276" s="54" t="n">
        <v>46200</v>
      </c>
      <c r="F276" s="54" t="n">
        <v>46199</v>
      </c>
      <c r="G276" s="0" t="s">
        <v>248</v>
      </c>
      <c r="H276" s="0" t="n">
        <v>1313051</v>
      </c>
      <c r="I276" s="0" t="n">
        <v>1</v>
      </c>
      <c r="J276" s="0" t="s">
        <v>1357</v>
      </c>
      <c r="K276" s="55" t="n">
        <v>1997.03</v>
      </c>
    </row>
    <row r="277" customFormat="false" ht="15" hidden="false" customHeight="false" outlineLevel="0" collapsed="false">
      <c r="A277" s="0" t="n">
        <v>2</v>
      </c>
      <c r="B277" s="0" t="n">
        <v>564993</v>
      </c>
      <c r="C277" s="0" t="s">
        <v>1401</v>
      </c>
      <c r="D277" s="0" t="s">
        <v>1402</v>
      </c>
      <c r="E277" s="54" t="n">
        <v>46200</v>
      </c>
      <c r="F277" s="54" t="n">
        <v>46197</v>
      </c>
      <c r="G277" s="0" t="s">
        <v>206</v>
      </c>
      <c r="H277" s="0" t="n">
        <v>1312633</v>
      </c>
      <c r="I277" s="0" t="n">
        <v>11</v>
      </c>
      <c r="J277" s="0" t="s">
        <v>1357</v>
      </c>
      <c r="K277" s="55" t="n">
        <v>17128.52</v>
      </c>
    </row>
    <row r="278" customFormat="false" ht="15" hidden="false" customHeight="false" outlineLevel="0" collapsed="false">
      <c r="A278" s="0" t="n">
        <v>2</v>
      </c>
      <c r="B278" s="0" t="n">
        <v>513</v>
      </c>
      <c r="C278" s="0" t="s">
        <v>1363</v>
      </c>
      <c r="D278" s="0" t="s">
        <v>1368</v>
      </c>
      <c r="E278" s="54" t="n">
        <v>46202</v>
      </c>
      <c r="F278" s="54" t="n">
        <v>46199</v>
      </c>
      <c r="G278" s="0" t="s">
        <v>130</v>
      </c>
      <c r="H278" s="0" t="n">
        <v>1321674</v>
      </c>
      <c r="I278" s="0" t="n">
        <v>1</v>
      </c>
      <c r="J278" s="0" t="s">
        <v>1357</v>
      </c>
      <c r="K278" s="55" t="n">
        <v>180</v>
      </c>
    </row>
    <row r="279" customFormat="false" ht="15" hidden="false" customHeight="false" outlineLevel="0" collapsed="false">
      <c r="A279" s="0" t="n">
        <v>2</v>
      </c>
      <c r="B279" s="0" t="n">
        <v>1180339</v>
      </c>
      <c r="C279" s="0" t="s">
        <v>1358</v>
      </c>
      <c r="D279" s="0" t="s">
        <v>1359</v>
      </c>
      <c r="E279" s="54" t="n">
        <v>46202</v>
      </c>
      <c r="F279" s="54" t="n">
        <v>46199</v>
      </c>
      <c r="G279" s="0" t="s">
        <v>119</v>
      </c>
      <c r="H279" s="0" t="n">
        <v>1322169</v>
      </c>
      <c r="I279" s="0" t="n">
        <v>1</v>
      </c>
      <c r="J279" s="0" t="s">
        <v>1357</v>
      </c>
      <c r="K279" s="55" t="n">
        <v>29.3</v>
      </c>
    </row>
    <row r="280" customFormat="false" ht="15" hidden="false" customHeight="false" outlineLevel="0" collapsed="false">
      <c r="A280" s="0" t="n">
        <v>2</v>
      </c>
      <c r="B280" s="0" t="n">
        <v>1906109</v>
      </c>
      <c r="C280" s="0" t="s">
        <v>1360</v>
      </c>
      <c r="D280" s="0" t="s">
        <v>1359</v>
      </c>
      <c r="E280" s="54" t="n">
        <v>46202</v>
      </c>
      <c r="F280" s="54" t="n">
        <v>46199</v>
      </c>
      <c r="G280" s="0" t="s">
        <v>119</v>
      </c>
      <c r="H280" s="0" t="n">
        <v>1322190</v>
      </c>
      <c r="I280" s="0" t="n">
        <v>1</v>
      </c>
      <c r="J280" s="0" t="s">
        <v>1357</v>
      </c>
      <c r="K280" s="55" t="n">
        <v>970.33</v>
      </c>
    </row>
    <row r="281" customFormat="false" ht="15" hidden="false" customHeight="false" outlineLevel="0" collapsed="false">
      <c r="A281" s="0" t="n">
        <v>2</v>
      </c>
      <c r="B281" s="0" t="n">
        <v>1906318</v>
      </c>
      <c r="C281" s="0" t="s">
        <v>1360</v>
      </c>
      <c r="D281" s="0" t="s">
        <v>1359</v>
      </c>
      <c r="E281" s="54" t="n">
        <v>46202</v>
      </c>
      <c r="F281" s="54" t="n">
        <v>46199</v>
      </c>
      <c r="G281" s="0" t="s">
        <v>119</v>
      </c>
      <c r="H281" s="0" t="n">
        <v>1322180</v>
      </c>
      <c r="I281" s="0" t="n">
        <v>1</v>
      </c>
      <c r="J281" s="0" t="s">
        <v>1357</v>
      </c>
      <c r="K281" s="55" t="n">
        <v>156.29</v>
      </c>
    </row>
    <row r="282" customFormat="false" ht="15" hidden="false" customHeight="false" outlineLevel="0" collapsed="false">
      <c r="A282" s="0" t="n">
        <v>2</v>
      </c>
      <c r="B282" s="0" t="n">
        <v>877177</v>
      </c>
      <c r="C282" s="0" t="s">
        <v>1422</v>
      </c>
      <c r="D282" s="0" t="s">
        <v>1423</v>
      </c>
      <c r="E282" s="54" t="n">
        <v>46202</v>
      </c>
      <c r="F282" s="54" t="n">
        <v>46198</v>
      </c>
      <c r="G282" s="0" t="s">
        <v>212</v>
      </c>
      <c r="H282" s="0" t="n">
        <v>1321849</v>
      </c>
      <c r="I282" s="0" t="n">
        <v>1</v>
      </c>
      <c r="J282" s="0" t="s">
        <v>1357</v>
      </c>
      <c r="K282" s="55" t="n">
        <v>2453.23</v>
      </c>
    </row>
    <row r="283" customFormat="false" ht="15" hidden="false" customHeight="false" outlineLevel="0" collapsed="false">
      <c r="A283" s="0" t="n">
        <v>2</v>
      </c>
      <c r="B283" s="0" t="n">
        <v>1638958</v>
      </c>
      <c r="C283" s="0" t="s">
        <v>1361</v>
      </c>
      <c r="D283" s="0" t="s">
        <v>1362</v>
      </c>
      <c r="E283" s="54" t="n">
        <v>46202</v>
      </c>
      <c r="F283" s="54" t="n">
        <v>46200</v>
      </c>
      <c r="G283" s="0" t="s">
        <v>369</v>
      </c>
      <c r="H283" s="0" t="n">
        <v>1321679</v>
      </c>
      <c r="I283" s="0" t="n">
        <v>1</v>
      </c>
      <c r="J283" s="0" t="s">
        <v>1357</v>
      </c>
      <c r="K283" s="55" t="n">
        <v>115.5</v>
      </c>
    </row>
    <row r="284" customFormat="false" ht="15" hidden="false" customHeight="false" outlineLevel="0" collapsed="false">
      <c r="A284" s="0" t="n">
        <v>2</v>
      </c>
      <c r="B284" s="0" t="n">
        <v>389368</v>
      </c>
      <c r="C284" s="0" t="s">
        <v>1363</v>
      </c>
      <c r="D284" s="0" t="s">
        <v>1384</v>
      </c>
      <c r="E284" s="54" t="n">
        <v>46202</v>
      </c>
      <c r="F284" s="54" t="n">
        <v>46198</v>
      </c>
      <c r="G284" s="0" t="s">
        <v>164</v>
      </c>
      <c r="H284" s="0" t="n">
        <v>1321921</v>
      </c>
      <c r="I284" s="0" t="n">
        <v>11</v>
      </c>
      <c r="J284" s="0" t="s">
        <v>1357</v>
      </c>
      <c r="K284" s="55" t="n">
        <v>743.76</v>
      </c>
    </row>
    <row r="285" customFormat="false" ht="15" hidden="false" customHeight="false" outlineLevel="0" collapsed="false">
      <c r="A285" s="0" t="n">
        <v>2</v>
      </c>
      <c r="B285" s="0" t="n">
        <v>14569</v>
      </c>
      <c r="C285" s="0" t="s">
        <v>1363</v>
      </c>
      <c r="D285" s="0" t="s">
        <v>1364</v>
      </c>
      <c r="E285" s="54" t="n">
        <v>46202</v>
      </c>
      <c r="F285" s="54" t="n">
        <v>46200</v>
      </c>
      <c r="G285" s="0" t="s">
        <v>248</v>
      </c>
      <c r="H285" s="0" t="n">
        <v>1322010</v>
      </c>
      <c r="I285" s="0" t="n">
        <v>1</v>
      </c>
      <c r="J285" s="0" t="s">
        <v>1357</v>
      </c>
      <c r="K285" s="55" t="n">
        <v>2606.5</v>
      </c>
    </row>
    <row r="286" customFormat="false" ht="15" hidden="false" customHeight="false" outlineLevel="0" collapsed="false">
      <c r="A286" s="0" t="n">
        <v>2</v>
      </c>
      <c r="B286" s="0" t="n">
        <v>2516</v>
      </c>
      <c r="C286" s="0" t="s">
        <v>1363</v>
      </c>
      <c r="D286" s="0" t="s">
        <v>1373</v>
      </c>
      <c r="E286" s="54" t="n">
        <v>46202</v>
      </c>
      <c r="F286" s="54" t="n">
        <v>46202</v>
      </c>
      <c r="G286" s="0" t="s">
        <v>132</v>
      </c>
      <c r="H286" s="0" t="n">
        <v>1324941</v>
      </c>
      <c r="I286" s="0" t="n">
        <v>6</v>
      </c>
      <c r="J286" s="0" t="s">
        <v>1357</v>
      </c>
      <c r="K286" s="55" t="n">
        <v>210</v>
      </c>
    </row>
    <row r="287" customFormat="false" ht="15" hidden="false" customHeight="false" outlineLevel="0" collapsed="false">
      <c r="A287" s="0" t="n">
        <v>2</v>
      </c>
      <c r="B287" s="0" t="n">
        <v>29626</v>
      </c>
      <c r="C287" s="0" t="s">
        <v>1363</v>
      </c>
      <c r="D287" s="0" t="s">
        <v>1373</v>
      </c>
      <c r="E287" s="54" t="n">
        <v>46202</v>
      </c>
      <c r="F287" s="54" t="n">
        <v>46202</v>
      </c>
      <c r="G287" s="0" t="s">
        <v>132</v>
      </c>
      <c r="H287" s="0" t="n">
        <v>1324904</v>
      </c>
      <c r="I287" s="0" t="n">
        <v>2</v>
      </c>
      <c r="J287" s="0" t="s">
        <v>1357</v>
      </c>
      <c r="K287" s="55" t="n">
        <v>210</v>
      </c>
    </row>
    <row r="288" customFormat="false" ht="15" hidden="false" customHeight="false" outlineLevel="0" collapsed="false">
      <c r="A288" s="0" t="n">
        <v>2</v>
      </c>
      <c r="B288" s="0" t="n">
        <v>515</v>
      </c>
      <c r="C288" s="0" t="s">
        <v>1363</v>
      </c>
      <c r="D288" s="0" t="s">
        <v>1368</v>
      </c>
      <c r="E288" s="54" t="n">
        <v>46203</v>
      </c>
      <c r="F288" s="54" t="n">
        <v>46202</v>
      </c>
      <c r="G288" s="0" t="s">
        <v>130</v>
      </c>
      <c r="H288" s="0" t="n">
        <v>1330382</v>
      </c>
      <c r="I288" s="0" t="n">
        <v>1</v>
      </c>
      <c r="J288" s="0" t="s">
        <v>1357</v>
      </c>
      <c r="K288" s="55" t="n">
        <v>180</v>
      </c>
    </row>
    <row r="289" customFormat="false" ht="15" hidden="false" customHeight="false" outlineLevel="0" collapsed="false">
      <c r="A289" s="0" t="n">
        <v>2</v>
      </c>
      <c r="B289" s="0" t="n">
        <v>1639400</v>
      </c>
      <c r="C289" s="0" t="s">
        <v>1361</v>
      </c>
      <c r="D289" s="0" t="s">
        <v>1362</v>
      </c>
      <c r="E289" s="54" t="n">
        <v>46203</v>
      </c>
      <c r="F289" s="54" t="n">
        <v>46202</v>
      </c>
      <c r="G289" s="0" t="s">
        <v>369</v>
      </c>
      <c r="H289" s="0" t="n">
        <v>1329534</v>
      </c>
      <c r="I289" s="0" t="n">
        <v>1</v>
      </c>
      <c r="J289" s="0" t="s">
        <v>1357</v>
      </c>
      <c r="K289" s="55" t="n">
        <v>130</v>
      </c>
    </row>
    <row r="290" customFormat="false" ht="15" hidden="false" customHeight="false" outlineLevel="0" collapsed="false">
      <c r="A290" s="0" t="n">
        <v>2</v>
      </c>
      <c r="B290" s="0" t="n">
        <v>3453</v>
      </c>
      <c r="C290" s="0" t="s">
        <v>1363</v>
      </c>
      <c r="D290" s="0" t="s">
        <v>1381</v>
      </c>
      <c r="E290" s="54" t="n">
        <v>46203</v>
      </c>
      <c r="F290" s="54" t="n">
        <v>46203</v>
      </c>
      <c r="G290" s="0" t="s">
        <v>171</v>
      </c>
      <c r="H290" s="0" t="n">
        <v>1330369</v>
      </c>
      <c r="I290" s="0" t="n">
        <v>1</v>
      </c>
      <c r="J290" s="0" t="s">
        <v>1357</v>
      </c>
      <c r="K290" s="55" t="n">
        <v>122</v>
      </c>
    </row>
    <row r="291" customFormat="false" ht="15" hidden="false" customHeight="false" outlineLevel="0" collapsed="false">
      <c r="A291" s="0" t="n">
        <v>2</v>
      </c>
      <c r="B291" s="0" t="n">
        <v>2517</v>
      </c>
      <c r="C291" s="0" t="s">
        <v>1363</v>
      </c>
      <c r="D291" s="0" t="s">
        <v>1373</v>
      </c>
      <c r="E291" s="54" t="n">
        <v>46203</v>
      </c>
      <c r="F291" s="54" t="n">
        <v>46203</v>
      </c>
      <c r="G291" s="0" t="s">
        <v>132</v>
      </c>
      <c r="H291" s="0" t="n">
        <v>1330477</v>
      </c>
      <c r="I291" s="0" t="n">
        <v>6</v>
      </c>
      <c r="J291" s="0" t="s">
        <v>1357</v>
      </c>
      <c r="K291" s="55" t="n">
        <v>1748.86</v>
      </c>
    </row>
    <row r="292" customFormat="false" ht="15" hidden="false" customHeight="false" outlineLevel="0" collapsed="false">
      <c r="A292" s="0" t="n">
        <v>2</v>
      </c>
      <c r="B292" s="0" t="n">
        <v>30626</v>
      </c>
      <c r="C292" s="0" t="s">
        <v>1363</v>
      </c>
      <c r="D292" s="0" t="s">
        <v>1373</v>
      </c>
      <c r="E292" s="54" t="n">
        <v>46203</v>
      </c>
      <c r="F292" s="54" t="n">
        <v>46203</v>
      </c>
      <c r="G292" s="0" t="s">
        <v>132</v>
      </c>
      <c r="H292" s="0" t="n">
        <v>1330472</v>
      </c>
      <c r="I292" s="0" t="n">
        <v>2</v>
      </c>
      <c r="J292" s="0" t="s">
        <v>1357</v>
      </c>
      <c r="K292" s="55" t="n">
        <v>1748.86</v>
      </c>
    </row>
    <row r="293" customFormat="false" ht="15" hidden="false" customHeight="false" outlineLevel="0" collapsed="false">
      <c r="A293" s="0" t="n">
        <v>2</v>
      </c>
      <c r="B293" s="0" t="n">
        <v>1777487</v>
      </c>
      <c r="C293" s="0" t="s">
        <v>1427</v>
      </c>
      <c r="D293" s="0" t="s">
        <v>1428</v>
      </c>
      <c r="E293" s="54" t="n">
        <v>46204</v>
      </c>
      <c r="F293" s="54" t="n">
        <v>46203</v>
      </c>
      <c r="G293" s="0" t="s">
        <v>156</v>
      </c>
      <c r="H293" s="0" t="n">
        <v>1333898</v>
      </c>
      <c r="I293" s="0" t="n">
        <v>1</v>
      </c>
      <c r="J293" s="0" t="s">
        <v>1357</v>
      </c>
      <c r="K293" s="55" t="n">
        <v>1626.33</v>
      </c>
    </row>
    <row r="294" customFormat="false" ht="15" hidden="false" customHeight="false" outlineLevel="0" collapsed="false">
      <c r="A294" s="0" t="n">
        <v>2</v>
      </c>
      <c r="B294" s="0" t="n">
        <v>1726</v>
      </c>
      <c r="C294" s="0" t="s">
        <v>1363</v>
      </c>
      <c r="D294" s="0" t="s">
        <v>1373</v>
      </c>
      <c r="E294" s="54" t="n">
        <v>46204</v>
      </c>
      <c r="F294" s="54" t="n">
        <v>46204</v>
      </c>
      <c r="G294" s="0" t="s">
        <v>132</v>
      </c>
      <c r="H294" s="0" t="n">
        <v>1334962</v>
      </c>
      <c r="I294" s="0" t="n">
        <v>2</v>
      </c>
      <c r="J294" s="0" t="s">
        <v>1357</v>
      </c>
      <c r="K294" s="55" t="n">
        <v>210</v>
      </c>
    </row>
    <row r="295" customFormat="false" ht="15" hidden="false" customHeight="false" outlineLevel="0" collapsed="false">
      <c r="A295" s="0" t="n">
        <v>2</v>
      </c>
      <c r="B295" s="0" t="n">
        <v>2520</v>
      </c>
      <c r="C295" s="0" t="s">
        <v>1363</v>
      </c>
      <c r="D295" s="0" t="s">
        <v>1373</v>
      </c>
      <c r="E295" s="54" t="n">
        <v>46204</v>
      </c>
      <c r="F295" s="54" t="n">
        <v>46204</v>
      </c>
      <c r="G295" s="0" t="s">
        <v>132</v>
      </c>
      <c r="H295" s="0" t="n">
        <v>1334970</v>
      </c>
      <c r="I295" s="0" t="n">
        <v>6</v>
      </c>
      <c r="J295" s="0" t="s">
        <v>1357</v>
      </c>
      <c r="K295" s="55" t="n">
        <v>210</v>
      </c>
    </row>
    <row r="296" customFormat="false" ht="15" hidden="false" customHeight="false" outlineLevel="0" collapsed="false">
      <c r="A296" s="0" t="n">
        <v>2</v>
      </c>
      <c r="B296" s="0" t="n">
        <v>3933</v>
      </c>
      <c r="C296" s="0" t="s">
        <v>1363</v>
      </c>
      <c r="D296" s="0" t="s">
        <v>1374</v>
      </c>
      <c r="E296" s="54" t="n">
        <v>46204</v>
      </c>
      <c r="F296" s="54" t="n">
        <v>46203</v>
      </c>
      <c r="G296" s="0" t="s">
        <v>92</v>
      </c>
      <c r="H296" s="0" t="n">
        <v>1335310</v>
      </c>
      <c r="I296" s="0" t="n">
        <v>1</v>
      </c>
      <c r="J296" s="0" t="s">
        <v>1357</v>
      </c>
      <c r="K296" s="55" t="n">
        <v>236.18</v>
      </c>
    </row>
    <row r="297" customFormat="false" ht="15" hidden="false" customHeight="false" outlineLevel="0" collapsed="false">
      <c r="A297" s="0" t="n">
        <v>2</v>
      </c>
      <c r="B297" s="0" t="n">
        <v>690</v>
      </c>
      <c r="C297" s="0" t="s">
        <v>1355</v>
      </c>
      <c r="D297" s="0" t="s">
        <v>1365</v>
      </c>
      <c r="E297" s="54" t="n">
        <v>46204</v>
      </c>
      <c r="F297" s="54" t="n">
        <v>46203</v>
      </c>
      <c r="G297" s="0" t="s">
        <v>194</v>
      </c>
      <c r="H297" s="0" t="n">
        <v>1333879</v>
      </c>
      <c r="I297" s="0" t="n">
        <v>1</v>
      </c>
      <c r="J297" s="0" t="s">
        <v>1357</v>
      </c>
      <c r="K297" s="55" t="n">
        <v>304.75</v>
      </c>
    </row>
    <row r="298" customFormat="false" ht="15" hidden="false" customHeight="false" outlineLevel="0" collapsed="false">
      <c r="A298" s="0" t="n">
        <v>2</v>
      </c>
      <c r="B298" s="0" t="n">
        <v>3507</v>
      </c>
      <c r="C298" s="0" t="s">
        <v>1363</v>
      </c>
      <c r="D298" s="0" t="s">
        <v>1366</v>
      </c>
      <c r="E298" s="54" t="n">
        <v>46204</v>
      </c>
      <c r="F298" s="54" t="n">
        <v>46203</v>
      </c>
      <c r="G298" s="0" t="s">
        <v>188</v>
      </c>
      <c r="H298" s="0" t="n">
        <v>1333861</v>
      </c>
      <c r="I298" s="0" t="n">
        <v>1</v>
      </c>
      <c r="J298" s="0" t="s">
        <v>1357</v>
      </c>
      <c r="K298" s="55" t="n">
        <v>589.5</v>
      </c>
    </row>
    <row r="299" customFormat="false" ht="15" hidden="false" customHeight="false" outlineLevel="0" collapsed="false">
      <c r="A299" s="0" t="n">
        <v>2</v>
      </c>
      <c r="B299" s="0" t="n">
        <v>31492</v>
      </c>
      <c r="C299" s="0" t="s">
        <v>1363</v>
      </c>
      <c r="D299" s="0" t="s">
        <v>1378</v>
      </c>
      <c r="E299" s="54" t="n">
        <v>46204</v>
      </c>
      <c r="F299" s="54" t="n">
        <v>46203</v>
      </c>
      <c r="G299" s="0" t="s">
        <v>128</v>
      </c>
      <c r="H299" s="0" t="n">
        <v>1334341</v>
      </c>
      <c r="I299" s="0" t="n">
        <v>1</v>
      </c>
      <c r="J299" s="0" t="s">
        <v>1357</v>
      </c>
      <c r="K299" s="55" t="n">
        <v>3140</v>
      </c>
    </row>
    <row r="300" customFormat="false" ht="15" hidden="false" customHeight="false" outlineLevel="0" collapsed="false">
      <c r="A300" s="0" t="n">
        <v>2</v>
      </c>
      <c r="B300" s="0" t="n">
        <v>576435</v>
      </c>
      <c r="C300" s="0" t="s">
        <v>1363</v>
      </c>
      <c r="D300" s="0" t="s">
        <v>1469</v>
      </c>
      <c r="E300" s="54" t="n">
        <v>46204</v>
      </c>
      <c r="F300" s="54" t="n">
        <v>46192</v>
      </c>
      <c r="G300" s="0" t="s">
        <v>88</v>
      </c>
      <c r="H300" s="0" t="n">
        <v>1335414</v>
      </c>
      <c r="I300" s="0" t="n">
        <v>1</v>
      </c>
      <c r="J300" s="0" t="s">
        <v>1357</v>
      </c>
      <c r="K300" s="55" t="n">
        <v>296</v>
      </c>
    </row>
    <row r="301" customFormat="false" ht="15" hidden="false" customHeight="false" outlineLevel="0" collapsed="false">
      <c r="A301" s="0" t="n">
        <v>2</v>
      </c>
      <c r="B301" s="0" t="n">
        <v>196323</v>
      </c>
      <c r="C301" s="0" t="s">
        <v>1363</v>
      </c>
      <c r="D301" s="0" t="s">
        <v>1379</v>
      </c>
      <c r="E301" s="54" t="n">
        <v>46205</v>
      </c>
      <c r="F301" s="54" t="n">
        <v>46205</v>
      </c>
      <c r="G301" s="0" t="s">
        <v>179</v>
      </c>
      <c r="H301" s="0" t="n">
        <v>1339497</v>
      </c>
      <c r="I301" s="0" t="n">
        <v>1</v>
      </c>
      <c r="J301" s="0" t="s">
        <v>1357</v>
      </c>
      <c r="K301" s="55" t="n">
        <v>652.4</v>
      </c>
    </row>
    <row r="302" customFormat="false" ht="15" hidden="false" customHeight="false" outlineLevel="0" collapsed="false">
      <c r="A302" s="0" t="n">
        <v>2</v>
      </c>
      <c r="B302" s="0" t="n">
        <v>1640710</v>
      </c>
      <c r="C302" s="0" t="s">
        <v>1361</v>
      </c>
      <c r="D302" s="0" t="s">
        <v>1362</v>
      </c>
      <c r="E302" s="54" t="n">
        <v>46205</v>
      </c>
      <c r="F302" s="54" t="n">
        <v>46204</v>
      </c>
      <c r="G302" s="0" t="s">
        <v>369</v>
      </c>
      <c r="H302" s="0" t="n">
        <v>1338988</v>
      </c>
      <c r="I302" s="0" t="n">
        <v>1</v>
      </c>
      <c r="J302" s="0" t="s">
        <v>1357</v>
      </c>
      <c r="K302" s="55" t="n">
        <v>123</v>
      </c>
    </row>
    <row r="303" customFormat="false" ht="15" hidden="false" customHeight="false" outlineLevel="0" collapsed="false">
      <c r="A303" s="0" t="n">
        <v>2</v>
      </c>
      <c r="B303" s="0" t="n">
        <v>4467</v>
      </c>
      <c r="C303" s="0" t="s">
        <v>1363</v>
      </c>
      <c r="D303" s="0" t="s">
        <v>1470</v>
      </c>
      <c r="E303" s="54" t="n">
        <v>46205</v>
      </c>
      <c r="F303" s="54" t="n">
        <v>46199</v>
      </c>
      <c r="G303" s="0" t="s">
        <v>690</v>
      </c>
      <c r="H303" s="0" t="n">
        <v>1339965</v>
      </c>
      <c r="I303" s="0" t="n">
        <v>1</v>
      </c>
      <c r="J303" s="0" t="s">
        <v>1357</v>
      </c>
      <c r="K303" s="55" t="n">
        <v>4916.19</v>
      </c>
    </row>
    <row r="304" customFormat="false" ht="15" hidden="false" customHeight="false" outlineLevel="0" collapsed="false">
      <c r="A304" s="0" t="n">
        <v>2</v>
      </c>
      <c r="B304" s="0" t="n">
        <v>390211</v>
      </c>
      <c r="C304" s="0" t="s">
        <v>1363</v>
      </c>
      <c r="D304" s="0" t="s">
        <v>1384</v>
      </c>
      <c r="E304" s="54" t="n">
        <v>46205</v>
      </c>
      <c r="F304" s="54" t="n">
        <v>46204</v>
      </c>
      <c r="G304" s="0" t="s">
        <v>164</v>
      </c>
      <c r="H304" s="0" t="n">
        <v>1339618</v>
      </c>
      <c r="I304" s="0" t="n">
        <v>1</v>
      </c>
      <c r="J304" s="0" t="s">
        <v>1357</v>
      </c>
      <c r="K304" s="55" t="n">
        <v>6016.34</v>
      </c>
    </row>
    <row r="305" customFormat="false" ht="15" hidden="false" customHeight="false" outlineLevel="0" collapsed="false">
      <c r="A305" s="0" t="n">
        <v>2</v>
      </c>
      <c r="B305" s="0" t="n">
        <v>254582</v>
      </c>
      <c r="C305" s="0" t="s">
        <v>1363</v>
      </c>
      <c r="D305" s="0" t="s">
        <v>1410</v>
      </c>
      <c r="E305" s="54" t="n">
        <v>46205</v>
      </c>
      <c r="F305" s="54" t="n">
        <v>46204</v>
      </c>
      <c r="G305" s="0" t="s">
        <v>489</v>
      </c>
      <c r="H305" s="0" t="n">
        <v>1339667</v>
      </c>
      <c r="I305" s="0" t="n">
        <v>1</v>
      </c>
      <c r="J305" s="0" t="s">
        <v>1357</v>
      </c>
      <c r="K305" s="55" t="n">
        <v>868.37</v>
      </c>
    </row>
    <row r="306" customFormat="false" ht="15" hidden="false" customHeight="false" outlineLevel="0" collapsed="false">
      <c r="A306" s="0" t="n">
        <v>2</v>
      </c>
      <c r="B306" s="0" t="n">
        <v>337</v>
      </c>
      <c r="C306" s="0" t="s">
        <v>1363</v>
      </c>
      <c r="D306" s="0" t="s">
        <v>1390</v>
      </c>
      <c r="E306" s="54" t="n">
        <v>46206</v>
      </c>
      <c r="F306" s="54" t="n">
        <v>46206</v>
      </c>
      <c r="G306" s="0" t="s">
        <v>1391</v>
      </c>
      <c r="H306" s="0" t="n">
        <v>1344684</v>
      </c>
      <c r="I306" s="0" t="n">
        <v>1</v>
      </c>
      <c r="J306" s="0" t="s">
        <v>1357</v>
      </c>
      <c r="K306" s="55" t="n">
        <v>398</v>
      </c>
    </row>
    <row r="307" customFormat="false" ht="15" hidden="false" customHeight="false" outlineLevel="0" collapsed="false">
      <c r="A307" s="0" t="n">
        <v>2</v>
      </c>
      <c r="B307" s="0" t="n">
        <v>322</v>
      </c>
      <c r="C307" s="0" t="s">
        <v>1363</v>
      </c>
      <c r="D307" s="0" t="s">
        <v>1369</v>
      </c>
      <c r="E307" s="54" t="n">
        <v>46206</v>
      </c>
      <c r="F307" s="54" t="n">
        <v>46206</v>
      </c>
      <c r="G307" s="0" t="s">
        <v>220</v>
      </c>
      <c r="H307" s="0" t="n">
        <v>1345271</v>
      </c>
      <c r="I307" s="0" t="n">
        <v>1</v>
      </c>
      <c r="J307" s="0" t="s">
        <v>1357</v>
      </c>
      <c r="K307" s="55" t="n">
        <v>2388.97</v>
      </c>
    </row>
    <row r="308" customFormat="false" ht="15" hidden="false" customHeight="false" outlineLevel="0" collapsed="false">
      <c r="A308" s="0" t="n">
        <v>2</v>
      </c>
      <c r="B308" s="0" t="n">
        <v>18998</v>
      </c>
      <c r="C308" s="0" t="s">
        <v>1404</v>
      </c>
      <c r="D308" s="0" t="s">
        <v>1405</v>
      </c>
      <c r="E308" s="54" t="n">
        <v>46206</v>
      </c>
      <c r="F308" s="54" t="n">
        <v>46205</v>
      </c>
      <c r="G308" s="0" t="s">
        <v>351</v>
      </c>
      <c r="H308" s="0" t="n">
        <v>1345083</v>
      </c>
      <c r="I308" s="0" t="n">
        <v>1</v>
      </c>
      <c r="J308" s="0" t="s">
        <v>1357</v>
      </c>
      <c r="K308" s="55" t="n">
        <v>2146.4</v>
      </c>
    </row>
    <row r="309" customFormat="false" ht="15" hidden="false" customHeight="false" outlineLevel="0" collapsed="false">
      <c r="A309" s="0" t="n">
        <v>2</v>
      </c>
      <c r="B309" s="0" t="n">
        <v>1030058</v>
      </c>
      <c r="C309" s="0" t="s">
        <v>1363</v>
      </c>
      <c r="D309" s="0" t="s">
        <v>1370</v>
      </c>
      <c r="E309" s="54" t="n">
        <v>46206</v>
      </c>
      <c r="F309" s="54" t="n">
        <v>46205</v>
      </c>
      <c r="G309" s="0" t="s">
        <v>210</v>
      </c>
      <c r="H309" s="0" t="n">
        <v>1343794</v>
      </c>
      <c r="I309" s="0" t="n">
        <v>1</v>
      </c>
      <c r="J309" s="0" t="s">
        <v>1357</v>
      </c>
      <c r="K309" s="55" t="n">
        <v>279.82</v>
      </c>
    </row>
    <row r="310" customFormat="false" ht="15" hidden="false" customHeight="false" outlineLevel="0" collapsed="false">
      <c r="A310" s="0" t="n">
        <v>2</v>
      </c>
      <c r="B310" s="0" t="n">
        <v>888702</v>
      </c>
      <c r="C310" s="0" t="s">
        <v>1422</v>
      </c>
      <c r="D310" s="0" t="s">
        <v>1423</v>
      </c>
      <c r="E310" s="54" t="n">
        <v>46206</v>
      </c>
      <c r="F310" s="54" t="n">
        <v>46205</v>
      </c>
      <c r="G310" s="0" t="s">
        <v>212</v>
      </c>
      <c r="H310" s="0" t="n">
        <v>1345469</v>
      </c>
      <c r="I310" s="0" t="n">
        <v>1</v>
      </c>
      <c r="J310" s="0" t="s">
        <v>1357</v>
      </c>
      <c r="K310" s="55" t="n">
        <v>2844.47</v>
      </c>
    </row>
    <row r="311" customFormat="false" ht="15" hidden="false" customHeight="false" outlineLevel="0" collapsed="false">
      <c r="A311" s="0" t="n">
        <v>2</v>
      </c>
      <c r="B311" s="0" t="n">
        <v>1686081</v>
      </c>
      <c r="C311" s="0" t="s">
        <v>1363</v>
      </c>
      <c r="D311" s="0" t="s">
        <v>1371</v>
      </c>
      <c r="E311" s="54" t="n">
        <v>46206</v>
      </c>
      <c r="F311" s="54" t="n">
        <v>46206</v>
      </c>
      <c r="G311" s="0" t="s">
        <v>201</v>
      </c>
      <c r="H311" s="0" t="n">
        <v>1343779</v>
      </c>
      <c r="I311" s="0" t="n">
        <v>1</v>
      </c>
      <c r="J311" s="0" t="s">
        <v>1357</v>
      </c>
      <c r="K311" s="55" t="n">
        <v>832.51</v>
      </c>
    </row>
    <row r="312" customFormat="false" ht="15" hidden="false" customHeight="false" outlineLevel="0" collapsed="false">
      <c r="A312" s="0" t="n">
        <v>2</v>
      </c>
      <c r="B312" s="0" t="n">
        <v>1642191</v>
      </c>
      <c r="C312" s="0" t="s">
        <v>1361</v>
      </c>
      <c r="D312" s="0" t="s">
        <v>1362</v>
      </c>
      <c r="E312" s="54" t="n">
        <v>46206</v>
      </c>
      <c r="F312" s="54" t="n">
        <v>46206</v>
      </c>
      <c r="G312" s="0" t="s">
        <v>369</v>
      </c>
      <c r="H312" s="0" t="n">
        <v>1345413</v>
      </c>
      <c r="I312" s="0" t="n">
        <v>1</v>
      </c>
      <c r="J312" s="0" t="s">
        <v>1357</v>
      </c>
      <c r="K312" s="55" t="n">
        <v>89.5</v>
      </c>
    </row>
    <row r="313" customFormat="false" ht="15" hidden="false" customHeight="false" outlineLevel="0" collapsed="false">
      <c r="A313" s="0" t="n">
        <v>2</v>
      </c>
      <c r="B313" s="0" t="n">
        <v>225160</v>
      </c>
      <c r="C313" s="0" t="s">
        <v>1355</v>
      </c>
      <c r="D313" s="0" t="s">
        <v>1387</v>
      </c>
      <c r="E313" s="54" t="n">
        <v>46206</v>
      </c>
      <c r="F313" s="54" t="n">
        <v>46206</v>
      </c>
      <c r="G313" s="0" t="s">
        <v>390</v>
      </c>
      <c r="H313" s="0" t="n">
        <v>1345530</v>
      </c>
      <c r="I313" s="0" t="n">
        <v>1</v>
      </c>
      <c r="J313" s="0" t="s">
        <v>1357</v>
      </c>
      <c r="K313" s="55" t="n">
        <v>393.86</v>
      </c>
    </row>
    <row r="314" customFormat="false" ht="15" hidden="false" customHeight="false" outlineLevel="0" collapsed="false">
      <c r="A314" s="0" t="n">
        <v>2</v>
      </c>
      <c r="B314" s="0" t="n">
        <v>890</v>
      </c>
      <c r="C314" s="0" t="s">
        <v>1355</v>
      </c>
      <c r="D314" s="0" t="s">
        <v>1471</v>
      </c>
      <c r="E314" s="54" t="n">
        <v>46206</v>
      </c>
      <c r="F314" s="54" t="n">
        <v>46205</v>
      </c>
      <c r="G314" s="0" t="s">
        <v>753</v>
      </c>
      <c r="H314" s="0" t="n">
        <v>1345178</v>
      </c>
      <c r="I314" s="0" t="n">
        <v>1</v>
      </c>
      <c r="J314" s="0" t="s">
        <v>1357</v>
      </c>
      <c r="K314" s="55" t="n">
        <v>736.8</v>
      </c>
    </row>
    <row r="315" customFormat="false" ht="15" hidden="false" customHeight="false" outlineLevel="0" collapsed="false">
      <c r="A315" s="0" t="n">
        <v>2</v>
      </c>
      <c r="B315" s="0" t="n">
        <v>5765</v>
      </c>
      <c r="C315" s="0" t="s">
        <v>1363</v>
      </c>
      <c r="D315" s="0" t="s">
        <v>1382</v>
      </c>
      <c r="E315" s="54" t="n">
        <v>46206</v>
      </c>
      <c r="F315" s="54" t="n">
        <v>46206</v>
      </c>
      <c r="G315" s="0" t="s">
        <v>1383</v>
      </c>
      <c r="H315" s="0" t="n">
        <v>1344581</v>
      </c>
      <c r="I315" s="0" t="n">
        <v>1</v>
      </c>
      <c r="J315" s="0" t="s">
        <v>1357</v>
      </c>
      <c r="K315" s="55" t="n">
        <v>430.3</v>
      </c>
    </row>
    <row r="316" customFormat="false" ht="15" hidden="false" customHeight="false" outlineLevel="0" collapsed="false">
      <c r="A316" s="0" t="n">
        <v>2</v>
      </c>
      <c r="B316" s="0" t="n">
        <v>1385251</v>
      </c>
      <c r="C316" s="0" t="s">
        <v>1363</v>
      </c>
      <c r="D316" s="0" t="s">
        <v>1399</v>
      </c>
      <c r="E316" s="54" t="n">
        <v>46206</v>
      </c>
      <c r="F316" s="54" t="n">
        <v>46205</v>
      </c>
      <c r="G316" s="0" t="s">
        <v>1400</v>
      </c>
      <c r="H316" s="0" t="n">
        <v>1344368</v>
      </c>
      <c r="I316" s="0" t="n">
        <v>1</v>
      </c>
      <c r="J316" s="0" t="s">
        <v>1357</v>
      </c>
      <c r="K316" s="55" t="n">
        <v>1209.4</v>
      </c>
    </row>
    <row r="317" customFormat="false" ht="15" hidden="false" customHeight="false" outlineLevel="0" collapsed="false">
      <c r="A317" s="0" t="n">
        <v>2</v>
      </c>
      <c r="B317" s="0" t="n">
        <v>2521</v>
      </c>
      <c r="C317" s="0" t="s">
        <v>1363</v>
      </c>
      <c r="D317" s="0" t="s">
        <v>1373</v>
      </c>
      <c r="E317" s="54" t="n">
        <v>46206</v>
      </c>
      <c r="F317" s="54" t="n">
        <v>46206</v>
      </c>
      <c r="G317" s="0" t="s">
        <v>132</v>
      </c>
      <c r="H317" s="0" t="n">
        <v>1344644</v>
      </c>
      <c r="I317" s="0" t="n">
        <v>6</v>
      </c>
      <c r="J317" s="0" t="s">
        <v>1357</v>
      </c>
      <c r="K317" s="55" t="n">
        <v>280</v>
      </c>
    </row>
    <row r="318" customFormat="false" ht="15" hidden="false" customHeight="false" outlineLevel="0" collapsed="false">
      <c r="A318" s="0" t="n">
        <v>2</v>
      </c>
      <c r="B318" s="0" t="n">
        <v>2522</v>
      </c>
      <c r="C318" s="0" t="s">
        <v>1363</v>
      </c>
      <c r="D318" s="0" t="s">
        <v>1373</v>
      </c>
      <c r="E318" s="54" t="n">
        <v>46206</v>
      </c>
      <c r="F318" s="54" t="n">
        <v>46206</v>
      </c>
      <c r="G318" s="0" t="s">
        <v>132</v>
      </c>
      <c r="H318" s="0" t="n">
        <v>1345376</v>
      </c>
      <c r="I318" s="0" t="n">
        <v>6</v>
      </c>
      <c r="J318" s="0" t="s">
        <v>1357</v>
      </c>
      <c r="K318" s="55" t="n">
        <v>1082.6</v>
      </c>
    </row>
    <row r="319" customFormat="false" ht="15" hidden="false" customHeight="false" outlineLevel="0" collapsed="false">
      <c r="A319" s="0" t="n">
        <v>2</v>
      </c>
      <c r="B319" s="0" t="n">
        <v>3726</v>
      </c>
      <c r="C319" s="0" t="s">
        <v>1363</v>
      </c>
      <c r="D319" s="0" t="s">
        <v>1373</v>
      </c>
      <c r="E319" s="54" t="n">
        <v>46206</v>
      </c>
      <c r="F319" s="54" t="n">
        <v>46206</v>
      </c>
      <c r="G319" s="0" t="s">
        <v>132</v>
      </c>
      <c r="H319" s="0" t="n">
        <v>1344619</v>
      </c>
      <c r="I319" s="0" t="n">
        <v>2</v>
      </c>
      <c r="J319" s="0" t="s">
        <v>1357</v>
      </c>
      <c r="K319" s="55" t="n">
        <v>280</v>
      </c>
    </row>
    <row r="320" customFormat="false" ht="15" hidden="false" customHeight="false" outlineLevel="0" collapsed="false">
      <c r="A320" s="0" t="n">
        <v>2</v>
      </c>
      <c r="B320" s="0" t="n">
        <v>372026</v>
      </c>
      <c r="C320" s="0" t="s">
        <v>1363</v>
      </c>
      <c r="D320" s="0" t="s">
        <v>1373</v>
      </c>
      <c r="E320" s="54" t="n">
        <v>46206</v>
      </c>
      <c r="F320" s="54" t="n">
        <v>46206</v>
      </c>
      <c r="G320" s="0" t="s">
        <v>132</v>
      </c>
      <c r="H320" s="0" t="n">
        <v>1345364</v>
      </c>
      <c r="I320" s="0" t="n">
        <v>2</v>
      </c>
      <c r="J320" s="0" t="s">
        <v>1357</v>
      </c>
      <c r="K320" s="55" t="n">
        <v>1082.6</v>
      </c>
    </row>
    <row r="321" customFormat="false" ht="15" hidden="false" customHeight="false" outlineLevel="0" collapsed="false">
      <c r="A321" s="0" t="n">
        <v>2</v>
      </c>
      <c r="B321" s="0" t="n">
        <v>42910</v>
      </c>
      <c r="C321" s="0" t="s">
        <v>1363</v>
      </c>
      <c r="D321" s="0" t="s">
        <v>1388</v>
      </c>
      <c r="E321" s="54" t="n">
        <v>46206</v>
      </c>
      <c r="F321" s="54" t="n">
        <v>46206</v>
      </c>
      <c r="G321" s="0" t="s">
        <v>388</v>
      </c>
      <c r="H321" s="0" t="n">
        <v>1345621</v>
      </c>
      <c r="I321" s="0" t="n">
        <v>1</v>
      </c>
      <c r="J321" s="0" t="s">
        <v>1357</v>
      </c>
      <c r="K321" s="55" t="n">
        <v>460</v>
      </c>
    </row>
    <row r="322" customFormat="false" ht="15" hidden="false" customHeight="false" outlineLevel="0" collapsed="false">
      <c r="A322" s="0" t="n">
        <v>2</v>
      </c>
      <c r="B322" s="0" t="n">
        <v>520</v>
      </c>
      <c r="C322" s="0" t="s">
        <v>1363</v>
      </c>
      <c r="D322" s="0" t="s">
        <v>1368</v>
      </c>
      <c r="E322" s="54" t="n">
        <v>46207</v>
      </c>
      <c r="F322" s="54" t="n">
        <v>46206</v>
      </c>
      <c r="G322" s="0" t="s">
        <v>130</v>
      </c>
      <c r="H322" s="0" t="n">
        <v>1348633</v>
      </c>
      <c r="I322" s="0" t="n">
        <v>1</v>
      </c>
      <c r="J322" s="0" t="s">
        <v>1357</v>
      </c>
      <c r="K322" s="55" t="n">
        <v>240</v>
      </c>
    </row>
    <row r="323" customFormat="false" ht="15" hidden="false" customHeight="false" outlineLevel="0" collapsed="false">
      <c r="A323" s="0" t="n">
        <v>2</v>
      </c>
      <c r="B323" s="0" t="n">
        <v>14615</v>
      </c>
      <c r="C323" s="0" t="s">
        <v>1363</v>
      </c>
      <c r="D323" s="0" t="s">
        <v>1364</v>
      </c>
      <c r="E323" s="54" t="n">
        <v>46207</v>
      </c>
      <c r="F323" s="54" t="n">
        <v>46206</v>
      </c>
      <c r="G323" s="0" t="s">
        <v>248</v>
      </c>
      <c r="H323" s="0" t="n">
        <v>1348589</v>
      </c>
      <c r="I323" s="0" t="n">
        <v>1</v>
      </c>
      <c r="J323" s="0" t="s">
        <v>1357</v>
      </c>
      <c r="K323" s="55" t="n">
        <v>5738.21</v>
      </c>
    </row>
    <row r="324" customFormat="false" ht="15" hidden="false" customHeight="false" outlineLevel="0" collapsed="false">
      <c r="A324" s="0" t="n">
        <v>2</v>
      </c>
      <c r="B324" s="0" t="n">
        <v>698</v>
      </c>
      <c r="C324" s="0" t="s">
        <v>1355</v>
      </c>
      <c r="D324" s="0" t="s">
        <v>1365</v>
      </c>
      <c r="E324" s="54" t="n">
        <v>46207</v>
      </c>
      <c r="F324" s="54" t="n">
        <v>46206</v>
      </c>
      <c r="G324" s="0" t="s">
        <v>194</v>
      </c>
      <c r="H324" s="0" t="n">
        <v>1348260</v>
      </c>
      <c r="I324" s="0" t="n">
        <v>1</v>
      </c>
      <c r="J324" s="0" t="s">
        <v>1357</v>
      </c>
      <c r="K324" s="55" t="n">
        <v>379.6</v>
      </c>
    </row>
    <row r="325" customFormat="false" ht="15" hidden="false" customHeight="false" outlineLevel="0" collapsed="false">
      <c r="A325" s="0" t="n">
        <v>2</v>
      </c>
      <c r="B325" s="0" t="n">
        <v>1187910</v>
      </c>
      <c r="C325" s="0" t="s">
        <v>1358</v>
      </c>
      <c r="D325" s="0" t="s">
        <v>1359</v>
      </c>
      <c r="E325" s="54" t="n">
        <v>46209</v>
      </c>
      <c r="F325" s="54" t="n">
        <v>46206</v>
      </c>
      <c r="G325" s="0" t="s">
        <v>119</v>
      </c>
      <c r="H325" s="0" t="n">
        <v>1360305</v>
      </c>
      <c r="I325" s="0" t="n">
        <v>1</v>
      </c>
      <c r="J325" s="0" t="s">
        <v>1357</v>
      </c>
      <c r="K325" s="55" t="n">
        <v>762.82</v>
      </c>
    </row>
    <row r="326" customFormat="false" ht="15" hidden="false" customHeight="false" outlineLevel="0" collapsed="false">
      <c r="A326" s="0" t="n">
        <v>2</v>
      </c>
      <c r="B326" s="0" t="n">
        <v>1187912</v>
      </c>
      <c r="C326" s="0" t="s">
        <v>1358</v>
      </c>
      <c r="D326" s="0" t="s">
        <v>1359</v>
      </c>
      <c r="E326" s="54" t="n">
        <v>46209</v>
      </c>
      <c r="F326" s="54" t="n">
        <v>46206</v>
      </c>
      <c r="G326" s="0" t="s">
        <v>119</v>
      </c>
      <c r="H326" s="0" t="n">
        <v>1360170</v>
      </c>
      <c r="I326" s="0" t="n">
        <v>1</v>
      </c>
      <c r="J326" s="0" t="s">
        <v>1357</v>
      </c>
      <c r="K326" s="55" t="n">
        <v>63.37</v>
      </c>
    </row>
    <row r="327" customFormat="false" ht="15" hidden="false" customHeight="false" outlineLevel="0" collapsed="false">
      <c r="A327" s="0" t="n">
        <v>2</v>
      </c>
      <c r="B327" s="0" t="n">
        <v>1917854</v>
      </c>
      <c r="C327" s="0" t="s">
        <v>1360</v>
      </c>
      <c r="D327" s="0" t="s">
        <v>1359</v>
      </c>
      <c r="E327" s="54" t="n">
        <v>46209</v>
      </c>
      <c r="F327" s="54" t="n">
        <v>46206</v>
      </c>
      <c r="G327" s="0" t="s">
        <v>119</v>
      </c>
      <c r="H327" s="0" t="n">
        <v>1360326</v>
      </c>
      <c r="I327" s="0" t="n">
        <v>11</v>
      </c>
      <c r="J327" s="0" t="s">
        <v>1357</v>
      </c>
      <c r="K327" s="55" t="n">
        <v>3703.01</v>
      </c>
    </row>
    <row r="328" customFormat="false" ht="15" hidden="false" customHeight="false" outlineLevel="0" collapsed="false">
      <c r="A328" s="0" t="n">
        <v>2</v>
      </c>
      <c r="B328" s="0" t="n">
        <v>1917880</v>
      </c>
      <c r="C328" s="0" t="s">
        <v>1360</v>
      </c>
      <c r="D328" s="0" t="s">
        <v>1359</v>
      </c>
      <c r="E328" s="54" t="n">
        <v>46209</v>
      </c>
      <c r="F328" s="54" t="n">
        <v>46206</v>
      </c>
      <c r="G328" s="0" t="s">
        <v>119</v>
      </c>
      <c r="H328" s="0" t="n">
        <v>1360155</v>
      </c>
      <c r="I328" s="0" t="n">
        <v>1</v>
      </c>
      <c r="J328" s="0" t="s">
        <v>1357</v>
      </c>
      <c r="K328" s="55" t="n">
        <v>205.13</v>
      </c>
    </row>
    <row r="329" customFormat="false" ht="15" hidden="false" customHeight="false" outlineLevel="0" collapsed="false">
      <c r="A329" s="0" t="n">
        <v>2</v>
      </c>
      <c r="B329" s="0" t="n">
        <v>172659</v>
      </c>
      <c r="C329" s="0" t="s">
        <v>1363</v>
      </c>
      <c r="D329" s="0" t="s">
        <v>1376</v>
      </c>
      <c r="E329" s="54" t="n">
        <v>46209</v>
      </c>
      <c r="F329" s="54" t="n">
        <v>46207</v>
      </c>
      <c r="G329" s="0" t="s">
        <v>332</v>
      </c>
      <c r="H329" s="0" t="n">
        <v>1359593</v>
      </c>
      <c r="I329" s="0" t="n">
        <v>1</v>
      </c>
      <c r="J329" s="0" t="s">
        <v>1357</v>
      </c>
      <c r="K329" s="55" t="n">
        <v>2243.2</v>
      </c>
    </row>
    <row r="330" customFormat="false" ht="15" hidden="false" customHeight="false" outlineLevel="0" collapsed="false">
      <c r="A330" s="0" t="n">
        <v>2</v>
      </c>
      <c r="B330" s="0" t="n">
        <v>1642710</v>
      </c>
      <c r="C330" s="0" t="s">
        <v>1361</v>
      </c>
      <c r="D330" s="0" t="s">
        <v>1362</v>
      </c>
      <c r="E330" s="54" t="n">
        <v>46209</v>
      </c>
      <c r="F330" s="54" t="n">
        <v>46207</v>
      </c>
      <c r="G330" s="0" t="s">
        <v>369</v>
      </c>
      <c r="H330" s="0" t="n">
        <v>1359513</v>
      </c>
      <c r="I330" s="0" t="n">
        <v>1</v>
      </c>
      <c r="J330" s="0" t="s">
        <v>1357</v>
      </c>
      <c r="K330" s="55" t="n">
        <v>140</v>
      </c>
    </row>
    <row r="331" customFormat="false" ht="15" hidden="false" customHeight="false" outlineLevel="0" collapsed="false">
      <c r="A331" s="0" t="n">
        <v>2</v>
      </c>
      <c r="B331" s="0" t="n">
        <v>3500</v>
      </c>
      <c r="C331" s="0" t="s">
        <v>1363</v>
      </c>
      <c r="D331" s="0" t="s">
        <v>1381</v>
      </c>
      <c r="E331" s="54" t="n">
        <v>46209</v>
      </c>
      <c r="F331" s="54" t="n">
        <v>46209</v>
      </c>
      <c r="G331" s="0" t="s">
        <v>171</v>
      </c>
      <c r="H331" s="0" t="n">
        <v>1361298</v>
      </c>
      <c r="I331" s="0" t="n">
        <v>1</v>
      </c>
      <c r="J331" s="0" t="s">
        <v>1357</v>
      </c>
      <c r="K331" s="55" t="n">
        <v>142</v>
      </c>
    </row>
    <row r="332" customFormat="false" ht="15" hidden="false" customHeight="false" outlineLevel="0" collapsed="false">
      <c r="A332" s="0" t="n">
        <v>2</v>
      </c>
      <c r="B332" s="0" t="n">
        <v>512</v>
      </c>
      <c r="C332" s="0" t="s">
        <v>1363</v>
      </c>
      <c r="D332" s="0" t="s">
        <v>1398</v>
      </c>
      <c r="E332" s="54" t="n">
        <v>46209</v>
      </c>
      <c r="F332" s="54" t="n">
        <v>46209</v>
      </c>
      <c r="G332" s="0" t="s">
        <v>320</v>
      </c>
      <c r="H332" s="0" t="n">
        <v>1365085</v>
      </c>
      <c r="I332" s="0" t="n">
        <v>1</v>
      </c>
      <c r="J332" s="0" t="s">
        <v>1357</v>
      </c>
      <c r="K332" s="55" t="n">
        <v>160.32</v>
      </c>
    </row>
    <row r="333" customFormat="false" ht="15" hidden="false" customHeight="false" outlineLevel="0" collapsed="false">
      <c r="A333" s="0" t="n">
        <v>2</v>
      </c>
      <c r="B333" s="0" t="n">
        <v>2527</v>
      </c>
      <c r="C333" s="0" t="s">
        <v>1363</v>
      </c>
      <c r="D333" s="0" t="s">
        <v>1373</v>
      </c>
      <c r="E333" s="54" t="n">
        <v>46209</v>
      </c>
      <c r="F333" s="54" t="n">
        <v>46209</v>
      </c>
      <c r="G333" s="0" t="s">
        <v>132</v>
      </c>
      <c r="H333" s="0" t="n">
        <v>1361277</v>
      </c>
      <c r="I333" s="0" t="n">
        <v>6</v>
      </c>
      <c r="J333" s="0" t="s">
        <v>1357</v>
      </c>
      <c r="K333" s="55" t="n">
        <v>210</v>
      </c>
    </row>
    <row r="334" customFormat="false" ht="15" hidden="false" customHeight="false" outlineLevel="0" collapsed="false">
      <c r="A334" s="0" t="n">
        <v>2</v>
      </c>
      <c r="B334" s="0" t="n">
        <v>6726</v>
      </c>
      <c r="C334" s="0" t="s">
        <v>1363</v>
      </c>
      <c r="D334" s="0" t="s">
        <v>1373</v>
      </c>
      <c r="E334" s="54" t="n">
        <v>46209</v>
      </c>
      <c r="F334" s="54" t="n">
        <v>46209</v>
      </c>
      <c r="G334" s="0" t="s">
        <v>132</v>
      </c>
      <c r="H334" s="0" t="n">
        <v>1361270</v>
      </c>
      <c r="I334" s="0" t="n">
        <v>2</v>
      </c>
      <c r="J334" s="0" t="s">
        <v>1357</v>
      </c>
      <c r="K334" s="55" t="n">
        <v>210</v>
      </c>
    </row>
    <row r="335" customFormat="false" ht="15" hidden="false" customHeight="false" outlineLevel="0" collapsed="false">
      <c r="A335" s="0" t="n">
        <v>2</v>
      </c>
      <c r="B335" s="0" t="n">
        <v>265</v>
      </c>
      <c r="C335" s="0" t="s">
        <v>1363</v>
      </c>
      <c r="D335" s="0" t="s">
        <v>1472</v>
      </c>
      <c r="E335" s="54" t="n">
        <v>46210</v>
      </c>
      <c r="F335" s="54" t="n">
        <v>46206</v>
      </c>
      <c r="G335" s="0" t="s">
        <v>1473</v>
      </c>
      <c r="H335" s="0" t="n">
        <v>1366133</v>
      </c>
      <c r="I335" s="0" t="n">
        <v>11</v>
      </c>
      <c r="J335" s="0" t="s">
        <v>1357</v>
      </c>
      <c r="K335" s="55" t="n">
        <v>528</v>
      </c>
    </row>
    <row r="336" customFormat="false" ht="15" hidden="false" customHeight="false" outlineLevel="0" collapsed="false">
      <c r="A336" s="0" t="n">
        <v>2</v>
      </c>
      <c r="B336" s="0" t="n">
        <v>1604119</v>
      </c>
      <c r="C336" s="0" t="s">
        <v>1363</v>
      </c>
      <c r="D336" s="0" t="s">
        <v>1412</v>
      </c>
      <c r="E336" s="54" t="n">
        <v>46210</v>
      </c>
      <c r="F336" s="54" t="n">
        <v>46208</v>
      </c>
      <c r="G336" s="0" t="s">
        <v>94</v>
      </c>
      <c r="H336" s="0" t="n">
        <v>1364523</v>
      </c>
      <c r="I336" s="0" t="n">
        <v>1</v>
      </c>
      <c r="J336" s="0" t="s">
        <v>1357</v>
      </c>
      <c r="K336" s="55" t="n">
        <v>2063.55</v>
      </c>
    </row>
    <row r="337" customFormat="false" ht="15" hidden="false" customHeight="false" outlineLevel="0" collapsed="false">
      <c r="A337" s="0" t="n">
        <v>2</v>
      </c>
      <c r="B337" s="0" t="n">
        <v>1030653</v>
      </c>
      <c r="C337" s="0" t="s">
        <v>1363</v>
      </c>
      <c r="D337" s="0" t="s">
        <v>1370</v>
      </c>
      <c r="E337" s="54" t="n">
        <v>46210</v>
      </c>
      <c r="F337" s="54" t="n">
        <v>46209</v>
      </c>
      <c r="G337" s="0" t="s">
        <v>210</v>
      </c>
      <c r="H337" s="0" t="n">
        <v>1364546</v>
      </c>
      <c r="I337" s="0" t="n">
        <v>1</v>
      </c>
      <c r="J337" s="0" t="s">
        <v>1357</v>
      </c>
      <c r="K337" s="55" t="n">
        <v>248.78</v>
      </c>
    </row>
    <row r="338" customFormat="false" ht="15" hidden="false" customHeight="false" outlineLevel="0" collapsed="false">
      <c r="A338" s="0" t="n">
        <v>2</v>
      </c>
      <c r="B338" s="0" t="n">
        <v>1643287</v>
      </c>
      <c r="C338" s="0" t="s">
        <v>1361</v>
      </c>
      <c r="D338" s="0" t="s">
        <v>1362</v>
      </c>
      <c r="E338" s="54" t="n">
        <v>46210</v>
      </c>
      <c r="F338" s="54" t="n">
        <v>46209</v>
      </c>
      <c r="G338" s="0" t="s">
        <v>369</v>
      </c>
      <c r="H338" s="0" t="n">
        <v>1365102</v>
      </c>
      <c r="I338" s="0" t="n">
        <v>1</v>
      </c>
      <c r="J338" s="0" t="s">
        <v>1357</v>
      </c>
      <c r="K338" s="55" t="n">
        <v>130</v>
      </c>
    </row>
    <row r="339" customFormat="false" ht="15" hidden="false" customHeight="false" outlineLevel="0" collapsed="false">
      <c r="A339" s="0" t="n">
        <v>2</v>
      </c>
      <c r="B339" s="0" t="n">
        <v>102073</v>
      </c>
      <c r="C339" s="0" t="s">
        <v>1363</v>
      </c>
      <c r="D339" s="0" t="s">
        <v>1474</v>
      </c>
      <c r="E339" s="54" t="n">
        <v>46210</v>
      </c>
      <c r="F339" s="54" t="n">
        <v>46209</v>
      </c>
      <c r="G339" s="0" t="s">
        <v>823</v>
      </c>
      <c r="H339" s="0" t="n">
        <v>1365044</v>
      </c>
      <c r="I339" s="0" t="n">
        <v>1</v>
      </c>
      <c r="J339" s="0" t="s">
        <v>1357</v>
      </c>
      <c r="K339" s="55" t="n">
        <v>374.1</v>
      </c>
    </row>
    <row r="340" customFormat="false" ht="15" hidden="false" customHeight="false" outlineLevel="0" collapsed="false">
      <c r="A340" s="0" t="n">
        <v>2</v>
      </c>
      <c r="B340" s="0" t="n">
        <v>2528</v>
      </c>
      <c r="C340" s="0" t="s">
        <v>1363</v>
      </c>
      <c r="D340" s="0" t="s">
        <v>1373</v>
      </c>
      <c r="E340" s="54" t="n">
        <v>46210</v>
      </c>
      <c r="F340" s="54" t="n">
        <v>46210</v>
      </c>
      <c r="G340" s="0" t="s">
        <v>132</v>
      </c>
      <c r="H340" s="0" t="n">
        <v>1365847</v>
      </c>
      <c r="I340" s="0" t="n">
        <v>6</v>
      </c>
      <c r="J340" s="0" t="s">
        <v>1357</v>
      </c>
      <c r="K340" s="55" t="n">
        <v>2024.65</v>
      </c>
    </row>
    <row r="341" customFormat="false" ht="15" hidden="false" customHeight="false" outlineLevel="0" collapsed="false">
      <c r="A341" s="0" t="n">
        <v>2</v>
      </c>
      <c r="B341" s="0" t="n">
        <v>7726</v>
      </c>
      <c r="C341" s="0" t="s">
        <v>1363</v>
      </c>
      <c r="D341" s="0" t="s">
        <v>1373</v>
      </c>
      <c r="E341" s="54" t="n">
        <v>46210</v>
      </c>
      <c r="F341" s="54" t="n">
        <v>46210</v>
      </c>
      <c r="G341" s="0" t="s">
        <v>132</v>
      </c>
      <c r="H341" s="0" t="n">
        <v>1365832</v>
      </c>
      <c r="I341" s="0" t="n">
        <v>2</v>
      </c>
      <c r="J341" s="0" t="s">
        <v>1357</v>
      </c>
      <c r="K341" s="55" t="n">
        <v>2024.65</v>
      </c>
    </row>
    <row r="342" customFormat="false" ht="15" hidden="false" customHeight="false" outlineLevel="0" collapsed="false">
      <c r="A342" s="0" t="n">
        <v>2</v>
      </c>
      <c r="B342" s="0" t="n">
        <v>3993</v>
      </c>
      <c r="C342" s="0" t="s">
        <v>1363</v>
      </c>
      <c r="D342" s="0" t="s">
        <v>1374</v>
      </c>
      <c r="E342" s="54" t="n">
        <v>46210</v>
      </c>
      <c r="F342" s="54" t="n">
        <v>46209</v>
      </c>
      <c r="G342" s="0" t="s">
        <v>92</v>
      </c>
      <c r="H342" s="0" t="n">
        <v>1365074</v>
      </c>
      <c r="I342" s="0" t="n">
        <v>1</v>
      </c>
      <c r="J342" s="0" t="s">
        <v>1357</v>
      </c>
      <c r="K342" s="55" t="n">
        <v>194.08</v>
      </c>
    </row>
    <row r="343" customFormat="false" ht="15" hidden="false" customHeight="false" outlineLevel="0" collapsed="false">
      <c r="A343" s="0" t="n">
        <v>2</v>
      </c>
      <c r="B343" s="0" t="n">
        <v>524</v>
      </c>
      <c r="C343" s="0" t="s">
        <v>1363</v>
      </c>
      <c r="D343" s="0" t="s">
        <v>1368</v>
      </c>
      <c r="E343" s="54" t="n">
        <v>46211</v>
      </c>
      <c r="F343" s="54" t="n">
        <v>46209</v>
      </c>
      <c r="G343" s="0" t="s">
        <v>130</v>
      </c>
      <c r="H343" s="0" t="n">
        <v>1370587</v>
      </c>
      <c r="I343" s="0" t="n">
        <v>1</v>
      </c>
      <c r="J343" s="0" t="s">
        <v>1357</v>
      </c>
      <c r="K343" s="55" t="n">
        <v>240</v>
      </c>
    </row>
    <row r="344" customFormat="false" ht="15" hidden="false" customHeight="false" outlineLevel="0" collapsed="false">
      <c r="A344" s="0" t="n">
        <v>2</v>
      </c>
      <c r="B344" s="0" t="n">
        <v>21032</v>
      </c>
      <c r="C344" s="0" t="s">
        <v>1363</v>
      </c>
      <c r="D344" s="0" t="s">
        <v>1386</v>
      </c>
      <c r="E344" s="54" t="n">
        <v>46211</v>
      </c>
      <c r="F344" s="54" t="n">
        <v>46211</v>
      </c>
      <c r="G344" s="0" t="s">
        <v>166</v>
      </c>
      <c r="H344" s="0" t="n">
        <v>1370224</v>
      </c>
      <c r="I344" s="0" t="n">
        <v>1</v>
      </c>
      <c r="J344" s="0" t="s">
        <v>1357</v>
      </c>
      <c r="K344" s="55" t="n">
        <v>1213.69</v>
      </c>
    </row>
    <row r="345" customFormat="false" ht="15" hidden="false" customHeight="false" outlineLevel="0" collapsed="false">
      <c r="A345" s="0" t="n">
        <v>2</v>
      </c>
      <c r="B345" s="0" t="n">
        <v>1193333</v>
      </c>
      <c r="C345" s="0" t="s">
        <v>1358</v>
      </c>
      <c r="D345" s="0" t="s">
        <v>1359</v>
      </c>
      <c r="E345" s="54" t="n">
        <v>46211</v>
      </c>
      <c r="F345" s="54" t="n">
        <v>46210</v>
      </c>
      <c r="G345" s="0" t="s">
        <v>119</v>
      </c>
      <c r="H345" s="0" t="n">
        <v>1369061</v>
      </c>
      <c r="I345" s="0" t="n">
        <v>1</v>
      </c>
      <c r="J345" s="0" t="s">
        <v>1357</v>
      </c>
      <c r="K345" s="55" t="n">
        <v>636.39</v>
      </c>
    </row>
    <row r="346" customFormat="false" ht="15" hidden="false" customHeight="false" outlineLevel="0" collapsed="false">
      <c r="A346" s="0" t="n">
        <v>2</v>
      </c>
      <c r="B346" s="0" t="n">
        <v>1193336</v>
      </c>
      <c r="C346" s="0" t="s">
        <v>1358</v>
      </c>
      <c r="D346" s="0" t="s">
        <v>1359</v>
      </c>
      <c r="E346" s="54" t="n">
        <v>46211</v>
      </c>
      <c r="F346" s="54" t="n">
        <v>46210</v>
      </c>
      <c r="G346" s="0" t="s">
        <v>119</v>
      </c>
      <c r="H346" s="0" t="n">
        <v>1369445</v>
      </c>
      <c r="I346" s="0" t="n">
        <v>1</v>
      </c>
      <c r="J346" s="0" t="s">
        <v>1357</v>
      </c>
      <c r="K346" s="55" t="n">
        <v>104.51</v>
      </c>
    </row>
    <row r="347" customFormat="false" ht="15" hidden="false" customHeight="false" outlineLevel="0" collapsed="false">
      <c r="A347" s="0" t="n">
        <v>2</v>
      </c>
      <c r="B347" s="0" t="n">
        <v>1193391</v>
      </c>
      <c r="C347" s="0" t="s">
        <v>1358</v>
      </c>
      <c r="D347" s="0" t="s">
        <v>1359</v>
      </c>
      <c r="E347" s="54" t="n">
        <v>46211</v>
      </c>
      <c r="F347" s="54" t="n">
        <v>46210</v>
      </c>
      <c r="G347" s="0" t="s">
        <v>119</v>
      </c>
      <c r="H347" s="0" t="n">
        <v>1369053</v>
      </c>
      <c r="I347" s="0" t="n">
        <v>1</v>
      </c>
      <c r="J347" s="0" t="s">
        <v>1357</v>
      </c>
      <c r="K347" s="55" t="n">
        <v>636.39</v>
      </c>
    </row>
    <row r="348" customFormat="false" ht="15" hidden="false" customHeight="false" outlineLevel="0" collapsed="false">
      <c r="A348" s="0" t="n">
        <v>2</v>
      </c>
      <c r="B348" s="0" t="n">
        <v>1923963</v>
      </c>
      <c r="C348" s="0" t="s">
        <v>1360</v>
      </c>
      <c r="D348" s="0" t="s">
        <v>1359</v>
      </c>
      <c r="E348" s="54" t="n">
        <v>46211</v>
      </c>
      <c r="F348" s="54" t="n">
        <v>46210</v>
      </c>
      <c r="G348" s="0" t="s">
        <v>119</v>
      </c>
      <c r="H348" s="0" t="n">
        <v>1369169</v>
      </c>
      <c r="I348" s="0" t="n">
        <v>1</v>
      </c>
      <c r="J348" s="0" t="s">
        <v>1357</v>
      </c>
      <c r="K348" s="55" t="n">
        <v>221</v>
      </c>
    </row>
    <row r="349" customFormat="false" ht="15" hidden="false" customHeight="false" outlineLevel="0" collapsed="false">
      <c r="A349" s="0" t="n">
        <v>2</v>
      </c>
      <c r="B349" s="0" t="n">
        <v>1923964</v>
      </c>
      <c r="C349" s="0" t="s">
        <v>1360</v>
      </c>
      <c r="D349" s="0" t="s">
        <v>1359</v>
      </c>
      <c r="E349" s="54" t="n">
        <v>46211</v>
      </c>
      <c r="F349" s="54" t="n">
        <v>46210</v>
      </c>
      <c r="G349" s="0" t="s">
        <v>119</v>
      </c>
      <c r="H349" s="0" t="n">
        <v>1369182</v>
      </c>
      <c r="I349" s="0" t="n">
        <v>1</v>
      </c>
      <c r="J349" s="0" t="s">
        <v>1357</v>
      </c>
      <c r="K349" s="55" t="n">
        <v>221</v>
      </c>
    </row>
    <row r="350" customFormat="false" ht="15" hidden="false" customHeight="false" outlineLevel="0" collapsed="false">
      <c r="A350" s="0" t="n">
        <v>2</v>
      </c>
      <c r="B350" s="0" t="n">
        <v>1923967</v>
      </c>
      <c r="C350" s="0" t="s">
        <v>1360</v>
      </c>
      <c r="D350" s="0" t="s">
        <v>1359</v>
      </c>
      <c r="E350" s="54" t="n">
        <v>46211</v>
      </c>
      <c r="F350" s="54" t="n">
        <v>46210</v>
      </c>
      <c r="G350" s="0" t="s">
        <v>119</v>
      </c>
      <c r="H350" s="0" t="n">
        <v>1369069</v>
      </c>
      <c r="I350" s="0" t="n">
        <v>1</v>
      </c>
      <c r="J350" s="0" t="s">
        <v>1357</v>
      </c>
      <c r="K350" s="55" t="n">
        <v>76.19</v>
      </c>
    </row>
    <row r="351" customFormat="false" ht="15" hidden="false" customHeight="false" outlineLevel="0" collapsed="false">
      <c r="A351" s="0" t="n">
        <v>2</v>
      </c>
      <c r="B351" s="0" t="n">
        <v>1644345</v>
      </c>
      <c r="C351" s="0" t="s">
        <v>1361</v>
      </c>
      <c r="D351" s="0" t="s">
        <v>1362</v>
      </c>
      <c r="E351" s="54" t="n">
        <v>46211</v>
      </c>
      <c r="F351" s="54" t="n">
        <v>46211</v>
      </c>
      <c r="G351" s="0" t="s">
        <v>369</v>
      </c>
      <c r="H351" s="0" t="n">
        <v>1370616</v>
      </c>
      <c r="I351" s="0" t="n">
        <v>1</v>
      </c>
      <c r="J351" s="0" t="s">
        <v>1357</v>
      </c>
      <c r="K351" s="55" t="n">
        <v>129.5</v>
      </c>
    </row>
    <row r="352" customFormat="false" ht="15" hidden="false" customHeight="false" outlineLevel="0" collapsed="false">
      <c r="A352" s="0" t="n">
        <v>2</v>
      </c>
      <c r="B352" s="0" t="n">
        <v>294</v>
      </c>
      <c r="C352" s="0" t="s">
        <v>1363</v>
      </c>
      <c r="D352" s="0" t="s">
        <v>1475</v>
      </c>
      <c r="E352" s="54" t="n">
        <v>46211</v>
      </c>
      <c r="F352" s="54" t="n">
        <v>46209</v>
      </c>
      <c r="G352" s="0" t="s">
        <v>725</v>
      </c>
      <c r="H352" s="0" t="n">
        <v>1369398</v>
      </c>
      <c r="I352" s="0" t="n">
        <v>1</v>
      </c>
      <c r="J352" s="0" t="s">
        <v>1357</v>
      </c>
      <c r="K352" s="55" t="n">
        <v>164.5</v>
      </c>
    </row>
    <row r="353" customFormat="false" ht="15" hidden="false" customHeight="false" outlineLevel="0" collapsed="false">
      <c r="A353" s="0" t="n">
        <v>2</v>
      </c>
      <c r="B353" s="0" t="n">
        <v>2529</v>
      </c>
      <c r="C353" s="0" t="s">
        <v>1363</v>
      </c>
      <c r="D353" s="0" t="s">
        <v>1373</v>
      </c>
      <c r="E353" s="54" t="n">
        <v>46211</v>
      </c>
      <c r="F353" s="54" t="n">
        <v>46211</v>
      </c>
      <c r="G353" s="0" t="s">
        <v>132</v>
      </c>
      <c r="H353" s="0" t="n">
        <v>1369655</v>
      </c>
      <c r="I353" s="0" t="n">
        <v>6</v>
      </c>
      <c r="J353" s="0" t="s">
        <v>1357</v>
      </c>
      <c r="K353" s="55" t="n">
        <v>1046</v>
      </c>
    </row>
    <row r="354" customFormat="false" ht="15" hidden="false" customHeight="false" outlineLevel="0" collapsed="false">
      <c r="A354" s="0" t="n">
        <v>2</v>
      </c>
      <c r="B354" s="0" t="n">
        <v>2530</v>
      </c>
      <c r="C354" s="0" t="s">
        <v>1363</v>
      </c>
      <c r="D354" s="0" t="s">
        <v>1373</v>
      </c>
      <c r="E354" s="54" t="n">
        <v>46211</v>
      </c>
      <c r="F354" s="54" t="n">
        <v>46211</v>
      </c>
      <c r="G354" s="0" t="s">
        <v>132</v>
      </c>
      <c r="H354" s="0" t="n">
        <v>1370406</v>
      </c>
      <c r="I354" s="0" t="n">
        <v>6</v>
      </c>
      <c r="J354" s="0" t="s">
        <v>1357</v>
      </c>
      <c r="K354" s="55" t="n">
        <v>560</v>
      </c>
    </row>
    <row r="355" customFormat="false" ht="15" hidden="false" customHeight="false" outlineLevel="0" collapsed="false">
      <c r="A355" s="0" t="n">
        <v>2</v>
      </c>
      <c r="B355" s="0" t="n">
        <v>704</v>
      </c>
      <c r="C355" s="0" t="s">
        <v>1355</v>
      </c>
      <c r="D355" s="0" t="s">
        <v>1365</v>
      </c>
      <c r="E355" s="54" t="n">
        <v>46211</v>
      </c>
      <c r="F355" s="54" t="n">
        <v>46211</v>
      </c>
      <c r="G355" s="0" t="s">
        <v>194</v>
      </c>
      <c r="H355" s="0" t="n">
        <v>1370613</v>
      </c>
      <c r="I355" s="0" t="n">
        <v>1</v>
      </c>
      <c r="J355" s="0" t="s">
        <v>1357</v>
      </c>
      <c r="K355" s="55" t="n">
        <v>259.75</v>
      </c>
    </row>
    <row r="356" customFormat="false" ht="15" hidden="false" customHeight="false" outlineLevel="0" collapsed="false">
      <c r="A356" s="0" t="n">
        <v>2</v>
      </c>
      <c r="B356" s="0" t="n">
        <v>3570</v>
      </c>
      <c r="C356" s="0" t="s">
        <v>1363</v>
      </c>
      <c r="D356" s="0" t="s">
        <v>1366</v>
      </c>
      <c r="E356" s="54" t="n">
        <v>46211</v>
      </c>
      <c r="F356" s="54" t="n">
        <v>46211</v>
      </c>
      <c r="G356" s="0" t="s">
        <v>188</v>
      </c>
      <c r="H356" s="0" t="n">
        <v>1370597</v>
      </c>
      <c r="I356" s="0" t="n">
        <v>1</v>
      </c>
      <c r="J356" s="0" t="s">
        <v>1357</v>
      </c>
      <c r="K356" s="55" t="n">
        <v>505.5</v>
      </c>
    </row>
    <row r="357" customFormat="false" ht="15" hidden="false" customHeight="false" outlineLevel="0" collapsed="false">
      <c r="A357" s="0" t="n">
        <v>2</v>
      </c>
      <c r="B357" s="0" t="n">
        <v>31674</v>
      </c>
      <c r="C357" s="0" t="s">
        <v>1363</v>
      </c>
      <c r="D357" s="0" t="s">
        <v>1378</v>
      </c>
      <c r="E357" s="54" t="n">
        <v>46211</v>
      </c>
      <c r="F357" s="54" t="n">
        <v>46210</v>
      </c>
      <c r="G357" s="0" t="s">
        <v>128</v>
      </c>
      <c r="H357" s="0" t="n">
        <v>1370823</v>
      </c>
      <c r="I357" s="0" t="n">
        <v>1</v>
      </c>
      <c r="J357" s="0" t="s">
        <v>1357</v>
      </c>
      <c r="K357" s="55" t="n">
        <v>1411.05</v>
      </c>
    </row>
    <row r="358" customFormat="false" ht="15" hidden="false" customHeight="false" outlineLevel="0" collapsed="false">
      <c r="A358" s="0" t="n">
        <v>2</v>
      </c>
      <c r="B358" s="0" t="n">
        <v>331</v>
      </c>
      <c r="C358" s="0" t="s">
        <v>1363</v>
      </c>
      <c r="D358" s="0" t="s">
        <v>1369</v>
      </c>
      <c r="E358" s="54" t="n">
        <v>46212</v>
      </c>
      <c r="F358" s="54" t="n">
        <v>46211</v>
      </c>
      <c r="G358" s="0" t="s">
        <v>220</v>
      </c>
      <c r="H358" s="0" t="n">
        <v>1373839</v>
      </c>
      <c r="I358" s="0" t="n">
        <v>1</v>
      </c>
      <c r="J358" s="0" t="s">
        <v>1357</v>
      </c>
      <c r="K358" s="55" t="n">
        <v>915</v>
      </c>
    </row>
    <row r="359" customFormat="false" ht="15" hidden="false" customHeight="false" outlineLevel="0" collapsed="false">
      <c r="A359" s="0" t="n">
        <v>2</v>
      </c>
      <c r="B359" s="0" t="n">
        <v>1194625</v>
      </c>
      <c r="C359" s="0" t="s">
        <v>1358</v>
      </c>
      <c r="D359" s="0" t="s">
        <v>1359</v>
      </c>
      <c r="E359" s="54" t="n">
        <v>46212</v>
      </c>
      <c r="F359" s="54" t="n">
        <v>46211</v>
      </c>
      <c r="G359" s="0" t="s">
        <v>119</v>
      </c>
      <c r="H359" s="0" t="n">
        <v>1374785</v>
      </c>
      <c r="I359" s="0" t="n">
        <v>11</v>
      </c>
      <c r="J359" s="0" t="s">
        <v>1357</v>
      </c>
      <c r="K359" s="55" t="n">
        <v>335</v>
      </c>
    </row>
    <row r="360" customFormat="false" ht="15" hidden="false" customHeight="false" outlineLevel="0" collapsed="false">
      <c r="A360" s="0" t="n">
        <v>2</v>
      </c>
      <c r="B360" s="0" t="n">
        <v>1194626</v>
      </c>
      <c r="C360" s="0" t="s">
        <v>1358</v>
      </c>
      <c r="D360" s="0" t="s">
        <v>1359</v>
      </c>
      <c r="E360" s="54" t="n">
        <v>46212</v>
      </c>
      <c r="F360" s="54" t="n">
        <v>46211</v>
      </c>
      <c r="G360" s="0" t="s">
        <v>119</v>
      </c>
      <c r="H360" s="0" t="n">
        <v>1374769</v>
      </c>
      <c r="I360" s="0" t="n">
        <v>1</v>
      </c>
      <c r="J360" s="0" t="s">
        <v>1357</v>
      </c>
      <c r="K360" s="55" t="n">
        <v>659.34</v>
      </c>
    </row>
    <row r="361" customFormat="false" ht="15" hidden="false" customHeight="false" outlineLevel="0" collapsed="false">
      <c r="A361" s="0" t="n">
        <v>2</v>
      </c>
      <c r="B361" s="0" t="n">
        <v>1926959</v>
      </c>
      <c r="C361" s="0" t="s">
        <v>1360</v>
      </c>
      <c r="D361" s="0" t="s">
        <v>1359</v>
      </c>
      <c r="E361" s="54" t="n">
        <v>46212</v>
      </c>
      <c r="F361" s="54" t="n">
        <v>46211</v>
      </c>
      <c r="G361" s="0" t="s">
        <v>119</v>
      </c>
      <c r="H361" s="0" t="n">
        <v>1374773</v>
      </c>
      <c r="I361" s="0" t="n">
        <v>1</v>
      </c>
      <c r="J361" s="0" t="s">
        <v>1357</v>
      </c>
      <c r="K361" s="55" t="n">
        <v>190.48</v>
      </c>
    </row>
    <row r="362" customFormat="false" ht="15" hidden="false" customHeight="false" outlineLevel="0" collapsed="false">
      <c r="A362" s="0" t="n">
        <v>2</v>
      </c>
      <c r="B362" s="0" t="n">
        <v>851821</v>
      </c>
      <c r="C362" s="0" t="s">
        <v>1363</v>
      </c>
      <c r="D362" s="0" t="s">
        <v>1406</v>
      </c>
      <c r="E362" s="54" t="n">
        <v>46212</v>
      </c>
      <c r="F362" s="54" t="n">
        <v>46211</v>
      </c>
      <c r="G362" s="0" t="s">
        <v>175</v>
      </c>
      <c r="H362" s="0" t="n">
        <v>1373725</v>
      </c>
      <c r="I362" s="0" t="n">
        <v>1</v>
      </c>
      <c r="J362" s="0" t="s">
        <v>1357</v>
      </c>
      <c r="K362" s="55" t="n">
        <v>426.95</v>
      </c>
    </row>
    <row r="363" customFormat="false" ht="15" hidden="false" customHeight="false" outlineLevel="0" collapsed="false">
      <c r="A363" s="0" t="n">
        <v>2</v>
      </c>
      <c r="B363" s="0" t="n">
        <v>681127</v>
      </c>
      <c r="C363" s="0" t="s">
        <v>1363</v>
      </c>
      <c r="D363" s="0" t="s">
        <v>1393</v>
      </c>
      <c r="E363" s="54" t="n">
        <v>46212</v>
      </c>
      <c r="F363" s="54" t="n">
        <v>46212</v>
      </c>
      <c r="G363" s="0" t="s">
        <v>199</v>
      </c>
      <c r="H363" s="0" t="n">
        <v>1374907</v>
      </c>
      <c r="I363" s="0" t="n">
        <v>1</v>
      </c>
      <c r="J363" s="0" t="s">
        <v>1357</v>
      </c>
      <c r="K363" s="55" t="n">
        <v>1527.75</v>
      </c>
    </row>
    <row r="364" customFormat="false" ht="15" hidden="false" customHeight="false" outlineLevel="0" collapsed="false">
      <c r="A364" s="0" t="n">
        <v>2</v>
      </c>
      <c r="B364" s="0" t="n">
        <v>1688844</v>
      </c>
      <c r="C364" s="0" t="s">
        <v>1363</v>
      </c>
      <c r="D364" s="0" t="s">
        <v>1371</v>
      </c>
      <c r="E364" s="54" t="n">
        <v>46212</v>
      </c>
      <c r="F364" s="54" t="n">
        <v>46211</v>
      </c>
      <c r="G364" s="0" t="s">
        <v>201</v>
      </c>
      <c r="H364" s="0" t="n">
        <v>1373707</v>
      </c>
      <c r="I364" s="0" t="n">
        <v>1</v>
      </c>
      <c r="J364" s="0" t="s">
        <v>1357</v>
      </c>
      <c r="K364" s="55" t="n">
        <v>197.37</v>
      </c>
    </row>
    <row r="365" customFormat="false" ht="15" hidden="false" customHeight="false" outlineLevel="0" collapsed="false">
      <c r="A365" s="0" t="n">
        <v>2</v>
      </c>
      <c r="B365" s="0" t="n">
        <v>2299703</v>
      </c>
      <c r="C365" s="0" t="s">
        <v>1363</v>
      </c>
      <c r="D365" s="0" t="s">
        <v>1476</v>
      </c>
      <c r="E365" s="54" t="n">
        <v>46212</v>
      </c>
      <c r="F365" s="54" t="n">
        <v>46212</v>
      </c>
      <c r="G365" s="0" t="s">
        <v>76</v>
      </c>
      <c r="H365" s="0" t="n">
        <v>1374249</v>
      </c>
      <c r="I365" s="0" t="n">
        <v>1</v>
      </c>
      <c r="J365" s="0" t="s">
        <v>1357</v>
      </c>
      <c r="K365" s="55" t="n">
        <v>1132.37</v>
      </c>
    </row>
    <row r="366" customFormat="false" ht="15" hidden="false" customHeight="false" outlineLevel="0" collapsed="false">
      <c r="A366" s="0" t="n">
        <v>2</v>
      </c>
      <c r="B366" s="0" t="n">
        <v>2299705</v>
      </c>
      <c r="C366" s="0" t="s">
        <v>1363</v>
      </c>
      <c r="D366" s="0" t="s">
        <v>1476</v>
      </c>
      <c r="E366" s="54" t="n">
        <v>46212</v>
      </c>
      <c r="F366" s="54" t="n">
        <v>46212</v>
      </c>
      <c r="G366" s="0" t="s">
        <v>76</v>
      </c>
      <c r="H366" s="0" t="n">
        <v>1374035</v>
      </c>
      <c r="I366" s="0" t="n">
        <v>1</v>
      </c>
      <c r="J366" s="0" t="s">
        <v>1357</v>
      </c>
      <c r="K366" s="55" t="n">
        <v>1975.81</v>
      </c>
    </row>
    <row r="367" customFormat="false" ht="15" hidden="false" customHeight="false" outlineLevel="0" collapsed="false">
      <c r="A367" s="0" t="n">
        <v>2</v>
      </c>
      <c r="B367" s="0" t="n">
        <v>53410</v>
      </c>
      <c r="C367" s="0" t="s">
        <v>1363</v>
      </c>
      <c r="D367" s="0" t="s">
        <v>1416</v>
      </c>
      <c r="E367" s="54" t="n">
        <v>46212</v>
      </c>
      <c r="F367" s="54" t="n">
        <v>46211</v>
      </c>
      <c r="G367" s="0" t="s">
        <v>422</v>
      </c>
      <c r="H367" s="0" t="n">
        <v>1373506</v>
      </c>
      <c r="I367" s="0" t="n">
        <v>1</v>
      </c>
      <c r="J367" s="0" t="s">
        <v>1357</v>
      </c>
      <c r="K367" s="55" t="n">
        <v>316.08</v>
      </c>
    </row>
    <row r="368" customFormat="false" ht="15" hidden="false" customHeight="false" outlineLevel="0" collapsed="false">
      <c r="A368" s="0" t="n">
        <v>2</v>
      </c>
      <c r="B368" s="0" t="n">
        <v>31344</v>
      </c>
      <c r="C368" s="0" t="s">
        <v>1363</v>
      </c>
      <c r="D368" s="0" t="s">
        <v>1377</v>
      </c>
      <c r="E368" s="54" t="n">
        <v>46212</v>
      </c>
      <c r="F368" s="54" t="n">
        <v>46211</v>
      </c>
      <c r="G368" s="0" t="s">
        <v>126</v>
      </c>
      <c r="H368" s="0" t="n">
        <v>1374667</v>
      </c>
      <c r="I368" s="0" t="n">
        <v>1</v>
      </c>
      <c r="J368" s="0" t="s">
        <v>1357</v>
      </c>
      <c r="K368" s="55" t="n">
        <v>329</v>
      </c>
    </row>
    <row r="369" customFormat="false" ht="15" hidden="false" customHeight="false" outlineLevel="0" collapsed="false">
      <c r="A369" s="0" t="n">
        <v>2</v>
      </c>
      <c r="B369" s="0" t="n">
        <v>2533</v>
      </c>
      <c r="C369" s="0" t="s">
        <v>1363</v>
      </c>
      <c r="D369" s="0" t="s">
        <v>1373</v>
      </c>
      <c r="E369" s="54" t="n">
        <v>46212</v>
      </c>
      <c r="F369" s="54" t="n">
        <v>46212</v>
      </c>
      <c r="G369" s="0" t="s">
        <v>132</v>
      </c>
      <c r="H369" s="0" t="n">
        <v>1373788</v>
      </c>
      <c r="I369" s="0" t="n">
        <v>6</v>
      </c>
      <c r="J369" s="0" t="s">
        <v>1357</v>
      </c>
      <c r="K369" s="55" t="n">
        <v>290</v>
      </c>
    </row>
    <row r="370" customFormat="false" ht="15" hidden="false" customHeight="false" outlineLevel="0" collapsed="false">
      <c r="A370" s="0" t="n">
        <v>2</v>
      </c>
      <c r="B370" s="0" t="n">
        <v>2535</v>
      </c>
      <c r="C370" s="0" t="s">
        <v>1363</v>
      </c>
      <c r="D370" s="0" t="s">
        <v>1373</v>
      </c>
      <c r="E370" s="54" t="n">
        <v>46212</v>
      </c>
      <c r="F370" s="54" t="n">
        <v>46212</v>
      </c>
      <c r="G370" s="0" t="s">
        <v>132</v>
      </c>
      <c r="H370" s="0" t="n">
        <v>1374877</v>
      </c>
      <c r="I370" s="0" t="n">
        <v>6</v>
      </c>
      <c r="J370" s="0" t="s">
        <v>1357</v>
      </c>
      <c r="K370" s="55" t="n">
        <v>210</v>
      </c>
    </row>
    <row r="371" customFormat="false" ht="15" hidden="false" customHeight="false" outlineLevel="0" collapsed="false">
      <c r="A371" s="0" t="n">
        <v>2</v>
      </c>
      <c r="B371" s="0" t="n">
        <v>1245696</v>
      </c>
      <c r="C371" s="0" t="s">
        <v>1363</v>
      </c>
      <c r="D371" s="0" t="s">
        <v>1408</v>
      </c>
      <c r="E371" s="54" t="n">
        <v>46212</v>
      </c>
      <c r="F371" s="54" t="n">
        <v>46212</v>
      </c>
      <c r="G371" s="0" t="s">
        <v>410</v>
      </c>
      <c r="H371" s="0" t="n">
        <v>1374749</v>
      </c>
      <c r="I371" s="0" t="n">
        <v>1</v>
      </c>
      <c r="J371" s="0" t="s">
        <v>1357</v>
      </c>
      <c r="K371" s="55" t="n">
        <v>335.35</v>
      </c>
    </row>
    <row r="372" customFormat="false" ht="15" hidden="false" customHeight="false" outlineLevel="0" collapsed="false">
      <c r="A372" s="0" t="n">
        <v>2</v>
      </c>
      <c r="B372" s="0" t="n">
        <v>31703</v>
      </c>
      <c r="C372" s="0" t="s">
        <v>1363</v>
      </c>
      <c r="D372" s="0" t="s">
        <v>1378</v>
      </c>
      <c r="E372" s="54" t="n">
        <v>46212</v>
      </c>
      <c r="F372" s="54" t="n">
        <v>46212</v>
      </c>
      <c r="G372" s="0" t="s">
        <v>128</v>
      </c>
      <c r="H372" s="0" t="n">
        <v>1375062</v>
      </c>
      <c r="I372" s="0" t="n">
        <v>1</v>
      </c>
      <c r="J372" s="0" t="s">
        <v>1357</v>
      </c>
      <c r="K372" s="55" t="n">
        <v>3640</v>
      </c>
    </row>
    <row r="373" customFormat="false" ht="15" hidden="false" customHeight="false" outlineLevel="0" collapsed="false">
      <c r="A373" s="0" t="n">
        <v>2</v>
      </c>
      <c r="B373" s="0" t="n">
        <v>351</v>
      </c>
      <c r="C373" s="0" t="s">
        <v>1363</v>
      </c>
      <c r="D373" s="0" t="s">
        <v>1390</v>
      </c>
      <c r="E373" s="54" t="n">
        <v>46213</v>
      </c>
      <c r="F373" s="54" t="n">
        <v>46213</v>
      </c>
      <c r="G373" s="0" t="s">
        <v>1391</v>
      </c>
      <c r="H373" s="0" t="n">
        <v>1377076</v>
      </c>
      <c r="I373" s="0" t="n">
        <v>1</v>
      </c>
      <c r="J373" s="0" t="s">
        <v>1357</v>
      </c>
      <c r="K373" s="55" t="n">
        <v>225</v>
      </c>
    </row>
    <row r="374" customFormat="false" ht="15" hidden="false" customHeight="false" outlineLevel="0" collapsed="false">
      <c r="A374" s="0" t="n">
        <v>2</v>
      </c>
      <c r="B374" s="0" t="n">
        <v>66</v>
      </c>
      <c r="C374" s="0" t="s">
        <v>1363</v>
      </c>
      <c r="D374" s="0" t="s">
        <v>1477</v>
      </c>
      <c r="E374" s="54" t="n">
        <v>46213</v>
      </c>
      <c r="F374" s="54" t="n">
        <v>46213</v>
      </c>
      <c r="G374" s="0" t="s">
        <v>802</v>
      </c>
      <c r="H374" s="0" t="n">
        <v>1377153</v>
      </c>
      <c r="I374" s="0" t="n">
        <v>1</v>
      </c>
      <c r="J374" s="0" t="s">
        <v>1357</v>
      </c>
      <c r="K374" s="55" t="n">
        <v>432</v>
      </c>
    </row>
    <row r="375" customFormat="false" ht="15" hidden="false" customHeight="false" outlineLevel="0" collapsed="false">
      <c r="A375" s="0" t="n">
        <v>2</v>
      </c>
      <c r="B375" s="0" t="n">
        <v>333</v>
      </c>
      <c r="C375" s="0" t="s">
        <v>1363</v>
      </c>
      <c r="D375" s="0" t="s">
        <v>1369</v>
      </c>
      <c r="E375" s="54" t="n">
        <v>46213</v>
      </c>
      <c r="F375" s="54" t="n">
        <v>46212</v>
      </c>
      <c r="G375" s="0" t="s">
        <v>220</v>
      </c>
      <c r="H375" s="0" t="n">
        <v>1377315</v>
      </c>
      <c r="I375" s="0" t="n">
        <v>1</v>
      </c>
      <c r="J375" s="0" t="s">
        <v>1357</v>
      </c>
      <c r="K375" s="55" t="n">
        <v>1171.37</v>
      </c>
    </row>
    <row r="376" customFormat="false" ht="15" hidden="false" customHeight="false" outlineLevel="0" collapsed="false">
      <c r="A376" s="0" t="n">
        <v>2</v>
      </c>
      <c r="B376" s="0" t="n">
        <v>1605936</v>
      </c>
      <c r="C376" s="0" t="s">
        <v>1363</v>
      </c>
      <c r="D376" s="0" t="s">
        <v>1412</v>
      </c>
      <c r="E376" s="54" t="n">
        <v>46213</v>
      </c>
      <c r="F376" s="54" t="n">
        <v>46213</v>
      </c>
      <c r="G376" s="0" t="s">
        <v>94</v>
      </c>
      <c r="H376" s="0" t="n">
        <v>1376659</v>
      </c>
      <c r="I376" s="0" t="n">
        <v>1</v>
      </c>
      <c r="J376" s="0" t="s">
        <v>1357</v>
      </c>
      <c r="K376" s="55" t="n">
        <v>2050.13</v>
      </c>
    </row>
    <row r="377" customFormat="false" ht="15" hidden="false" customHeight="false" outlineLevel="0" collapsed="false">
      <c r="A377" s="0" t="n">
        <v>2</v>
      </c>
      <c r="B377" s="0" t="n">
        <v>1031214</v>
      </c>
      <c r="C377" s="0" t="s">
        <v>1363</v>
      </c>
      <c r="D377" s="0" t="s">
        <v>1370</v>
      </c>
      <c r="E377" s="54" t="n">
        <v>46213</v>
      </c>
      <c r="F377" s="54" t="n">
        <v>46212</v>
      </c>
      <c r="G377" s="0" t="s">
        <v>210</v>
      </c>
      <c r="H377" s="0" t="n">
        <v>1376676</v>
      </c>
      <c r="I377" s="0" t="n">
        <v>1</v>
      </c>
      <c r="J377" s="0" t="s">
        <v>1357</v>
      </c>
      <c r="K377" s="55" t="n">
        <v>250.08</v>
      </c>
    </row>
    <row r="378" customFormat="false" ht="15" hidden="false" customHeight="false" outlineLevel="0" collapsed="false">
      <c r="A378" s="0" t="n">
        <v>2</v>
      </c>
      <c r="B378" s="0" t="n">
        <v>462</v>
      </c>
      <c r="C378" s="0" t="s">
        <v>1363</v>
      </c>
      <c r="D378" s="0" t="s">
        <v>1478</v>
      </c>
      <c r="E378" s="54" t="n">
        <v>46213</v>
      </c>
      <c r="F378" s="54" t="n">
        <v>46209</v>
      </c>
      <c r="G378" s="0" t="s">
        <v>309</v>
      </c>
      <c r="H378" s="0" t="n">
        <v>1377084</v>
      </c>
      <c r="I378" s="0" t="n">
        <v>1</v>
      </c>
      <c r="J378" s="0" t="s">
        <v>1357</v>
      </c>
      <c r="K378" s="55" t="n">
        <v>435</v>
      </c>
    </row>
    <row r="379" customFormat="false" ht="15" hidden="false" customHeight="false" outlineLevel="0" collapsed="false">
      <c r="A379" s="0" t="n">
        <v>2</v>
      </c>
      <c r="B379" s="0" t="n">
        <v>899238</v>
      </c>
      <c r="C379" s="0" t="s">
        <v>1422</v>
      </c>
      <c r="D379" s="0" t="s">
        <v>1423</v>
      </c>
      <c r="E379" s="54" t="n">
        <v>46213</v>
      </c>
      <c r="F379" s="54" t="n">
        <v>46212</v>
      </c>
      <c r="G379" s="0" t="s">
        <v>212</v>
      </c>
      <c r="H379" s="0" t="n">
        <v>1377254</v>
      </c>
      <c r="I379" s="0" t="n">
        <v>1</v>
      </c>
      <c r="J379" s="0" t="s">
        <v>1357</v>
      </c>
      <c r="K379" s="55" t="n">
        <v>660.18</v>
      </c>
    </row>
    <row r="380" customFormat="false" ht="15" hidden="false" customHeight="false" outlineLevel="0" collapsed="false">
      <c r="A380" s="0" t="n">
        <v>2</v>
      </c>
      <c r="B380" s="0" t="n">
        <v>396261</v>
      </c>
      <c r="C380" s="0" t="s">
        <v>1363</v>
      </c>
      <c r="D380" s="0" t="s">
        <v>1414</v>
      </c>
      <c r="E380" s="54" t="n">
        <v>46213</v>
      </c>
      <c r="F380" s="54" t="n">
        <v>46211</v>
      </c>
      <c r="G380" s="0" t="s">
        <v>82</v>
      </c>
      <c r="H380" s="0" t="n">
        <v>1376812</v>
      </c>
      <c r="I380" s="0" t="n">
        <v>1</v>
      </c>
      <c r="J380" s="0" t="s">
        <v>1357</v>
      </c>
      <c r="K380" s="55" t="n">
        <v>638.53</v>
      </c>
    </row>
    <row r="381" customFormat="false" ht="15" hidden="false" customHeight="false" outlineLevel="0" collapsed="false">
      <c r="A381" s="0" t="n">
        <v>2</v>
      </c>
      <c r="B381" s="0" t="n">
        <v>5786</v>
      </c>
      <c r="C381" s="0" t="s">
        <v>1363</v>
      </c>
      <c r="D381" s="0" t="s">
        <v>1382</v>
      </c>
      <c r="E381" s="54" t="n">
        <v>46213</v>
      </c>
      <c r="F381" s="54" t="n">
        <v>46213</v>
      </c>
      <c r="G381" s="0" t="s">
        <v>1383</v>
      </c>
      <c r="H381" s="0" t="n">
        <v>1376630</v>
      </c>
      <c r="I381" s="0" t="n">
        <v>1</v>
      </c>
      <c r="J381" s="0" t="s">
        <v>1357</v>
      </c>
      <c r="K381" s="55" t="n">
        <v>519.65</v>
      </c>
    </row>
    <row r="382" customFormat="false" ht="15" hidden="false" customHeight="false" outlineLevel="0" collapsed="false">
      <c r="A382" s="0" t="n">
        <v>2</v>
      </c>
      <c r="B382" s="0" t="n">
        <v>2635</v>
      </c>
      <c r="C382" s="0" t="s">
        <v>1363</v>
      </c>
      <c r="D382" s="0" t="s">
        <v>1479</v>
      </c>
      <c r="E382" s="54" t="n">
        <v>46213</v>
      </c>
      <c r="F382" s="54" t="n">
        <v>46213</v>
      </c>
      <c r="G382" s="0" t="s">
        <v>807</v>
      </c>
      <c r="H382" s="0" t="n">
        <v>1377247</v>
      </c>
      <c r="I382" s="0" t="n">
        <v>1</v>
      </c>
      <c r="J382" s="0" t="s">
        <v>1357</v>
      </c>
      <c r="K382" s="55" t="n">
        <v>150</v>
      </c>
    </row>
    <row r="383" customFormat="false" ht="15" hidden="false" customHeight="false" outlineLevel="0" collapsed="false">
      <c r="A383" s="0" t="n">
        <v>2</v>
      </c>
      <c r="B383" s="0" t="n">
        <v>2538</v>
      </c>
      <c r="C383" s="0" t="s">
        <v>1363</v>
      </c>
      <c r="D383" s="0" t="s">
        <v>1373</v>
      </c>
      <c r="E383" s="54" t="n">
        <v>46213</v>
      </c>
      <c r="F383" s="54" t="n">
        <v>46213</v>
      </c>
      <c r="G383" s="0" t="s">
        <v>132</v>
      </c>
      <c r="H383" s="0" t="n">
        <v>1377467</v>
      </c>
      <c r="I383" s="0" t="n">
        <v>6</v>
      </c>
      <c r="J383" s="0" t="s">
        <v>1357</v>
      </c>
      <c r="K383" s="55" t="n">
        <v>1838.6</v>
      </c>
    </row>
    <row r="384" customFormat="false" ht="15" hidden="false" customHeight="false" outlineLevel="0" collapsed="false">
      <c r="A384" s="0" t="n">
        <v>2</v>
      </c>
      <c r="B384" s="0" t="n">
        <v>426652</v>
      </c>
      <c r="C384" s="0" t="s">
        <v>1418</v>
      </c>
      <c r="D384" s="0" t="s">
        <v>1442</v>
      </c>
      <c r="E384" s="54" t="n">
        <v>46213</v>
      </c>
      <c r="F384" s="54" t="n">
        <v>46211</v>
      </c>
      <c r="G384" s="0" t="s">
        <v>204</v>
      </c>
      <c r="H384" s="0" t="n">
        <v>1376909</v>
      </c>
      <c r="I384" s="0" t="n">
        <v>1</v>
      </c>
      <c r="J384" s="0" t="s">
        <v>1357</v>
      </c>
      <c r="K384" s="55" t="n">
        <v>2047.9</v>
      </c>
    </row>
    <row r="385" customFormat="false" ht="15" hidden="false" customHeight="false" outlineLevel="0" collapsed="false">
      <c r="A385" s="0" t="n">
        <v>2</v>
      </c>
      <c r="B385" s="0" t="n">
        <v>599833</v>
      </c>
      <c r="C385" s="0" t="s">
        <v>1394</v>
      </c>
      <c r="D385" s="0" t="s">
        <v>1409</v>
      </c>
      <c r="E385" s="54" t="n">
        <v>46213</v>
      </c>
      <c r="F385" s="54" t="n">
        <v>46211</v>
      </c>
      <c r="G385" s="0" t="s">
        <v>412</v>
      </c>
      <c r="H385" s="0" t="n">
        <v>1376782</v>
      </c>
      <c r="I385" s="0" t="n">
        <v>1</v>
      </c>
      <c r="J385" s="0" t="s">
        <v>1357</v>
      </c>
      <c r="K385" s="55" t="n">
        <v>280</v>
      </c>
    </row>
    <row r="386" customFormat="false" ht="15" hidden="false" customHeight="false" outlineLevel="0" collapsed="false">
      <c r="A386" s="0" t="n">
        <v>2</v>
      </c>
      <c r="B386" s="0" t="n">
        <v>262932</v>
      </c>
      <c r="C386" s="0" t="s">
        <v>1363</v>
      </c>
      <c r="D386" s="0" t="s">
        <v>1438</v>
      </c>
      <c r="E386" s="54" t="n">
        <v>46213</v>
      </c>
      <c r="F386" s="54" t="n">
        <v>46211</v>
      </c>
      <c r="G386" s="0" t="s">
        <v>245</v>
      </c>
      <c r="H386" s="0" t="n">
        <v>1377397</v>
      </c>
      <c r="I386" s="0" t="n">
        <v>1</v>
      </c>
      <c r="J386" s="0" t="s">
        <v>1357</v>
      </c>
      <c r="K386" s="55" t="n">
        <v>1123.86</v>
      </c>
    </row>
    <row r="387" customFormat="false" ht="15" hidden="false" customHeight="false" outlineLevel="0" collapsed="false">
      <c r="A387" s="0" t="n">
        <v>2</v>
      </c>
      <c r="B387" s="0" t="n">
        <v>255191</v>
      </c>
      <c r="C387" s="0" t="s">
        <v>1363</v>
      </c>
      <c r="D387" s="0" t="s">
        <v>1410</v>
      </c>
      <c r="E387" s="54" t="n">
        <v>46213</v>
      </c>
      <c r="F387" s="54" t="n">
        <v>46212</v>
      </c>
      <c r="G387" s="0" t="s">
        <v>489</v>
      </c>
      <c r="H387" s="0" t="n">
        <v>1377204</v>
      </c>
      <c r="I387" s="0" t="n">
        <v>1</v>
      </c>
      <c r="J387" s="0" t="s">
        <v>1357</v>
      </c>
      <c r="K387" s="55" t="n">
        <v>771.01</v>
      </c>
    </row>
    <row r="388" customFormat="false" ht="15" hidden="false" customHeight="false" outlineLevel="0" collapsed="false">
      <c r="A388" s="0" t="n">
        <v>2</v>
      </c>
      <c r="B388" s="0" t="n">
        <v>527</v>
      </c>
      <c r="C388" s="0" t="s">
        <v>1363</v>
      </c>
      <c r="D388" s="0" t="s">
        <v>1368</v>
      </c>
      <c r="E388" s="54" t="n">
        <v>46214</v>
      </c>
      <c r="F388" s="54" t="n">
        <v>46213</v>
      </c>
      <c r="G388" s="0" t="s">
        <v>130</v>
      </c>
      <c r="H388" s="0" t="n">
        <v>1381699</v>
      </c>
      <c r="I388" s="0" t="n">
        <v>1</v>
      </c>
      <c r="J388" s="0" t="s">
        <v>1357</v>
      </c>
      <c r="K388" s="55" t="n">
        <v>180</v>
      </c>
    </row>
    <row r="389" customFormat="false" ht="15" hidden="false" customHeight="false" outlineLevel="0" collapsed="false">
      <c r="A389" s="0" t="n">
        <v>2</v>
      </c>
      <c r="B389" s="0" t="n">
        <v>1645747</v>
      </c>
      <c r="C389" s="0" t="s">
        <v>1361</v>
      </c>
      <c r="D389" s="0" t="s">
        <v>1362</v>
      </c>
      <c r="E389" s="54" t="n">
        <v>46214</v>
      </c>
      <c r="F389" s="54" t="n">
        <v>46213</v>
      </c>
      <c r="G389" s="0" t="s">
        <v>369</v>
      </c>
      <c r="H389" s="0" t="n">
        <v>1381841</v>
      </c>
      <c r="I389" s="0" t="n">
        <v>1</v>
      </c>
      <c r="J389" s="0" t="s">
        <v>1357</v>
      </c>
      <c r="K389" s="55" t="n">
        <v>61.5</v>
      </c>
    </row>
    <row r="390" customFormat="false" ht="15" hidden="false" customHeight="false" outlineLevel="0" collapsed="false">
      <c r="A390" s="0" t="n">
        <v>2</v>
      </c>
      <c r="B390" s="0" t="n">
        <v>7646</v>
      </c>
      <c r="C390" s="0" t="s">
        <v>1363</v>
      </c>
      <c r="D390" s="0" t="s">
        <v>1480</v>
      </c>
      <c r="E390" s="54" t="n">
        <v>46214</v>
      </c>
      <c r="F390" s="54" t="n">
        <v>46213</v>
      </c>
      <c r="G390" s="0" t="s">
        <v>943</v>
      </c>
      <c r="H390" s="0" t="n">
        <v>1381742</v>
      </c>
      <c r="I390" s="0" t="n">
        <v>39</v>
      </c>
      <c r="J390" s="0" t="s">
        <v>1357</v>
      </c>
      <c r="K390" s="55" t="n">
        <v>215</v>
      </c>
    </row>
    <row r="391" customFormat="false" ht="15" hidden="false" customHeight="false" outlineLevel="0" collapsed="false">
      <c r="A391" s="0" t="n">
        <v>2</v>
      </c>
      <c r="B391" s="0" t="n">
        <v>7874</v>
      </c>
      <c r="C391" s="0" t="s">
        <v>1363</v>
      </c>
      <c r="D391" s="0" t="s">
        <v>1415</v>
      </c>
      <c r="E391" s="54" t="n">
        <v>46214</v>
      </c>
      <c r="F391" s="54" t="n">
        <v>46209</v>
      </c>
      <c r="G391" s="0" t="s">
        <v>381</v>
      </c>
      <c r="H391" s="0" t="n">
        <v>1381906</v>
      </c>
      <c r="I391" s="0" t="n">
        <v>1</v>
      </c>
      <c r="J391" s="0" t="s">
        <v>1357</v>
      </c>
      <c r="K391" s="55" t="n">
        <v>1515.53</v>
      </c>
    </row>
    <row r="392" customFormat="false" ht="15" hidden="false" customHeight="false" outlineLevel="0" collapsed="false">
      <c r="A392" s="0" t="n">
        <v>2</v>
      </c>
      <c r="B392" s="0" t="n">
        <v>708</v>
      </c>
      <c r="C392" s="0" t="s">
        <v>1355</v>
      </c>
      <c r="D392" s="0" t="s">
        <v>1365</v>
      </c>
      <c r="E392" s="54" t="n">
        <v>46214</v>
      </c>
      <c r="F392" s="54" t="n">
        <v>46213</v>
      </c>
      <c r="G392" s="0" t="s">
        <v>194</v>
      </c>
      <c r="H392" s="0" t="n">
        <v>1381714</v>
      </c>
      <c r="I392" s="0" t="n">
        <v>1</v>
      </c>
      <c r="J392" s="0" t="s">
        <v>1357</v>
      </c>
      <c r="K392" s="55" t="n">
        <v>307.11</v>
      </c>
    </row>
    <row r="393" customFormat="false" ht="15" hidden="false" customHeight="false" outlineLevel="0" collapsed="false">
      <c r="A393" s="0" t="n">
        <v>2</v>
      </c>
      <c r="B393" s="0" t="n">
        <v>566541</v>
      </c>
      <c r="C393" s="0" t="s">
        <v>1401</v>
      </c>
      <c r="D393" s="0" t="s">
        <v>1402</v>
      </c>
      <c r="E393" s="54" t="n">
        <v>46214</v>
      </c>
      <c r="F393" s="54" t="n">
        <v>46211</v>
      </c>
      <c r="G393" s="0" t="s">
        <v>206</v>
      </c>
      <c r="H393" s="0" t="n">
        <v>1381638</v>
      </c>
      <c r="I393" s="0" t="n">
        <v>1</v>
      </c>
      <c r="J393" s="0" t="s">
        <v>1357</v>
      </c>
      <c r="K393" s="55" t="n">
        <v>9145.72</v>
      </c>
    </row>
    <row r="394" customFormat="false" ht="15" hidden="false" customHeight="false" outlineLevel="0" collapsed="false">
      <c r="A394" s="0" t="n">
        <v>2</v>
      </c>
      <c r="B394" s="0" t="n">
        <v>1199243</v>
      </c>
      <c r="C394" s="0" t="s">
        <v>1358</v>
      </c>
      <c r="D394" s="0" t="s">
        <v>1359</v>
      </c>
      <c r="E394" s="54" t="n">
        <v>46216</v>
      </c>
      <c r="F394" s="54" t="n">
        <v>46213</v>
      </c>
      <c r="G394" s="0" t="s">
        <v>119</v>
      </c>
      <c r="H394" s="0" t="n">
        <v>1394011</v>
      </c>
      <c r="I394" s="0" t="n">
        <v>1</v>
      </c>
      <c r="J394" s="0" t="s">
        <v>1357</v>
      </c>
      <c r="K394" s="55" t="n">
        <v>101.71</v>
      </c>
    </row>
    <row r="395" customFormat="false" ht="15" hidden="false" customHeight="false" outlineLevel="0" collapsed="false">
      <c r="A395" s="0" t="n">
        <v>2</v>
      </c>
      <c r="B395" s="0" t="n">
        <v>1199257</v>
      </c>
      <c r="C395" s="0" t="s">
        <v>1358</v>
      </c>
      <c r="D395" s="0" t="s">
        <v>1359</v>
      </c>
      <c r="E395" s="54" t="n">
        <v>46216</v>
      </c>
      <c r="F395" s="54" t="n">
        <v>46213</v>
      </c>
      <c r="G395" s="0" t="s">
        <v>119</v>
      </c>
      <c r="H395" s="0" t="n">
        <v>1393993</v>
      </c>
      <c r="I395" s="0" t="n">
        <v>1</v>
      </c>
      <c r="J395" s="0" t="s">
        <v>1357</v>
      </c>
      <c r="K395" s="55" t="n">
        <v>203.41</v>
      </c>
    </row>
    <row r="396" customFormat="false" ht="15" hidden="false" customHeight="false" outlineLevel="0" collapsed="false">
      <c r="A396" s="0" t="n">
        <v>2</v>
      </c>
      <c r="B396" s="0" t="n">
        <v>1931230</v>
      </c>
      <c r="C396" s="0" t="s">
        <v>1360</v>
      </c>
      <c r="D396" s="0" t="s">
        <v>1359</v>
      </c>
      <c r="E396" s="54" t="n">
        <v>46216</v>
      </c>
      <c r="F396" s="54" t="n">
        <v>46213</v>
      </c>
      <c r="G396" s="0" t="s">
        <v>119</v>
      </c>
      <c r="H396" s="0" t="n">
        <v>1393986</v>
      </c>
      <c r="I396" s="0" t="n">
        <v>1</v>
      </c>
      <c r="J396" s="0" t="s">
        <v>1357</v>
      </c>
      <c r="K396" s="55" t="n">
        <v>419.67</v>
      </c>
    </row>
    <row r="397" customFormat="false" ht="15" hidden="false" customHeight="false" outlineLevel="0" collapsed="false">
      <c r="A397" s="0" t="n">
        <v>2</v>
      </c>
      <c r="B397" s="0" t="n">
        <v>3217924</v>
      </c>
      <c r="C397" s="0" t="s">
        <v>1363</v>
      </c>
      <c r="D397" s="0" t="s">
        <v>1407</v>
      </c>
      <c r="E397" s="54" t="n">
        <v>46216</v>
      </c>
      <c r="F397" s="54" t="n">
        <v>46212</v>
      </c>
      <c r="G397" s="0" t="s">
        <v>85</v>
      </c>
      <c r="H397" s="0" t="n">
        <v>1393134</v>
      </c>
      <c r="I397" s="0" t="n">
        <v>39</v>
      </c>
      <c r="J397" s="0" t="s">
        <v>1357</v>
      </c>
      <c r="K397" s="55" t="n">
        <v>292.39</v>
      </c>
    </row>
    <row r="398" customFormat="false" ht="15" hidden="false" customHeight="false" outlineLevel="0" collapsed="false">
      <c r="A398" s="0" t="n">
        <v>2</v>
      </c>
      <c r="B398" s="0" t="n">
        <v>1646001</v>
      </c>
      <c r="C398" s="0" t="s">
        <v>1361</v>
      </c>
      <c r="D398" s="0" t="s">
        <v>1362</v>
      </c>
      <c r="E398" s="54" t="n">
        <v>46216</v>
      </c>
      <c r="F398" s="54" t="n">
        <v>46214</v>
      </c>
      <c r="G398" s="0" t="s">
        <v>369</v>
      </c>
      <c r="H398" s="0" t="n">
        <v>1393119</v>
      </c>
      <c r="I398" s="0" t="n">
        <v>1</v>
      </c>
      <c r="J398" s="0" t="s">
        <v>1357</v>
      </c>
      <c r="K398" s="55" t="n">
        <v>174</v>
      </c>
    </row>
    <row r="399" customFormat="false" ht="15" hidden="false" customHeight="false" outlineLevel="0" collapsed="false">
      <c r="A399" s="0" t="n">
        <v>2</v>
      </c>
      <c r="B399" s="0" t="n">
        <v>312916</v>
      </c>
      <c r="C399" s="0" t="s">
        <v>1363</v>
      </c>
      <c r="D399" s="0" t="s">
        <v>1380</v>
      </c>
      <c r="E399" s="54" t="n">
        <v>46216</v>
      </c>
      <c r="F399" s="54" t="n">
        <v>46213</v>
      </c>
      <c r="G399" s="0" t="s">
        <v>82</v>
      </c>
      <c r="H399" s="0" t="n">
        <v>1393879</v>
      </c>
      <c r="I399" s="0" t="n">
        <v>1</v>
      </c>
      <c r="J399" s="0" t="s">
        <v>1357</v>
      </c>
      <c r="K399" s="55" t="n">
        <v>1096.67</v>
      </c>
    </row>
    <row r="400" customFormat="false" ht="15" hidden="false" customHeight="false" outlineLevel="0" collapsed="false">
      <c r="A400" s="0" t="n">
        <v>2</v>
      </c>
      <c r="B400" s="0" t="n">
        <v>1791</v>
      </c>
      <c r="C400" s="0" t="s">
        <v>1363</v>
      </c>
      <c r="D400" s="0" t="s">
        <v>1397</v>
      </c>
      <c r="E400" s="54" t="n">
        <v>46216</v>
      </c>
      <c r="F400" s="54" t="n">
        <v>46216</v>
      </c>
      <c r="G400" s="0" t="s">
        <v>400</v>
      </c>
      <c r="H400" s="0" t="n">
        <v>1393806</v>
      </c>
      <c r="I400" s="0" t="n">
        <v>1</v>
      </c>
      <c r="J400" s="0" t="s">
        <v>1357</v>
      </c>
      <c r="K400" s="55" t="n">
        <v>250</v>
      </c>
    </row>
    <row r="401" customFormat="false" ht="15" hidden="false" customHeight="false" outlineLevel="0" collapsed="false">
      <c r="A401" s="0" t="n">
        <v>2</v>
      </c>
      <c r="B401" s="0" t="n">
        <v>501201</v>
      </c>
      <c r="C401" s="0" t="s">
        <v>1363</v>
      </c>
      <c r="D401" s="0" t="s">
        <v>1481</v>
      </c>
      <c r="E401" s="54" t="n">
        <v>46216</v>
      </c>
      <c r="F401" s="54" t="n">
        <v>46212</v>
      </c>
      <c r="G401" s="0" t="s">
        <v>263</v>
      </c>
      <c r="H401" s="0" t="n">
        <v>1394185</v>
      </c>
      <c r="I401" s="0" t="n">
        <v>1</v>
      </c>
      <c r="J401" s="0" t="s">
        <v>1357</v>
      </c>
      <c r="K401" s="55" t="n">
        <v>4225.99</v>
      </c>
    </row>
    <row r="402" customFormat="false" ht="15" hidden="false" customHeight="false" outlineLevel="0" collapsed="false">
      <c r="A402" s="0" t="n">
        <v>2</v>
      </c>
      <c r="B402" s="0" t="n">
        <v>2539</v>
      </c>
      <c r="C402" s="0" t="s">
        <v>1363</v>
      </c>
      <c r="D402" s="0" t="s">
        <v>1373</v>
      </c>
      <c r="E402" s="54" t="n">
        <v>46216</v>
      </c>
      <c r="F402" s="54" t="n">
        <v>46216</v>
      </c>
      <c r="G402" s="0" t="s">
        <v>132</v>
      </c>
      <c r="H402" s="0" t="n">
        <v>1393775</v>
      </c>
      <c r="I402" s="0" t="n">
        <v>6</v>
      </c>
      <c r="J402" s="0" t="s">
        <v>1357</v>
      </c>
      <c r="K402" s="55" t="n">
        <v>210</v>
      </c>
    </row>
    <row r="403" customFormat="false" ht="15" hidden="false" customHeight="false" outlineLevel="0" collapsed="false">
      <c r="A403" s="0" t="n">
        <v>2</v>
      </c>
      <c r="B403" s="0" t="n">
        <v>711</v>
      </c>
      <c r="C403" s="0" t="s">
        <v>1355</v>
      </c>
      <c r="D403" s="0" t="s">
        <v>1365</v>
      </c>
      <c r="E403" s="54" t="n">
        <v>46216</v>
      </c>
      <c r="F403" s="54" t="n">
        <v>46216</v>
      </c>
      <c r="G403" s="0" t="s">
        <v>194</v>
      </c>
      <c r="H403" s="0" t="n">
        <v>1393812</v>
      </c>
      <c r="I403" s="0" t="n">
        <v>1</v>
      </c>
      <c r="J403" s="0" t="s">
        <v>1357</v>
      </c>
      <c r="K403" s="55" t="n">
        <v>135</v>
      </c>
    </row>
    <row r="404" customFormat="false" ht="15" hidden="false" customHeight="false" outlineLevel="0" collapsed="false">
      <c r="A404" s="0" t="n">
        <v>2</v>
      </c>
      <c r="B404" s="0" t="n">
        <v>1962669</v>
      </c>
      <c r="C404" s="0" t="s">
        <v>1363</v>
      </c>
      <c r="D404" s="0" t="s">
        <v>1456</v>
      </c>
      <c r="E404" s="54" t="n">
        <v>46216</v>
      </c>
      <c r="F404" s="54" t="n">
        <v>46211</v>
      </c>
      <c r="G404" s="0" t="s">
        <v>160</v>
      </c>
      <c r="H404" s="0" t="n">
        <v>1393698</v>
      </c>
      <c r="I404" s="0" t="n">
        <v>1</v>
      </c>
      <c r="J404" s="0" t="s">
        <v>1357</v>
      </c>
      <c r="K404" s="55" t="n">
        <v>6016.21</v>
      </c>
    </row>
    <row r="405" customFormat="false" ht="15" hidden="false" customHeight="false" outlineLevel="0" collapsed="false">
      <c r="A405" s="0" t="n">
        <v>2</v>
      </c>
      <c r="B405" s="0" t="n">
        <v>473151</v>
      </c>
      <c r="C405" s="0" t="s">
        <v>1363</v>
      </c>
      <c r="D405" s="0" t="s">
        <v>1392</v>
      </c>
      <c r="E405" s="54" t="n">
        <v>46217</v>
      </c>
      <c r="F405" s="54" t="n">
        <v>46216</v>
      </c>
      <c r="G405" s="0" t="s">
        <v>357</v>
      </c>
      <c r="H405" s="0" t="n">
        <v>1398164</v>
      </c>
      <c r="I405" s="0" t="n">
        <v>11</v>
      </c>
      <c r="J405" s="0" t="s">
        <v>1357</v>
      </c>
      <c r="K405" s="55" t="n">
        <v>277.6</v>
      </c>
    </row>
    <row r="406" customFormat="false" ht="15" hidden="false" customHeight="false" outlineLevel="0" collapsed="false">
      <c r="A406" s="0" t="n">
        <v>2</v>
      </c>
      <c r="B406" s="0" t="n">
        <v>1031749</v>
      </c>
      <c r="C406" s="0" t="s">
        <v>1363</v>
      </c>
      <c r="D406" s="0" t="s">
        <v>1370</v>
      </c>
      <c r="E406" s="54" t="n">
        <v>46217</v>
      </c>
      <c r="F406" s="54" t="n">
        <v>46216</v>
      </c>
      <c r="G406" s="0" t="s">
        <v>210</v>
      </c>
      <c r="H406" s="0" t="n">
        <v>1396745</v>
      </c>
      <c r="I406" s="0" t="n">
        <v>1</v>
      </c>
      <c r="J406" s="0" t="s">
        <v>1357</v>
      </c>
      <c r="K406" s="55" t="n">
        <v>261.92</v>
      </c>
    </row>
    <row r="407" customFormat="false" ht="15" hidden="false" customHeight="false" outlineLevel="0" collapsed="false">
      <c r="A407" s="0" t="n">
        <v>2</v>
      </c>
      <c r="B407" s="0" t="n">
        <v>1646699</v>
      </c>
      <c r="C407" s="0" t="s">
        <v>1361</v>
      </c>
      <c r="D407" s="0" t="s">
        <v>1362</v>
      </c>
      <c r="E407" s="54" t="n">
        <v>46217</v>
      </c>
      <c r="F407" s="54" t="n">
        <v>46216</v>
      </c>
      <c r="G407" s="0" t="s">
        <v>369</v>
      </c>
      <c r="H407" s="0" t="n">
        <v>1396761</v>
      </c>
      <c r="I407" s="0" t="n">
        <v>1</v>
      </c>
      <c r="J407" s="0" t="s">
        <v>1357</v>
      </c>
      <c r="K407" s="55" t="n">
        <v>117</v>
      </c>
    </row>
    <row r="408" customFormat="false" ht="15" hidden="false" customHeight="false" outlineLevel="0" collapsed="false">
      <c r="A408" s="0" t="n">
        <v>2</v>
      </c>
      <c r="B408" s="0" t="n">
        <v>2300746</v>
      </c>
      <c r="C408" s="0" t="s">
        <v>1363</v>
      </c>
      <c r="D408" s="0" t="s">
        <v>1476</v>
      </c>
      <c r="E408" s="54" t="n">
        <v>46217</v>
      </c>
      <c r="F408" s="54" t="n">
        <v>46216</v>
      </c>
      <c r="G408" s="0" t="s">
        <v>76</v>
      </c>
      <c r="H408" s="0" t="n">
        <v>1397696</v>
      </c>
      <c r="I408" s="0" t="n">
        <v>11</v>
      </c>
      <c r="J408" s="0" t="s">
        <v>1357</v>
      </c>
      <c r="K408" s="55" t="n">
        <v>550.37</v>
      </c>
    </row>
    <row r="409" customFormat="false" ht="15" hidden="false" customHeight="false" outlineLevel="0" collapsed="false">
      <c r="A409" s="0" t="n">
        <v>2</v>
      </c>
      <c r="B409" s="0" t="n">
        <v>1781169</v>
      </c>
      <c r="C409" s="0" t="s">
        <v>1427</v>
      </c>
      <c r="D409" s="0" t="s">
        <v>1428</v>
      </c>
      <c r="E409" s="54" t="n">
        <v>46217</v>
      </c>
      <c r="F409" s="54" t="n">
        <v>46213</v>
      </c>
      <c r="G409" s="0" t="s">
        <v>156</v>
      </c>
      <c r="H409" s="0" t="n">
        <v>1396775</v>
      </c>
      <c r="I409" s="0" t="n">
        <v>11</v>
      </c>
      <c r="J409" s="0" t="s">
        <v>1357</v>
      </c>
      <c r="K409" s="55" t="n">
        <v>423.95</v>
      </c>
    </row>
    <row r="410" customFormat="false" ht="15" hidden="false" customHeight="false" outlineLevel="0" collapsed="false">
      <c r="A410" s="0" t="n">
        <v>2</v>
      </c>
      <c r="B410" s="0" t="n">
        <v>1781170</v>
      </c>
      <c r="C410" s="0" t="s">
        <v>1427</v>
      </c>
      <c r="D410" s="0" t="s">
        <v>1428</v>
      </c>
      <c r="E410" s="54" t="n">
        <v>46217</v>
      </c>
      <c r="F410" s="54" t="n">
        <v>46213</v>
      </c>
      <c r="G410" s="0" t="s">
        <v>156</v>
      </c>
      <c r="H410" s="0" t="n">
        <v>1397141</v>
      </c>
      <c r="I410" s="0" t="n">
        <v>11</v>
      </c>
      <c r="J410" s="0" t="s">
        <v>1357</v>
      </c>
      <c r="K410" s="55" t="n">
        <v>410.89</v>
      </c>
    </row>
    <row r="411" customFormat="false" ht="15" hidden="false" customHeight="false" outlineLevel="0" collapsed="false">
      <c r="A411" s="0" t="n">
        <v>2</v>
      </c>
      <c r="B411" s="0" t="n">
        <v>14685</v>
      </c>
      <c r="C411" s="0" t="s">
        <v>1363</v>
      </c>
      <c r="D411" s="0" t="s">
        <v>1364</v>
      </c>
      <c r="E411" s="54" t="n">
        <v>46217</v>
      </c>
      <c r="F411" s="54" t="n">
        <v>46214</v>
      </c>
      <c r="G411" s="0" t="s">
        <v>248</v>
      </c>
      <c r="H411" s="0" t="n">
        <v>1397011</v>
      </c>
      <c r="I411" s="0" t="n">
        <v>1</v>
      </c>
      <c r="J411" s="0" t="s">
        <v>1357</v>
      </c>
      <c r="K411" s="55" t="n">
        <v>4043.8</v>
      </c>
    </row>
    <row r="412" customFormat="false" ht="15" hidden="false" customHeight="false" outlineLevel="0" collapsed="false">
      <c r="A412" s="0" t="n">
        <v>2</v>
      </c>
      <c r="B412" s="0" t="n">
        <v>2542</v>
      </c>
      <c r="C412" s="0" t="s">
        <v>1363</v>
      </c>
      <c r="D412" s="0" t="s">
        <v>1373</v>
      </c>
      <c r="E412" s="54" t="n">
        <v>46217</v>
      </c>
      <c r="F412" s="54" t="n">
        <v>46217</v>
      </c>
      <c r="G412" s="0" t="s">
        <v>132</v>
      </c>
      <c r="H412" s="0" t="n">
        <v>1398221</v>
      </c>
      <c r="I412" s="0" t="n">
        <v>6</v>
      </c>
      <c r="J412" s="0" t="s">
        <v>1357</v>
      </c>
      <c r="K412" s="55" t="n">
        <v>1946.36</v>
      </c>
    </row>
    <row r="413" customFormat="false" ht="15" hidden="false" customHeight="false" outlineLevel="0" collapsed="false">
      <c r="A413" s="0" t="n">
        <v>2</v>
      </c>
      <c r="B413" s="0" t="n">
        <v>2543</v>
      </c>
      <c r="C413" s="0" t="s">
        <v>1363</v>
      </c>
      <c r="D413" s="0" t="s">
        <v>1373</v>
      </c>
      <c r="E413" s="54" t="n">
        <v>46217</v>
      </c>
      <c r="F413" s="54" t="n">
        <v>46217</v>
      </c>
      <c r="G413" s="0" t="s">
        <v>132</v>
      </c>
      <c r="H413" s="0" t="n">
        <v>1398476</v>
      </c>
      <c r="I413" s="0" t="n">
        <v>6</v>
      </c>
      <c r="J413" s="0" t="s">
        <v>1357</v>
      </c>
      <c r="K413" s="55" t="n">
        <v>182</v>
      </c>
    </row>
    <row r="414" customFormat="false" ht="15" hidden="false" customHeight="false" outlineLevel="0" collapsed="false">
      <c r="A414" s="0" t="n">
        <v>2</v>
      </c>
      <c r="B414" s="0" t="n">
        <v>4058</v>
      </c>
      <c r="C414" s="0" t="s">
        <v>1363</v>
      </c>
      <c r="D414" s="0" t="s">
        <v>1374</v>
      </c>
      <c r="E414" s="54" t="n">
        <v>46217</v>
      </c>
      <c r="F414" s="54" t="n">
        <v>46216</v>
      </c>
      <c r="G414" s="0" t="s">
        <v>92</v>
      </c>
      <c r="H414" s="0" t="n">
        <v>1397689</v>
      </c>
      <c r="I414" s="0" t="n">
        <v>11</v>
      </c>
      <c r="J414" s="0" t="s">
        <v>1357</v>
      </c>
      <c r="K414" s="55" t="n">
        <v>216.75</v>
      </c>
    </row>
    <row r="415" customFormat="false" ht="15" hidden="false" customHeight="false" outlineLevel="0" collapsed="false">
      <c r="A415" s="0" t="n">
        <v>2</v>
      </c>
      <c r="B415" s="0" t="n">
        <v>15127</v>
      </c>
      <c r="C415" s="0" t="s">
        <v>1363</v>
      </c>
      <c r="D415" s="0" t="s">
        <v>1367</v>
      </c>
      <c r="E415" s="54" t="n">
        <v>46217</v>
      </c>
      <c r="F415" s="54" t="n">
        <v>46216</v>
      </c>
      <c r="G415" s="0" t="s">
        <v>266</v>
      </c>
      <c r="H415" s="0" t="n">
        <v>1397435</v>
      </c>
      <c r="I415" s="0" t="n">
        <v>11</v>
      </c>
      <c r="J415" s="0" t="s">
        <v>1357</v>
      </c>
      <c r="K415" s="55" t="n">
        <v>361.6</v>
      </c>
    </row>
    <row r="416" customFormat="false" ht="15" hidden="false" customHeight="false" outlineLevel="0" collapsed="false">
      <c r="A416" s="0" t="n">
        <v>2</v>
      </c>
      <c r="B416" s="0" t="n">
        <v>30429</v>
      </c>
      <c r="C416" s="0" t="s">
        <v>1363</v>
      </c>
      <c r="D416" s="0" t="s">
        <v>1482</v>
      </c>
      <c r="E416" s="54" t="n">
        <v>46217</v>
      </c>
      <c r="F416" s="54" t="n">
        <v>46217</v>
      </c>
      <c r="G416" s="0" t="s">
        <v>918</v>
      </c>
      <c r="H416" s="0" t="n">
        <v>1398396</v>
      </c>
      <c r="I416" s="0" t="n">
        <v>11</v>
      </c>
      <c r="J416" s="0" t="s">
        <v>1357</v>
      </c>
      <c r="K416" s="55" t="n">
        <v>406.11</v>
      </c>
    </row>
    <row r="417" customFormat="false" ht="15" hidden="false" customHeight="false" outlineLevel="0" collapsed="false">
      <c r="A417" s="0" t="n">
        <v>2</v>
      </c>
      <c r="B417" s="0" t="n">
        <v>1905831</v>
      </c>
      <c r="C417" s="0" t="s">
        <v>1363</v>
      </c>
      <c r="D417" s="0" t="s">
        <v>1453</v>
      </c>
      <c r="E417" s="54" t="n">
        <v>46218</v>
      </c>
      <c r="F417" s="54" t="n">
        <v>46217</v>
      </c>
      <c r="G417" s="0" t="s">
        <v>764</v>
      </c>
      <c r="H417" s="0" t="n">
        <v>1401261</v>
      </c>
      <c r="I417" s="0" t="n">
        <v>11</v>
      </c>
      <c r="J417" s="0" t="s">
        <v>1357</v>
      </c>
      <c r="K417" s="55" t="n">
        <v>479.64</v>
      </c>
    </row>
    <row r="418" customFormat="false" ht="15" hidden="false" customHeight="false" outlineLevel="0" collapsed="false">
      <c r="A418" s="0" t="n">
        <v>2</v>
      </c>
      <c r="B418" s="0" t="n">
        <v>1905832</v>
      </c>
      <c r="C418" s="0" t="s">
        <v>1363</v>
      </c>
      <c r="D418" s="0" t="s">
        <v>1453</v>
      </c>
      <c r="E418" s="54" t="n">
        <v>46218</v>
      </c>
      <c r="F418" s="54" t="n">
        <v>46217</v>
      </c>
      <c r="G418" s="0" t="s">
        <v>764</v>
      </c>
      <c r="H418" s="0" t="n">
        <v>1401266</v>
      </c>
      <c r="I418" s="0" t="n">
        <v>11</v>
      </c>
      <c r="J418" s="0" t="s">
        <v>1357</v>
      </c>
      <c r="K418" s="55" t="n">
        <v>639.52</v>
      </c>
    </row>
    <row r="419" customFormat="false" ht="15" hidden="false" customHeight="false" outlineLevel="0" collapsed="false">
      <c r="A419" s="0" t="n">
        <v>2</v>
      </c>
      <c r="B419" s="0" t="n">
        <v>1905833</v>
      </c>
      <c r="C419" s="0" t="s">
        <v>1363</v>
      </c>
      <c r="D419" s="0" t="s">
        <v>1453</v>
      </c>
      <c r="E419" s="54" t="n">
        <v>46218</v>
      </c>
      <c r="F419" s="54" t="n">
        <v>46217</v>
      </c>
      <c r="G419" s="0" t="s">
        <v>764</v>
      </c>
      <c r="H419" s="0" t="n">
        <v>1401262</v>
      </c>
      <c r="I419" s="0" t="n">
        <v>11</v>
      </c>
      <c r="J419" s="0" t="s">
        <v>1357</v>
      </c>
      <c r="K419" s="55" t="n">
        <v>479.64</v>
      </c>
    </row>
    <row r="420" customFormat="false" ht="15" hidden="false" customHeight="false" outlineLevel="0" collapsed="false">
      <c r="A420" s="0" t="n">
        <v>2</v>
      </c>
      <c r="B420" s="0" t="n">
        <v>1692730</v>
      </c>
      <c r="C420" s="0" t="s">
        <v>1363</v>
      </c>
      <c r="D420" s="0" t="s">
        <v>1371</v>
      </c>
      <c r="E420" s="54" t="n">
        <v>46218</v>
      </c>
      <c r="F420" s="54" t="n">
        <v>46218</v>
      </c>
      <c r="G420" s="0" t="s">
        <v>201</v>
      </c>
      <c r="H420" s="0" t="n">
        <v>1401764</v>
      </c>
      <c r="I420" s="0" t="n">
        <v>11</v>
      </c>
      <c r="J420" s="0" t="s">
        <v>1357</v>
      </c>
      <c r="K420" s="55" t="n">
        <v>3621.85</v>
      </c>
    </row>
    <row r="421" customFormat="false" ht="15" hidden="false" customHeight="false" outlineLevel="0" collapsed="false">
      <c r="A421" s="0" t="n">
        <v>2</v>
      </c>
      <c r="B421" s="0" t="n">
        <v>3218196</v>
      </c>
      <c r="C421" s="0" t="s">
        <v>1363</v>
      </c>
      <c r="D421" s="0" t="s">
        <v>1407</v>
      </c>
      <c r="E421" s="54" t="n">
        <v>46218</v>
      </c>
      <c r="F421" s="54" t="n">
        <v>46216</v>
      </c>
      <c r="G421" s="0" t="s">
        <v>85</v>
      </c>
      <c r="H421" s="0" t="n">
        <v>1402263</v>
      </c>
      <c r="I421" s="0" t="n">
        <v>11</v>
      </c>
      <c r="J421" s="0" t="s">
        <v>1357</v>
      </c>
      <c r="K421" s="55" t="n">
        <v>3940.75</v>
      </c>
    </row>
    <row r="422" customFormat="false" ht="15" hidden="false" customHeight="false" outlineLevel="0" collapsed="false">
      <c r="A422" s="0" t="n">
        <v>2</v>
      </c>
      <c r="B422" s="0" t="n">
        <v>3218198</v>
      </c>
      <c r="C422" s="0" t="s">
        <v>1363</v>
      </c>
      <c r="D422" s="0" t="s">
        <v>1407</v>
      </c>
      <c r="E422" s="54" t="n">
        <v>46218</v>
      </c>
      <c r="F422" s="54" t="n">
        <v>46216</v>
      </c>
      <c r="G422" s="0" t="s">
        <v>85</v>
      </c>
      <c r="H422" s="0" t="n">
        <v>1402930</v>
      </c>
      <c r="I422" s="0" t="n">
        <v>11</v>
      </c>
      <c r="J422" s="0" t="s">
        <v>1357</v>
      </c>
      <c r="K422" s="55" t="n">
        <v>4155.44</v>
      </c>
    </row>
    <row r="423" customFormat="false" ht="15" hidden="false" customHeight="false" outlineLevel="0" collapsed="false">
      <c r="A423" s="0" t="n">
        <v>2</v>
      </c>
      <c r="B423" s="0" t="n">
        <v>1647775</v>
      </c>
      <c r="C423" s="0" t="s">
        <v>1361</v>
      </c>
      <c r="D423" s="0" t="s">
        <v>1362</v>
      </c>
      <c r="E423" s="54" t="n">
        <v>46218</v>
      </c>
      <c r="F423" s="54" t="n">
        <v>46218</v>
      </c>
      <c r="G423" s="0" t="s">
        <v>369</v>
      </c>
      <c r="H423" s="0" t="n">
        <v>1402687</v>
      </c>
      <c r="I423" s="0" t="n">
        <v>1</v>
      </c>
      <c r="J423" s="0" t="s">
        <v>1357</v>
      </c>
      <c r="K423" s="55" t="n">
        <v>76.5</v>
      </c>
    </row>
    <row r="424" customFormat="false" ht="15" hidden="false" customHeight="false" outlineLevel="0" collapsed="false">
      <c r="A424" s="0" t="n">
        <v>2</v>
      </c>
      <c r="B424" s="0" t="n">
        <v>392537</v>
      </c>
      <c r="C424" s="0" t="s">
        <v>1363</v>
      </c>
      <c r="D424" s="0" t="s">
        <v>1384</v>
      </c>
      <c r="E424" s="54" t="n">
        <v>46218</v>
      </c>
      <c r="F424" s="54" t="n">
        <v>46217</v>
      </c>
      <c r="G424" s="0" t="s">
        <v>164</v>
      </c>
      <c r="H424" s="0" t="n">
        <v>1403026</v>
      </c>
      <c r="I424" s="0" t="n">
        <v>11</v>
      </c>
      <c r="J424" s="0" t="s">
        <v>1357</v>
      </c>
      <c r="K424" s="55" t="n">
        <v>8419.48</v>
      </c>
    </row>
    <row r="425" customFormat="false" ht="15" hidden="false" customHeight="false" outlineLevel="0" collapsed="false">
      <c r="A425" s="0" t="n">
        <v>2</v>
      </c>
      <c r="B425" s="0" t="n">
        <v>16645</v>
      </c>
      <c r="C425" s="0" t="s">
        <v>1363</v>
      </c>
      <c r="D425" s="0" t="s">
        <v>1483</v>
      </c>
      <c r="E425" s="54" t="n">
        <v>46218</v>
      </c>
      <c r="F425" s="54" t="n">
        <v>46217</v>
      </c>
      <c r="G425" s="0" t="s">
        <v>855</v>
      </c>
      <c r="H425" s="0" t="n">
        <v>1402768</v>
      </c>
      <c r="I425" s="0" t="n">
        <v>11</v>
      </c>
      <c r="J425" s="0" t="s">
        <v>1357</v>
      </c>
      <c r="K425" s="55" t="n">
        <v>200</v>
      </c>
    </row>
    <row r="426" customFormat="false" ht="15" hidden="false" customHeight="false" outlineLevel="0" collapsed="false">
      <c r="A426" s="0" t="n">
        <v>2</v>
      </c>
      <c r="B426" s="0" t="n">
        <v>51899</v>
      </c>
      <c r="C426" s="0" t="s">
        <v>1355</v>
      </c>
      <c r="D426" s="0" t="s">
        <v>1484</v>
      </c>
      <c r="E426" s="54" t="n">
        <v>46218</v>
      </c>
      <c r="F426" s="54" t="n">
        <v>46217</v>
      </c>
      <c r="G426" s="0" t="s">
        <v>1011</v>
      </c>
      <c r="H426" s="0" t="n">
        <v>1401309</v>
      </c>
      <c r="I426" s="0" t="n">
        <v>11</v>
      </c>
      <c r="J426" s="0" t="s">
        <v>1357</v>
      </c>
      <c r="K426" s="55" t="n">
        <v>665.28</v>
      </c>
    </row>
    <row r="427" customFormat="false" ht="15" hidden="false" customHeight="false" outlineLevel="0" collapsed="false">
      <c r="A427" s="0" t="n">
        <v>2</v>
      </c>
      <c r="B427" s="0" t="n">
        <v>42898</v>
      </c>
      <c r="C427" s="0" t="s">
        <v>1394</v>
      </c>
      <c r="D427" s="0" t="s">
        <v>1444</v>
      </c>
      <c r="E427" s="54" t="n">
        <v>46218</v>
      </c>
      <c r="F427" s="54" t="n">
        <v>46217</v>
      </c>
      <c r="G427" s="0" t="s">
        <v>728</v>
      </c>
      <c r="H427" s="0" t="n">
        <v>1401301</v>
      </c>
      <c r="I427" s="0" t="n">
        <v>11</v>
      </c>
      <c r="J427" s="0" t="s">
        <v>1357</v>
      </c>
      <c r="K427" s="55" t="n">
        <v>306.48</v>
      </c>
    </row>
    <row r="428" customFormat="false" ht="15" hidden="false" customHeight="false" outlineLevel="0" collapsed="false">
      <c r="A428" s="0" t="n">
        <v>2</v>
      </c>
      <c r="B428" s="0" t="n">
        <v>1203711</v>
      </c>
      <c r="C428" s="0" t="s">
        <v>1358</v>
      </c>
      <c r="D428" s="0" t="s">
        <v>1359</v>
      </c>
      <c r="E428" s="54" t="n">
        <v>46219</v>
      </c>
      <c r="F428" s="54" t="n">
        <v>46217</v>
      </c>
      <c r="G428" s="0" t="s">
        <v>119</v>
      </c>
      <c r="H428" s="0" t="n">
        <v>1405760</v>
      </c>
      <c r="I428" s="0" t="n">
        <v>11</v>
      </c>
      <c r="J428" s="0" t="s">
        <v>1357</v>
      </c>
      <c r="K428" s="55" t="n">
        <v>1189.67</v>
      </c>
    </row>
    <row r="429" customFormat="false" ht="15" hidden="false" customHeight="false" outlineLevel="0" collapsed="false">
      <c r="A429" s="0" t="n">
        <v>2</v>
      </c>
      <c r="B429" s="0" t="n">
        <v>1936058</v>
      </c>
      <c r="C429" s="0" t="s">
        <v>1360</v>
      </c>
      <c r="D429" s="0" t="s">
        <v>1359</v>
      </c>
      <c r="E429" s="54" t="n">
        <v>46219</v>
      </c>
      <c r="F429" s="54" t="n">
        <v>46217</v>
      </c>
      <c r="G429" s="0" t="s">
        <v>119</v>
      </c>
      <c r="H429" s="0" t="n">
        <v>1405744</v>
      </c>
      <c r="I429" s="0" t="n">
        <v>11</v>
      </c>
      <c r="J429" s="0" t="s">
        <v>1357</v>
      </c>
      <c r="K429" s="55" t="n">
        <v>2028.67</v>
      </c>
    </row>
    <row r="430" customFormat="false" ht="15" hidden="false" customHeight="false" outlineLevel="0" collapsed="false">
      <c r="A430" s="0" t="n">
        <v>2</v>
      </c>
      <c r="B430" s="0" t="n">
        <v>682520</v>
      </c>
      <c r="C430" s="0" t="s">
        <v>1363</v>
      </c>
      <c r="D430" s="0" t="s">
        <v>1393</v>
      </c>
      <c r="E430" s="54" t="n">
        <v>46219</v>
      </c>
      <c r="F430" s="54" t="n">
        <v>46218</v>
      </c>
      <c r="G430" s="0" t="s">
        <v>199</v>
      </c>
      <c r="H430" s="0" t="n">
        <v>1407280</v>
      </c>
      <c r="I430" s="0" t="n">
        <v>11</v>
      </c>
      <c r="J430" s="0" t="s">
        <v>1357</v>
      </c>
      <c r="K430" s="55" t="n">
        <v>1742.68</v>
      </c>
    </row>
    <row r="431" customFormat="false" ht="15" hidden="false" customHeight="false" outlineLevel="0" collapsed="false">
      <c r="A431" s="0" t="n">
        <v>2</v>
      </c>
      <c r="B431" s="0" t="n">
        <v>3218197</v>
      </c>
      <c r="C431" s="0" t="s">
        <v>1363</v>
      </c>
      <c r="D431" s="0" t="s">
        <v>1407</v>
      </c>
      <c r="E431" s="54" t="n">
        <v>46219</v>
      </c>
      <c r="F431" s="54" t="n">
        <v>46216</v>
      </c>
      <c r="G431" s="0" t="s">
        <v>85</v>
      </c>
      <c r="H431" s="0" t="n">
        <v>1406318</v>
      </c>
      <c r="I431" s="0" t="n">
        <v>11</v>
      </c>
      <c r="J431" s="0" t="s">
        <v>1357</v>
      </c>
      <c r="K431" s="55" t="n">
        <v>2754.67</v>
      </c>
    </row>
    <row r="432" customFormat="false" ht="15" hidden="false" customHeight="false" outlineLevel="0" collapsed="false">
      <c r="A432" s="0" t="n">
        <v>2</v>
      </c>
      <c r="B432" s="0" t="n">
        <v>650221</v>
      </c>
      <c r="C432" s="0" t="s">
        <v>1363</v>
      </c>
      <c r="D432" s="0" t="s">
        <v>1413</v>
      </c>
      <c r="E432" s="54" t="n">
        <v>46219</v>
      </c>
      <c r="F432" s="54" t="n">
        <v>46217</v>
      </c>
      <c r="G432" s="0" t="s">
        <v>80</v>
      </c>
      <c r="H432" s="0" t="n">
        <v>1406166</v>
      </c>
      <c r="I432" s="0" t="n">
        <v>11</v>
      </c>
      <c r="J432" s="0" t="s">
        <v>1357</v>
      </c>
      <c r="K432" s="55" t="n">
        <v>1822.73</v>
      </c>
    </row>
    <row r="433" customFormat="false" ht="15" hidden="false" customHeight="false" outlineLevel="0" collapsed="false">
      <c r="A433" s="0" t="n">
        <v>2</v>
      </c>
      <c r="B433" s="0" t="n">
        <v>396500</v>
      </c>
      <c r="C433" s="0" t="s">
        <v>1363</v>
      </c>
      <c r="D433" s="0" t="s">
        <v>1414</v>
      </c>
      <c r="E433" s="54" t="n">
        <v>46219</v>
      </c>
      <c r="F433" s="54" t="n">
        <v>46217</v>
      </c>
      <c r="G433" s="0" t="s">
        <v>82</v>
      </c>
      <c r="H433" s="0" t="n">
        <v>1405829</v>
      </c>
      <c r="I433" s="0" t="n">
        <v>11</v>
      </c>
      <c r="J433" s="0" t="s">
        <v>1357</v>
      </c>
      <c r="K433" s="55" t="n">
        <v>558.06</v>
      </c>
    </row>
    <row r="434" customFormat="false" ht="15" hidden="false" customHeight="false" outlineLevel="0" collapsed="false">
      <c r="A434" s="0" t="n">
        <v>2</v>
      </c>
      <c r="B434" s="0" t="n">
        <v>307804</v>
      </c>
      <c r="C434" s="0" t="s">
        <v>1363</v>
      </c>
      <c r="D434" s="0" t="s">
        <v>1385</v>
      </c>
      <c r="E434" s="54" t="n">
        <v>46219</v>
      </c>
      <c r="F434" s="54" t="n">
        <v>46217</v>
      </c>
      <c r="G434" s="0" t="s">
        <v>208</v>
      </c>
      <c r="H434" s="0" t="n">
        <v>1406501</v>
      </c>
      <c r="I434" s="0" t="n">
        <v>11</v>
      </c>
      <c r="J434" s="0" t="s">
        <v>1357</v>
      </c>
      <c r="K434" s="55" t="n">
        <v>3065.5</v>
      </c>
    </row>
    <row r="435" customFormat="false" ht="15" hidden="false" customHeight="false" outlineLevel="0" collapsed="false">
      <c r="A435" s="0" t="n">
        <v>2</v>
      </c>
      <c r="B435" s="0" t="n">
        <v>14718</v>
      </c>
      <c r="C435" s="0" t="s">
        <v>1363</v>
      </c>
      <c r="D435" s="0" t="s">
        <v>1364</v>
      </c>
      <c r="E435" s="54" t="n">
        <v>46219</v>
      </c>
      <c r="F435" s="54" t="n">
        <v>46218</v>
      </c>
      <c r="G435" s="0" t="s">
        <v>248</v>
      </c>
      <c r="H435" s="0" t="n">
        <v>1407393</v>
      </c>
      <c r="I435" s="0" t="n">
        <v>11</v>
      </c>
      <c r="J435" s="0" t="s">
        <v>1357</v>
      </c>
      <c r="K435" s="55" t="n">
        <v>4093.4</v>
      </c>
    </row>
    <row r="436" customFormat="false" ht="15" hidden="false" customHeight="false" outlineLevel="0" collapsed="false">
      <c r="A436" s="0" t="n">
        <v>2</v>
      </c>
      <c r="B436" s="0" t="n">
        <v>1427668</v>
      </c>
      <c r="C436" s="0" t="s">
        <v>1363</v>
      </c>
      <c r="D436" s="0" t="s">
        <v>1417</v>
      </c>
      <c r="E436" s="54" t="n">
        <v>46219</v>
      </c>
      <c r="F436" s="54" t="n">
        <v>46217</v>
      </c>
      <c r="G436" s="0" t="s">
        <v>417</v>
      </c>
      <c r="H436" s="0" t="n">
        <v>1405955</v>
      </c>
      <c r="I436" s="0" t="n">
        <v>11</v>
      </c>
      <c r="J436" s="0" t="s">
        <v>1357</v>
      </c>
      <c r="K436" s="55" t="n">
        <v>2095.8</v>
      </c>
    </row>
    <row r="437" customFormat="false" ht="15" hidden="false" customHeight="false" outlineLevel="0" collapsed="false">
      <c r="A437" s="0" t="n">
        <v>2</v>
      </c>
      <c r="B437" s="0" t="n">
        <v>1248471</v>
      </c>
      <c r="C437" s="0" t="s">
        <v>1363</v>
      </c>
      <c r="D437" s="0" t="s">
        <v>1408</v>
      </c>
      <c r="E437" s="54" t="n">
        <v>46219</v>
      </c>
      <c r="F437" s="54" t="n">
        <v>46219</v>
      </c>
      <c r="G437" s="0" t="s">
        <v>410</v>
      </c>
      <c r="H437" s="0" t="n">
        <v>1407492</v>
      </c>
      <c r="I437" s="0" t="n">
        <v>11</v>
      </c>
      <c r="J437" s="0" t="s">
        <v>1357</v>
      </c>
      <c r="K437" s="55" t="n">
        <v>593.78</v>
      </c>
    </row>
    <row r="438" customFormat="false" ht="15" hidden="false" customHeight="false" outlineLevel="0" collapsed="false">
      <c r="A438" s="0" t="n">
        <v>2</v>
      </c>
      <c r="B438" s="0" t="n">
        <v>2624</v>
      </c>
      <c r="C438" s="0" t="s">
        <v>1418</v>
      </c>
      <c r="D438" s="0" t="s">
        <v>1419</v>
      </c>
      <c r="E438" s="54" t="n">
        <v>46219</v>
      </c>
      <c r="F438" s="54" t="n">
        <v>46217</v>
      </c>
      <c r="G438" s="0" t="s">
        <v>512</v>
      </c>
      <c r="H438" s="0" t="n">
        <v>1405844</v>
      </c>
      <c r="I438" s="0" t="n">
        <v>11</v>
      </c>
      <c r="J438" s="0" t="s">
        <v>1357</v>
      </c>
      <c r="K438" s="55" t="n">
        <v>1501.2</v>
      </c>
    </row>
    <row r="439" customFormat="false" ht="15" hidden="false" customHeight="false" outlineLevel="0" collapsed="false">
      <c r="A439" s="0" t="n">
        <v>2</v>
      </c>
      <c r="B439" s="0" t="n">
        <v>3627</v>
      </c>
      <c r="C439" s="0" t="s">
        <v>1363</v>
      </c>
      <c r="D439" s="0" t="s">
        <v>1366</v>
      </c>
      <c r="E439" s="54" t="n">
        <v>46219</v>
      </c>
      <c r="F439" s="54" t="n">
        <v>46219</v>
      </c>
      <c r="G439" s="0" t="s">
        <v>188</v>
      </c>
      <c r="H439" s="0" t="n">
        <v>1406906</v>
      </c>
      <c r="I439" s="0" t="n">
        <v>11</v>
      </c>
      <c r="J439" s="0" t="s">
        <v>1357</v>
      </c>
      <c r="K439" s="55" t="n">
        <v>533.5</v>
      </c>
    </row>
    <row r="440" customFormat="false" ht="15" hidden="false" customHeight="false" outlineLevel="0" collapsed="false">
      <c r="A440" s="0" t="n">
        <v>2</v>
      </c>
      <c r="B440" s="0" t="n">
        <v>364</v>
      </c>
      <c r="C440" s="0" t="s">
        <v>1363</v>
      </c>
      <c r="D440" s="0" t="s">
        <v>1390</v>
      </c>
      <c r="E440" s="54" t="n">
        <v>46220</v>
      </c>
      <c r="F440" s="54" t="n">
        <v>46220</v>
      </c>
      <c r="G440" s="0" t="s">
        <v>1391</v>
      </c>
      <c r="H440" s="0" t="n">
        <v>1411966</v>
      </c>
      <c r="I440" s="0" t="n">
        <v>11</v>
      </c>
      <c r="J440" s="0" t="s">
        <v>1357</v>
      </c>
      <c r="K440" s="55" t="n">
        <v>228</v>
      </c>
    </row>
    <row r="441" customFormat="false" ht="15" hidden="false" customHeight="false" outlineLevel="0" collapsed="false">
      <c r="A441" s="0" t="n">
        <v>2</v>
      </c>
      <c r="B441" s="0" t="n">
        <v>337</v>
      </c>
      <c r="C441" s="0" t="s">
        <v>1363</v>
      </c>
      <c r="D441" s="0" t="s">
        <v>1369</v>
      </c>
      <c r="E441" s="54" t="n">
        <v>46220</v>
      </c>
      <c r="F441" s="54" t="n">
        <v>46219</v>
      </c>
      <c r="G441" s="0" t="s">
        <v>220</v>
      </c>
      <c r="H441" s="0" t="n">
        <v>1410826</v>
      </c>
      <c r="I441" s="0" t="n">
        <v>11</v>
      </c>
      <c r="J441" s="0" t="s">
        <v>1357</v>
      </c>
      <c r="K441" s="55" t="n">
        <v>925</v>
      </c>
    </row>
    <row r="442" customFormat="false" ht="15" hidden="false" customHeight="false" outlineLevel="0" collapsed="false">
      <c r="A442" s="0" t="n">
        <v>2</v>
      </c>
      <c r="B442" s="0" t="n">
        <v>1608670</v>
      </c>
      <c r="C442" s="0" t="s">
        <v>1363</v>
      </c>
      <c r="D442" s="0" t="s">
        <v>1412</v>
      </c>
      <c r="E442" s="54" t="n">
        <v>46220</v>
      </c>
      <c r="F442" s="54" t="n">
        <v>46220</v>
      </c>
      <c r="G442" s="0" t="s">
        <v>94</v>
      </c>
      <c r="H442" s="0" t="n">
        <v>1410712</v>
      </c>
      <c r="I442" s="0" t="n">
        <v>11</v>
      </c>
      <c r="J442" s="0" t="s">
        <v>1357</v>
      </c>
      <c r="K442" s="55" t="n">
        <v>1024.98</v>
      </c>
    </row>
    <row r="443" customFormat="false" ht="15" hidden="false" customHeight="false" outlineLevel="0" collapsed="false">
      <c r="A443" s="0" t="n">
        <v>2</v>
      </c>
      <c r="B443" s="0" t="n">
        <v>1032250</v>
      </c>
      <c r="C443" s="0" t="s">
        <v>1363</v>
      </c>
      <c r="D443" s="0" t="s">
        <v>1370</v>
      </c>
      <c r="E443" s="54" t="n">
        <v>46220</v>
      </c>
      <c r="F443" s="54" t="n">
        <v>46219</v>
      </c>
      <c r="G443" s="0" t="s">
        <v>210</v>
      </c>
      <c r="H443" s="0" t="n">
        <v>1410446</v>
      </c>
      <c r="I443" s="0" t="n">
        <v>11</v>
      </c>
      <c r="J443" s="0" t="s">
        <v>1357</v>
      </c>
      <c r="K443" s="55" t="n">
        <v>254.6</v>
      </c>
    </row>
    <row r="444" customFormat="false" ht="15" hidden="false" customHeight="false" outlineLevel="0" collapsed="false">
      <c r="A444" s="0" t="n">
        <v>2</v>
      </c>
      <c r="B444" s="0" t="n">
        <v>1693414</v>
      </c>
      <c r="C444" s="0" t="s">
        <v>1363</v>
      </c>
      <c r="D444" s="0" t="s">
        <v>1371</v>
      </c>
      <c r="E444" s="54" t="n">
        <v>46220</v>
      </c>
      <c r="F444" s="54" t="n">
        <v>46218</v>
      </c>
      <c r="G444" s="0" t="s">
        <v>201</v>
      </c>
      <c r="H444" s="0" t="n">
        <v>1410758</v>
      </c>
      <c r="I444" s="0" t="n">
        <v>11</v>
      </c>
      <c r="J444" s="0" t="s">
        <v>1357</v>
      </c>
      <c r="K444" s="55" t="n">
        <v>281.82</v>
      </c>
    </row>
    <row r="445" customFormat="false" ht="15" hidden="false" customHeight="false" outlineLevel="0" collapsed="false">
      <c r="A445" s="0" t="n">
        <v>2</v>
      </c>
      <c r="B445" s="0" t="n">
        <v>15</v>
      </c>
      <c r="C445" s="0" t="s">
        <v>1363</v>
      </c>
      <c r="D445" s="0" t="s">
        <v>1485</v>
      </c>
      <c r="E445" s="54" t="n">
        <v>46220</v>
      </c>
      <c r="F445" s="54" t="n">
        <v>46220</v>
      </c>
      <c r="G445" s="0" t="s">
        <v>552</v>
      </c>
      <c r="H445" s="0" t="n">
        <v>1428281</v>
      </c>
      <c r="I445" s="0" t="n">
        <v>11</v>
      </c>
      <c r="J445" s="0" t="s">
        <v>1357</v>
      </c>
      <c r="K445" s="55" t="n">
        <v>120</v>
      </c>
    </row>
    <row r="446" customFormat="false" ht="15" hidden="false" customHeight="false" outlineLevel="0" collapsed="false">
      <c r="A446" s="0" t="n">
        <v>2</v>
      </c>
      <c r="B446" s="0" t="n">
        <v>16</v>
      </c>
      <c r="C446" s="0" t="s">
        <v>1363</v>
      </c>
      <c r="D446" s="0" t="s">
        <v>1485</v>
      </c>
      <c r="E446" s="54" t="n">
        <v>46220</v>
      </c>
      <c r="F446" s="54" t="n">
        <v>46220</v>
      </c>
      <c r="G446" s="0" t="s">
        <v>552</v>
      </c>
      <c r="H446" s="0" t="n">
        <v>1428357</v>
      </c>
      <c r="I446" s="0" t="n">
        <v>11</v>
      </c>
      <c r="J446" s="0" t="s">
        <v>1357</v>
      </c>
      <c r="K446" s="55" t="n">
        <v>140</v>
      </c>
    </row>
    <row r="447" customFormat="false" ht="15" hidden="false" customHeight="false" outlineLevel="0" collapsed="false">
      <c r="A447" s="0" t="n">
        <v>2</v>
      </c>
      <c r="B447" s="0" t="n">
        <v>17</v>
      </c>
      <c r="C447" s="0" t="s">
        <v>1363</v>
      </c>
      <c r="D447" s="0" t="s">
        <v>1485</v>
      </c>
      <c r="E447" s="54" t="n">
        <v>46220</v>
      </c>
      <c r="F447" s="54" t="n">
        <v>46220</v>
      </c>
      <c r="G447" s="0" t="s">
        <v>552</v>
      </c>
      <c r="H447" s="0" t="n">
        <v>1428365</v>
      </c>
      <c r="I447" s="0" t="n">
        <v>11</v>
      </c>
      <c r="J447" s="0" t="s">
        <v>1357</v>
      </c>
      <c r="K447" s="55" t="n">
        <v>120</v>
      </c>
    </row>
    <row r="448" customFormat="false" ht="15" hidden="false" customHeight="false" outlineLevel="0" collapsed="false">
      <c r="A448" s="0" t="n">
        <v>2</v>
      </c>
      <c r="B448" s="0" t="n">
        <v>18</v>
      </c>
      <c r="C448" s="0" t="s">
        <v>1363</v>
      </c>
      <c r="D448" s="0" t="s">
        <v>1485</v>
      </c>
      <c r="E448" s="54" t="n">
        <v>46220</v>
      </c>
      <c r="F448" s="54" t="n">
        <v>46220</v>
      </c>
      <c r="G448" s="0" t="s">
        <v>552</v>
      </c>
      <c r="H448" s="0" t="n">
        <v>1428370</v>
      </c>
      <c r="I448" s="0" t="n">
        <v>11</v>
      </c>
      <c r="J448" s="0" t="s">
        <v>1357</v>
      </c>
      <c r="K448" s="55" t="n">
        <v>120</v>
      </c>
    </row>
    <row r="449" customFormat="false" ht="15" hidden="false" customHeight="false" outlineLevel="0" collapsed="false">
      <c r="A449" s="0" t="n">
        <v>2</v>
      </c>
      <c r="B449" s="0" t="n">
        <v>19</v>
      </c>
      <c r="C449" s="0" t="s">
        <v>1363</v>
      </c>
      <c r="D449" s="0" t="s">
        <v>1485</v>
      </c>
      <c r="E449" s="54" t="n">
        <v>46220</v>
      </c>
      <c r="F449" s="54" t="n">
        <v>46220</v>
      </c>
      <c r="G449" s="0" t="s">
        <v>552</v>
      </c>
      <c r="H449" s="0" t="n">
        <v>1428390</v>
      </c>
      <c r="I449" s="0" t="n">
        <v>11</v>
      </c>
      <c r="J449" s="0" t="s">
        <v>1357</v>
      </c>
      <c r="K449" s="55" t="n">
        <v>120</v>
      </c>
    </row>
    <row r="450" customFormat="false" ht="15" hidden="false" customHeight="false" outlineLevel="0" collapsed="false">
      <c r="A450" s="0" t="n">
        <v>2</v>
      </c>
      <c r="B450" s="0" t="n">
        <v>20</v>
      </c>
      <c r="C450" s="0" t="s">
        <v>1363</v>
      </c>
      <c r="D450" s="0" t="s">
        <v>1485</v>
      </c>
      <c r="E450" s="54" t="n">
        <v>46220</v>
      </c>
      <c r="F450" s="54" t="n">
        <v>46220</v>
      </c>
      <c r="G450" s="0" t="s">
        <v>552</v>
      </c>
      <c r="H450" s="0" t="n">
        <v>1428379</v>
      </c>
      <c r="I450" s="0" t="n">
        <v>11</v>
      </c>
      <c r="J450" s="0" t="s">
        <v>1357</v>
      </c>
      <c r="K450" s="55" t="n">
        <v>200</v>
      </c>
    </row>
    <row r="451" customFormat="false" ht="15" hidden="false" customHeight="false" outlineLevel="0" collapsed="false">
      <c r="A451" s="0" t="n">
        <v>2</v>
      </c>
      <c r="B451" s="0" t="n">
        <v>22</v>
      </c>
      <c r="C451" s="0" t="s">
        <v>1363</v>
      </c>
      <c r="D451" s="0" t="s">
        <v>1485</v>
      </c>
      <c r="E451" s="54" t="n">
        <v>46220</v>
      </c>
      <c r="F451" s="54" t="n">
        <v>46220</v>
      </c>
      <c r="G451" s="0" t="s">
        <v>552</v>
      </c>
      <c r="H451" s="0" t="n">
        <v>1428427</v>
      </c>
      <c r="I451" s="0" t="n">
        <v>11</v>
      </c>
      <c r="J451" s="0" t="s">
        <v>1357</v>
      </c>
      <c r="K451" s="55" t="n">
        <v>140</v>
      </c>
    </row>
    <row r="452" customFormat="false" ht="15" hidden="false" customHeight="false" outlineLevel="0" collapsed="false">
      <c r="A452" s="0" t="n">
        <v>2</v>
      </c>
      <c r="B452" s="0" t="n">
        <v>23</v>
      </c>
      <c r="C452" s="0" t="s">
        <v>1363</v>
      </c>
      <c r="D452" s="0" t="s">
        <v>1485</v>
      </c>
      <c r="E452" s="54" t="n">
        <v>46220</v>
      </c>
      <c r="F452" s="54" t="n">
        <v>46220</v>
      </c>
      <c r="G452" s="0" t="s">
        <v>552</v>
      </c>
      <c r="H452" s="0" t="n">
        <v>1428438</v>
      </c>
      <c r="I452" s="0" t="n">
        <v>11</v>
      </c>
      <c r="J452" s="0" t="s">
        <v>1357</v>
      </c>
      <c r="K452" s="55" t="n">
        <v>140</v>
      </c>
    </row>
    <row r="453" customFormat="false" ht="15" hidden="false" customHeight="false" outlineLevel="0" collapsed="false">
      <c r="A453" s="0" t="n">
        <v>2</v>
      </c>
      <c r="B453" s="0" t="n">
        <v>3554</v>
      </c>
      <c r="C453" s="0" t="s">
        <v>1363</v>
      </c>
      <c r="D453" s="0" t="s">
        <v>1381</v>
      </c>
      <c r="E453" s="54" t="n">
        <v>46220</v>
      </c>
      <c r="F453" s="54" t="n">
        <v>46219</v>
      </c>
      <c r="G453" s="0" t="s">
        <v>171</v>
      </c>
      <c r="H453" s="0" t="n">
        <v>1410433</v>
      </c>
      <c r="I453" s="0" t="n">
        <v>11</v>
      </c>
      <c r="J453" s="0" t="s">
        <v>1357</v>
      </c>
      <c r="K453" s="55" t="n">
        <v>125</v>
      </c>
    </row>
    <row r="454" customFormat="false" ht="15" hidden="false" customHeight="false" outlineLevel="0" collapsed="false">
      <c r="A454" s="0" t="n">
        <v>2</v>
      </c>
      <c r="B454" s="0" t="n">
        <v>502367</v>
      </c>
      <c r="C454" s="0" t="s">
        <v>1363</v>
      </c>
      <c r="D454" s="0" t="s">
        <v>1481</v>
      </c>
      <c r="E454" s="54" t="n">
        <v>46220</v>
      </c>
      <c r="F454" s="54" t="n">
        <v>46219</v>
      </c>
      <c r="G454" s="0" t="s">
        <v>263</v>
      </c>
      <c r="H454" s="0" t="n">
        <v>1410475</v>
      </c>
      <c r="I454" s="0" t="n">
        <v>11</v>
      </c>
      <c r="J454" s="0" t="s">
        <v>1357</v>
      </c>
      <c r="K454" s="55" t="n">
        <v>308.88</v>
      </c>
    </row>
    <row r="455" customFormat="false" ht="15" hidden="false" customHeight="false" outlineLevel="0" collapsed="false">
      <c r="A455" s="0" t="n">
        <v>2</v>
      </c>
      <c r="B455" s="0" t="n">
        <v>14728</v>
      </c>
      <c r="C455" s="0" t="s">
        <v>1363</v>
      </c>
      <c r="D455" s="0" t="s">
        <v>1364</v>
      </c>
      <c r="E455" s="54" t="n">
        <v>46220</v>
      </c>
      <c r="F455" s="54" t="n">
        <v>46219</v>
      </c>
      <c r="G455" s="0" t="s">
        <v>248</v>
      </c>
      <c r="H455" s="0" t="n">
        <v>1411854</v>
      </c>
      <c r="I455" s="0" t="n">
        <v>11</v>
      </c>
      <c r="J455" s="0" t="s">
        <v>1357</v>
      </c>
      <c r="K455" s="55" t="n">
        <v>1269.94</v>
      </c>
    </row>
    <row r="456" customFormat="false" ht="15" hidden="false" customHeight="false" outlineLevel="0" collapsed="false">
      <c r="A456" s="0" t="n">
        <v>2</v>
      </c>
      <c r="B456" s="0" t="n">
        <v>2546</v>
      </c>
      <c r="C456" s="0" t="s">
        <v>1363</v>
      </c>
      <c r="D456" s="0" t="s">
        <v>1373</v>
      </c>
      <c r="E456" s="54" t="n">
        <v>46220</v>
      </c>
      <c r="F456" s="54" t="n">
        <v>46220</v>
      </c>
      <c r="G456" s="0" t="s">
        <v>132</v>
      </c>
      <c r="H456" s="0" t="n">
        <v>1411314</v>
      </c>
      <c r="I456" s="0" t="n">
        <v>6</v>
      </c>
      <c r="J456" s="0" t="s">
        <v>1357</v>
      </c>
      <c r="K456" s="55" t="n">
        <v>280</v>
      </c>
    </row>
    <row r="457" customFormat="false" ht="15" hidden="false" customHeight="false" outlineLevel="0" collapsed="false">
      <c r="A457" s="0" t="n">
        <v>2</v>
      </c>
      <c r="B457" s="0" t="n">
        <v>2547</v>
      </c>
      <c r="C457" s="0" t="s">
        <v>1363</v>
      </c>
      <c r="D457" s="0" t="s">
        <v>1373</v>
      </c>
      <c r="E457" s="54" t="n">
        <v>46220</v>
      </c>
      <c r="F457" s="54" t="n">
        <v>46220</v>
      </c>
      <c r="G457" s="0" t="s">
        <v>132</v>
      </c>
      <c r="H457" s="0" t="n">
        <v>1411709</v>
      </c>
      <c r="I457" s="0" t="n">
        <v>6</v>
      </c>
      <c r="J457" s="0" t="s">
        <v>1357</v>
      </c>
      <c r="K457" s="55" t="n">
        <v>1392.72</v>
      </c>
    </row>
    <row r="458" customFormat="false" ht="15" hidden="false" customHeight="false" outlineLevel="0" collapsed="false">
      <c r="A458" s="0" t="n">
        <v>2</v>
      </c>
      <c r="B458" s="0" t="n">
        <v>719</v>
      </c>
      <c r="C458" s="0" t="s">
        <v>1355</v>
      </c>
      <c r="D458" s="0" t="s">
        <v>1365</v>
      </c>
      <c r="E458" s="54" t="n">
        <v>46220</v>
      </c>
      <c r="F458" s="54" t="n">
        <v>46219</v>
      </c>
      <c r="G458" s="0" t="s">
        <v>194</v>
      </c>
      <c r="H458" s="0" t="n">
        <v>1410461</v>
      </c>
      <c r="I458" s="0" t="n">
        <v>11</v>
      </c>
      <c r="J458" s="0" t="s">
        <v>1357</v>
      </c>
      <c r="K458" s="55" t="n">
        <v>184.9</v>
      </c>
    </row>
    <row r="459" customFormat="false" ht="15" hidden="false" customHeight="false" outlineLevel="0" collapsed="false">
      <c r="A459" s="0" t="n">
        <v>2</v>
      </c>
      <c r="B459" s="0" t="n">
        <v>605020</v>
      </c>
      <c r="C459" s="0" t="s">
        <v>1394</v>
      </c>
      <c r="D459" s="0" t="s">
        <v>1409</v>
      </c>
      <c r="E459" s="54" t="n">
        <v>46220</v>
      </c>
      <c r="F459" s="54" t="n">
        <v>46219</v>
      </c>
      <c r="G459" s="0" t="s">
        <v>412</v>
      </c>
      <c r="H459" s="0" t="n">
        <v>1411342</v>
      </c>
      <c r="I459" s="0" t="n">
        <v>11</v>
      </c>
      <c r="J459" s="0" t="s">
        <v>1357</v>
      </c>
      <c r="K459" s="55" t="n">
        <v>189</v>
      </c>
    </row>
    <row r="460" customFormat="false" ht="15" hidden="false" customHeight="false" outlineLevel="0" collapsed="false">
      <c r="A460" s="0" t="n">
        <v>2</v>
      </c>
      <c r="B460" s="0" t="n">
        <v>10807</v>
      </c>
      <c r="C460" s="0" t="s">
        <v>1363</v>
      </c>
      <c r="D460" s="0" t="s">
        <v>1450</v>
      </c>
      <c r="E460" s="54" t="n">
        <v>46220</v>
      </c>
      <c r="F460" s="54" t="n">
        <v>46217</v>
      </c>
      <c r="G460" s="0" t="s">
        <v>633</v>
      </c>
      <c r="H460" s="0" t="n">
        <v>1410510</v>
      </c>
      <c r="I460" s="0" t="n">
        <v>11</v>
      </c>
      <c r="J460" s="0" t="s">
        <v>1357</v>
      </c>
      <c r="K460" s="55" t="n">
        <v>1011.15</v>
      </c>
    </row>
    <row r="461" customFormat="false" ht="15" hidden="false" customHeight="false" outlineLevel="0" collapsed="false">
      <c r="A461" s="0" t="n">
        <v>2</v>
      </c>
      <c r="B461" s="0" t="n">
        <v>580861</v>
      </c>
      <c r="C461" s="0" t="s">
        <v>1363</v>
      </c>
      <c r="D461" s="0" t="s">
        <v>1469</v>
      </c>
      <c r="E461" s="54" t="n">
        <v>46220</v>
      </c>
      <c r="F461" s="54" t="n">
        <v>46218</v>
      </c>
      <c r="G461" s="0" t="s">
        <v>88</v>
      </c>
      <c r="H461" s="0" t="n">
        <v>1411536</v>
      </c>
      <c r="I461" s="0" t="n">
        <v>11</v>
      </c>
      <c r="J461" s="0" t="s">
        <v>1357</v>
      </c>
      <c r="K461" s="55" t="n">
        <v>2284.72</v>
      </c>
    </row>
    <row r="462" customFormat="false" ht="15" hidden="false" customHeight="false" outlineLevel="0" collapsed="false">
      <c r="A462" s="0" t="n">
        <v>2</v>
      </c>
      <c r="B462" s="0" t="n">
        <v>580864</v>
      </c>
      <c r="C462" s="0" t="s">
        <v>1363</v>
      </c>
      <c r="D462" s="0" t="s">
        <v>1469</v>
      </c>
      <c r="E462" s="54" t="n">
        <v>46220</v>
      </c>
      <c r="F462" s="54" t="n">
        <v>46218</v>
      </c>
      <c r="G462" s="0" t="s">
        <v>88</v>
      </c>
      <c r="H462" s="0" t="n">
        <v>1411921</v>
      </c>
      <c r="I462" s="0" t="n">
        <v>11</v>
      </c>
      <c r="J462" s="0" t="s">
        <v>1357</v>
      </c>
      <c r="K462" s="55" t="n">
        <v>1472.09</v>
      </c>
    </row>
    <row r="463" customFormat="false" ht="15" hidden="false" customHeight="false" outlineLevel="0" collapsed="false">
      <c r="A463" s="0" t="n">
        <v>2</v>
      </c>
      <c r="B463" s="0" t="n">
        <v>580865</v>
      </c>
      <c r="C463" s="0" t="s">
        <v>1363</v>
      </c>
      <c r="D463" s="0" t="s">
        <v>1469</v>
      </c>
      <c r="E463" s="54" t="n">
        <v>46220</v>
      </c>
      <c r="F463" s="54" t="n">
        <v>46218</v>
      </c>
      <c r="G463" s="0" t="s">
        <v>88</v>
      </c>
      <c r="H463" s="0" t="n">
        <v>1411773</v>
      </c>
      <c r="I463" s="0" t="n">
        <v>11</v>
      </c>
      <c r="J463" s="0" t="s">
        <v>1357</v>
      </c>
      <c r="K463" s="55" t="n">
        <v>823.61</v>
      </c>
    </row>
    <row r="464" customFormat="false" ht="15" hidden="false" customHeight="false" outlineLevel="0" collapsed="false">
      <c r="A464" s="0" t="n">
        <v>2</v>
      </c>
      <c r="B464" s="0" t="n">
        <v>535</v>
      </c>
      <c r="C464" s="0" t="s">
        <v>1363</v>
      </c>
      <c r="D464" s="0" t="s">
        <v>1368</v>
      </c>
      <c r="E464" s="54" t="n">
        <v>46221</v>
      </c>
      <c r="F464" s="54" t="n">
        <v>46220</v>
      </c>
      <c r="G464" s="0" t="s">
        <v>130</v>
      </c>
      <c r="H464" s="0" t="n">
        <v>1414944</v>
      </c>
      <c r="I464" s="0" t="n">
        <v>11</v>
      </c>
      <c r="J464" s="0" t="s">
        <v>1357</v>
      </c>
      <c r="K464" s="55" t="n">
        <v>180</v>
      </c>
    </row>
    <row r="465" customFormat="false" ht="15" hidden="false" customHeight="false" outlineLevel="0" collapsed="false">
      <c r="A465" s="0" t="n">
        <v>2</v>
      </c>
      <c r="B465" s="0" t="n">
        <v>3221212</v>
      </c>
      <c r="C465" s="0" t="s">
        <v>1363</v>
      </c>
      <c r="D465" s="0" t="s">
        <v>1407</v>
      </c>
      <c r="E465" s="54" t="n">
        <v>46221</v>
      </c>
      <c r="F465" s="54" t="n">
        <v>46219</v>
      </c>
      <c r="G465" s="0" t="s">
        <v>85</v>
      </c>
      <c r="H465" s="0" t="n">
        <v>1414695</v>
      </c>
      <c r="I465" s="0" t="n">
        <v>11</v>
      </c>
      <c r="J465" s="0" t="s">
        <v>1357</v>
      </c>
      <c r="K465" s="55" t="n">
        <v>159.4</v>
      </c>
    </row>
    <row r="466" customFormat="false" ht="15" hidden="false" customHeight="false" outlineLevel="0" collapsed="false">
      <c r="A466" s="0" t="n">
        <v>2</v>
      </c>
      <c r="B466" s="0" t="n">
        <v>1649285</v>
      </c>
      <c r="C466" s="0" t="s">
        <v>1361</v>
      </c>
      <c r="D466" s="0" t="s">
        <v>1362</v>
      </c>
      <c r="E466" s="54" t="n">
        <v>46221</v>
      </c>
      <c r="F466" s="54" t="n">
        <v>46220</v>
      </c>
      <c r="G466" s="0" t="s">
        <v>369</v>
      </c>
      <c r="H466" s="0" t="n">
        <v>1414655</v>
      </c>
      <c r="I466" s="0" t="n">
        <v>11</v>
      </c>
      <c r="J466" s="0" t="s">
        <v>1357</v>
      </c>
      <c r="K466" s="55" t="n">
        <v>97.5</v>
      </c>
    </row>
    <row r="467" customFormat="false" ht="15" hidden="false" customHeight="false" outlineLevel="0" collapsed="false">
      <c r="A467" s="0" t="n">
        <v>2</v>
      </c>
      <c r="B467" s="0" t="n">
        <v>35</v>
      </c>
      <c r="C467" s="0" t="s">
        <v>1363</v>
      </c>
      <c r="D467" s="0" t="s">
        <v>1485</v>
      </c>
      <c r="E467" s="54" t="n">
        <v>46221</v>
      </c>
      <c r="F467" s="54" t="n">
        <v>46221</v>
      </c>
      <c r="G467" s="0" t="s">
        <v>552</v>
      </c>
      <c r="H467" s="0" t="n">
        <v>1428457</v>
      </c>
      <c r="I467" s="0" t="n">
        <v>11</v>
      </c>
      <c r="J467" s="0" t="s">
        <v>1357</v>
      </c>
      <c r="K467" s="55" t="n">
        <v>120</v>
      </c>
    </row>
    <row r="468" customFormat="false" ht="15" hidden="false" customHeight="false" outlineLevel="0" collapsed="false">
      <c r="A468" s="0" t="n">
        <v>2</v>
      </c>
      <c r="B468" s="0" t="n">
        <v>580863</v>
      </c>
      <c r="C468" s="0" t="s">
        <v>1363</v>
      </c>
      <c r="D468" s="0" t="s">
        <v>1469</v>
      </c>
      <c r="E468" s="54" t="n">
        <v>46221</v>
      </c>
      <c r="F468" s="54" t="n">
        <v>46218</v>
      </c>
      <c r="G468" s="0" t="s">
        <v>88</v>
      </c>
      <c r="H468" s="0" t="n">
        <v>1414799</v>
      </c>
      <c r="I468" s="0" t="n">
        <v>11</v>
      </c>
      <c r="J468" s="0" t="s">
        <v>1357</v>
      </c>
      <c r="K468" s="55" t="n">
        <v>2827.44</v>
      </c>
    </row>
    <row r="469" customFormat="false" ht="15" hidden="false" customHeight="false" outlineLevel="0" collapsed="false">
      <c r="A469" s="0" t="n">
        <v>2</v>
      </c>
      <c r="B469" s="0" t="n">
        <v>3855</v>
      </c>
      <c r="C469" s="0" t="s">
        <v>1363</v>
      </c>
      <c r="D469" s="0" t="s">
        <v>1486</v>
      </c>
      <c r="E469" s="54" t="n">
        <v>46221</v>
      </c>
      <c r="F469" s="54" t="n">
        <v>46220</v>
      </c>
      <c r="G469" s="0" t="s">
        <v>1037</v>
      </c>
      <c r="H469" s="0" t="n">
        <v>1414980</v>
      </c>
      <c r="I469" s="0" t="n">
        <v>39</v>
      </c>
      <c r="J469" s="0" t="s">
        <v>1357</v>
      </c>
      <c r="K469" s="55" t="n">
        <v>1109.15</v>
      </c>
    </row>
    <row r="470" customFormat="false" ht="15" hidden="false" customHeight="false" outlineLevel="0" collapsed="false">
      <c r="A470" s="0" t="n">
        <v>2</v>
      </c>
      <c r="B470" s="0" t="n">
        <v>1210020</v>
      </c>
      <c r="C470" s="0" t="s">
        <v>1358</v>
      </c>
      <c r="D470" s="0" t="s">
        <v>1359</v>
      </c>
      <c r="E470" s="54" t="n">
        <v>46223</v>
      </c>
      <c r="F470" s="54" t="n">
        <v>46220</v>
      </c>
      <c r="G470" s="0" t="s">
        <v>119</v>
      </c>
      <c r="H470" s="0" t="n">
        <v>1424515</v>
      </c>
      <c r="I470" s="0" t="n">
        <v>11</v>
      </c>
      <c r="J470" s="0" t="s">
        <v>1357</v>
      </c>
      <c r="K470" s="55" t="n">
        <v>49.45</v>
      </c>
    </row>
    <row r="471" customFormat="false" ht="15" hidden="false" customHeight="false" outlineLevel="0" collapsed="false">
      <c r="A471" s="0" t="n">
        <v>2</v>
      </c>
      <c r="B471" s="0" t="n">
        <v>1210021</v>
      </c>
      <c r="C471" s="0" t="s">
        <v>1358</v>
      </c>
      <c r="D471" s="0" t="s">
        <v>1359</v>
      </c>
      <c r="E471" s="54" t="n">
        <v>46223</v>
      </c>
      <c r="F471" s="54" t="n">
        <v>46220</v>
      </c>
      <c r="G471" s="0" t="s">
        <v>119</v>
      </c>
      <c r="H471" s="0" t="n">
        <v>1424512</v>
      </c>
      <c r="I471" s="0" t="n">
        <v>11</v>
      </c>
      <c r="J471" s="0" t="s">
        <v>1357</v>
      </c>
      <c r="K471" s="55" t="n">
        <v>114.61</v>
      </c>
    </row>
    <row r="472" customFormat="false" ht="15" hidden="false" customHeight="false" outlineLevel="0" collapsed="false">
      <c r="A472" s="0" t="n">
        <v>2</v>
      </c>
      <c r="B472" s="0" t="n">
        <v>1943423</v>
      </c>
      <c r="C472" s="0" t="s">
        <v>1360</v>
      </c>
      <c r="D472" s="0" t="s">
        <v>1359</v>
      </c>
      <c r="E472" s="54" t="n">
        <v>46223</v>
      </c>
      <c r="F472" s="54" t="n">
        <v>46220</v>
      </c>
      <c r="G472" s="0" t="s">
        <v>119</v>
      </c>
      <c r="H472" s="0" t="n">
        <v>1424518</v>
      </c>
      <c r="I472" s="0" t="n">
        <v>11</v>
      </c>
      <c r="J472" s="0" t="s">
        <v>1357</v>
      </c>
      <c r="K472" s="55" t="n">
        <v>637.11</v>
      </c>
    </row>
    <row r="473" customFormat="false" ht="15" hidden="false" customHeight="false" outlineLevel="0" collapsed="false">
      <c r="A473" s="0" t="n">
        <v>2</v>
      </c>
      <c r="B473" s="0" t="n">
        <v>854967</v>
      </c>
      <c r="C473" s="0" t="s">
        <v>1363</v>
      </c>
      <c r="D473" s="0" t="s">
        <v>1406</v>
      </c>
      <c r="E473" s="54" t="n">
        <v>46223</v>
      </c>
      <c r="F473" s="54" t="n">
        <v>46220</v>
      </c>
      <c r="G473" s="0" t="s">
        <v>175</v>
      </c>
      <c r="H473" s="0" t="n">
        <v>1423935</v>
      </c>
      <c r="I473" s="0" t="n">
        <v>11</v>
      </c>
      <c r="J473" s="0" t="s">
        <v>1357</v>
      </c>
      <c r="K473" s="55" t="n">
        <v>2030.92</v>
      </c>
    </row>
    <row r="474" customFormat="false" ht="15" hidden="false" customHeight="false" outlineLevel="0" collapsed="false">
      <c r="A474" s="0" t="n">
        <v>2</v>
      </c>
      <c r="B474" s="0" t="n">
        <v>1649501</v>
      </c>
      <c r="C474" s="0" t="s">
        <v>1361</v>
      </c>
      <c r="D474" s="0" t="s">
        <v>1362</v>
      </c>
      <c r="E474" s="54" t="n">
        <v>46223</v>
      </c>
      <c r="F474" s="54" t="n">
        <v>46221</v>
      </c>
      <c r="G474" s="0" t="s">
        <v>369</v>
      </c>
      <c r="H474" s="0" t="n">
        <v>1423680</v>
      </c>
      <c r="I474" s="0" t="n">
        <v>11</v>
      </c>
      <c r="J474" s="0" t="s">
        <v>1357</v>
      </c>
      <c r="K474" s="55" t="n">
        <v>137</v>
      </c>
    </row>
    <row r="475" customFormat="false" ht="15" hidden="false" customHeight="false" outlineLevel="0" collapsed="false">
      <c r="A475" s="0" t="n">
        <v>2</v>
      </c>
      <c r="B475" s="0" t="n">
        <v>64</v>
      </c>
      <c r="C475" s="0" t="s">
        <v>1363</v>
      </c>
      <c r="D475" s="0" t="s">
        <v>1485</v>
      </c>
      <c r="E475" s="54" t="n">
        <v>46223</v>
      </c>
      <c r="F475" s="54" t="n">
        <v>46223</v>
      </c>
      <c r="G475" s="0" t="s">
        <v>552</v>
      </c>
      <c r="H475" s="0" t="n">
        <v>1439460</v>
      </c>
      <c r="I475" s="0" t="n">
        <v>11</v>
      </c>
      <c r="J475" s="0" t="s">
        <v>1357</v>
      </c>
      <c r="K475" s="55" t="n">
        <v>140</v>
      </c>
    </row>
    <row r="476" customFormat="false" ht="15" hidden="false" customHeight="false" outlineLevel="0" collapsed="false">
      <c r="A476" s="0" t="n">
        <v>2</v>
      </c>
      <c r="B476" s="0" t="n">
        <v>65</v>
      </c>
      <c r="C476" s="0" t="s">
        <v>1363</v>
      </c>
      <c r="D476" s="0" t="s">
        <v>1485</v>
      </c>
      <c r="E476" s="54" t="n">
        <v>46223</v>
      </c>
      <c r="F476" s="54" t="n">
        <v>46223</v>
      </c>
      <c r="G476" s="0" t="s">
        <v>552</v>
      </c>
      <c r="H476" s="0" t="n">
        <v>1439463</v>
      </c>
      <c r="I476" s="0" t="n">
        <v>11</v>
      </c>
      <c r="J476" s="0" t="s">
        <v>1357</v>
      </c>
      <c r="K476" s="55" t="n">
        <v>140</v>
      </c>
    </row>
    <row r="477" customFormat="false" ht="15" hidden="false" customHeight="false" outlineLevel="0" collapsed="false">
      <c r="A477" s="0" t="n">
        <v>2</v>
      </c>
      <c r="B477" s="0" t="n">
        <v>31515</v>
      </c>
      <c r="C477" s="0" t="s">
        <v>1363</v>
      </c>
      <c r="D477" s="0" t="s">
        <v>1377</v>
      </c>
      <c r="E477" s="54" t="n">
        <v>46223</v>
      </c>
      <c r="F477" s="54" t="n">
        <v>46223</v>
      </c>
      <c r="G477" s="0" t="s">
        <v>126</v>
      </c>
      <c r="H477" s="0" t="n">
        <v>1424565</v>
      </c>
      <c r="I477" s="0" t="n">
        <v>11</v>
      </c>
      <c r="J477" s="0" t="s">
        <v>1357</v>
      </c>
      <c r="K477" s="55" t="n">
        <v>199</v>
      </c>
    </row>
    <row r="478" customFormat="false" ht="15" hidden="false" customHeight="false" outlineLevel="0" collapsed="false">
      <c r="A478" s="0" t="n">
        <v>2</v>
      </c>
      <c r="B478" s="0" t="n">
        <v>14751</v>
      </c>
      <c r="C478" s="0" t="s">
        <v>1363</v>
      </c>
      <c r="D478" s="0" t="s">
        <v>1364</v>
      </c>
      <c r="E478" s="54" t="n">
        <v>46223</v>
      </c>
      <c r="F478" s="54" t="n">
        <v>46221</v>
      </c>
      <c r="G478" s="0" t="s">
        <v>248</v>
      </c>
      <c r="H478" s="0" t="n">
        <v>1424326</v>
      </c>
      <c r="I478" s="0" t="n">
        <v>11</v>
      </c>
      <c r="J478" s="0" t="s">
        <v>1357</v>
      </c>
      <c r="K478" s="55" t="n">
        <v>3804</v>
      </c>
    </row>
    <row r="479" customFormat="false" ht="15" hidden="false" customHeight="false" outlineLevel="0" collapsed="false">
      <c r="A479" s="0" t="n">
        <v>2</v>
      </c>
      <c r="B479" s="0" t="n">
        <v>2550</v>
      </c>
      <c r="C479" s="0" t="s">
        <v>1363</v>
      </c>
      <c r="D479" s="0" t="s">
        <v>1373</v>
      </c>
      <c r="E479" s="54" t="n">
        <v>46223</v>
      </c>
      <c r="F479" s="54" t="n">
        <v>46223</v>
      </c>
      <c r="G479" s="0" t="s">
        <v>132</v>
      </c>
      <c r="H479" s="0" t="n">
        <v>1423704</v>
      </c>
      <c r="I479" s="0" t="n">
        <v>6</v>
      </c>
      <c r="J479" s="0" t="s">
        <v>1357</v>
      </c>
      <c r="K479" s="55" t="n">
        <v>949</v>
      </c>
    </row>
    <row r="480" customFormat="false" ht="15" hidden="false" customHeight="false" outlineLevel="0" collapsed="false">
      <c r="A480" s="0" t="n">
        <v>2</v>
      </c>
      <c r="B480" s="0" t="n">
        <v>2553</v>
      </c>
      <c r="C480" s="0" t="s">
        <v>1363</v>
      </c>
      <c r="D480" s="0" t="s">
        <v>1373</v>
      </c>
      <c r="E480" s="54" t="n">
        <v>46223</v>
      </c>
      <c r="F480" s="54" t="n">
        <v>46223</v>
      </c>
      <c r="G480" s="0" t="s">
        <v>132</v>
      </c>
      <c r="H480" s="0" t="n">
        <v>1425087</v>
      </c>
      <c r="I480" s="0" t="n">
        <v>6</v>
      </c>
      <c r="J480" s="0" t="s">
        <v>1357</v>
      </c>
      <c r="K480" s="55" t="n">
        <v>210</v>
      </c>
    </row>
    <row r="481" customFormat="false" ht="15" hidden="false" customHeight="false" outlineLevel="0" collapsed="false">
      <c r="A481" s="0" t="n">
        <v>2</v>
      </c>
      <c r="B481" s="0" t="n">
        <v>11173</v>
      </c>
      <c r="C481" s="0" t="s">
        <v>1363</v>
      </c>
      <c r="D481" s="0" t="s">
        <v>1464</v>
      </c>
      <c r="E481" s="54" t="n">
        <v>46223</v>
      </c>
      <c r="F481" s="54" t="n">
        <v>46219</v>
      </c>
      <c r="G481" s="0" t="s">
        <v>254</v>
      </c>
      <c r="H481" s="0" t="n">
        <v>1424623</v>
      </c>
      <c r="I481" s="0" t="n">
        <v>11</v>
      </c>
      <c r="J481" s="0" t="s">
        <v>1357</v>
      </c>
      <c r="K481" s="55" t="n">
        <v>1785.13</v>
      </c>
    </row>
    <row r="482" customFormat="false" ht="15" hidden="false" customHeight="false" outlineLevel="0" collapsed="false">
      <c r="A482" s="0" t="n">
        <v>2</v>
      </c>
      <c r="B482" s="0" t="n">
        <v>664184</v>
      </c>
      <c r="C482" s="0" t="s">
        <v>1363</v>
      </c>
      <c r="D482" s="0" t="s">
        <v>1437</v>
      </c>
      <c r="E482" s="54" t="n">
        <v>46223</v>
      </c>
      <c r="F482" s="54" t="n">
        <v>46219</v>
      </c>
      <c r="G482" s="0" t="s">
        <v>300</v>
      </c>
      <c r="H482" s="0" t="n">
        <v>1423713</v>
      </c>
      <c r="I482" s="0" t="n">
        <v>11</v>
      </c>
      <c r="J482" s="0" t="s">
        <v>1357</v>
      </c>
      <c r="K482" s="55" t="n">
        <v>1143</v>
      </c>
    </row>
    <row r="483" customFormat="false" ht="15" hidden="false" customHeight="false" outlineLevel="0" collapsed="false">
      <c r="A483" s="0" t="n">
        <v>2</v>
      </c>
      <c r="B483" s="0" t="n">
        <v>1964289</v>
      </c>
      <c r="C483" s="0" t="s">
        <v>1363</v>
      </c>
      <c r="D483" s="0" t="s">
        <v>1456</v>
      </c>
      <c r="E483" s="54" t="n">
        <v>46223</v>
      </c>
      <c r="F483" s="54" t="n">
        <v>46220</v>
      </c>
      <c r="G483" s="0" t="s">
        <v>160</v>
      </c>
      <c r="H483" s="0" t="n">
        <v>1423821</v>
      </c>
      <c r="I483" s="0" t="n">
        <v>11</v>
      </c>
      <c r="J483" s="0" t="s">
        <v>1357</v>
      </c>
      <c r="K483" s="55" t="n">
        <v>945.12</v>
      </c>
    </row>
    <row r="484" customFormat="false" ht="15" hidden="false" customHeight="false" outlineLevel="0" collapsed="false">
      <c r="A484" s="0" t="n">
        <v>2</v>
      </c>
      <c r="B484" s="0" t="n">
        <v>9481</v>
      </c>
      <c r="C484" s="0" t="s">
        <v>1363</v>
      </c>
      <c r="D484" s="0" t="s">
        <v>1487</v>
      </c>
      <c r="E484" s="54" t="n">
        <v>46224</v>
      </c>
      <c r="F484" s="54" t="n">
        <v>46223</v>
      </c>
      <c r="G484" s="0" t="s">
        <v>290</v>
      </c>
      <c r="H484" s="0" t="n">
        <v>1427596</v>
      </c>
      <c r="I484" s="0" t="n">
        <v>39</v>
      </c>
      <c r="J484" s="0" t="s">
        <v>1357</v>
      </c>
      <c r="K484" s="55" t="n">
        <v>800</v>
      </c>
    </row>
    <row r="485" customFormat="false" ht="15" hidden="false" customHeight="false" outlineLevel="0" collapsed="false">
      <c r="A485" s="0" t="n">
        <v>2</v>
      </c>
      <c r="B485" s="0" t="n">
        <v>1649880</v>
      </c>
      <c r="C485" s="0" t="s">
        <v>1361</v>
      </c>
      <c r="D485" s="0" t="s">
        <v>1362</v>
      </c>
      <c r="E485" s="54" t="n">
        <v>46224</v>
      </c>
      <c r="F485" s="54" t="n">
        <v>46223</v>
      </c>
      <c r="G485" s="0" t="s">
        <v>369</v>
      </c>
      <c r="H485" s="0" t="n">
        <v>1427577</v>
      </c>
      <c r="I485" s="0" t="n">
        <v>11</v>
      </c>
      <c r="J485" s="0" t="s">
        <v>1357</v>
      </c>
      <c r="K485" s="55" t="n">
        <v>151</v>
      </c>
    </row>
    <row r="486" customFormat="false" ht="15" hidden="false" customHeight="false" outlineLevel="0" collapsed="false">
      <c r="A486" s="0" t="n">
        <v>2</v>
      </c>
      <c r="B486" s="0" t="n">
        <v>3579</v>
      </c>
      <c r="C486" s="0" t="s">
        <v>1363</v>
      </c>
      <c r="D486" s="0" t="s">
        <v>1381</v>
      </c>
      <c r="E486" s="54" t="n">
        <v>46224</v>
      </c>
      <c r="F486" s="54" t="n">
        <v>46223</v>
      </c>
      <c r="G486" s="0" t="s">
        <v>171</v>
      </c>
      <c r="H486" s="0" t="n">
        <v>1427544</v>
      </c>
      <c r="I486" s="0" t="n">
        <v>11</v>
      </c>
      <c r="J486" s="0" t="s">
        <v>1357</v>
      </c>
      <c r="K486" s="55" t="n">
        <v>179</v>
      </c>
    </row>
    <row r="487" customFormat="false" ht="15" hidden="false" customHeight="false" outlineLevel="0" collapsed="false">
      <c r="A487" s="0" t="n">
        <v>2</v>
      </c>
      <c r="B487" s="0" t="n">
        <v>2554</v>
      </c>
      <c r="C487" s="0" t="s">
        <v>1363</v>
      </c>
      <c r="D487" s="0" t="s">
        <v>1373</v>
      </c>
      <c r="E487" s="54" t="n">
        <v>46224</v>
      </c>
      <c r="F487" s="54" t="n">
        <v>46224</v>
      </c>
      <c r="G487" s="0" t="s">
        <v>132</v>
      </c>
      <c r="H487" s="0" t="n">
        <v>1429010</v>
      </c>
      <c r="I487" s="0" t="n">
        <v>6</v>
      </c>
      <c r="J487" s="0" t="s">
        <v>1357</v>
      </c>
      <c r="K487" s="55" t="n">
        <v>1446.94</v>
      </c>
    </row>
    <row r="488" customFormat="false" ht="15" hidden="false" customHeight="false" outlineLevel="0" collapsed="false">
      <c r="A488" s="0" t="n">
        <v>2</v>
      </c>
      <c r="B488" s="0" t="n">
        <v>2555</v>
      </c>
      <c r="C488" s="0" t="s">
        <v>1363</v>
      </c>
      <c r="D488" s="0" t="s">
        <v>1373</v>
      </c>
      <c r="E488" s="54" t="n">
        <v>46224</v>
      </c>
      <c r="F488" s="54" t="n">
        <v>46224</v>
      </c>
      <c r="G488" s="0" t="s">
        <v>132</v>
      </c>
      <c r="H488" s="0" t="n">
        <v>1429542</v>
      </c>
      <c r="I488" s="0" t="n">
        <v>6</v>
      </c>
      <c r="J488" s="0" t="s">
        <v>1357</v>
      </c>
      <c r="K488" s="55" t="n">
        <v>55</v>
      </c>
    </row>
    <row r="489" customFormat="false" ht="15" hidden="false" customHeight="false" outlineLevel="0" collapsed="false">
      <c r="A489" s="0" t="n">
        <v>2</v>
      </c>
      <c r="B489" s="0" t="n">
        <v>2556</v>
      </c>
      <c r="C489" s="0" t="s">
        <v>1363</v>
      </c>
      <c r="D489" s="0" t="s">
        <v>1373</v>
      </c>
      <c r="E489" s="54" t="n">
        <v>46224</v>
      </c>
      <c r="F489" s="54" t="n">
        <v>46224</v>
      </c>
      <c r="G489" s="0" t="s">
        <v>132</v>
      </c>
      <c r="H489" s="0" t="n">
        <v>1429592</v>
      </c>
      <c r="I489" s="0" t="n">
        <v>6</v>
      </c>
      <c r="J489" s="0" t="s">
        <v>1357</v>
      </c>
      <c r="K489" s="55" t="n">
        <v>210</v>
      </c>
    </row>
    <row r="490" customFormat="false" ht="15" hidden="false" customHeight="false" outlineLevel="0" collapsed="false">
      <c r="A490" s="0" t="n">
        <v>2</v>
      </c>
      <c r="B490" s="0" t="n">
        <v>4132</v>
      </c>
      <c r="C490" s="0" t="s">
        <v>1363</v>
      </c>
      <c r="D490" s="0" t="s">
        <v>1374</v>
      </c>
      <c r="E490" s="54" t="n">
        <v>46224</v>
      </c>
      <c r="F490" s="54" t="n">
        <v>46223</v>
      </c>
      <c r="G490" s="0" t="s">
        <v>92</v>
      </c>
      <c r="H490" s="0" t="n">
        <v>1427554</v>
      </c>
      <c r="I490" s="0" t="n">
        <v>11</v>
      </c>
      <c r="J490" s="0" t="s">
        <v>1357</v>
      </c>
      <c r="K490" s="55" t="n">
        <v>232.05</v>
      </c>
    </row>
    <row r="491" customFormat="false" ht="15" hidden="false" customHeight="false" outlineLevel="0" collapsed="false">
      <c r="A491" s="0" t="n">
        <v>2</v>
      </c>
      <c r="B491" s="0" t="n">
        <v>724</v>
      </c>
      <c r="C491" s="0" t="s">
        <v>1355</v>
      </c>
      <c r="D491" s="0" t="s">
        <v>1365</v>
      </c>
      <c r="E491" s="54" t="n">
        <v>46224</v>
      </c>
      <c r="F491" s="54" t="n">
        <v>46223</v>
      </c>
      <c r="G491" s="0" t="s">
        <v>194</v>
      </c>
      <c r="H491" s="0" t="n">
        <v>1427568</v>
      </c>
      <c r="I491" s="0" t="n">
        <v>11</v>
      </c>
      <c r="J491" s="0" t="s">
        <v>1357</v>
      </c>
      <c r="K491" s="55" t="n">
        <v>182.36</v>
      </c>
    </row>
    <row r="492" customFormat="false" ht="15" hidden="false" customHeight="false" outlineLevel="0" collapsed="false">
      <c r="A492" s="0" t="n">
        <v>2</v>
      </c>
      <c r="B492" s="0" t="n">
        <v>1625</v>
      </c>
      <c r="C492" s="0" t="s">
        <v>1418</v>
      </c>
      <c r="D492" s="0" t="s">
        <v>1375</v>
      </c>
      <c r="E492" s="54" t="n">
        <v>46225</v>
      </c>
      <c r="F492" s="54" t="n">
        <v>46224</v>
      </c>
      <c r="G492" s="0" t="s">
        <v>117</v>
      </c>
      <c r="H492" s="0" t="n">
        <v>1435965</v>
      </c>
      <c r="I492" s="0" t="n">
        <v>11</v>
      </c>
      <c r="J492" s="0" t="s">
        <v>1357</v>
      </c>
      <c r="K492" s="55" t="n">
        <v>328.54</v>
      </c>
    </row>
    <row r="493" customFormat="false" ht="15" hidden="false" customHeight="false" outlineLevel="0" collapsed="false">
      <c r="A493" s="0" t="n">
        <v>2</v>
      </c>
      <c r="B493" s="0" t="n">
        <v>1215300</v>
      </c>
      <c r="C493" s="0" t="s">
        <v>1358</v>
      </c>
      <c r="D493" s="0" t="s">
        <v>1359</v>
      </c>
      <c r="E493" s="54" t="n">
        <v>46225</v>
      </c>
      <c r="F493" s="54" t="n">
        <v>46224</v>
      </c>
      <c r="G493" s="0" t="s">
        <v>119</v>
      </c>
      <c r="H493" s="0" t="n">
        <v>1435821</v>
      </c>
      <c r="I493" s="0" t="n">
        <v>11</v>
      </c>
      <c r="J493" s="0" t="s">
        <v>1357</v>
      </c>
      <c r="K493" s="55" t="n">
        <v>203.42</v>
      </c>
    </row>
    <row r="494" customFormat="false" ht="15" hidden="false" customHeight="false" outlineLevel="0" collapsed="false">
      <c r="A494" s="0" t="n">
        <v>2</v>
      </c>
      <c r="B494" s="0" t="n">
        <v>1949480</v>
      </c>
      <c r="C494" s="0" t="s">
        <v>1360</v>
      </c>
      <c r="D494" s="0" t="s">
        <v>1359</v>
      </c>
      <c r="E494" s="54" t="n">
        <v>46225</v>
      </c>
      <c r="F494" s="54" t="n">
        <v>46224</v>
      </c>
      <c r="G494" s="0" t="s">
        <v>119</v>
      </c>
      <c r="H494" s="0" t="n">
        <v>1435826</v>
      </c>
      <c r="I494" s="0" t="n">
        <v>11</v>
      </c>
      <c r="J494" s="0" t="s">
        <v>1357</v>
      </c>
      <c r="K494" s="55" t="n">
        <v>1712.69</v>
      </c>
    </row>
    <row r="495" customFormat="false" ht="15" hidden="false" customHeight="false" outlineLevel="0" collapsed="false">
      <c r="A495" s="0" t="n">
        <v>2</v>
      </c>
      <c r="B495" s="0" t="n">
        <v>261</v>
      </c>
      <c r="C495" s="0" t="s">
        <v>1363</v>
      </c>
      <c r="D495" s="0" t="s">
        <v>1461</v>
      </c>
      <c r="E495" s="54" t="n">
        <v>46225</v>
      </c>
      <c r="F495" s="54" t="n">
        <v>46225</v>
      </c>
      <c r="G495" s="0" t="s">
        <v>718</v>
      </c>
      <c r="H495" s="0" t="n">
        <v>1435793</v>
      </c>
      <c r="I495" s="0" t="n">
        <v>11</v>
      </c>
      <c r="J495" s="0" t="s">
        <v>1357</v>
      </c>
      <c r="K495" s="55" t="n">
        <v>1040</v>
      </c>
    </row>
    <row r="496" customFormat="false" ht="15" hidden="false" customHeight="false" outlineLevel="0" collapsed="false">
      <c r="A496" s="0" t="n">
        <v>2</v>
      </c>
      <c r="B496" s="0" t="n">
        <v>1695862</v>
      </c>
      <c r="C496" s="0" t="s">
        <v>1363</v>
      </c>
      <c r="D496" s="0" t="s">
        <v>1371</v>
      </c>
      <c r="E496" s="54" t="n">
        <v>46225</v>
      </c>
      <c r="F496" s="54" t="n">
        <v>46223</v>
      </c>
      <c r="G496" s="0" t="s">
        <v>201</v>
      </c>
      <c r="H496" s="0" t="n">
        <v>1434765</v>
      </c>
      <c r="I496" s="0" t="n">
        <v>11</v>
      </c>
      <c r="J496" s="0" t="s">
        <v>1357</v>
      </c>
      <c r="K496" s="55" t="n">
        <v>554.4</v>
      </c>
    </row>
    <row r="497" customFormat="false" ht="15" hidden="false" customHeight="false" outlineLevel="0" collapsed="false">
      <c r="A497" s="0" t="n">
        <v>2</v>
      </c>
      <c r="B497" s="0" t="n">
        <v>21</v>
      </c>
      <c r="C497" s="0" t="s">
        <v>1363</v>
      </c>
      <c r="D497" s="0" t="s">
        <v>1485</v>
      </c>
      <c r="E497" s="54" t="n">
        <v>46225</v>
      </c>
      <c r="F497" s="54" t="n">
        <v>46220</v>
      </c>
      <c r="G497" s="0" t="s">
        <v>552</v>
      </c>
      <c r="H497" s="0" t="n">
        <v>1439039</v>
      </c>
      <c r="I497" s="0" t="n">
        <v>11</v>
      </c>
      <c r="J497" s="0" t="s">
        <v>1357</v>
      </c>
      <c r="K497" s="55" t="n">
        <v>120</v>
      </c>
    </row>
    <row r="498" customFormat="false" ht="15" hidden="false" customHeight="false" outlineLevel="0" collapsed="false">
      <c r="A498" s="0" t="n">
        <v>2</v>
      </c>
      <c r="B498" s="0" t="n">
        <v>5844</v>
      </c>
      <c r="C498" s="0" t="s">
        <v>1363</v>
      </c>
      <c r="D498" s="0" t="s">
        <v>1382</v>
      </c>
      <c r="E498" s="54" t="n">
        <v>46225</v>
      </c>
      <c r="F498" s="54" t="n">
        <v>46225</v>
      </c>
      <c r="G498" s="0" t="s">
        <v>90</v>
      </c>
      <c r="H498" s="0" t="n">
        <v>1435769</v>
      </c>
      <c r="I498" s="0" t="n">
        <v>11</v>
      </c>
      <c r="J498" s="0" t="s">
        <v>1357</v>
      </c>
      <c r="K498" s="55" t="n">
        <v>409.65</v>
      </c>
    </row>
    <row r="499" customFormat="false" ht="15" hidden="false" customHeight="false" outlineLevel="0" collapsed="false">
      <c r="A499" s="0" t="n">
        <v>2</v>
      </c>
      <c r="B499" s="0" t="n">
        <v>393890</v>
      </c>
      <c r="C499" s="0" t="s">
        <v>1363</v>
      </c>
      <c r="D499" s="0" t="s">
        <v>1384</v>
      </c>
      <c r="E499" s="54" t="n">
        <v>46225</v>
      </c>
      <c r="F499" s="54" t="n">
        <v>46224</v>
      </c>
      <c r="G499" s="0" t="s">
        <v>164</v>
      </c>
      <c r="H499" s="0" t="n">
        <v>1436038</v>
      </c>
      <c r="I499" s="0" t="n">
        <v>11</v>
      </c>
      <c r="J499" s="0" t="s">
        <v>1357</v>
      </c>
      <c r="K499" s="55" t="n">
        <v>3493.2</v>
      </c>
    </row>
    <row r="500" customFormat="false" ht="15" hidden="false" customHeight="false" outlineLevel="0" collapsed="false">
      <c r="A500" s="0" t="n">
        <v>2</v>
      </c>
      <c r="B500" s="0" t="n">
        <v>1401844</v>
      </c>
      <c r="C500" s="0" t="s">
        <v>1363</v>
      </c>
      <c r="D500" s="0" t="s">
        <v>1399</v>
      </c>
      <c r="E500" s="54" t="n">
        <v>46225</v>
      </c>
      <c r="F500" s="54" t="n">
        <v>46224</v>
      </c>
      <c r="G500" s="0" t="s">
        <v>302</v>
      </c>
      <c r="H500" s="0" t="n">
        <v>1435876</v>
      </c>
      <c r="I500" s="0" t="n">
        <v>11</v>
      </c>
      <c r="J500" s="0" t="s">
        <v>1357</v>
      </c>
      <c r="K500" s="55" t="n">
        <v>1821.1</v>
      </c>
    </row>
    <row r="501" customFormat="false" ht="15" hidden="false" customHeight="false" outlineLevel="0" collapsed="false">
      <c r="A501" s="0" t="n">
        <v>2</v>
      </c>
      <c r="B501" s="0" t="n">
        <v>740921</v>
      </c>
      <c r="C501" s="0" t="s">
        <v>1427</v>
      </c>
      <c r="D501" s="0" t="s">
        <v>1449</v>
      </c>
      <c r="E501" s="54" t="n">
        <v>46225</v>
      </c>
      <c r="F501" s="54" t="n">
        <v>46224</v>
      </c>
      <c r="G501" s="0" t="s">
        <v>123</v>
      </c>
      <c r="H501" s="0" t="n">
        <v>1436101</v>
      </c>
      <c r="I501" s="0" t="n">
        <v>39</v>
      </c>
      <c r="J501" s="0" t="s">
        <v>1357</v>
      </c>
      <c r="K501" s="55" t="n">
        <v>391.26</v>
      </c>
    </row>
    <row r="502" customFormat="false" ht="15" hidden="false" customHeight="false" outlineLevel="0" collapsed="false">
      <c r="A502" s="0" t="n">
        <v>2</v>
      </c>
      <c r="B502" s="0" t="n">
        <v>2557</v>
      </c>
      <c r="C502" s="0" t="s">
        <v>1363</v>
      </c>
      <c r="D502" s="0" t="s">
        <v>1373</v>
      </c>
      <c r="E502" s="54" t="n">
        <v>46225</v>
      </c>
      <c r="F502" s="54" t="n">
        <v>46225</v>
      </c>
      <c r="G502" s="0" t="s">
        <v>132</v>
      </c>
      <c r="H502" s="0" t="n">
        <v>1435859</v>
      </c>
      <c r="I502" s="0" t="n">
        <v>6</v>
      </c>
      <c r="J502" s="0" t="s">
        <v>1357</v>
      </c>
      <c r="K502" s="55" t="n">
        <v>210</v>
      </c>
    </row>
    <row r="503" customFormat="false" ht="15" hidden="false" customHeight="false" outlineLevel="0" collapsed="false">
      <c r="A503" s="0" t="n">
        <v>2</v>
      </c>
      <c r="B503" s="0" t="n">
        <v>886799</v>
      </c>
      <c r="C503" s="0" t="s">
        <v>1363</v>
      </c>
      <c r="D503" s="0" t="s">
        <v>1421</v>
      </c>
      <c r="E503" s="54" t="n">
        <v>46226</v>
      </c>
      <c r="F503" s="54" t="n">
        <v>46225</v>
      </c>
      <c r="G503" s="0" t="s">
        <v>197</v>
      </c>
      <c r="H503" s="0" t="n">
        <v>1439398</v>
      </c>
      <c r="I503" s="0" t="n">
        <v>11</v>
      </c>
      <c r="J503" s="0" t="s">
        <v>1357</v>
      </c>
      <c r="K503" s="55" t="n">
        <v>3018.1</v>
      </c>
    </row>
    <row r="504" customFormat="false" ht="15" hidden="false" customHeight="false" outlineLevel="0" collapsed="false">
      <c r="A504" s="0" t="n">
        <v>2</v>
      </c>
      <c r="B504" s="0" t="n">
        <v>173594</v>
      </c>
      <c r="C504" s="0" t="s">
        <v>1363</v>
      </c>
      <c r="D504" s="0" t="s">
        <v>1376</v>
      </c>
      <c r="E504" s="54" t="n">
        <v>46226</v>
      </c>
      <c r="F504" s="54" t="n">
        <v>46225</v>
      </c>
      <c r="G504" s="0" t="s">
        <v>332</v>
      </c>
      <c r="H504" s="0" t="n">
        <v>1439203</v>
      </c>
      <c r="I504" s="0" t="n">
        <v>11</v>
      </c>
      <c r="J504" s="0" t="s">
        <v>1357</v>
      </c>
      <c r="K504" s="55" t="n">
        <v>3811.4</v>
      </c>
    </row>
    <row r="505" customFormat="false" ht="15" hidden="false" customHeight="false" outlineLevel="0" collapsed="false">
      <c r="A505" s="0" t="n">
        <v>2</v>
      </c>
      <c r="B505" s="0" t="n">
        <v>1697796</v>
      </c>
      <c r="C505" s="0" t="s">
        <v>1363</v>
      </c>
      <c r="D505" s="0" t="s">
        <v>1371</v>
      </c>
      <c r="E505" s="54" t="n">
        <v>46226</v>
      </c>
      <c r="F505" s="54" t="n">
        <v>46225</v>
      </c>
      <c r="G505" s="0" t="s">
        <v>201</v>
      </c>
      <c r="H505" s="0" t="n">
        <v>1439289</v>
      </c>
      <c r="I505" s="0" t="n">
        <v>11</v>
      </c>
      <c r="J505" s="0" t="s">
        <v>1357</v>
      </c>
      <c r="K505" s="55" t="n">
        <v>1188</v>
      </c>
    </row>
    <row r="506" customFormat="false" ht="15" hidden="false" customHeight="false" outlineLevel="0" collapsed="false">
      <c r="A506" s="0" t="n">
        <v>2</v>
      </c>
      <c r="B506" s="0" t="n">
        <v>651350</v>
      </c>
      <c r="C506" s="0" t="s">
        <v>1363</v>
      </c>
      <c r="D506" s="0" t="s">
        <v>1413</v>
      </c>
      <c r="E506" s="54" t="n">
        <v>46226</v>
      </c>
      <c r="F506" s="54" t="n">
        <v>46225</v>
      </c>
      <c r="G506" s="0" t="s">
        <v>80</v>
      </c>
      <c r="H506" s="0" t="n">
        <v>1440005</v>
      </c>
      <c r="I506" s="0" t="n">
        <v>11</v>
      </c>
      <c r="J506" s="0" t="s">
        <v>1357</v>
      </c>
      <c r="K506" s="55" t="n">
        <v>727.23</v>
      </c>
    </row>
    <row r="507" customFormat="false" ht="15" hidden="false" customHeight="false" outlineLevel="0" collapsed="false">
      <c r="A507" s="0" t="n">
        <v>2</v>
      </c>
      <c r="B507" s="0" t="n">
        <v>1651550</v>
      </c>
      <c r="C507" s="0" t="s">
        <v>1361</v>
      </c>
      <c r="D507" s="0" t="s">
        <v>1362</v>
      </c>
      <c r="E507" s="54" t="n">
        <v>46226</v>
      </c>
      <c r="F507" s="54" t="n">
        <v>46225</v>
      </c>
      <c r="G507" s="0" t="s">
        <v>369</v>
      </c>
      <c r="H507" s="0" t="n">
        <v>1438798</v>
      </c>
      <c r="I507" s="0" t="n">
        <v>11</v>
      </c>
      <c r="J507" s="0" t="s">
        <v>1357</v>
      </c>
      <c r="K507" s="55" t="n">
        <v>130.5</v>
      </c>
    </row>
    <row r="508" customFormat="false" ht="15" hidden="false" customHeight="false" outlineLevel="0" collapsed="false">
      <c r="A508" s="0" t="n">
        <v>2</v>
      </c>
      <c r="B508" s="0" t="n">
        <v>21189</v>
      </c>
      <c r="C508" s="0" t="s">
        <v>1404</v>
      </c>
      <c r="D508" s="0" t="s">
        <v>1431</v>
      </c>
      <c r="E508" s="54" t="n">
        <v>46226</v>
      </c>
      <c r="F508" s="54" t="n">
        <v>46221</v>
      </c>
      <c r="G508" s="0" t="s">
        <v>554</v>
      </c>
      <c r="H508" s="0" t="n">
        <v>1438828</v>
      </c>
      <c r="I508" s="0" t="n">
        <v>11</v>
      </c>
      <c r="J508" s="0" t="s">
        <v>1357</v>
      </c>
      <c r="K508" s="55" t="n">
        <v>6005.5</v>
      </c>
    </row>
    <row r="509" customFormat="false" ht="15" hidden="false" customHeight="false" outlineLevel="0" collapsed="false">
      <c r="A509" s="0" t="n">
        <v>2</v>
      </c>
      <c r="B509" s="0" t="n">
        <v>3551</v>
      </c>
      <c r="C509" s="0" t="s">
        <v>1363</v>
      </c>
      <c r="D509" s="0" t="s">
        <v>1488</v>
      </c>
      <c r="E509" s="54" t="n">
        <v>46226</v>
      </c>
      <c r="F509" s="54" t="n">
        <v>46225</v>
      </c>
      <c r="G509" s="0" t="s">
        <v>162</v>
      </c>
      <c r="H509" s="0" t="n">
        <v>1439313</v>
      </c>
      <c r="I509" s="0" t="n">
        <v>11</v>
      </c>
      <c r="J509" s="0" t="s">
        <v>1357</v>
      </c>
      <c r="K509" s="55" t="n">
        <v>1009.92</v>
      </c>
    </row>
    <row r="510" customFormat="false" ht="15" hidden="false" customHeight="false" outlineLevel="0" collapsed="false">
      <c r="A510" s="0" t="n">
        <v>2</v>
      </c>
      <c r="B510" s="0" t="n">
        <v>34738</v>
      </c>
      <c r="C510" s="0" t="s">
        <v>1418</v>
      </c>
      <c r="D510" s="0" t="s">
        <v>1463</v>
      </c>
      <c r="E510" s="54" t="n">
        <v>46226</v>
      </c>
      <c r="F510" s="54" t="n">
        <v>46221</v>
      </c>
      <c r="G510" s="0" t="s">
        <v>292</v>
      </c>
      <c r="H510" s="0" t="n">
        <v>1438943</v>
      </c>
      <c r="I510" s="0" t="n">
        <v>11</v>
      </c>
      <c r="J510" s="0" t="s">
        <v>1357</v>
      </c>
      <c r="K510" s="55" t="n">
        <v>1773.2</v>
      </c>
    </row>
    <row r="511" customFormat="false" ht="15" hidden="false" customHeight="false" outlineLevel="0" collapsed="false">
      <c r="A511" s="0" t="n">
        <v>2</v>
      </c>
      <c r="B511" s="0" t="n">
        <v>728</v>
      </c>
      <c r="C511" s="0" t="s">
        <v>1355</v>
      </c>
      <c r="D511" s="0" t="s">
        <v>1365</v>
      </c>
      <c r="E511" s="54" t="n">
        <v>46226</v>
      </c>
      <c r="F511" s="54" t="n">
        <v>46225</v>
      </c>
      <c r="G511" s="0" t="s">
        <v>194</v>
      </c>
      <c r="H511" s="0" t="n">
        <v>1438982</v>
      </c>
      <c r="I511" s="0" t="n">
        <v>11</v>
      </c>
      <c r="J511" s="0" t="s">
        <v>1357</v>
      </c>
      <c r="K511" s="55" t="n">
        <v>247.23</v>
      </c>
    </row>
    <row r="512" customFormat="false" ht="15" hidden="false" customHeight="false" outlineLevel="0" collapsed="false">
      <c r="A512" s="0" t="n">
        <v>2</v>
      </c>
      <c r="B512" s="0" t="n">
        <v>608657</v>
      </c>
      <c r="C512" s="0" t="s">
        <v>1394</v>
      </c>
      <c r="D512" s="0" t="s">
        <v>1409</v>
      </c>
      <c r="E512" s="54" t="n">
        <v>46226</v>
      </c>
      <c r="F512" s="54" t="n">
        <v>46225</v>
      </c>
      <c r="G512" s="0" t="s">
        <v>412</v>
      </c>
      <c r="H512" s="0" t="n">
        <v>1439986</v>
      </c>
      <c r="I512" s="0" t="n">
        <v>11</v>
      </c>
      <c r="J512" s="0" t="s">
        <v>1357</v>
      </c>
      <c r="K512" s="55" t="n">
        <v>305</v>
      </c>
    </row>
    <row r="513" customFormat="false" ht="15" hidden="false" customHeight="false" outlineLevel="0" collapsed="false">
      <c r="A513" s="0" t="n">
        <v>2</v>
      </c>
      <c r="B513" s="0" t="n">
        <v>21130</v>
      </c>
      <c r="C513" s="0" t="s">
        <v>1363</v>
      </c>
      <c r="D513" s="0" t="s">
        <v>1386</v>
      </c>
      <c r="E513" s="54" t="n">
        <v>46227</v>
      </c>
      <c r="F513" s="54" t="n">
        <v>46227</v>
      </c>
      <c r="G513" s="0" t="s">
        <v>166</v>
      </c>
      <c r="H513" s="0" t="n">
        <v>1443802</v>
      </c>
      <c r="I513" s="0" t="n">
        <v>11</v>
      </c>
      <c r="J513" s="0" t="s">
        <v>1357</v>
      </c>
      <c r="K513" s="55" t="n">
        <v>581.65</v>
      </c>
    </row>
    <row r="514" customFormat="false" ht="15" hidden="false" customHeight="false" outlineLevel="0" collapsed="false">
      <c r="A514" s="0" t="n">
        <v>2</v>
      </c>
      <c r="B514" s="0" t="n">
        <v>1611346</v>
      </c>
      <c r="C514" s="0" t="s">
        <v>1363</v>
      </c>
      <c r="D514" s="0" t="s">
        <v>1412</v>
      </c>
      <c r="E514" s="54" t="n">
        <v>46227</v>
      </c>
      <c r="F514" s="54" t="n">
        <v>46227</v>
      </c>
      <c r="G514" s="0" t="s">
        <v>94</v>
      </c>
      <c r="H514" s="0" t="n">
        <v>1443728</v>
      </c>
      <c r="I514" s="0" t="n">
        <v>11</v>
      </c>
      <c r="J514" s="0" t="s">
        <v>1357</v>
      </c>
      <c r="K514" s="55" t="n">
        <v>791.24</v>
      </c>
    </row>
    <row r="515" customFormat="false" ht="15" hidden="false" customHeight="false" outlineLevel="0" collapsed="false">
      <c r="A515" s="0" t="n">
        <v>2</v>
      </c>
      <c r="B515" s="0" t="n">
        <v>1033458</v>
      </c>
      <c r="C515" s="0" t="s">
        <v>1363</v>
      </c>
      <c r="D515" s="0" t="s">
        <v>1370</v>
      </c>
      <c r="E515" s="54" t="n">
        <v>46227</v>
      </c>
      <c r="F515" s="54" t="n">
        <v>46226</v>
      </c>
      <c r="G515" s="0" t="s">
        <v>210</v>
      </c>
      <c r="H515" s="0" t="n">
        <v>1443650</v>
      </c>
      <c r="I515" s="0" t="n">
        <v>11</v>
      </c>
      <c r="J515" s="0" t="s">
        <v>1357</v>
      </c>
      <c r="K515" s="55" t="n">
        <v>254</v>
      </c>
    </row>
    <row r="516" customFormat="false" ht="15" hidden="false" customHeight="false" outlineLevel="0" collapsed="false">
      <c r="A516" s="0" t="n">
        <v>2</v>
      </c>
      <c r="B516" s="0" t="n">
        <v>1698151</v>
      </c>
      <c r="C516" s="0" t="s">
        <v>1363</v>
      </c>
      <c r="D516" s="0" t="s">
        <v>1371</v>
      </c>
      <c r="E516" s="54" t="n">
        <v>46227</v>
      </c>
      <c r="F516" s="54" t="n">
        <v>46226</v>
      </c>
      <c r="G516" s="0" t="s">
        <v>201</v>
      </c>
      <c r="H516" s="0" t="n">
        <v>1444838</v>
      </c>
      <c r="I516" s="0" t="n">
        <v>11</v>
      </c>
      <c r="J516" s="0" t="s">
        <v>1357</v>
      </c>
      <c r="K516" s="55" t="n">
        <v>1111.12</v>
      </c>
    </row>
    <row r="517" customFormat="false" ht="15" hidden="false" customHeight="false" outlineLevel="0" collapsed="false">
      <c r="A517" s="0" t="n">
        <v>2</v>
      </c>
      <c r="B517" s="0" t="n">
        <v>1698937</v>
      </c>
      <c r="C517" s="0" t="s">
        <v>1363</v>
      </c>
      <c r="D517" s="0" t="s">
        <v>1371</v>
      </c>
      <c r="E517" s="54" t="n">
        <v>46227</v>
      </c>
      <c r="F517" s="54" t="n">
        <v>46226</v>
      </c>
      <c r="G517" s="0" t="s">
        <v>201</v>
      </c>
      <c r="H517" s="0" t="n">
        <v>1443660</v>
      </c>
      <c r="I517" s="0" t="n">
        <v>11</v>
      </c>
      <c r="J517" s="0" t="s">
        <v>1357</v>
      </c>
      <c r="K517" s="55" t="n">
        <v>590.09</v>
      </c>
    </row>
    <row r="518" customFormat="false" ht="15" hidden="false" customHeight="false" outlineLevel="0" collapsed="false">
      <c r="A518" s="0" t="n">
        <v>2</v>
      </c>
      <c r="B518" s="0" t="n">
        <v>1652599</v>
      </c>
      <c r="C518" s="0" t="s">
        <v>1361</v>
      </c>
      <c r="D518" s="0" t="s">
        <v>1362</v>
      </c>
      <c r="E518" s="54" t="n">
        <v>46227</v>
      </c>
      <c r="F518" s="54" t="n">
        <v>46227</v>
      </c>
      <c r="G518" s="0" t="s">
        <v>369</v>
      </c>
      <c r="H518" s="0" t="n">
        <v>1444716</v>
      </c>
      <c r="I518" s="0" t="n">
        <v>11</v>
      </c>
      <c r="J518" s="0" t="s">
        <v>1357</v>
      </c>
      <c r="K518" s="55" t="n">
        <v>71.5</v>
      </c>
    </row>
    <row r="519" customFormat="false" ht="15" hidden="false" customHeight="false" outlineLevel="0" collapsed="false">
      <c r="A519" s="0" t="n">
        <v>2</v>
      </c>
      <c r="B519" s="0" t="n">
        <v>7695</v>
      </c>
      <c r="C519" s="0" t="s">
        <v>1363</v>
      </c>
      <c r="D519" s="0" t="s">
        <v>1480</v>
      </c>
      <c r="E519" s="54" t="n">
        <v>46227</v>
      </c>
      <c r="F519" s="54" t="n">
        <v>46226</v>
      </c>
      <c r="G519" s="0" t="s">
        <v>943</v>
      </c>
      <c r="H519" s="0" t="n">
        <v>1443898</v>
      </c>
      <c r="I519" s="0" t="n">
        <v>39</v>
      </c>
      <c r="J519" s="0" t="s">
        <v>1357</v>
      </c>
      <c r="K519" s="55" t="n">
        <v>325</v>
      </c>
    </row>
    <row r="520" customFormat="false" ht="15" hidden="false" customHeight="false" outlineLevel="0" collapsed="false">
      <c r="A520" s="0" t="n">
        <v>2</v>
      </c>
      <c r="B520" s="0" t="n">
        <v>375</v>
      </c>
      <c r="C520" s="0" t="s">
        <v>1363</v>
      </c>
      <c r="D520" s="0" t="s">
        <v>1390</v>
      </c>
      <c r="E520" s="54" t="n">
        <v>46227</v>
      </c>
      <c r="F520" s="54" t="n">
        <v>46227</v>
      </c>
      <c r="G520" s="0" t="s">
        <v>96</v>
      </c>
      <c r="H520" s="0" t="n">
        <v>1443784</v>
      </c>
      <c r="I520" s="0" t="n">
        <v>11</v>
      </c>
      <c r="J520" s="0" t="s">
        <v>1357</v>
      </c>
      <c r="K520" s="55" t="n">
        <v>270</v>
      </c>
    </row>
    <row r="521" customFormat="false" ht="15" hidden="false" customHeight="false" outlineLevel="0" collapsed="false">
      <c r="A521" s="0" t="n">
        <v>2</v>
      </c>
      <c r="B521" s="0" t="n">
        <v>294640</v>
      </c>
      <c r="C521" s="0" t="s">
        <v>1418</v>
      </c>
      <c r="D521" s="0" t="s">
        <v>1489</v>
      </c>
      <c r="E521" s="54" t="n">
        <v>46227</v>
      </c>
      <c r="F521" s="54" t="n">
        <v>46226</v>
      </c>
      <c r="G521" s="0" t="s">
        <v>1039</v>
      </c>
      <c r="H521" s="0" t="n">
        <v>1444921</v>
      </c>
      <c r="I521" s="0" t="n">
        <v>11</v>
      </c>
      <c r="J521" s="0" t="s">
        <v>1357</v>
      </c>
      <c r="K521" s="55" t="n">
        <v>2070</v>
      </c>
    </row>
    <row r="522" customFormat="false" ht="15" hidden="false" customHeight="false" outlineLevel="0" collapsed="false">
      <c r="A522" s="0" t="n">
        <v>2</v>
      </c>
      <c r="B522" s="0" t="n">
        <v>2560</v>
      </c>
      <c r="C522" s="0" t="s">
        <v>1363</v>
      </c>
      <c r="D522" s="0" t="s">
        <v>1373</v>
      </c>
      <c r="E522" s="54" t="n">
        <v>46227</v>
      </c>
      <c r="F522" s="54" t="n">
        <v>46227</v>
      </c>
      <c r="G522" s="0" t="s">
        <v>132</v>
      </c>
      <c r="H522" s="0" t="n">
        <v>1445080</v>
      </c>
      <c r="I522" s="0" t="n">
        <v>6</v>
      </c>
      <c r="J522" s="0" t="s">
        <v>1357</v>
      </c>
      <c r="K522" s="55" t="n">
        <v>1919.18</v>
      </c>
    </row>
    <row r="523" customFormat="false" ht="15" hidden="false" customHeight="false" outlineLevel="0" collapsed="false">
      <c r="A523" s="0" t="n">
        <v>2</v>
      </c>
      <c r="B523" s="0" t="n">
        <v>2561</v>
      </c>
      <c r="C523" s="0" t="s">
        <v>1363</v>
      </c>
      <c r="D523" s="0" t="s">
        <v>1373</v>
      </c>
      <c r="E523" s="54" t="n">
        <v>46227</v>
      </c>
      <c r="F523" s="54" t="n">
        <v>46227</v>
      </c>
      <c r="G523" s="0" t="s">
        <v>132</v>
      </c>
      <c r="H523" s="0" t="n">
        <v>1445121</v>
      </c>
      <c r="I523" s="0" t="n">
        <v>6</v>
      </c>
      <c r="J523" s="0" t="s">
        <v>1357</v>
      </c>
      <c r="K523" s="55" t="n">
        <v>280</v>
      </c>
    </row>
    <row r="524" customFormat="false" ht="15" hidden="false" customHeight="false" outlineLevel="0" collapsed="false">
      <c r="A524" s="0" t="n">
        <v>2</v>
      </c>
      <c r="B524" s="0" t="n">
        <v>568309</v>
      </c>
      <c r="C524" s="0" t="s">
        <v>1401</v>
      </c>
      <c r="D524" s="0" t="s">
        <v>1402</v>
      </c>
      <c r="E524" s="54" t="n">
        <v>46227</v>
      </c>
      <c r="F524" s="54" t="n">
        <v>46225</v>
      </c>
      <c r="G524" s="0" t="s">
        <v>206</v>
      </c>
      <c r="H524" s="0" t="n">
        <v>1443849</v>
      </c>
      <c r="I524" s="0" t="n">
        <v>11</v>
      </c>
      <c r="J524" s="0" t="s">
        <v>1357</v>
      </c>
      <c r="K524" s="55" t="n">
        <v>20148.15</v>
      </c>
    </row>
    <row r="525" customFormat="false" ht="15" hidden="false" customHeight="false" outlineLevel="0" collapsed="false">
      <c r="A525" s="0" t="n">
        <v>2</v>
      </c>
      <c r="B525" s="0" t="n">
        <v>544</v>
      </c>
      <c r="C525" s="0" t="s">
        <v>1363</v>
      </c>
      <c r="D525" s="0" t="s">
        <v>1368</v>
      </c>
      <c r="E525" s="54" t="n">
        <v>46228</v>
      </c>
      <c r="F525" s="54" t="n">
        <v>46227</v>
      </c>
      <c r="G525" s="0" t="s">
        <v>130</v>
      </c>
      <c r="H525" s="0" t="n">
        <v>1448211</v>
      </c>
      <c r="I525" s="0" t="n">
        <v>11</v>
      </c>
      <c r="J525" s="0" t="s">
        <v>1357</v>
      </c>
      <c r="K525" s="55" t="n">
        <v>168</v>
      </c>
    </row>
    <row r="526" customFormat="false" ht="15" hidden="false" customHeight="false" outlineLevel="0" collapsed="false">
      <c r="A526" s="0" t="n">
        <v>2</v>
      </c>
      <c r="B526" s="0" t="n">
        <v>1842</v>
      </c>
      <c r="C526" s="0" t="s">
        <v>1418</v>
      </c>
      <c r="D526" s="0" t="s">
        <v>1375</v>
      </c>
      <c r="E526" s="54" t="n">
        <v>46228</v>
      </c>
      <c r="F526" s="54" t="n">
        <v>46227</v>
      </c>
      <c r="G526" s="0" t="s">
        <v>117</v>
      </c>
      <c r="H526" s="0" t="n">
        <v>1448473</v>
      </c>
      <c r="I526" s="0" t="n">
        <v>11</v>
      </c>
      <c r="J526" s="0" t="s">
        <v>1357</v>
      </c>
      <c r="K526" s="55" t="n">
        <v>1481.04</v>
      </c>
    </row>
    <row r="527" customFormat="false" ht="15" hidden="false" customHeight="false" outlineLevel="0" collapsed="false">
      <c r="A527" s="0" t="n">
        <v>2</v>
      </c>
      <c r="B527" s="0" t="n">
        <v>2562</v>
      </c>
      <c r="C527" s="0" t="s">
        <v>1363</v>
      </c>
      <c r="D527" s="0" t="s">
        <v>1373</v>
      </c>
      <c r="E527" s="54" t="n">
        <v>46228</v>
      </c>
      <c r="F527" s="54" t="n">
        <v>46228</v>
      </c>
      <c r="G527" s="0" t="s">
        <v>132</v>
      </c>
      <c r="H527" s="0" t="n">
        <v>1448190</v>
      </c>
      <c r="I527" s="0" t="n">
        <v>6</v>
      </c>
      <c r="J527" s="0" t="s">
        <v>1357</v>
      </c>
      <c r="K527" s="55" t="n">
        <v>200</v>
      </c>
    </row>
    <row r="528" customFormat="false" ht="15" hidden="false" customHeight="false" outlineLevel="0" collapsed="false">
      <c r="A528" s="0" t="n">
        <v>2</v>
      </c>
      <c r="B528" s="0" t="n">
        <v>731</v>
      </c>
      <c r="C528" s="0" t="s">
        <v>1355</v>
      </c>
      <c r="D528" s="0" t="s">
        <v>1365</v>
      </c>
      <c r="E528" s="54" t="n">
        <v>46228</v>
      </c>
      <c r="F528" s="54" t="n">
        <v>46227</v>
      </c>
      <c r="G528" s="0" t="s">
        <v>194</v>
      </c>
      <c r="H528" s="0" t="n">
        <v>1448465</v>
      </c>
      <c r="I528" s="0" t="n">
        <v>11</v>
      </c>
      <c r="J528" s="0" t="s">
        <v>1357</v>
      </c>
      <c r="K528" s="55" t="n">
        <v>239.7</v>
      </c>
    </row>
    <row r="529" customFormat="false" ht="15" hidden="false" customHeight="false" outlineLevel="0" collapsed="false">
      <c r="A529" s="0" t="n">
        <v>2</v>
      </c>
      <c r="B529" s="0" t="n">
        <v>10760</v>
      </c>
      <c r="C529" s="0" t="s">
        <v>1363</v>
      </c>
      <c r="D529" s="0" t="s">
        <v>1457</v>
      </c>
      <c r="E529" s="54" t="n">
        <v>46228</v>
      </c>
      <c r="F529" s="54" t="n">
        <v>46227</v>
      </c>
      <c r="G529" s="0" t="s">
        <v>181</v>
      </c>
      <c r="H529" s="0" t="n">
        <v>1448220</v>
      </c>
      <c r="I529" s="0" t="n">
        <v>11</v>
      </c>
      <c r="J529" s="0" t="s">
        <v>1357</v>
      </c>
      <c r="K529" s="55" t="n">
        <v>228</v>
      </c>
    </row>
    <row r="530" customFormat="false" ht="15" hidden="false" customHeight="false" outlineLevel="0" collapsed="false">
      <c r="A530" s="0" t="n">
        <v>2</v>
      </c>
      <c r="B530" s="0" t="n">
        <v>345</v>
      </c>
      <c r="C530" s="0" t="s">
        <v>1363</v>
      </c>
      <c r="D530" s="0" t="s">
        <v>1369</v>
      </c>
      <c r="E530" s="54" t="n">
        <v>46230</v>
      </c>
      <c r="F530" s="54" t="n">
        <v>46228</v>
      </c>
      <c r="G530" s="0" t="s">
        <v>220</v>
      </c>
      <c r="H530" s="0" t="n">
        <v>1458288</v>
      </c>
      <c r="I530" s="0" t="n">
        <v>11</v>
      </c>
      <c r="J530" s="0" t="s">
        <v>1357</v>
      </c>
      <c r="K530" s="55" t="n">
        <v>950</v>
      </c>
    </row>
    <row r="531" customFormat="false" ht="15" hidden="false" customHeight="false" outlineLevel="0" collapsed="false">
      <c r="A531" s="0" t="n">
        <v>2</v>
      </c>
      <c r="B531" s="0" t="n">
        <v>1221623</v>
      </c>
      <c r="C531" s="0" t="s">
        <v>1358</v>
      </c>
      <c r="D531" s="0" t="s">
        <v>1359</v>
      </c>
      <c r="E531" s="54" t="n">
        <v>46230</v>
      </c>
      <c r="F531" s="54" t="n">
        <v>46227</v>
      </c>
      <c r="G531" s="0" t="s">
        <v>119</v>
      </c>
      <c r="H531" s="0" t="n">
        <v>1459403</v>
      </c>
      <c r="I531" s="0" t="n">
        <v>11</v>
      </c>
      <c r="J531" s="0" t="s">
        <v>1357</v>
      </c>
      <c r="K531" s="55" t="n">
        <v>655.24</v>
      </c>
    </row>
    <row r="532" customFormat="false" ht="15" hidden="false" customHeight="false" outlineLevel="0" collapsed="false">
      <c r="A532" s="0" t="n">
        <v>2</v>
      </c>
      <c r="B532" s="0" t="n">
        <v>1955856</v>
      </c>
      <c r="C532" s="0" t="s">
        <v>1360</v>
      </c>
      <c r="D532" s="0" t="s">
        <v>1359</v>
      </c>
      <c r="E532" s="54" t="n">
        <v>46230</v>
      </c>
      <c r="F532" s="54" t="n">
        <v>46227</v>
      </c>
      <c r="G532" s="0" t="s">
        <v>119</v>
      </c>
      <c r="H532" s="0" t="n">
        <v>1459398</v>
      </c>
      <c r="I532" s="0" t="n">
        <v>11</v>
      </c>
      <c r="J532" s="0" t="s">
        <v>1357</v>
      </c>
      <c r="K532" s="55" t="n">
        <v>868.27</v>
      </c>
    </row>
    <row r="533" customFormat="false" ht="15" hidden="false" customHeight="false" outlineLevel="0" collapsed="false">
      <c r="A533" s="0" t="n">
        <v>2</v>
      </c>
      <c r="B533" s="0" t="n">
        <v>924535</v>
      </c>
      <c r="C533" s="0" t="s">
        <v>1422</v>
      </c>
      <c r="D533" s="0" t="s">
        <v>1423</v>
      </c>
      <c r="E533" s="54" t="n">
        <v>46230</v>
      </c>
      <c r="F533" s="54" t="n">
        <v>46228</v>
      </c>
      <c r="G533" s="0" t="s">
        <v>212</v>
      </c>
      <c r="H533" s="0" t="n">
        <v>1459299</v>
      </c>
      <c r="I533" s="0" t="n">
        <v>11</v>
      </c>
      <c r="J533" s="0" t="s">
        <v>1357</v>
      </c>
      <c r="K533" s="55" t="n">
        <v>304.43</v>
      </c>
    </row>
    <row r="534" customFormat="false" ht="15" hidden="false" customHeight="false" outlineLevel="0" collapsed="false">
      <c r="A534" s="0" t="n">
        <v>2</v>
      </c>
      <c r="B534" s="0" t="n">
        <v>749</v>
      </c>
      <c r="C534" s="0" t="s">
        <v>1363</v>
      </c>
      <c r="D534" s="0" t="s">
        <v>1490</v>
      </c>
      <c r="E534" s="54" t="n">
        <v>46230</v>
      </c>
      <c r="F534" s="54" t="n">
        <v>46229</v>
      </c>
      <c r="G534" s="0" t="s">
        <v>985</v>
      </c>
      <c r="H534" s="0" t="n">
        <v>1458366</v>
      </c>
      <c r="I534" s="0" t="n">
        <v>11</v>
      </c>
      <c r="J534" s="0" t="s">
        <v>1357</v>
      </c>
      <c r="K534" s="55" t="n">
        <v>778</v>
      </c>
    </row>
    <row r="535" customFormat="false" ht="15" hidden="false" customHeight="false" outlineLevel="0" collapsed="false">
      <c r="A535" s="0" t="n">
        <v>2</v>
      </c>
      <c r="B535" s="0" t="n">
        <v>1653050</v>
      </c>
      <c r="C535" s="0" t="s">
        <v>1361</v>
      </c>
      <c r="D535" s="0" t="s">
        <v>1362</v>
      </c>
      <c r="E535" s="54" t="n">
        <v>46230</v>
      </c>
      <c r="F535" s="54" t="n">
        <v>46228</v>
      </c>
      <c r="G535" s="0" t="s">
        <v>369</v>
      </c>
      <c r="H535" s="0" t="n">
        <v>1458280</v>
      </c>
      <c r="I535" s="0" t="n">
        <v>11</v>
      </c>
      <c r="J535" s="0" t="s">
        <v>1357</v>
      </c>
      <c r="K535" s="55" t="n">
        <v>158</v>
      </c>
    </row>
    <row r="536" customFormat="false" ht="15" hidden="false" customHeight="false" outlineLevel="0" collapsed="false">
      <c r="A536" s="0" t="n">
        <v>2</v>
      </c>
      <c r="B536" s="0" t="n">
        <v>81</v>
      </c>
      <c r="C536" s="0" t="s">
        <v>1363</v>
      </c>
      <c r="D536" s="0" t="s">
        <v>1485</v>
      </c>
      <c r="E536" s="54" t="n">
        <v>46230</v>
      </c>
      <c r="F536" s="54" t="n">
        <v>46228</v>
      </c>
      <c r="G536" s="0" t="s">
        <v>552</v>
      </c>
      <c r="H536" s="0" t="n">
        <v>1459315</v>
      </c>
      <c r="I536" s="0" t="n">
        <v>11</v>
      </c>
      <c r="J536" s="0" t="s">
        <v>1357</v>
      </c>
      <c r="K536" s="55" t="n">
        <v>140</v>
      </c>
    </row>
    <row r="537" customFormat="false" ht="15" hidden="false" customHeight="false" outlineLevel="0" collapsed="false">
      <c r="A537" s="0" t="n">
        <v>2</v>
      </c>
      <c r="B537" s="0" t="n">
        <v>3618</v>
      </c>
      <c r="C537" s="0" t="s">
        <v>1363</v>
      </c>
      <c r="D537" s="0" t="s">
        <v>1381</v>
      </c>
      <c r="E537" s="54" t="n">
        <v>46230</v>
      </c>
      <c r="F537" s="54" t="n">
        <v>46230</v>
      </c>
      <c r="G537" s="0" t="s">
        <v>171</v>
      </c>
      <c r="H537" s="0" t="n">
        <v>1459556</v>
      </c>
      <c r="I537" s="0" t="n">
        <v>11</v>
      </c>
      <c r="J537" s="0" t="s">
        <v>1357</v>
      </c>
      <c r="K537" s="55" t="n">
        <v>125</v>
      </c>
    </row>
    <row r="538" customFormat="false" ht="15" hidden="false" customHeight="false" outlineLevel="0" collapsed="false">
      <c r="A538" s="0" t="n">
        <v>2</v>
      </c>
      <c r="B538" s="0" t="n">
        <v>14816</v>
      </c>
      <c r="C538" s="0" t="s">
        <v>1363</v>
      </c>
      <c r="D538" s="0" t="s">
        <v>1364</v>
      </c>
      <c r="E538" s="54" t="n">
        <v>46230</v>
      </c>
      <c r="F538" s="54" t="n">
        <v>46228</v>
      </c>
      <c r="G538" s="0" t="s">
        <v>248</v>
      </c>
      <c r="H538" s="0" t="n">
        <v>1459647</v>
      </c>
      <c r="I538" s="0" t="n">
        <v>11</v>
      </c>
      <c r="J538" s="0" t="s">
        <v>1357</v>
      </c>
      <c r="K538" s="55" t="n">
        <v>4958.1</v>
      </c>
    </row>
    <row r="539" customFormat="false" ht="15" hidden="false" customHeight="false" outlineLevel="0" collapsed="false">
      <c r="A539" s="0" t="n">
        <v>2</v>
      </c>
      <c r="B539" s="0" t="n">
        <v>2563</v>
      </c>
      <c r="C539" s="0" t="s">
        <v>1363</v>
      </c>
      <c r="D539" s="0" t="s">
        <v>1373</v>
      </c>
      <c r="E539" s="54" t="n">
        <v>46230</v>
      </c>
      <c r="F539" s="54" t="n">
        <v>46230</v>
      </c>
      <c r="G539" s="0" t="s">
        <v>132</v>
      </c>
      <c r="H539" s="0" t="n">
        <v>1459242</v>
      </c>
      <c r="I539" s="0" t="n">
        <v>6</v>
      </c>
      <c r="J539" s="0" t="s">
        <v>1357</v>
      </c>
      <c r="K539" s="55" t="n">
        <v>210</v>
      </c>
    </row>
    <row r="540" customFormat="false" ht="15" hidden="false" customHeight="false" outlineLevel="0" collapsed="false">
      <c r="A540" s="0" t="n">
        <v>2</v>
      </c>
      <c r="B540" s="0" t="n">
        <v>32052</v>
      </c>
      <c r="C540" s="0" t="s">
        <v>1363</v>
      </c>
      <c r="D540" s="0" t="s">
        <v>1378</v>
      </c>
      <c r="E540" s="54" t="n">
        <v>46230</v>
      </c>
      <c r="F540" s="54" t="n">
        <v>46228</v>
      </c>
      <c r="G540" s="0" t="s">
        <v>128</v>
      </c>
      <c r="H540" s="0" t="n">
        <v>1458277</v>
      </c>
      <c r="I540" s="0" t="n">
        <v>11</v>
      </c>
      <c r="J540" s="0" t="s">
        <v>1357</v>
      </c>
      <c r="K540" s="55" t="n">
        <v>528</v>
      </c>
    </row>
    <row r="541" customFormat="false" ht="15" hidden="false" customHeight="false" outlineLevel="0" collapsed="false">
      <c r="A541" s="0" t="n">
        <v>2</v>
      </c>
      <c r="B541" s="0" t="n">
        <v>15180</v>
      </c>
      <c r="C541" s="0" t="s">
        <v>1363</v>
      </c>
      <c r="D541" s="0" t="s">
        <v>1367</v>
      </c>
      <c r="E541" s="54" t="n">
        <v>46230</v>
      </c>
      <c r="F541" s="54" t="n">
        <v>46230</v>
      </c>
      <c r="G541" s="0" t="s">
        <v>266</v>
      </c>
      <c r="H541" s="0" t="n">
        <v>1459253</v>
      </c>
      <c r="I541" s="0" t="n">
        <v>11</v>
      </c>
      <c r="J541" s="0" t="s">
        <v>1357</v>
      </c>
      <c r="K541" s="55" t="n">
        <v>272.52</v>
      </c>
    </row>
    <row r="542" customFormat="false" ht="15" hidden="false" customHeight="false" outlineLevel="0" collapsed="false">
      <c r="A542" s="0" t="n">
        <v>2</v>
      </c>
      <c r="B542" s="0" t="n">
        <v>1033945</v>
      </c>
      <c r="C542" s="0" t="s">
        <v>1363</v>
      </c>
      <c r="D542" s="0" t="s">
        <v>1370</v>
      </c>
      <c r="E542" s="54" t="n">
        <v>46231</v>
      </c>
      <c r="F542" s="54" t="n">
        <v>46230</v>
      </c>
      <c r="G542" s="0" t="s">
        <v>210</v>
      </c>
      <c r="H542" s="0" t="n">
        <v>1464435</v>
      </c>
      <c r="I542" s="0" t="n">
        <v>11</v>
      </c>
      <c r="J542" s="0" t="s">
        <v>1357</v>
      </c>
      <c r="K542" s="55" t="n">
        <v>355.62</v>
      </c>
    </row>
    <row r="543" customFormat="false" ht="15" hidden="false" customHeight="false" outlineLevel="0" collapsed="false">
      <c r="A543" s="0" t="n">
        <v>2</v>
      </c>
      <c r="B543" s="0" t="n">
        <v>173885</v>
      </c>
      <c r="C543" s="0" t="s">
        <v>1363</v>
      </c>
      <c r="D543" s="0" t="s">
        <v>1376</v>
      </c>
      <c r="E543" s="54" t="n">
        <v>46231</v>
      </c>
      <c r="F543" s="54" t="n">
        <v>46231</v>
      </c>
      <c r="G543" s="0" t="s">
        <v>332</v>
      </c>
      <c r="H543" s="0" t="n">
        <v>1464568</v>
      </c>
      <c r="I543" s="0" t="n">
        <v>11</v>
      </c>
      <c r="J543" s="0" t="s">
        <v>1357</v>
      </c>
      <c r="K543" s="55" t="n">
        <v>1262.8</v>
      </c>
    </row>
    <row r="544" customFormat="false" ht="15" hidden="false" customHeight="false" outlineLevel="0" collapsed="false">
      <c r="A544" s="0" t="n">
        <v>2</v>
      </c>
      <c r="B544" s="0" t="n">
        <v>1653511</v>
      </c>
      <c r="C544" s="0" t="s">
        <v>1361</v>
      </c>
      <c r="D544" s="0" t="s">
        <v>1362</v>
      </c>
      <c r="E544" s="54" t="n">
        <v>46231</v>
      </c>
      <c r="F544" s="54" t="n">
        <v>46230</v>
      </c>
      <c r="G544" s="0" t="s">
        <v>369</v>
      </c>
      <c r="H544" s="0" t="n">
        <v>1464416</v>
      </c>
      <c r="I544" s="0" t="n">
        <v>11</v>
      </c>
      <c r="J544" s="0" t="s">
        <v>1357</v>
      </c>
      <c r="K544" s="55" t="n">
        <v>54</v>
      </c>
    </row>
    <row r="545" customFormat="false" ht="15" hidden="false" customHeight="false" outlineLevel="0" collapsed="false">
      <c r="A545" s="0" t="n">
        <v>2</v>
      </c>
      <c r="B545" s="0" t="n">
        <v>2568</v>
      </c>
      <c r="C545" s="0" t="s">
        <v>1363</v>
      </c>
      <c r="D545" s="0" t="s">
        <v>1373</v>
      </c>
      <c r="E545" s="54" t="n">
        <v>46231</v>
      </c>
      <c r="F545" s="54" t="n">
        <v>46231</v>
      </c>
      <c r="G545" s="0" t="s">
        <v>132</v>
      </c>
      <c r="H545" s="0" t="n">
        <v>1465066</v>
      </c>
      <c r="I545" s="0" t="n">
        <v>6</v>
      </c>
      <c r="J545" s="0" t="s">
        <v>1357</v>
      </c>
      <c r="K545" s="55" t="n">
        <v>1389.41</v>
      </c>
    </row>
    <row r="546" customFormat="false" ht="15" hidden="false" customHeight="false" outlineLevel="0" collapsed="false">
      <c r="A546" s="0" t="n">
        <v>2</v>
      </c>
      <c r="B546" s="0" t="n">
        <v>4207</v>
      </c>
      <c r="C546" s="0" t="s">
        <v>1363</v>
      </c>
      <c r="D546" s="0" t="s">
        <v>1374</v>
      </c>
      <c r="E546" s="54" t="n">
        <v>46231</v>
      </c>
      <c r="F546" s="54" t="n">
        <v>46230</v>
      </c>
      <c r="G546" s="0" t="s">
        <v>92</v>
      </c>
      <c r="H546" s="0" t="n">
        <v>1464442</v>
      </c>
      <c r="I546" s="0" t="n">
        <v>11</v>
      </c>
      <c r="J546" s="0" t="s">
        <v>1357</v>
      </c>
      <c r="K546" s="55" t="n">
        <v>244</v>
      </c>
    </row>
    <row r="547" customFormat="false" ht="15" hidden="false" customHeight="false" outlineLevel="0" collapsed="false">
      <c r="A547" s="0" t="n">
        <v>2</v>
      </c>
      <c r="B547" s="0" t="n">
        <v>3718</v>
      </c>
      <c r="C547" s="0" t="s">
        <v>1363</v>
      </c>
      <c r="D547" s="0" t="s">
        <v>1366</v>
      </c>
      <c r="E547" s="54" t="n">
        <v>46231</v>
      </c>
      <c r="F547" s="54" t="n">
        <v>46230</v>
      </c>
      <c r="G547" s="0" t="s">
        <v>188</v>
      </c>
      <c r="H547" s="0" t="n">
        <v>1464429</v>
      </c>
      <c r="I547" s="0" t="n">
        <v>11</v>
      </c>
      <c r="J547" s="0" t="s">
        <v>1357</v>
      </c>
      <c r="K547" s="55" t="n">
        <v>505.5</v>
      </c>
    </row>
    <row r="548" customFormat="false" ht="15" hidden="false" customHeight="false" outlineLevel="0" collapsed="false">
      <c r="A548" s="0" t="n">
        <v>2</v>
      </c>
      <c r="B548" s="0" t="n">
        <v>2078</v>
      </c>
      <c r="C548" s="0" t="s">
        <v>1418</v>
      </c>
      <c r="D548" s="0" t="s">
        <v>1375</v>
      </c>
      <c r="E548" s="54" t="n">
        <v>46232</v>
      </c>
      <c r="F548" s="54" t="n">
        <v>46231</v>
      </c>
      <c r="G548" s="0" t="s">
        <v>117</v>
      </c>
      <c r="H548" s="0" t="n">
        <v>1469131</v>
      </c>
      <c r="I548" s="0" t="n">
        <v>11</v>
      </c>
      <c r="J548" s="0" t="s">
        <v>1357</v>
      </c>
      <c r="K548" s="55" t="n">
        <v>926.71</v>
      </c>
    </row>
    <row r="549" customFormat="false" ht="15" hidden="false" customHeight="false" outlineLevel="0" collapsed="false">
      <c r="A549" s="0" t="n">
        <v>2</v>
      </c>
      <c r="B549" s="0" t="n">
        <v>1654882</v>
      </c>
      <c r="C549" s="0" t="s">
        <v>1361</v>
      </c>
      <c r="D549" s="0" t="s">
        <v>1362</v>
      </c>
      <c r="E549" s="54" t="n">
        <v>46232</v>
      </c>
      <c r="F549" s="54" t="n">
        <v>46232</v>
      </c>
      <c r="G549" s="0" t="s">
        <v>369</v>
      </c>
      <c r="H549" s="0" t="n">
        <v>1469138</v>
      </c>
      <c r="I549" s="0" t="n">
        <v>11</v>
      </c>
      <c r="J549" s="0" t="s">
        <v>1357</v>
      </c>
      <c r="K549" s="55" t="n">
        <v>129.5</v>
      </c>
    </row>
    <row r="550" customFormat="false" ht="15" hidden="false" customHeight="false" outlineLevel="0" collapsed="false">
      <c r="A550" s="0" t="n">
        <v>2</v>
      </c>
      <c r="B550" s="0" t="n">
        <v>1295</v>
      </c>
      <c r="C550" s="0" t="s">
        <v>1363</v>
      </c>
      <c r="D550" s="0" t="s">
        <v>1491</v>
      </c>
      <c r="E550" s="54" t="n">
        <v>46232</v>
      </c>
      <c r="F550" s="54" t="n">
        <v>46231</v>
      </c>
      <c r="G550" s="0" t="s">
        <v>935</v>
      </c>
      <c r="H550" s="0" t="n">
        <v>1468983</v>
      </c>
      <c r="I550" s="0" t="n">
        <v>11</v>
      </c>
      <c r="J550" s="0" t="s">
        <v>1357</v>
      </c>
      <c r="K550" s="55" t="n">
        <v>139</v>
      </c>
    </row>
    <row r="551" customFormat="false" ht="15" hidden="false" customHeight="false" outlineLevel="0" collapsed="false">
      <c r="A551" s="0" t="n">
        <v>2</v>
      </c>
      <c r="B551" s="0" t="n">
        <v>253576</v>
      </c>
      <c r="C551" s="0" t="s">
        <v>1363</v>
      </c>
      <c r="D551" s="0" t="s">
        <v>1492</v>
      </c>
      <c r="E551" s="54" t="n">
        <v>46232</v>
      </c>
      <c r="F551" s="54" t="n">
        <v>46231</v>
      </c>
      <c r="G551" s="0" t="s">
        <v>1029</v>
      </c>
      <c r="H551" s="0" t="n">
        <v>1468972</v>
      </c>
      <c r="I551" s="0" t="n">
        <v>11</v>
      </c>
      <c r="J551" s="0" t="s">
        <v>1357</v>
      </c>
      <c r="K551" s="55" t="n">
        <v>306.18</v>
      </c>
    </row>
    <row r="552" customFormat="false" ht="15" hidden="false" customHeight="false" outlineLevel="0" collapsed="false">
      <c r="A552" s="0" t="n">
        <v>2</v>
      </c>
      <c r="B552" s="0" t="n">
        <v>562</v>
      </c>
      <c r="C552" s="0" t="s">
        <v>1363</v>
      </c>
      <c r="D552" s="0" t="s">
        <v>1368</v>
      </c>
      <c r="E552" s="54" t="n">
        <v>46233</v>
      </c>
      <c r="F552" s="54" t="n">
        <v>46232</v>
      </c>
      <c r="G552" s="0" t="s">
        <v>130</v>
      </c>
      <c r="H552" s="0" t="n">
        <v>1472573</v>
      </c>
      <c r="I552" s="0" t="n">
        <v>11</v>
      </c>
      <c r="J552" s="0" t="s">
        <v>1357</v>
      </c>
      <c r="K552" s="55" t="n">
        <v>180</v>
      </c>
    </row>
    <row r="553" customFormat="false" ht="15" hidden="false" customHeight="false" outlineLevel="0" collapsed="false">
      <c r="A553" s="0" t="n">
        <v>2</v>
      </c>
      <c r="B553" s="0" t="n">
        <v>351</v>
      </c>
      <c r="C553" s="0" t="s">
        <v>1363</v>
      </c>
      <c r="D553" s="0" t="s">
        <v>1369</v>
      </c>
      <c r="E553" s="54" t="n">
        <v>46233</v>
      </c>
      <c r="F553" s="54" t="n">
        <v>46232</v>
      </c>
      <c r="G553" s="0" t="s">
        <v>220</v>
      </c>
      <c r="H553" s="0" t="n">
        <v>1473968</v>
      </c>
      <c r="I553" s="0" t="n">
        <v>11</v>
      </c>
      <c r="J553" s="0" t="s">
        <v>1357</v>
      </c>
      <c r="K553" s="55" t="n">
        <v>733.78</v>
      </c>
    </row>
    <row r="554" customFormat="false" ht="15" hidden="false" customHeight="false" outlineLevel="0" collapsed="false">
      <c r="A554" s="0" t="n">
        <v>2</v>
      </c>
      <c r="B554" s="0" t="n">
        <v>197070</v>
      </c>
      <c r="C554" s="0" t="s">
        <v>1363</v>
      </c>
      <c r="D554" s="0" t="s">
        <v>1379</v>
      </c>
      <c r="E554" s="54" t="n">
        <v>46233</v>
      </c>
      <c r="F554" s="54" t="n">
        <v>46233</v>
      </c>
      <c r="G554" s="0" t="s">
        <v>179</v>
      </c>
      <c r="H554" s="0" t="n">
        <v>1472934</v>
      </c>
      <c r="I554" s="0" t="n">
        <v>11</v>
      </c>
      <c r="J554" s="0" t="s">
        <v>1357</v>
      </c>
      <c r="K554" s="55" t="n">
        <v>830.88</v>
      </c>
    </row>
    <row r="555" customFormat="false" ht="15" hidden="false" customHeight="false" outlineLevel="0" collapsed="false">
      <c r="A555" s="0" t="n">
        <v>2</v>
      </c>
      <c r="B555" s="0" t="n">
        <v>5889</v>
      </c>
      <c r="C555" s="0" t="s">
        <v>1363</v>
      </c>
      <c r="D555" s="0" t="s">
        <v>1382</v>
      </c>
      <c r="E555" s="54" t="n">
        <v>46233</v>
      </c>
      <c r="F555" s="54" t="n">
        <v>46233</v>
      </c>
      <c r="G555" s="0" t="s">
        <v>90</v>
      </c>
      <c r="H555" s="0" t="n">
        <v>1472907</v>
      </c>
      <c r="I555" s="0" t="n">
        <v>11</v>
      </c>
      <c r="J555" s="0" t="s">
        <v>1357</v>
      </c>
      <c r="K555" s="55" t="n">
        <v>524.65</v>
      </c>
    </row>
    <row r="556" customFormat="false" ht="15" hidden="false" customHeight="false" outlineLevel="0" collapsed="false">
      <c r="A556" s="0" t="n">
        <v>2</v>
      </c>
      <c r="B556" s="0" t="n">
        <v>523</v>
      </c>
      <c r="C556" s="0" t="s">
        <v>1363</v>
      </c>
      <c r="D556" s="0" t="s">
        <v>1398</v>
      </c>
      <c r="E556" s="54" t="n">
        <v>46233</v>
      </c>
      <c r="F556" s="54" t="n">
        <v>46233</v>
      </c>
      <c r="G556" s="0" t="s">
        <v>320</v>
      </c>
      <c r="H556" s="0" t="n">
        <v>1473869</v>
      </c>
      <c r="I556" s="0" t="n">
        <v>11</v>
      </c>
      <c r="J556" s="0" t="s">
        <v>1357</v>
      </c>
      <c r="K556" s="55" t="n">
        <v>160.32</v>
      </c>
    </row>
    <row r="557" customFormat="false" ht="15" hidden="false" customHeight="false" outlineLevel="0" collapsed="false">
      <c r="A557" s="0" t="n">
        <v>2</v>
      </c>
      <c r="B557" s="0" t="n">
        <v>14864</v>
      </c>
      <c r="C557" s="0" t="s">
        <v>1363</v>
      </c>
      <c r="D557" s="0" t="s">
        <v>1364</v>
      </c>
      <c r="E557" s="54" t="n">
        <v>46233</v>
      </c>
      <c r="F557" s="54" t="n">
        <v>46232</v>
      </c>
      <c r="G557" s="0" t="s">
        <v>248</v>
      </c>
      <c r="H557" s="0" t="n">
        <v>1472744</v>
      </c>
      <c r="I557" s="0" t="n">
        <v>11</v>
      </c>
      <c r="J557" s="0" t="s">
        <v>1357</v>
      </c>
      <c r="K557" s="55" t="n">
        <v>3840</v>
      </c>
    </row>
    <row r="558" customFormat="false" ht="15" hidden="false" customHeight="false" outlineLevel="0" collapsed="false">
      <c r="A558" s="0" t="n">
        <v>2</v>
      </c>
      <c r="B558" s="0" t="n">
        <v>2571</v>
      </c>
      <c r="C558" s="0" t="s">
        <v>1363</v>
      </c>
      <c r="D558" s="0" t="s">
        <v>1373</v>
      </c>
      <c r="E558" s="54" t="n">
        <v>46233</v>
      </c>
      <c r="F558" s="54" t="n">
        <v>46233</v>
      </c>
      <c r="G558" s="0" t="s">
        <v>132</v>
      </c>
      <c r="H558" s="0" t="n">
        <v>1473455</v>
      </c>
      <c r="I558" s="0" t="n">
        <v>6</v>
      </c>
      <c r="J558" s="0" t="s">
        <v>1357</v>
      </c>
      <c r="K558" s="55" t="n">
        <v>196</v>
      </c>
    </row>
    <row r="559" customFormat="false" ht="15" hidden="false" customHeight="false" outlineLevel="0" collapsed="false">
      <c r="A559" s="0" t="n">
        <v>2</v>
      </c>
      <c r="B559" s="0" t="n">
        <v>2572</v>
      </c>
      <c r="C559" s="0" t="s">
        <v>1363</v>
      </c>
      <c r="D559" s="0" t="s">
        <v>1373</v>
      </c>
      <c r="E559" s="54" t="n">
        <v>46233</v>
      </c>
      <c r="F559" s="54" t="n">
        <v>46233</v>
      </c>
      <c r="G559" s="0" t="s">
        <v>132</v>
      </c>
      <c r="H559" s="0" t="n">
        <v>1473466</v>
      </c>
      <c r="I559" s="0" t="n">
        <v>6</v>
      </c>
      <c r="J559" s="0" t="s">
        <v>1357</v>
      </c>
      <c r="K559" s="55" t="n">
        <v>210</v>
      </c>
    </row>
    <row r="560" customFormat="false" ht="15" hidden="false" customHeight="false" outlineLevel="0" collapsed="false">
      <c r="A560" s="0" t="n">
        <v>2</v>
      </c>
      <c r="B560" s="0" t="n">
        <v>1253268</v>
      </c>
      <c r="C560" s="0" t="s">
        <v>1363</v>
      </c>
      <c r="D560" s="0" t="s">
        <v>1408</v>
      </c>
      <c r="E560" s="54" t="n">
        <v>46233</v>
      </c>
      <c r="F560" s="54" t="n">
        <v>46233</v>
      </c>
      <c r="G560" s="0" t="s">
        <v>410</v>
      </c>
      <c r="H560" s="0" t="n">
        <v>1473201</v>
      </c>
      <c r="I560" s="0" t="n">
        <v>11</v>
      </c>
      <c r="J560" s="0" t="s">
        <v>1357</v>
      </c>
      <c r="K560" s="55" t="n">
        <v>459.25</v>
      </c>
    </row>
    <row r="561" customFormat="false" ht="15" hidden="false" customHeight="false" outlineLevel="0" collapsed="false">
      <c r="A561" s="0" t="n">
        <v>2</v>
      </c>
      <c r="B561" s="0" t="n">
        <v>737</v>
      </c>
      <c r="C561" s="0" t="s">
        <v>1355</v>
      </c>
      <c r="D561" s="0" t="s">
        <v>1365</v>
      </c>
      <c r="E561" s="54" t="n">
        <v>46233</v>
      </c>
      <c r="F561" s="54" t="n">
        <v>46232</v>
      </c>
      <c r="G561" s="0" t="s">
        <v>194</v>
      </c>
      <c r="H561" s="0" t="n">
        <v>1472600</v>
      </c>
      <c r="I561" s="0" t="n">
        <v>11</v>
      </c>
      <c r="J561" s="0" t="s">
        <v>1357</v>
      </c>
      <c r="K561" s="55" t="n">
        <v>284.7</v>
      </c>
    </row>
    <row r="562" customFormat="false" ht="15" hidden="false" customHeight="false" outlineLevel="0" collapsed="false">
      <c r="A562" s="0" t="n">
        <v>2</v>
      </c>
      <c r="B562" s="0" t="n">
        <v>256582</v>
      </c>
      <c r="C562" s="0" t="s">
        <v>1363</v>
      </c>
      <c r="D562" s="0" t="s">
        <v>1410</v>
      </c>
      <c r="E562" s="54" t="n">
        <v>46233</v>
      </c>
      <c r="F562" s="54" t="n">
        <v>46232</v>
      </c>
      <c r="G562" s="0" t="s">
        <v>489</v>
      </c>
      <c r="H562" s="0" t="n">
        <v>1473497</v>
      </c>
      <c r="I562" s="0" t="n">
        <v>11</v>
      </c>
      <c r="J562" s="0" t="s">
        <v>1357</v>
      </c>
      <c r="K562" s="55" t="n">
        <v>894.16</v>
      </c>
    </row>
    <row r="563" customFormat="false" ht="15" hidden="false" customHeight="false" outlineLevel="0" collapsed="false">
      <c r="A563" s="0" t="n">
        <v>2</v>
      </c>
      <c r="B563" s="0" t="n">
        <v>1228756</v>
      </c>
      <c r="C563" s="0" t="s">
        <v>1358</v>
      </c>
      <c r="D563" s="0" t="s">
        <v>1359</v>
      </c>
      <c r="E563" s="54" t="n">
        <v>46234</v>
      </c>
      <c r="F563" s="54" t="n">
        <v>46233</v>
      </c>
      <c r="G563" s="0" t="s">
        <v>119</v>
      </c>
      <c r="H563" s="0" t="n">
        <v>1478084</v>
      </c>
      <c r="I563" s="0" t="n">
        <v>11</v>
      </c>
      <c r="J563" s="0" t="s">
        <v>1357</v>
      </c>
      <c r="K563" s="55" t="n">
        <v>327.46</v>
      </c>
    </row>
    <row r="564" customFormat="false" ht="15" hidden="false" customHeight="false" outlineLevel="0" collapsed="false">
      <c r="A564" s="0" t="n">
        <v>2</v>
      </c>
      <c r="B564" s="0" t="n">
        <v>1228757</v>
      </c>
      <c r="C564" s="0" t="s">
        <v>1358</v>
      </c>
      <c r="D564" s="0" t="s">
        <v>1359</v>
      </c>
      <c r="E564" s="54" t="n">
        <v>46234</v>
      </c>
      <c r="F564" s="54" t="n">
        <v>46233</v>
      </c>
      <c r="G564" s="0" t="s">
        <v>119</v>
      </c>
      <c r="H564" s="0" t="n">
        <v>1478164</v>
      </c>
      <c r="I564" s="0" t="n">
        <v>11</v>
      </c>
      <c r="J564" s="0" t="s">
        <v>1357</v>
      </c>
      <c r="K564" s="55" t="n">
        <v>190.71</v>
      </c>
    </row>
    <row r="565" customFormat="false" ht="15" hidden="false" customHeight="false" outlineLevel="0" collapsed="false">
      <c r="A565" s="0" t="n">
        <v>2</v>
      </c>
      <c r="B565" s="0" t="n">
        <v>1964124</v>
      </c>
      <c r="C565" s="0" t="s">
        <v>1360</v>
      </c>
      <c r="D565" s="0" t="s">
        <v>1359</v>
      </c>
      <c r="E565" s="54" t="n">
        <v>46234</v>
      </c>
      <c r="F565" s="54" t="n">
        <v>46233</v>
      </c>
      <c r="G565" s="0" t="s">
        <v>119</v>
      </c>
      <c r="H565" s="0" t="n">
        <v>1478177</v>
      </c>
      <c r="I565" s="0" t="n">
        <v>11</v>
      </c>
      <c r="J565" s="0" t="s">
        <v>1357</v>
      </c>
      <c r="K565" s="55" t="n">
        <v>1308.86</v>
      </c>
    </row>
    <row r="566" customFormat="false" ht="15" hidden="false" customHeight="false" outlineLevel="0" collapsed="false">
      <c r="A566" s="0" t="n">
        <v>2</v>
      </c>
      <c r="B566" s="0" t="n">
        <v>1964129</v>
      </c>
      <c r="C566" s="0" t="s">
        <v>1360</v>
      </c>
      <c r="D566" s="0" t="s">
        <v>1359</v>
      </c>
      <c r="E566" s="54" t="n">
        <v>46234</v>
      </c>
      <c r="F566" s="54" t="n">
        <v>46233</v>
      </c>
      <c r="G566" s="0" t="s">
        <v>119</v>
      </c>
      <c r="H566" s="0" t="n">
        <v>1477931</v>
      </c>
      <c r="I566" s="0" t="n">
        <v>11</v>
      </c>
      <c r="J566" s="0" t="s">
        <v>1357</v>
      </c>
      <c r="K566" s="55" t="n">
        <v>2636.73</v>
      </c>
    </row>
    <row r="567" customFormat="false" ht="15" hidden="false" customHeight="false" outlineLevel="0" collapsed="false">
      <c r="A567" s="0" t="n">
        <v>2</v>
      </c>
      <c r="B567" s="0" t="n">
        <v>1964130</v>
      </c>
      <c r="C567" s="0" t="s">
        <v>1360</v>
      </c>
      <c r="D567" s="0" t="s">
        <v>1359</v>
      </c>
      <c r="E567" s="54" t="n">
        <v>46234</v>
      </c>
      <c r="F567" s="54" t="n">
        <v>46233</v>
      </c>
      <c r="G567" s="0" t="s">
        <v>119</v>
      </c>
      <c r="H567" s="0" t="n">
        <v>1477980</v>
      </c>
      <c r="I567" s="0" t="n">
        <v>11</v>
      </c>
      <c r="J567" s="0" t="s">
        <v>1357</v>
      </c>
      <c r="K567" s="55" t="n">
        <v>45.18</v>
      </c>
    </row>
    <row r="568" customFormat="false" ht="15" hidden="false" customHeight="false" outlineLevel="0" collapsed="false">
      <c r="A568" s="0" t="n">
        <v>2</v>
      </c>
      <c r="B568" s="0" t="n">
        <v>1614426</v>
      </c>
      <c r="C568" s="0" t="s">
        <v>1363</v>
      </c>
      <c r="D568" s="0" t="s">
        <v>1412</v>
      </c>
      <c r="E568" s="54" t="n">
        <v>46234</v>
      </c>
      <c r="F568" s="54" t="n">
        <v>46234</v>
      </c>
      <c r="G568" s="0" t="s">
        <v>94</v>
      </c>
      <c r="H568" s="0" t="n">
        <v>1478618</v>
      </c>
      <c r="I568" s="0" t="n">
        <v>11</v>
      </c>
      <c r="J568" s="0" t="s">
        <v>1357</v>
      </c>
      <c r="K568" s="55" t="n">
        <v>2380.38</v>
      </c>
    </row>
    <row r="569" customFormat="false" ht="15" hidden="false" customHeight="false" outlineLevel="0" collapsed="false">
      <c r="A569" s="0" t="n">
        <v>2</v>
      </c>
      <c r="B569" s="0" t="n">
        <v>1032720</v>
      </c>
      <c r="C569" s="0" t="s">
        <v>1363</v>
      </c>
      <c r="D569" s="0" t="s">
        <v>1370</v>
      </c>
      <c r="E569" s="54" t="n">
        <v>46234</v>
      </c>
      <c r="F569" s="54" t="n">
        <v>46223</v>
      </c>
      <c r="G569" s="0" t="s">
        <v>210</v>
      </c>
      <c r="H569" s="0" t="n">
        <v>1478208</v>
      </c>
      <c r="I569" s="0" t="n">
        <v>11</v>
      </c>
      <c r="J569" s="0" t="s">
        <v>1357</v>
      </c>
      <c r="K569" s="55" t="n">
        <v>296.49</v>
      </c>
    </row>
    <row r="570" customFormat="false" ht="15" hidden="false" customHeight="false" outlineLevel="0" collapsed="false">
      <c r="A570" s="0" t="n">
        <v>2</v>
      </c>
      <c r="B570" s="0" t="n">
        <v>932576</v>
      </c>
      <c r="C570" s="0" t="s">
        <v>1422</v>
      </c>
      <c r="D570" s="0" t="s">
        <v>1423</v>
      </c>
      <c r="E570" s="54" t="n">
        <v>46234</v>
      </c>
      <c r="F570" s="54" t="n">
        <v>46233</v>
      </c>
      <c r="G570" s="0" t="s">
        <v>212</v>
      </c>
      <c r="H570" s="0" t="n">
        <v>1478268</v>
      </c>
      <c r="I570" s="0" t="n">
        <v>11</v>
      </c>
      <c r="J570" s="0" t="s">
        <v>1357</v>
      </c>
      <c r="K570" s="55" t="n">
        <v>314.42</v>
      </c>
    </row>
    <row r="571" customFormat="false" ht="15" hidden="false" customHeight="false" outlineLevel="0" collapsed="false">
      <c r="A571" s="0" t="n">
        <v>2</v>
      </c>
      <c r="B571" s="0" t="n">
        <v>1702357</v>
      </c>
      <c r="C571" s="0" t="s">
        <v>1363</v>
      </c>
      <c r="D571" s="0" t="s">
        <v>1371</v>
      </c>
      <c r="E571" s="54" t="n">
        <v>46234</v>
      </c>
      <c r="F571" s="54" t="n">
        <v>46233</v>
      </c>
      <c r="G571" s="0" t="s">
        <v>201</v>
      </c>
      <c r="H571" s="0" t="n">
        <v>1477784</v>
      </c>
      <c r="I571" s="0" t="n">
        <v>11</v>
      </c>
      <c r="J571" s="0" t="s">
        <v>1357</v>
      </c>
      <c r="K571" s="55" t="n">
        <v>328.14</v>
      </c>
    </row>
    <row r="572" customFormat="false" ht="15" hidden="false" customHeight="false" outlineLevel="0" collapsed="false">
      <c r="A572" s="0" t="n">
        <v>2</v>
      </c>
      <c r="B572" s="0" t="n">
        <v>1656279</v>
      </c>
      <c r="C572" s="0" t="s">
        <v>1361</v>
      </c>
      <c r="D572" s="0" t="s">
        <v>1362</v>
      </c>
      <c r="E572" s="54" t="n">
        <v>46234</v>
      </c>
      <c r="F572" s="54" t="n">
        <v>46234</v>
      </c>
      <c r="G572" s="0" t="s">
        <v>369</v>
      </c>
      <c r="H572" s="0" t="n">
        <v>1478657</v>
      </c>
      <c r="I572" s="0" t="n">
        <v>11</v>
      </c>
      <c r="J572" s="0" t="s">
        <v>1357</v>
      </c>
      <c r="K572" s="55" t="n">
        <v>125</v>
      </c>
    </row>
    <row r="573" customFormat="false" ht="15" hidden="false" customHeight="false" outlineLevel="0" collapsed="false">
      <c r="A573" s="0" t="n">
        <v>2</v>
      </c>
      <c r="B573" s="0" t="n">
        <v>102</v>
      </c>
      <c r="C573" s="0" t="s">
        <v>1363</v>
      </c>
      <c r="D573" s="0" t="s">
        <v>1485</v>
      </c>
      <c r="E573" s="54" t="n">
        <v>46234</v>
      </c>
      <c r="F573" s="54" t="n">
        <v>46234</v>
      </c>
      <c r="G573" s="0" t="s">
        <v>552</v>
      </c>
      <c r="H573" s="0" t="n">
        <v>1482223</v>
      </c>
      <c r="I573" s="0" t="n">
        <v>11</v>
      </c>
      <c r="J573" s="0" t="s">
        <v>1357</v>
      </c>
      <c r="K573" s="55" t="n">
        <v>140</v>
      </c>
    </row>
    <row r="574" customFormat="false" ht="15" hidden="false" customHeight="false" outlineLevel="0" collapsed="false">
      <c r="A574" s="0" t="n">
        <v>2</v>
      </c>
      <c r="B574" s="0" t="n">
        <v>389</v>
      </c>
      <c r="C574" s="0" t="s">
        <v>1363</v>
      </c>
      <c r="D574" s="0" t="s">
        <v>1390</v>
      </c>
      <c r="E574" s="54" t="n">
        <v>46234</v>
      </c>
      <c r="F574" s="54" t="n">
        <v>46234</v>
      </c>
      <c r="G574" s="0" t="s">
        <v>96</v>
      </c>
      <c r="H574" s="0" t="n">
        <v>1477858</v>
      </c>
      <c r="I574" s="0" t="n">
        <v>11</v>
      </c>
      <c r="J574" s="0" t="s">
        <v>1357</v>
      </c>
      <c r="K574" s="55" t="n">
        <v>228</v>
      </c>
    </row>
    <row r="575" customFormat="false" ht="15" hidden="false" customHeight="false" outlineLevel="0" collapsed="false">
      <c r="A575" s="0" t="n">
        <v>2</v>
      </c>
      <c r="B575" s="0" t="n">
        <v>31668</v>
      </c>
      <c r="C575" s="0" t="s">
        <v>1363</v>
      </c>
      <c r="D575" s="0" t="s">
        <v>1377</v>
      </c>
      <c r="E575" s="54" t="n">
        <v>46234</v>
      </c>
      <c r="F575" s="54" t="n">
        <v>46232</v>
      </c>
      <c r="G575" s="0" t="s">
        <v>126</v>
      </c>
      <c r="H575" s="0" t="n">
        <v>1477699</v>
      </c>
      <c r="I575" s="0" t="n">
        <v>11</v>
      </c>
      <c r="J575" s="0" t="s">
        <v>1357</v>
      </c>
      <c r="K575" s="55" t="n">
        <v>266</v>
      </c>
    </row>
    <row r="576" customFormat="false" ht="15" hidden="false" customHeight="false" outlineLevel="0" collapsed="false">
      <c r="A576" s="0" t="n">
        <v>2</v>
      </c>
      <c r="B576" s="0" t="n">
        <v>2578</v>
      </c>
      <c r="C576" s="0" t="s">
        <v>1363</v>
      </c>
      <c r="D576" s="0" t="s">
        <v>1373</v>
      </c>
      <c r="E576" s="54" t="n">
        <v>46234</v>
      </c>
      <c r="F576" s="54" t="n">
        <v>46234</v>
      </c>
      <c r="G576" s="0" t="s">
        <v>132</v>
      </c>
      <c r="H576" s="0" t="n">
        <v>1479031</v>
      </c>
      <c r="I576" s="0" t="n">
        <v>6</v>
      </c>
      <c r="J576" s="0" t="s">
        <v>1357</v>
      </c>
      <c r="K576" s="55" t="n">
        <v>1612.25</v>
      </c>
    </row>
    <row r="577" customFormat="false" ht="15" hidden="false" customHeight="false" outlineLevel="0" collapsed="false">
      <c r="A577" s="0" t="n">
        <v>2</v>
      </c>
      <c r="B577" s="0" t="n">
        <v>569</v>
      </c>
      <c r="C577" s="0" t="s">
        <v>1363</v>
      </c>
      <c r="D577" s="0" t="s">
        <v>1368</v>
      </c>
      <c r="E577" s="54" t="n">
        <v>46235</v>
      </c>
      <c r="F577" s="54" t="n">
        <v>46234</v>
      </c>
      <c r="G577" s="0" t="s">
        <v>130</v>
      </c>
      <c r="H577" s="0" t="n">
        <v>1481847</v>
      </c>
      <c r="I577" s="0" t="n">
        <v>11</v>
      </c>
      <c r="J577" s="0" t="s">
        <v>1357</v>
      </c>
      <c r="K577" s="55" t="n">
        <v>180</v>
      </c>
    </row>
    <row r="578" customFormat="false" ht="15" hidden="false" customHeight="false" outlineLevel="0" collapsed="false">
      <c r="A578" s="0" t="n">
        <v>2</v>
      </c>
      <c r="B578" s="0" t="n">
        <v>174094</v>
      </c>
      <c r="C578" s="0" t="s">
        <v>1363</v>
      </c>
      <c r="D578" s="0" t="s">
        <v>1376</v>
      </c>
      <c r="E578" s="54" t="n">
        <v>46235</v>
      </c>
      <c r="F578" s="54" t="n">
        <v>46234</v>
      </c>
      <c r="G578" s="0" t="s">
        <v>332</v>
      </c>
      <c r="H578" s="0" t="n">
        <v>1481937</v>
      </c>
      <c r="I578" s="0" t="n">
        <v>11</v>
      </c>
      <c r="J578" s="0" t="s">
        <v>1357</v>
      </c>
      <c r="K578" s="55" t="n">
        <v>1349.7</v>
      </c>
    </row>
    <row r="579" customFormat="false" ht="15" hidden="false" customHeight="false" outlineLevel="0" collapsed="false">
      <c r="A579" s="0" t="n">
        <v>2</v>
      </c>
      <c r="B579" s="0" t="n">
        <v>3040</v>
      </c>
      <c r="C579" s="0" t="s">
        <v>1418</v>
      </c>
      <c r="D579" s="0" t="s">
        <v>1419</v>
      </c>
      <c r="E579" s="54" t="n">
        <v>46235</v>
      </c>
      <c r="F579" s="54" t="n">
        <v>46234</v>
      </c>
      <c r="G579" s="0" t="s">
        <v>512</v>
      </c>
      <c r="H579" s="0" t="n">
        <v>1482072</v>
      </c>
      <c r="I579" s="0" t="n">
        <v>11</v>
      </c>
      <c r="J579" s="0" t="s">
        <v>1357</v>
      </c>
      <c r="K579" s="55" t="n">
        <v>2975.9</v>
      </c>
    </row>
    <row r="580" customFormat="false" ht="15" hidden="false" customHeight="false" outlineLevel="0" collapsed="false">
      <c r="A580" s="0" t="n">
        <v>2</v>
      </c>
      <c r="B580" s="0" t="n">
        <v>740</v>
      </c>
      <c r="C580" s="0" t="s">
        <v>1355</v>
      </c>
      <c r="D580" s="0" t="s">
        <v>1365</v>
      </c>
      <c r="E580" s="54" t="n">
        <v>46235</v>
      </c>
      <c r="F580" s="54" t="n">
        <v>46234</v>
      </c>
      <c r="G580" s="0" t="s">
        <v>194</v>
      </c>
      <c r="H580" s="0" t="n">
        <v>1481872</v>
      </c>
      <c r="I580" s="0" t="n">
        <v>11</v>
      </c>
      <c r="J580" s="0" t="s">
        <v>1357</v>
      </c>
      <c r="K580" s="55" t="n">
        <v>357.1</v>
      </c>
    </row>
    <row r="581" customFormat="false" ht="15" hidden="false" customHeight="false" outlineLevel="0" collapsed="false">
      <c r="A581" s="0" t="n">
        <v>2</v>
      </c>
      <c r="B581" s="0" t="n">
        <v>19579</v>
      </c>
      <c r="C581" s="0" t="s">
        <v>1404</v>
      </c>
      <c r="D581" s="0" t="s">
        <v>1405</v>
      </c>
      <c r="E581" s="54" t="n">
        <v>46237</v>
      </c>
      <c r="F581" s="54" t="n">
        <v>46235</v>
      </c>
      <c r="G581" s="0" t="s">
        <v>351</v>
      </c>
      <c r="H581" s="0" t="n">
        <v>1493332</v>
      </c>
      <c r="I581" s="0" t="n">
        <v>11</v>
      </c>
      <c r="J581" s="0" t="s">
        <v>1357</v>
      </c>
      <c r="K581" s="55" t="n">
        <v>4690.22</v>
      </c>
    </row>
    <row r="582" customFormat="false" ht="15" hidden="false" customHeight="false" outlineLevel="0" collapsed="false">
      <c r="A582" s="0" t="n">
        <v>2</v>
      </c>
      <c r="B582" s="0" t="n">
        <v>1656821</v>
      </c>
      <c r="C582" s="0" t="s">
        <v>1361</v>
      </c>
      <c r="D582" s="0" t="s">
        <v>1362</v>
      </c>
      <c r="E582" s="54" t="n">
        <v>46237</v>
      </c>
      <c r="F582" s="54" t="n">
        <v>46235</v>
      </c>
      <c r="G582" s="0" t="s">
        <v>369</v>
      </c>
      <c r="H582" s="0" t="n">
        <v>1493056</v>
      </c>
      <c r="I582" s="0" t="n">
        <v>11</v>
      </c>
      <c r="J582" s="0" t="s">
        <v>1357</v>
      </c>
      <c r="K582" s="55" t="n">
        <v>120</v>
      </c>
    </row>
    <row r="583" customFormat="false" ht="15" hidden="false" customHeight="false" outlineLevel="0" collapsed="false">
      <c r="A583" s="0" t="n">
        <v>2</v>
      </c>
      <c r="B583" s="0" t="n">
        <v>315892</v>
      </c>
      <c r="C583" s="0" t="s">
        <v>1363</v>
      </c>
      <c r="D583" s="0" t="s">
        <v>1380</v>
      </c>
      <c r="E583" s="54" t="n">
        <v>46237</v>
      </c>
      <c r="F583" s="54" t="n">
        <v>46234</v>
      </c>
      <c r="G583" s="0" t="s">
        <v>82</v>
      </c>
      <c r="H583" s="0" t="n">
        <v>1495108</v>
      </c>
      <c r="I583" s="0" t="n">
        <v>11</v>
      </c>
      <c r="J583" s="0" t="s">
        <v>1357</v>
      </c>
      <c r="K583" s="55" t="n">
        <v>1242.42</v>
      </c>
    </row>
    <row r="584" customFormat="false" ht="15" hidden="false" customHeight="false" outlineLevel="0" collapsed="false">
      <c r="A584" s="0" t="n">
        <v>2</v>
      </c>
      <c r="B584" s="0" t="n">
        <v>395656</v>
      </c>
      <c r="C584" s="0" t="s">
        <v>1363</v>
      </c>
      <c r="D584" s="0" t="s">
        <v>1384</v>
      </c>
      <c r="E584" s="54" t="n">
        <v>46237</v>
      </c>
      <c r="F584" s="54" t="n">
        <v>46234</v>
      </c>
      <c r="G584" s="0" t="s">
        <v>164</v>
      </c>
      <c r="H584" s="0" t="n">
        <v>1493100</v>
      </c>
      <c r="I584" s="0" t="n">
        <v>11</v>
      </c>
      <c r="J584" s="0" t="s">
        <v>1357</v>
      </c>
      <c r="K584" s="55" t="n">
        <v>439.5</v>
      </c>
    </row>
    <row r="585" customFormat="false" ht="15" hidden="false" customHeight="false" outlineLevel="0" collapsed="false">
      <c r="A585" s="0" t="n">
        <v>2</v>
      </c>
      <c r="B585" s="0" t="n">
        <v>2581</v>
      </c>
      <c r="C585" s="0" t="s">
        <v>1363</v>
      </c>
      <c r="D585" s="0" t="s">
        <v>1373</v>
      </c>
      <c r="E585" s="54" t="n">
        <v>46237</v>
      </c>
      <c r="F585" s="54" t="n">
        <v>46237</v>
      </c>
      <c r="G585" s="0" t="s">
        <v>132</v>
      </c>
      <c r="H585" s="0" t="n">
        <v>1493407</v>
      </c>
      <c r="I585" s="0" t="n">
        <v>6</v>
      </c>
      <c r="J585" s="0" t="s">
        <v>1357</v>
      </c>
      <c r="K585" s="55" t="n">
        <v>280</v>
      </c>
    </row>
    <row r="586" customFormat="false" ht="15" hidden="false" customHeight="false" outlineLevel="0" collapsed="false">
      <c r="A586" s="0" t="n">
        <v>2</v>
      </c>
      <c r="B586" s="0" t="n">
        <v>2582</v>
      </c>
      <c r="C586" s="0" t="s">
        <v>1363</v>
      </c>
      <c r="D586" s="0" t="s">
        <v>1373</v>
      </c>
      <c r="E586" s="54" t="n">
        <v>46237</v>
      </c>
      <c r="F586" s="54" t="n">
        <v>46237</v>
      </c>
      <c r="G586" s="0" t="s">
        <v>132</v>
      </c>
      <c r="H586" s="0" t="n">
        <v>1493427</v>
      </c>
      <c r="I586" s="0" t="n">
        <v>6</v>
      </c>
      <c r="J586" s="0" t="s">
        <v>1357</v>
      </c>
      <c r="K586" s="55" t="n">
        <v>210</v>
      </c>
    </row>
    <row r="587" customFormat="false" ht="15" hidden="false" customHeight="false" outlineLevel="0" collapsed="false">
      <c r="A587" s="0" t="n">
        <v>2</v>
      </c>
      <c r="B587" s="0" t="n">
        <v>32186</v>
      </c>
      <c r="C587" s="0" t="s">
        <v>1363</v>
      </c>
      <c r="D587" s="0" t="s">
        <v>1378</v>
      </c>
      <c r="E587" s="54" t="n">
        <v>46237</v>
      </c>
      <c r="F587" s="54" t="n">
        <v>46235</v>
      </c>
      <c r="G587" s="0" t="s">
        <v>128</v>
      </c>
      <c r="H587" s="0" t="n">
        <v>1495002</v>
      </c>
      <c r="I587" s="0" t="n">
        <v>11</v>
      </c>
      <c r="J587" s="0" t="s">
        <v>1357</v>
      </c>
      <c r="K587" s="55" t="n">
        <v>3277.5</v>
      </c>
    </row>
    <row r="588" customFormat="false" ht="15" hidden="false" customHeight="false" outlineLevel="0" collapsed="false">
      <c r="A588" s="0" t="n">
        <v>2</v>
      </c>
      <c r="B588" s="0" t="n">
        <v>577</v>
      </c>
      <c r="C588" s="0" t="s">
        <v>1363</v>
      </c>
      <c r="D588" s="0" t="s">
        <v>1368</v>
      </c>
      <c r="E588" s="54" t="n">
        <v>46238</v>
      </c>
      <c r="F588" s="54" t="n">
        <v>46237</v>
      </c>
      <c r="G588" s="0" t="s">
        <v>130</v>
      </c>
      <c r="H588" s="0" t="n">
        <v>1499197</v>
      </c>
      <c r="I588" s="0" t="n">
        <v>11</v>
      </c>
      <c r="J588" s="0" t="s">
        <v>1357</v>
      </c>
      <c r="K588" s="55" t="n">
        <v>180</v>
      </c>
    </row>
    <row r="589" customFormat="false" ht="15" hidden="false" customHeight="false" outlineLevel="0" collapsed="false">
      <c r="A589" s="0" t="n">
        <v>2</v>
      </c>
      <c r="B589" s="0" t="n">
        <v>1657518</v>
      </c>
      <c r="C589" s="0" t="s">
        <v>1361</v>
      </c>
      <c r="D589" s="0" t="s">
        <v>1362</v>
      </c>
      <c r="E589" s="54" t="n">
        <v>46238</v>
      </c>
      <c r="F589" s="54" t="n">
        <v>46237</v>
      </c>
      <c r="G589" s="0" t="s">
        <v>369</v>
      </c>
      <c r="H589" s="0" t="n">
        <v>1498975</v>
      </c>
      <c r="I589" s="0" t="n">
        <v>11</v>
      </c>
      <c r="J589" s="0" t="s">
        <v>1357</v>
      </c>
      <c r="K589" s="55" t="n">
        <v>144.5</v>
      </c>
    </row>
    <row r="590" customFormat="false" ht="15" hidden="false" customHeight="false" outlineLevel="0" collapsed="false">
      <c r="A590" s="0" t="n">
        <v>2</v>
      </c>
      <c r="B590" s="0" t="n">
        <v>2585</v>
      </c>
      <c r="C590" s="0" t="s">
        <v>1363</v>
      </c>
      <c r="D590" s="0" t="s">
        <v>1373</v>
      </c>
      <c r="E590" s="54" t="n">
        <v>46238</v>
      </c>
      <c r="F590" s="54" t="n">
        <v>46238</v>
      </c>
      <c r="G590" s="0" t="s">
        <v>132</v>
      </c>
      <c r="H590" s="0" t="n">
        <v>1500211</v>
      </c>
      <c r="I590" s="0" t="n">
        <v>6</v>
      </c>
      <c r="J590" s="0" t="s">
        <v>1357</v>
      </c>
      <c r="K590" s="55" t="n">
        <v>1910</v>
      </c>
    </row>
    <row r="591" customFormat="false" ht="15" hidden="false" customHeight="false" outlineLevel="0" collapsed="false">
      <c r="A591" s="0" t="n">
        <v>2</v>
      </c>
      <c r="B591" s="0" t="n">
        <v>4280</v>
      </c>
      <c r="C591" s="0" t="s">
        <v>1363</v>
      </c>
      <c r="D591" s="0" t="s">
        <v>1374</v>
      </c>
      <c r="E591" s="54" t="n">
        <v>46238</v>
      </c>
      <c r="F591" s="54" t="n">
        <v>46237</v>
      </c>
      <c r="G591" s="0" t="s">
        <v>92</v>
      </c>
      <c r="H591" s="0" t="n">
        <v>1499869</v>
      </c>
      <c r="I591" s="0" t="n">
        <v>11</v>
      </c>
      <c r="J591" s="0" t="s">
        <v>1357</v>
      </c>
      <c r="K591" s="55" t="n">
        <v>219.3</v>
      </c>
    </row>
    <row r="592" customFormat="false" ht="15" hidden="false" customHeight="false" outlineLevel="0" collapsed="false">
      <c r="A592" s="0" t="n">
        <v>2</v>
      </c>
      <c r="B592" s="0" t="n">
        <v>1915874</v>
      </c>
      <c r="C592" s="0" t="s">
        <v>1363</v>
      </c>
      <c r="D592" s="0" t="s">
        <v>1453</v>
      </c>
      <c r="E592" s="54" t="n">
        <v>46239</v>
      </c>
      <c r="F592" s="54" t="n">
        <v>46234</v>
      </c>
      <c r="G592" s="0" t="s">
        <v>764</v>
      </c>
      <c r="H592" s="0" t="n">
        <v>1503877</v>
      </c>
      <c r="I592" s="0" t="n">
        <v>11</v>
      </c>
      <c r="J592" s="0" t="s">
        <v>1357</v>
      </c>
      <c r="K592" s="55" t="n">
        <v>1184.7</v>
      </c>
    </row>
    <row r="593" customFormat="false" ht="15" hidden="false" customHeight="false" outlineLevel="0" collapsed="false">
      <c r="A593" s="0" t="n">
        <v>2</v>
      </c>
      <c r="B593" s="0" t="n">
        <v>1915875</v>
      </c>
      <c r="C593" s="0" t="s">
        <v>1363</v>
      </c>
      <c r="D593" s="0" t="s">
        <v>1453</v>
      </c>
      <c r="E593" s="54" t="n">
        <v>46239</v>
      </c>
      <c r="F593" s="54" t="n">
        <v>46234</v>
      </c>
      <c r="G593" s="0" t="s">
        <v>764</v>
      </c>
      <c r="H593" s="0" t="n">
        <v>1503892</v>
      </c>
      <c r="I593" s="0" t="n">
        <v>11</v>
      </c>
      <c r="J593" s="0" t="s">
        <v>1357</v>
      </c>
      <c r="K593" s="55" t="n">
        <v>1220.6</v>
      </c>
    </row>
    <row r="594" customFormat="false" ht="15" hidden="false" customHeight="false" outlineLevel="0" collapsed="false">
      <c r="A594" s="0" t="n">
        <v>2</v>
      </c>
      <c r="B594" s="0" t="n">
        <v>1915876</v>
      </c>
      <c r="C594" s="0" t="s">
        <v>1363</v>
      </c>
      <c r="D594" s="0" t="s">
        <v>1453</v>
      </c>
      <c r="E594" s="54" t="n">
        <v>46239</v>
      </c>
      <c r="F594" s="54" t="n">
        <v>46234</v>
      </c>
      <c r="G594" s="0" t="s">
        <v>764</v>
      </c>
      <c r="H594" s="0" t="n">
        <v>1503915</v>
      </c>
      <c r="I594" s="0" t="n">
        <v>11</v>
      </c>
      <c r="J594" s="0" t="s">
        <v>1357</v>
      </c>
      <c r="K594" s="55" t="n">
        <v>1184.7</v>
      </c>
    </row>
    <row r="595" customFormat="false" ht="15" hidden="false" customHeight="false" outlineLevel="0" collapsed="false">
      <c r="A595" s="0" t="n">
        <v>2</v>
      </c>
      <c r="B595" s="0" t="n">
        <v>174275</v>
      </c>
      <c r="C595" s="0" t="s">
        <v>1363</v>
      </c>
      <c r="D595" s="0" t="s">
        <v>1376</v>
      </c>
      <c r="E595" s="54" t="n">
        <v>46239</v>
      </c>
      <c r="F595" s="54" t="n">
        <v>46238</v>
      </c>
      <c r="G595" s="0" t="s">
        <v>332</v>
      </c>
      <c r="H595" s="0" t="n">
        <v>1503570</v>
      </c>
      <c r="I595" s="0" t="n">
        <v>11</v>
      </c>
      <c r="J595" s="0" t="s">
        <v>1357</v>
      </c>
      <c r="K595" s="55" t="n">
        <v>2347.2</v>
      </c>
    </row>
    <row r="596" customFormat="false" ht="15" hidden="false" customHeight="false" outlineLevel="0" collapsed="false">
      <c r="A596" s="0" t="n">
        <v>2</v>
      </c>
      <c r="B596" s="0" t="n">
        <v>940437</v>
      </c>
      <c r="C596" s="0" t="s">
        <v>1422</v>
      </c>
      <c r="D596" s="0" t="s">
        <v>1423</v>
      </c>
      <c r="E596" s="54" t="n">
        <v>46239</v>
      </c>
      <c r="F596" s="54" t="n">
        <v>46238</v>
      </c>
      <c r="G596" s="0" t="s">
        <v>212</v>
      </c>
      <c r="H596" s="0" t="n">
        <v>1504545</v>
      </c>
      <c r="I596" s="0" t="n">
        <v>11</v>
      </c>
      <c r="J596" s="0" t="s">
        <v>1357</v>
      </c>
      <c r="K596" s="55" t="n">
        <v>2447.06</v>
      </c>
    </row>
    <row r="597" customFormat="false" ht="15" hidden="false" customHeight="false" outlineLevel="0" collapsed="false">
      <c r="A597" s="0" t="n">
        <v>2</v>
      </c>
      <c r="B597" s="0" t="n">
        <v>227803</v>
      </c>
      <c r="C597" s="0" t="s">
        <v>1355</v>
      </c>
      <c r="D597" s="0" t="s">
        <v>1387</v>
      </c>
      <c r="E597" s="54" t="n">
        <v>46239</v>
      </c>
      <c r="F597" s="54" t="n">
        <v>46238</v>
      </c>
      <c r="G597" s="0" t="s">
        <v>390</v>
      </c>
      <c r="H597" s="0" t="n">
        <v>1503388</v>
      </c>
      <c r="I597" s="0" t="n">
        <v>11</v>
      </c>
      <c r="J597" s="0" t="s">
        <v>1357</v>
      </c>
      <c r="K597" s="55" t="n">
        <v>362.06</v>
      </c>
    </row>
    <row r="598" customFormat="false" ht="15" hidden="false" customHeight="false" outlineLevel="0" collapsed="false">
      <c r="A598" s="0" t="n">
        <v>2</v>
      </c>
      <c r="B598" s="0" t="n">
        <v>123</v>
      </c>
      <c r="C598" s="0" t="s">
        <v>1363</v>
      </c>
      <c r="D598" s="0" t="s">
        <v>1485</v>
      </c>
      <c r="E598" s="54" t="n">
        <v>46239</v>
      </c>
      <c r="F598" s="54" t="n">
        <v>46239</v>
      </c>
      <c r="G598" s="0" t="s">
        <v>552</v>
      </c>
      <c r="H598" s="0" t="n">
        <v>1508121</v>
      </c>
      <c r="I598" s="0" t="n">
        <v>11</v>
      </c>
      <c r="J598" s="0" t="s">
        <v>1357</v>
      </c>
      <c r="K598" s="55" t="n">
        <v>200</v>
      </c>
    </row>
    <row r="599" customFormat="false" ht="15" hidden="false" customHeight="false" outlineLevel="0" collapsed="false">
      <c r="A599" s="0" t="n">
        <v>2</v>
      </c>
      <c r="B599" s="0" t="n">
        <v>3674</v>
      </c>
      <c r="C599" s="0" t="s">
        <v>1363</v>
      </c>
      <c r="D599" s="0" t="s">
        <v>1381</v>
      </c>
      <c r="E599" s="54" t="n">
        <v>46239</v>
      </c>
      <c r="F599" s="54" t="n">
        <v>46238</v>
      </c>
      <c r="G599" s="0" t="s">
        <v>171</v>
      </c>
      <c r="H599" s="0" t="n">
        <v>1503424</v>
      </c>
      <c r="I599" s="0" t="n">
        <v>11</v>
      </c>
      <c r="J599" s="0" t="s">
        <v>1357</v>
      </c>
      <c r="K599" s="55" t="n">
        <v>166</v>
      </c>
    </row>
    <row r="600" customFormat="false" ht="15" hidden="false" customHeight="false" outlineLevel="0" collapsed="false">
      <c r="A600" s="0" t="n">
        <v>2</v>
      </c>
      <c r="B600" s="0" t="n">
        <v>367</v>
      </c>
      <c r="C600" s="0" t="s">
        <v>1363</v>
      </c>
      <c r="D600" s="0" t="s">
        <v>1493</v>
      </c>
      <c r="E600" s="54" t="n">
        <v>46239</v>
      </c>
      <c r="F600" s="54" t="n">
        <v>46239</v>
      </c>
      <c r="G600" s="0" t="s">
        <v>1073</v>
      </c>
      <c r="H600" s="0" t="n">
        <v>1504750</v>
      </c>
      <c r="I600" s="0" t="n">
        <v>11</v>
      </c>
      <c r="J600" s="0" t="s">
        <v>1357</v>
      </c>
      <c r="K600" s="55" t="n">
        <v>390</v>
      </c>
    </row>
    <row r="601" customFormat="false" ht="15" hidden="false" customHeight="false" outlineLevel="0" collapsed="false">
      <c r="A601" s="0" t="n">
        <v>2</v>
      </c>
      <c r="B601" s="0" t="n">
        <v>2586</v>
      </c>
      <c r="C601" s="0" t="s">
        <v>1363</v>
      </c>
      <c r="D601" s="0" t="s">
        <v>1373</v>
      </c>
      <c r="E601" s="54" t="n">
        <v>46239</v>
      </c>
      <c r="F601" s="54" t="n">
        <v>46239</v>
      </c>
      <c r="G601" s="0" t="s">
        <v>132</v>
      </c>
      <c r="H601" s="0" t="n">
        <v>1503494</v>
      </c>
      <c r="I601" s="0" t="n">
        <v>6</v>
      </c>
      <c r="J601" s="0" t="s">
        <v>1357</v>
      </c>
      <c r="K601" s="55" t="n">
        <v>210</v>
      </c>
    </row>
    <row r="602" customFormat="false" ht="15" hidden="false" customHeight="false" outlineLevel="0" collapsed="false">
      <c r="A602" s="0" t="n">
        <v>2</v>
      </c>
      <c r="B602" s="0" t="n">
        <v>747</v>
      </c>
      <c r="C602" s="0" t="s">
        <v>1355</v>
      </c>
      <c r="D602" s="0" t="s">
        <v>1365</v>
      </c>
      <c r="E602" s="54" t="n">
        <v>46239</v>
      </c>
      <c r="F602" s="54" t="n">
        <v>46238</v>
      </c>
      <c r="G602" s="0" t="s">
        <v>194</v>
      </c>
      <c r="H602" s="0" t="n">
        <v>1503440</v>
      </c>
      <c r="I602" s="0" t="n">
        <v>11</v>
      </c>
      <c r="J602" s="0" t="s">
        <v>1357</v>
      </c>
      <c r="K602" s="55" t="n">
        <v>312.1</v>
      </c>
    </row>
    <row r="603" customFormat="false" ht="15" hidden="false" customHeight="false" outlineLevel="0" collapsed="false">
      <c r="A603" s="0" t="n">
        <v>2</v>
      </c>
      <c r="B603" s="0" t="n">
        <v>2658</v>
      </c>
      <c r="C603" s="0" t="s">
        <v>1418</v>
      </c>
      <c r="D603" s="0" t="s">
        <v>1375</v>
      </c>
      <c r="E603" s="54" t="n">
        <v>46240</v>
      </c>
      <c r="F603" s="54" t="n">
        <v>46239</v>
      </c>
      <c r="G603" s="0" t="s">
        <v>117</v>
      </c>
      <c r="H603" s="0" t="n">
        <v>1508897</v>
      </c>
      <c r="I603" s="0" t="n">
        <v>11</v>
      </c>
      <c r="J603" s="0" t="s">
        <v>1357</v>
      </c>
      <c r="K603" s="55" t="n">
        <v>491.46</v>
      </c>
    </row>
    <row r="604" customFormat="false" ht="15" hidden="false" customHeight="false" outlineLevel="0" collapsed="false">
      <c r="A604" s="0" t="n">
        <v>2</v>
      </c>
      <c r="B604" s="0" t="n">
        <v>1658743</v>
      </c>
      <c r="C604" s="0" t="s">
        <v>1361</v>
      </c>
      <c r="D604" s="0" t="s">
        <v>1362</v>
      </c>
      <c r="E604" s="54" t="n">
        <v>46240</v>
      </c>
      <c r="F604" s="54" t="n">
        <v>46239</v>
      </c>
      <c r="G604" s="0" t="s">
        <v>369</v>
      </c>
      <c r="H604" s="0" t="n">
        <v>1508132</v>
      </c>
      <c r="I604" s="0" t="n">
        <v>11</v>
      </c>
      <c r="J604" s="0" t="s">
        <v>1357</v>
      </c>
      <c r="K604" s="55" t="n">
        <v>184</v>
      </c>
    </row>
    <row r="605" customFormat="false" ht="15" hidden="false" customHeight="false" outlineLevel="0" collapsed="false">
      <c r="A605" s="0" t="n">
        <v>2</v>
      </c>
      <c r="B605" s="0" t="n">
        <v>396443</v>
      </c>
      <c r="C605" s="0" t="s">
        <v>1363</v>
      </c>
      <c r="D605" s="0" t="s">
        <v>1384</v>
      </c>
      <c r="E605" s="54" t="n">
        <v>46240</v>
      </c>
      <c r="F605" s="54" t="n">
        <v>46239</v>
      </c>
      <c r="G605" s="0" t="s">
        <v>164</v>
      </c>
      <c r="H605" s="0" t="n">
        <v>1508952</v>
      </c>
      <c r="I605" s="0" t="n">
        <v>11</v>
      </c>
      <c r="J605" s="0" t="s">
        <v>1357</v>
      </c>
      <c r="K605" s="55" t="n">
        <v>1884.59</v>
      </c>
    </row>
    <row r="606" customFormat="false" ht="15" hidden="false" customHeight="false" outlineLevel="0" collapsed="false">
      <c r="A606" s="0" t="n">
        <v>2</v>
      </c>
      <c r="B606" s="0" t="n">
        <v>306</v>
      </c>
      <c r="C606" s="0" t="s">
        <v>1363</v>
      </c>
      <c r="D606" s="0" t="s">
        <v>1475</v>
      </c>
      <c r="E606" s="54" t="n">
        <v>46240</v>
      </c>
      <c r="F606" s="54" t="n">
        <v>46237</v>
      </c>
      <c r="G606" s="0" t="s">
        <v>725</v>
      </c>
      <c r="H606" s="0" t="n">
        <v>1508245</v>
      </c>
      <c r="I606" s="0" t="n">
        <v>11</v>
      </c>
      <c r="J606" s="0" t="s">
        <v>1357</v>
      </c>
      <c r="K606" s="55" t="n">
        <v>136.5</v>
      </c>
    </row>
    <row r="607" customFormat="false" ht="15" hidden="false" customHeight="false" outlineLevel="0" collapsed="false">
      <c r="A607" s="0" t="n">
        <v>2</v>
      </c>
      <c r="B607" s="0" t="n">
        <v>2589</v>
      </c>
      <c r="C607" s="0" t="s">
        <v>1363</v>
      </c>
      <c r="D607" s="0" t="s">
        <v>1373</v>
      </c>
      <c r="E607" s="54" t="n">
        <v>46240</v>
      </c>
      <c r="F607" s="54" t="n">
        <v>46240</v>
      </c>
      <c r="G607" s="0" t="s">
        <v>132</v>
      </c>
      <c r="H607" s="0" t="n">
        <v>1509485</v>
      </c>
      <c r="I607" s="0" t="n">
        <v>6</v>
      </c>
      <c r="J607" s="0" t="s">
        <v>1357</v>
      </c>
      <c r="K607" s="55" t="n">
        <v>300</v>
      </c>
    </row>
    <row r="608" customFormat="false" ht="15" hidden="false" customHeight="false" outlineLevel="0" collapsed="false">
      <c r="A608" s="0" t="n">
        <v>2</v>
      </c>
      <c r="B608" s="0" t="n">
        <v>45441</v>
      </c>
      <c r="C608" s="0" t="s">
        <v>1363</v>
      </c>
      <c r="D608" s="0" t="s">
        <v>1388</v>
      </c>
      <c r="E608" s="54" t="n">
        <v>46240</v>
      </c>
      <c r="F608" s="54" t="n">
        <v>46239</v>
      </c>
      <c r="G608" s="0" t="s">
        <v>388</v>
      </c>
      <c r="H608" s="0" t="n">
        <v>1508149</v>
      </c>
      <c r="I608" s="0" t="n">
        <v>11</v>
      </c>
      <c r="J608" s="0" t="s">
        <v>1357</v>
      </c>
      <c r="K608" s="55" t="n">
        <v>460</v>
      </c>
    </row>
    <row r="609" customFormat="false" ht="15" hidden="false" customHeight="false" outlineLevel="0" collapsed="false">
      <c r="A609" s="0" t="n">
        <v>2</v>
      </c>
      <c r="B609" s="0" t="n">
        <v>616330</v>
      </c>
      <c r="C609" s="0" t="s">
        <v>1394</v>
      </c>
      <c r="D609" s="0" t="s">
        <v>1409</v>
      </c>
      <c r="E609" s="54" t="n">
        <v>46240</v>
      </c>
      <c r="F609" s="54" t="n">
        <v>46239</v>
      </c>
      <c r="G609" s="0" t="s">
        <v>412</v>
      </c>
      <c r="H609" s="0" t="n">
        <v>1509755</v>
      </c>
      <c r="I609" s="0" t="n">
        <v>11</v>
      </c>
      <c r="J609" s="0" t="s">
        <v>1357</v>
      </c>
      <c r="K609" s="55" t="n">
        <v>485</v>
      </c>
    </row>
    <row r="610" customFormat="false" ht="15" hidden="false" customHeight="false" outlineLevel="0" collapsed="false">
      <c r="A610" s="0" t="n">
        <v>2</v>
      </c>
      <c r="B610" s="0" t="n">
        <v>3785</v>
      </c>
      <c r="C610" s="0" t="s">
        <v>1363</v>
      </c>
      <c r="D610" s="0" t="s">
        <v>1366</v>
      </c>
      <c r="E610" s="54" t="n">
        <v>46240</v>
      </c>
      <c r="F610" s="54" t="n">
        <v>46240</v>
      </c>
      <c r="G610" s="0" t="s">
        <v>188</v>
      </c>
      <c r="H610" s="0" t="n">
        <v>1551459</v>
      </c>
      <c r="I610" s="0" t="n">
        <v>11</v>
      </c>
      <c r="J610" s="0" t="s">
        <v>1357</v>
      </c>
      <c r="K610" s="55" t="n">
        <v>589.5</v>
      </c>
    </row>
    <row r="611" customFormat="false" ht="15" hidden="false" customHeight="false" outlineLevel="0" collapsed="false">
      <c r="A611" s="0" t="n">
        <v>2</v>
      </c>
      <c r="B611" s="0" t="n">
        <v>355</v>
      </c>
      <c r="C611" s="0" t="s">
        <v>1363</v>
      </c>
      <c r="D611" s="0" t="s">
        <v>1369</v>
      </c>
      <c r="E611" s="54" t="n">
        <v>46241</v>
      </c>
      <c r="F611" s="54" t="n">
        <v>46239</v>
      </c>
      <c r="G611" s="0" t="s">
        <v>220</v>
      </c>
      <c r="H611" s="0" t="n">
        <v>1513508</v>
      </c>
      <c r="I611" s="0" t="n">
        <v>11</v>
      </c>
      <c r="J611" s="0" t="s">
        <v>1357</v>
      </c>
      <c r="K611" s="55" t="n">
        <v>899.5</v>
      </c>
    </row>
    <row r="612" customFormat="false" ht="15" hidden="false" customHeight="false" outlineLevel="0" collapsed="false">
      <c r="A612" s="0" t="n">
        <v>2</v>
      </c>
      <c r="B612" s="0" t="n">
        <v>1236446</v>
      </c>
      <c r="C612" s="0" t="s">
        <v>1358</v>
      </c>
      <c r="D612" s="0" t="s">
        <v>1359</v>
      </c>
      <c r="E612" s="54" t="n">
        <v>46241</v>
      </c>
      <c r="F612" s="54" t="n">
        <v>46239</v>
      </c>
      <c r="G612" s="0" t="s">
        <v>119</v>
      </c>
      <c r="H612" s="0" t="n">
        <v>1514077</v>
      </c>
      <c r="I612" s="0" t="n">
        <v>11</v>
      </c>
      <c r="J612" s="0" t="s">
        <v>1357</v>
      </c>
      <c r="K612" s="55" t="n">
        <v>201.65</v>
      </c>
    </row>
    <row r="613" customFormat="false" ht="15" hidden="false" customHeight="false" outlineLevel="0" collapsed="false">
      <c r="A613" s="0" t="n">
        <v>2</v>
      </c>
      <c r="B613" s="0" t="n">
        <v>1236941</v>
      </c>
      <c r="C613" s="0" t="s">
        <v>1358</v>
      </c>
      <c r="D613" s="0" t="s">
        <v>1359</v>
      </c>
      <c r="E613" s="54" t="n">
        <v>46241</v>
      </c>
      <c r="F613" s="54" t="n">
        <v>46239</v>
      </c>
      <c r="G613" s="0" t="s">
        <v>119</v>
      </c>
      <c r="H613" s="0" t="n">
        <v>1514090</v>
      </c>
      <c r="I613" s="0" t="n">
        <v>11</v>
      </c>
      <c r="J613" s="0" t="s">
        <v>1357</v>
      </c>
      <c r="K613" s="55" t="n">
        <v>429.68</v>
      </c>
    </row>
    <row r="614" customFormat="false" ht="15" hidden="false" customHeight="false" outlineLevel="0" collapsed="false">
      <c r="A614" s="0" t="n">
        <v>2</v>
      </c>
      <c r="B614" s="0" t="n">
        <v>1236942</v>
      </c>
      <c r="C614" s="0" t="s">
        <v>1358</v>
      </c>
      <c r="D614" s="0" t="s">
        <v>1359</v>
      </c>
      <c r="E614" s="54" t="n">
        <v>46241</v>
      </c>
      <c r="F614" s="54" t="n">
        <v>46239</v>
      </c>
      <c r="G614" s="0" t="s">
        <v>119</v>
      </c>
      <c r="H614" s="0" t="n">
        <v>1514069</v>
      </c>
      <c r="I614" s="0" t="n">
        <v>11</v>
      </c>
      <c r="J614" s="0" t="s">
        <v>1357</v>
      </c>
      <c r="K614" s="55" t="n">
        <v>77.62</v>
      </c>
    </row>
    <row r="615" customFormat="false" ht="15" hidden="false" customHeight="false" outlineLevel="0" collapsed="false">
      <c r="A615" s="0" t="n">
        <v>2</v>
      </c>
      <c r="B615" s="0" t="n">
        <v>1237147</v>
      </c>
      <c r="C615" s="0" t="s">
        <v>1358</v>
      </c>
      <c r="D615" s="0" t="s">
        <v>1359</v>
      </c>
      <c r="E615" s="54" t="n">
        <v>46241</v>
      </c>
      <c r="F615" s="54" t="n">
        <v>46239</v>
      </c>
      <c r="G615" s="0" t="s">
        <v>119</v>
      </c>
      <c r="H615" s="0" t="n">
        <v>1514096</v>
      </c>
      <c r="I615" s="0" t="n">
        <v>11</v>
      </c>
      <c r="J615" s="0" t="s">
        <v>1357</v>
      </c>
      <c r="K615" s="55" t="n">
        <v>1055.41</v>
      </c>
    </row>
    <row r="616" customFormat="false" ht="15" hidden="false" customHeight="false" outlineLevel="0" collapsed="false">
      <c r="A616" s="0" t="n">
        <v>2</v>
      </c>
      <c r="B616" s="0" t="n">
        <v>1973404</v>
      </c>
      <c r="C616" s="0" t="s">
        <v>1360</v>
      </c>
      <c r="D616" s="0" t="s">
        <v>1359</v>
      </c>
      <c r="E616" s="54" t="n">
        <v>46241</v>
      </c>
      <c r="F616" s="54" t="n">
        <v>46239</v>
      </c>
      <c r="G616" s="0" t="s">
        <v>119</v>
      </c>
      <c r="H616" s="0" t="n">
        <v>1514074</v>
      </c>
      <c r="I616" s="0" t="n">
        <v>11</v>
      </c>
      <c r="J616" s="0" t="s">
        <v>1357</v>
      </c>
      <c r="K616" s="55" t="n">
        <v>356.01</v>
      </c>
    </row>
    <row r="617" customFormat="false" ht="15" hidden="false" customHeight="false" outlineLevel="0" collapsed="false">
      <c r="A617" s="0" t="n">
        <v>2</v>
      </c>
      <c r="B617" s="0" t="n">
        <v>1973888</v>
      </c>
      <c r="C617" s="0" t="s">
        <v>1360</v>
      </c>
      <c r="D617" s="0" t="s">
        <v>1359</v>
      </c>
      <c r="E617" s="54" t="n">
        <v>46241</v>
      </c>
      <c r="F617" s="54" t="n">
        <v>46239</v>
      </c>
      <c r="G617" s="0" t="s">
        <v>119</v>
      </c>
      <c r="H617" s="0" t="n">
        <v>1514085</v>
      </c>
      <c r="I617" s="0" t="n">
        <v>11</v>
      </c>
      <c r="J617" s="0" t="s">
        <v>1357</v>
      </c>
      <c r="K617" s="55" t="n">
        <v>3289.2</v>
      </c>
    </row>
    <row r="618" customFormat="false" ht="15" hidden="false" customHeight="false" outlineLevel="0" collapsed="false">
      <c r="A618" s="0" t="n">
        <v>2</v>
      </c>
      <c r="B618" s="0" t="n">
        <v>1616567</v>
      </c>
      <c r="C618" s="0" t="s">
        <v>1363</v>
      </c>
      <c r="D618" s="0" t="s">
        <v>1412</v>
      </c>
      <c r="E618" s="54" t="n">
        <v>46241</v>
      </c>
      <c r="F618" s="54" t="n">
        <v>46241</v>
      </c>
      <c r="G618" s="0" t="s">
        <v>94</v>
      </c>
      <c r="H618" s="0" t="n">
        <v>1513480</v>
      </c>
      <c r="I618" s="0" t="n">
        <v>11</v>
      </c>
      <c r="J618" s="0" t="s">
        <v>1357</v>
      </c>
      <c r="K618" s="55" t="n">
        <v>2551.07</v>
      </c>
    </row>
    <row r="619" customFormat="false" ht="15" hidden="false" customHeight="false" outlineLevel="0" collapsed="false">
      <c r="A619" s="0" t="n">
        <v>2</v>
      </c>
      <c r="B619" s="0" t="n">
        <v>1035731</v>
      </c>
      <c r="C619" s="0" t="s">
        <v>1363</v>
      </c>
      <c r="D619" s="0" t="s">
        <v>1370</v>
      </c>
      <c r="E619" s="54" t="n">
        <v>46241</v>
      </c>
      <c r="F619" s="54" t="n">
        <v>46240</v>
      </c>
      <c r="G619" s="0" t="s">
        <v>210</v>
      </c>
      <c r="H619" s="0" t="n">
        <v>1513229</v>
      </c>
      <c r="I619" s="0" t="n">
        <v>11</v>
      </c>
      <c r="J619" s="0" t="s">
        <v>1357</v>
      </c>
      <c r="K619" s="55" t="n">
        <v>497.91</v>
      </c>
    </row>
    <row r="620" customFormat="false" ht="15" hidden="false" customHeight="false" outlineLevel="0" collapsed="false">
      <c r="A620" s="0" t="n">
        <v>2</v>
      </c>
      <c r="B620" s="0" t="n">
        <v>8582</v>
      </c>
      <c r="C620" s="0" t="s">
        <v>1363</v>
      </c>
      <c r="D620" s="0" t="s">
        <v>1458</v>
      </c>
      <c r="E620" s="54" t="n">
        <v>46241</v>
      </c>
      <c r="F620" s="54" t="n">
        <v>46240</v>
      </c>
      <c r="G620" s="0" t="s">
        <v>305</v>
      </c>
      <c r="H620" s="0" t="n">
        <v>1514338</v>
      </c>
      <c r="I620" s="0" t="n">
        <v>11</v>
      </c>
      <c r="J620" s="0" t="s">
        <v>1357</v>
      </c>
      <c r="K620" s="55" t="n">
        <v>765.24</v>
      </c>
    </row>
    <row r="621" customFormat="false" ht="15" hidden="false" customHeight="false" outlineLevel="0" collapsed="false">
      <c r="A621" s="0" t="n">
        <v>2</v>
      </c>
      <c r="B621" s="0" t="n">
        <v>8583</v>
      </c>
      <c r="C621" s="0" t="s">
        <v>1363</v>
      </c>
      <c r="D621" s="0" t="s">
        <v>1458</v>
      </c>
      <c r="E621" s="54" t="n">
        <v>46241</v>
      </c>
      <c r="F621" s="54" t="n">
        <v>46240</v>
      </c>
      <c r="G621" s="0" t="s">
        <v>305</v>
      </c>
      <c r="H621" s="0" t="n">
        <v>1514240</v>
      </c>
      <c r="I621" s="0" t="n">
        <v>45</v>
      </c>
      <c r="J621" s="0" t="s">
        <v>1357</v>
      </c>
      <c r="K621" s="55" t="n">
        <v>1561.4</v>
      </c>
    </row>
    <row r="622" customFormat="false" ht="15" hidden="false" customHeight="false" outlineLevel="0" collapsed="false">
      <c r="A622" s="0" t="n">
        <v>2</v>
      </c>
      <c r="B622" s="0" t="n">
        <v>32318</v>
      </c>
      <c r="C622" s="0" t="s">
        <v>1394</v>
      </c>
      <c r="D622" s="0" t="s">
        <v>1395</v>
      </c>
      <c r="E622" s="54" t="n">
        <v>46241</v>
      </c>
      <c r="F622" s="54" t="n">
        <v>46241</v>
      </c>
      <c r="G622" s="0" t="s">
        <v>250</v>
      </c>
      <c r="H622" s="0" t="n">
        <v>1514125</v>
      </c>
      <c r="I622" s="0" t="n">
        <v>11</v>
      </c>
      <c r="J622" s="0" t="s">
        <v>1357</v>
      </c>
      <c r="K622" s="55" t="n">
        <v>2047.95</v>
      </c>
    </row>
    <row r="623" customFormat="false" ht="15" hidden="false" customHeight="false" outlineLevel="0" collapsed="false">
      <c r="A623" s="0" t="n">
        <v>2</v>
      </c>
      <c r="B623" s="0" t="n">
        <v>395</v>
      </c>
      <c r="C623" s="0" t="s">
        <v>1363</v>
      </c>
      <c r="D623" s="0" t="s">
        <v>1390</v>
      </c>
      <c r="E623" s="54" t="n">
        <v>46241</v>
      </c>
      <c r="F623" s="54" t="n">
        <v>46241</v>
      </c>
      <c r="G623" s="0" t="s">
        <v>96</v>
      </c>
      <c r="H623" s="0" t="n">
        <v>1514028</v>
      </c>
      <c r="I623" s="0" t="n">
        <v>11</v>
      </c>
      <c r="J623" s="0" t="s">
        <v>1357</v>
      </c>
      <c r="K623" s="55" t="n">
        <v>183</v>
      </c>
    </row>
    <row r="624" customFormat="false" ht="15" hidden="false" customHeight="false" outlineLevel="0" collapsed="false">
      <c r="A624" s="0" t="n">
        <v>2</v>
      </c>
      <c r="B624" s="0" t="n">
        <v>1978</v>
      </c>
      <c r="C624" s="0" t="s">
        <v>1363</v>
      </c>
      <c r="D624" s="0" t="s">
        <v>1397</v>
      </c>
      <c r="E624" s="54" t="n">
        <v>46241</v>
      </c>
      <c r="F624" s="54" t="n">
        <v>46241</v>
      </c>
      <c r="G624" s="0" t="s">
        <v>400</v>
      </c>
      <c r="H624" s="0" t="n">
        <v>1513950</v>
      </c>
      <c r="I624" s="0" t="n">
        <v>11</v>
      </c>
      <c r="J624" s="0" t="s">
        <v>1357</v>
      </c>
      <c r="K624" s="55" t="n">
        <v>250</v>
      </c>
    </row>
    <row r="625" customFormat="false" ht="15" hidden="false" customHeight="false" outlineLevel="0" collapsed="false">
      <c r="A625" s="0" t="n">
        <v>2</v>
      </c>
      <c r="B625" s="0" t="n">
        <v>14956</v>
      </c>
      <c r="C625" s="0" t="s">
        <v>1363</v>
      </c>
      <c r="D625" s="0" t="s">
        <v>1364</v>
      </c>
      <c r="E625" s="54" t="n">
        <v>46241</v>
      </c>
      <c r="F625" s="54" t="n">
        <v>46240</v>
      </c>
      <c r="G625" s="0" t="s">
        <v>248</v>
      </c>
      <c r="H625" s="0" t="n">
        <v>1514501</v>
      </c>
      <c r="I625" s="0" t="n">
        <v>11</v>
      </c>
      <c r="J625" s="0" t="s">
        <v>1357</v>
      </c>
      <c r="K625" s="55" t="n">
        <v>4131.7</v>
      </c>
    </row>
    <row r="626" customFormat="false" ht="15" hidden="false" customHeight="false" outlineLevel="0" collapsed="false">
      <c r="A626" s="0" t="n">
        <v>2</v>
      </c>
      <c r="B626" s="0" t="n">
        <v>2590</v>
      </c>
      <c r="C626" s="0" t="s">
        <v>1363</v>
      </c>
      <c r="D626" s="0" t="s">
        <v>1373</v>
      </c>
      <c r="E626" s="54" t="n">
        <v>46241</v>
      </c>
      <c r="F626" s="54" t="n">
        <v>46241</v>
      </c>
      <c r="G626" s="0" t="s">
        <v>132</v>
      </c>
      <c r="H626" s="0" t="n">
        <v>1513987</v>
      </c>
      <c r="I626" s="0" t="n">
        <v>6</v>
      </c>
      <c r="J626" s="0" t="s">
        <v>1357</v>
      </c>
      <c r="K626" s="55" t="n">
        <v>300</v>
      </c>
    </row>
    <row r="627" customFormat="false" ht="15" hidden="false" customHeight="false" outlineLevel="0" collapsed="false">
      <c r="A627" s="0" t="n">
        <v>2</v>
      </c>
      <c r="B627" s="0" t="n">
        <v>2591</v>
      </c>
      <c r="C627" s="0" t="s">
        <v>1363</v>
      </c>
      <c r="D627" s="0" t="s">
        <v>1373</v>
      </c>
      <c r="E627" s="54" t="n">
        <v>46241</v>
      </c>
      <c r="F627" s="54" t="n">
        <v>46241</v>
      </c>
      <c r="G627" s="0" t="s">
        <v>132</v>
      </c>
      <c r="H627" s="0" t="n">
        <v>1514010</v>
      </c>
      <c r="I627" s="0" t="n">
        <v>6</v>
      </c>
      <c r="J627" s="0" t="s">
        <v>1357</v>
      </c>
      <c r="K627" s="55" t="n">
        <v>1900</v>
      </c>
    </row>
    <row r="628" customFormat="false" ht="15" hidden="false" customHeight="false" outlineLevel="0" collapsed="false">
      <c r="A628" s="0" t="n">
        <v>2</v>
      </c>
      <c r="B628" s="0" t="n">
        <v>2594</v>
      </c>
      <c r="C628" s="0" t="s">
        <v>1363</v>
      </c>
      <c r="D628" s="0" t="s">
        <v>1373</v>
      </c>
      <c r="E628" s="54" t="n">
        <v>46241</v>
      </c>
      <c r="F628" s="54" t="n">
        <v>46241</v>
      </c>
      <c r="G628" s="0" t="s">
        <v>132</v>
      </c>
      <c r="H628" s="0" t="n">
        <v>1514649</v>
      </c>
      <c r="I628" s="0" t="n">
        <v>6</v>
      </c>
      <c r="J628" s="0" t="s">
        <v>1357</v>
      </c>
      <c r="K628" s="55" t="n">
        <v>175</v>
      </c>
    </row>
    <row r="629" customFormat="false" ht="15" hidden="false" customHeight="false" outlineLevel="0" collapsed="false">
      <c r="A629" s="0" t="n">
        <v>2</v>
      </c>
      <c r="B629" s="0" t="n">
        <v>2595</v>
      </c>
      <c r="C629" s="0" t="s">
        <v>1363</v>
      </c>
      <c r="D629" s="0" t="s">
        <v>1373</v>
      </c>
      <c r="E629" s="54" t="n">
        <v>46241</v>
      </c>
      <c r="F629" s="54" t="n">
        <v>46241</v>
      </c>
      <c r="G629" s="0" t="s">
        <v>132</v>
      </c>
      <c r="H629" s="0" t="n">
        <v>1514680</v>
      </c>
      <c r="I629" s="0" t="n">
        <v>6</v>
      </c>
      <c r="J629" s="0" t="s">
        <v>1357</v>
      </c>
      <c r="K629" s="55" t="n">
        <v>1848.86</v>
      </c>
    </row>
    <row r="630" customFormat="false" ht="15" hidden="false" customHeight="false" outlineLevel="0" collapsed="false">
      <c r="A630" s="0" t="n">
        <v>2</v>
      </c>
      <c r="B630" s="0" t="n">
        <v>752</v>
      </c>
      <c r="C630" s="0" t="s">
        <v>1355</v>
      </c>
      <c r="D630" s="0" t="s">
        <v>1365</v>
      </c>
      <c r="E630" s="54" t="n">
        <v>46241</v>
      </c>
      <c r="F630" s="54" t="n">
        <v>46240</v>
      </c>
      <c r="G630" s="0" t="s">
        <v>194</v>
      </c>
      <c r="H630" s="0" t="n">
        <v>1512883</v>
      </c>
      <c r="I630" s="0" t="n">
        <v>11</v>
      </c>
      <c r="J630" s="0" t="s">
        <v>1357</v>
      </c>
      <c r="K630" s="55" t="n">
        <v>374.7</v>
      </c>
    </row>
    <row r="631" customFormat="false" ht="15" hidden="false" customHeight="false" outlineLevel="0" collapsed="false">
      <c r="A631" s="0" t="n">
        <v>2</v>
      </c>
      <c r="B631" s="0" t="n">
        <v>138</v>
      </c>
      <c r="C631" s="0" t="s">
        <v>1363</v>
      </c>
      <c r="D631" s="0" t="s">
        <v>1485</v>
      </c>
      <c r="E631" s="54" t="n">
        <v>46242</v>
      </c>
      <c r="F631" s="54" t="n">
        <v>46242</v>
      </c>
      <c r="G631" s="0" t="s">
        <v>552</v>
      </c>
      <c r="H631" s="0" t="n">
        <v>1528792</v>
      </c>
      <c r="I631" s="0" t="n">
        <v>11</v>
      </c>
      <c r="J631" s="0" t="s">
        <v>1357</v>
      </c>
      <c r="K631" s="55" t="n">
        <v>200</v>
      </c>
    </row>
    <row r="632" customFormat="false" ht="15" hidden="false" customHeight="false" outlineLevel="0" collapsed="false">
      <c r="A632" s="0" t="n">
        <v>2</v>
      </c>
      <c r="B632" s="0" t="n">
        <v>579</v>
      </c>
      <c r="C632" s="0" t="s">
        <v>1363</v>
      </c>
      <c r="D632" s="0" t="s">
        <v>1368</v>
      </c>
      <c r="E632" s="54" t="n">
        <v>46244</v>
      </c>
      <c r="F632" s="54" t="n">
        <v>46241</v>
      </c>
      <c r="G632" s="0" t="s">
        <v>130</v>
      </c>
      <c r="H632" s="0" t="n">
        <v>1529123</v>
      </c>
      <c r="I632" s="0" t="n">
        <v>11</v>
      </c>
      <c r="J632" s="0" t="s">
        <v>1357</v>
      </c>
      <c r="K632" s="55" t="n">
        <v>420</v>
      </c>
    </row>
    <row r="633" customFormat="false" ht="15" hidden="false" customHeight="false" outlineLevel="0" collapsed="false">
      <c r="A633" s="0" t="n">
        <v>2</v>
      </c>
      <c r="B633" s="0" t="n">
        <v>889827</v>
      </c>
      <c r="C633" s="0" t="s">
        <v>1363</v>
      </c>
      <c r="D633" s="0" t="s">
        <v>1421</v>
      </c>
      <c r="E633" s="54" t="n">
        <v>46244</v>
      </c>
      <c r="F633" s="54" t="n">
        <v>46241</v>
      </c>
      <c r="G633" s="0" t="s">
        <v>197</v>
      </c>
      <c r="H633" s="0" t="n">
        <v>1529137</v>
      </c>
      <c r="I633" s="0" t="n">
        <v>11</v>
      </c>
      <c r="J633" s="0" t="s">
        <v>1357</v>
      </c>
      <c r="K633" s="55" t="n">
        <v>698</v>
      </c>
    </row>
    <row r="634" customFormat="false" ht="15" hidden="false" customHeight="false" outlineLevel="0" collapsed="false">
      <c r="A634" s="0" t="n">
        <v>2</v>
      </c>
      <c r="B634" s="0" t="n">
        <v>948218</v>
      </c>
      <c r="C634" s="0" t="s">
        <v>1422</v>
      </c>
      <c r="D634" s="0" t="s">
        <v>1423</v>
      </c>
      <c r="E634" s="54" t="n">
        <v>46244</v>
      </c>
      <c r="F634" s="54" t="n">
        <v>46242</v>
      </c>
      <c r="G634" s="0" t="s">
        <v>212</v>
      </c>
      <c r="H634" s="0" t="n">
        <v>1529995</v>
      </c>
      <c r="I634" s="0" t="n">
        <v>11</v>
      </c>
      <c r="J634" s="0" t="s">
        <v>1357</v>
      </c>
      <c r="K634" s="55" t="n">
        <v>1124.39</v>
      </c>
    </row>
    <row r="635" customFormat="false" ht="15" hidden="false" customHeight="false" outlineLevel="0" collapsed="false">
      <c r="A635" s="0" t="n">
        <v>2</v>
      </c>
      <c r="B635" s="0" t="n">
        <v>1661052</v>
      </c>
      <c r="C635" s="0" t="s">
        <v>1361</v>
      </c>
      <c r="D635" s="0" t="s">
        <v>1362</v>
      </c>
      <c r="E635" s="54" t="n">
        <v>46244</v>
      </c>
      <c r="F635" s="54" t="n">
        <v>46244</v>
      </c>
      <c r="G635" s="0" t="s">
        <v>369</v>
      </c>
      <c r="H635" s="0" t="n">
        <v>1530015</v>
      </c>
      <c r="I635" s="0" t="n">
        <v>11</v>
      </c>
      <c r="J635" s="0" t="s">
        <v>1357</v>
      </c>
      <c r="K635" s="55" t="n">
        <v>216.5</v>
      </c>
    </row>
    <row r="636" customFormat="false" ht="15" hidden="false" customHeight="false" outlineLevel="0" collapsed="false">
      <c r="A636" s="0" t="n">
        <v>2</v>
      </c>
      <c r="B636" s="0" t="n">
        <v>1661057</v>
      </c>
      <c r="C636" s="0" t="s">
        <v>1361</v>
      </c>
      <c r="D636" s="0" t="s">
        <v>1362</v>
      </c>
      <c r="E636" s="54" t="n">
        <v>46244</v>
      </c>
      <c r="F636" s="54" t="n">
        <v>46244</v>
      </c>
      <c r="G636" s="0" t="s">
        <v>369</v>
      </c>
      <c r="H636" s="0" t="n">
        <v>1530019</v>
      </c>
      <c r="I636" s="0" t="n">
        <v>11</v>
      </c>
      <c r="J636" s="0" t="s">
        <v>1357</v>
      </c>
      <c r="K636" s="55" t="n">
        <v>136</v>
      </c>
    </row>
    <row r="637" customFormat="false" ht="15" hidden="false" customHeight="false" outlineLevel="0" collapsed="false">
      <c r="A637" s="0" t="n">
        <v>2</v>
      </c>
      <c r="B637" s="0" t="n">
        <v>31847</v>
      </c>
      <c r="C637" s="0" t="s">
        <v>1363</v>
      </c>
      <c r="D637" s="0" t="s">
        <v>1377</v>
      </c>
      <c r="E637" s="54" t="n">
        <v>46244</v>
      </c>
      <c r="F637" s="54" t="n">
        <v>46244</v>
      </c>
      <c r="G637" s="0" t="s">
        <v>126</v>
      </c>
      <c r="H637" s="0" t="n">
        <v>1529985</v>
      </c>
      <c r="I637" s="0" t="n">
        <v>11</v>
      </c>
      <c r="J637" s="0" t="s">
        <v>1357</v>
      </c>
      <c r="K637" s="55" t="n">
        <v>138</v>
      </c>
    </row>
    <row r="638" customFormat="false" ht="15" hidden="false" customHeight="false" outlineLevel="0" collapsed="false">
      <c r="A638" s="0" t="n">
        <v>2</v>
      </c>
      <c r="B638" s="0" t="n">
        <v>14993</v>
      </c>
      <c r="C638" s="0" t="s">
        <v>1363</v>
      </c>
      <c r="D638" s="0" t="s">
        <v>1364</v>
      </c>
      <c r="E638" s="54" t="n">
        <v>46244</v>
      </c>
      <c r="F638" s="54" t="n">
        <v>46242</v>
      </c>
      <c r="G638" s="0" t="s">
        <v>248</v>
      </c>
      <c r="H638" s="0" t="n">
        <v>1529949</v>
      </c>
      <c r="I638" s="0" t="n">
        <v>11</v>
      </c>
      <c r="J638" s="0" t="s">
        <v>1357</v>
      </c>
      <c r="K638" s="55" t="n">
        <v>4599.9</v>
      </c>
    </row>
    <row r="639" customFormat="false" ht="15" hidden="false" customHeight="false" outlineLevel="0" collapsed="false">
      <c r="A639" s="0" t="n">
        <v>2</v>
      </c>
      <c r="B639" s="0" t="n">
        <v>2596</v>
      </c>
      <c r="C639" s="0" t="s">
        <v>1363</v>
      </c>
      <c r="D639" s="0" t="s">
        <v>1373</v>
      </c>
      <c r="E639" s="54" t="n">
        <v>46244</v>
      </c>
      <c r="F639" s="54" t="n">
        <v>46244</v>
      </c>
      <c r="G639" s="0" t="s">
        <v>132</v>
      </c>
      <c r="H639" s="0" t="n">
        <v>1529194</v>
      </c>
      <c r="I639" s="0" t="n">
        <v>6</v>
      </c>
      <c r="J639" s="0" t="s">
        <v>1357</v>
      </c>
      <c r="K639" s="55" t="n">
        <v>375</v>
      </c>
    </row>
    <row r="640" customFormat="false" ht="15" hidden="false" customHeight="false" outlineLevel="0" collapsed="false">
      <c r="A640" s="0" t="n">
        <v>2</v>
      </c>
      <c r="B640" s="0" t="n">
        <v>1257279</v>
      </c>
      <c r="C640" s="0" t="s">
        <v>1363</v>
      </c>
      <c r="D640" s="0" t="s">
        <v>1408</v>
      </c>
      <c r="E640" s="54" t="n">
        <v>46244</v>
      </c>
      <c r="F640" s="54" t="n">
        <v>46244</v>
      </c>
      <c r="G640" s="0" t="s">
        <v>410</v>
      </c>
      <c r="H640" s="0" t="n">
        <v>1528892</v>
      </c>
      <c r="I640" s="0" t="n">
        <v>11</v>
      </c>
      <c r="J640" s="0" t="s">
        <v>1357</v>
      </c>
      <c r="K640" s="55" t="n">
        <v>364.47</v>
      </c>
    </row>
    <row r="641" customFormat="false" ht="15" hidden="false" customHeight="false" outlineLevel="0" collapsed="false">
      <c r="A641" s="0" t="n">
        <v>2</v>
      </c>
      <c r="B641" s="0" t="n">
        <v>32337</v>
      </c>
      <c r="C641" s="0" t="s">
        <v>1363</v>
      </c>
      <c r="D641" s="0" t="s">
        <v>1378</v>
      </c>
      <c r="E641" s="54" t="n">
        <v>46244</v>
      </c>
      <c r="F641" s="54" t="n">
        <v>46242</v>
      </c>
      <c r="G641" s="0" t="s">
        <v>128</v>
      </c>
      <c r="H641" s="0" t="n">
        <v>1529233</v>
      </c>
      <c r="I641" s="0" t="n">
        <v>11</v>
      </c>
      <c r="J641" s="0" t="s">
        <v>1357</v>
      </c>
      <c r="K641" s="55" t="n">
        <v>2918.55</v>
      </c>
    </row>
    <row r="642" customFormat="false" ht="15" hidden="false" customHeight="false" outlineLevel="0" collapsed="false">
      <c r="A642" s="0" t="n">
        <v>2</v>
      </c>
      <c r="B642" s="0" t="n">
        <v>569335</v>
      </c>
      <c r="C642" s="0" t="s">
        <v>1401</v>
      </c>
      <c r="D642" s="0" t="s">
        <v>1402</v>
      </c>
      <c r="E642" s="54" t="n">
        <v>46244</v>
      </c>
      <c r="F642" s="54" t="n">
        <v>46239</v>
      </c>
      <c r="G642" s="0" t="s">
        <v>206</v>
      </c>
      <c r="H642" s="0" t="n">
        <v>1529041</v>
      </c>
      <c r="I642" s="0" t="n">
        <v>11</v>
      </c>
      <c r="J642" s="0" t="s">
        <v>1357</v>
      </c>
      <c r="K642" s="55" t="n">
        <v>13545.54</v>
      </c>
    </row>
    <row r="643" customFormat="false" ht="15" hidden="false" customHeight="false" outlineLevel="0" collapsed="false">
      <c r="A643" s="0" t="n">
        <v>2</v>
      </c>
      <c r="B643" s="0" t="n">
        <v>15234</v>
      </c>
      <c r="C643" s="0" t="s">
        <v>1363</v>
      </c>
      <c r="D643" s="0" t="s">
        <v>1367</v>
      </c>
      <c r="E643" s="54" t="n">
        <v>46244</v>
      </c>
      <c r="F643" s="54" t="n">
        <v>46244</v>
      </c>
      <c r="G643" s="0" t="s">
        <v>266</v>
      </c>
      <c r="H643" s="0" t="n">
        <v>1529978</v>
      </c>
      <c r="I643" s="0" t="n">
        <v>11</v>
      </c>
      <c r="J643" s="0" t="s">
        <v>1357</v>
      </c>
      <c r="K643" s="55" t="n">
        <v>284.93</v>
      </c>
    </row>
    <row r="644" customFormat="false" ht="15" hidden="false" customHeight="false" outlineLevel="0" collapsed="false">
      <c r="A644" s="0" t="n">
        <v>2</v>
      </c>
      <c r="B644" s="0" t="n">
        <v>1898</v>
      </c>
      <c r="C644" s="0" t="s">
        <v>1363</v>
      </c>
      <c r="D644" s="0" t="s">
        <v>1403</v>
      </c>
      <c r="E644" s="54" t="n">
        <v>46245</v>
      </c>
      <c r="F644" s="54" t="n">
        <v>46238</v>
      </c>
      <c r="G644" s="0" t="s">
        <v>73</v>
      </c>
      <c r="H644" s="0" t="n">
        <v>1533172</v>
      </c>
      <c r="I644" s="0" t="n">
        <v>11</v>
      </c>
      <c r="J644" s="0" t="s">
        <v>1357</v>
      </c>
      <c r="K644" s="55" t="n">
        <v>1277.5</v>
      </c>
    </row>
    <row r="645" customFormat="false" ht="15" hidden="false" customHeight="false" outlineLevel="0" collapsed="false">
      <c r="A645" s="0" t="n">
        <v>2</v>
      </c>
      <c r="B645" s="0" t="n">
        <v>55971</v>
      </c>
      <c r="C645" s="0" t="s">
        <v>1363</v>
      </c>
      <c r="D645" s="0" t="s">
        <v>1416</v>
      </c>
      <c r="E645" s="54" t="n">
        <v>46245</v>
      </c>
      <c r="F645" s="54" t="n">
        <v>46244</v>
      </c>
      <c r="G645" s="0" t="s">
        <v>422</v>
      </c>
      <c r="H645" s="0" t="n">
        <v>1532617</v>
      </c>
      <c r="I645" s="0" t="n">
        <v>11</v>
      </c>
      <c r="J645" s="0" t="s">
        <v>1357</v>
      </c>
      <c r="K645" s="55" t="n">
        <v>304.02</v>
      </c>
    </row>
    <row r="646" customFormat="false" ht="15" hidden="false" customHeight="false" outlineLevel="0" collapsed="false">
      <c r="A646" s="0" t="n">
        <v>2</v>
      </c>
      <c r="B646" s="0" t="n">
        <v>1414620</v>
      </c>
      <c r="C646" s="0" t="s">
        <v>1363</v>
      </c>
      <c r="D646" s="0" t="s">
        <v>1399</v>
      </c>
      <c r="E646" s="54" t="n">
        <v>46245</v>
      </c>
      <c r="F646" s="54" t="n">
        <v>46238</v>
      </c>
      <c r="G646" s="0" t="s">
        <v>302</v>
      </c>
      <c r="H646" s="0" t="n">
        <v>1532207</v>
      </c>
      <c r="I646" s="0" t="n">
        <v>11</v>
      </c>
      <c r="J646" s="0" t="s">
        <v>1357</v>
      </c>
      <c r="K646" s="55" t="n">
        <v>2852.4</v>
      </c>
    </row>
    <row r="647" customFormat="false" ht="15" hidden="false" customHeight="false" outlineLevel="0" collapsed="false">
      <c r="A647" s="0" t="n">
        <v>2</v>
      </c>
      <c r="B647" s="0" t="n">
        <v>2599</v>
      </c>
      <c r="C647" s="0" t="s">
        <v>1363</v>
      </c>
      <c r="D647" s="0" t="s">
        <v>1373</v>
      </c>
      <c r="E647" s="54" t="n">
        <v>46245</v>
      </c>
      <c r="F647" s="54" t="n">
        <v>46245</v>
      </c>
      <c r="G647" s="0" t="s">
        <v>132</v>
      </c>
      <c r="H647" s="0" t="n">
        <v>1533103</v>
      </c>
      <c r="I647" s="0" t="n">
        <v>6</v>
      </c>
      <c r="J647" s="0" t="s">
        <v>1357</v>
      </c>
      <c r="K647" s="55" t="n">
        <v>175</v>
      </c>
    </row>
    <row r="648" customFormat="false" ht="15" hidden="false" customHeight="false" outlineLevel="0" collapsed="false">
      <c r="A648" s="0" t="n">
        <v>2</v>
      </c>
      <c r="B648" s="0" t="n">
        <v>2600</v>
      </c>
      <c r="C648" s="0" t="s">
        <v>1363</v>
      </c>
      <c r="D648" s="0" t="s">
        <v>1373</v>
      </c>
      <c r="E648" s="54" t="n">
        <v>46245</v>
      </c>
      <c r="F648" s="54" t="n">
        <v>46245</v>
      </c>
      <c r="G648" s="0" t="s">
        <v>132</v>
      </c>
      <c r="H648" s="0" t="n">
        <v>1533121</v>
      </c>
      <c r="I648" s="0" t="n">
        <v>6</v>
      </c>
      <c r="J648" s="0" t="s">
        <v>1357</v>
      </c>
      <c r="K648" s="55" t="n">
        <v>1838.25</v>
      </c>
    </row>
    <row r="649" customFormat="false" ht="15" hidden="false" customHeight="false" outlineLevel="0" collapsed="false">
      <c r="A649" s="0" t="n">
        <v>2</v>
      </c>
      <c r="B649" s="0" t="n">
        <v>4340</v>
      </c>
      <c r="C649" s="0" t="s">
        <v>1363</v>
      </c>
      <c r="D649" s="0" t="s">
        <v>1374</v>
      </c>
      <c r="E649" s="54" t="n">
        <v>46245</v>
      </c>
      <c r="F649" s="54" t="n">
        <v>46244</v>
      </c>
      <c r="G649" s="0" t="s">
        <v>92</v>
      </c>
      <c r="H649" s="0" t="n">
        <v>1532673</v>
      </c>
      <c r="I649" s="0" t="n">
        <v>11</v>
      </c>
      <c r="J649" s="0" t="s">
        <v>1357</v>
      </c>
      <c r="K649" s="55" t="n">
        <v>279.65</v>
      </c>
    </row>
    <row r="650" customFormat="false" ht="15" hidden="false" customHeight="false" outlineLevel="0" collapsed="false">
      <c r="A650" s="0" t="n">
        <v>2</v>
      </c>
      <c r="B650" s="0" t="n">
        <v>394</v>
      </c>
      <c r="C650" s="0" t="s">
        <v>1363</v>
      </c>
      <c r="D650" s="0" t="s">
        <v>1494</v>
      </c>
      <c r="E650" s="54" t="n">
        <v>46245</v>
      </c>
      <c r="F650" s="54" t="n">
        <v>46235</v>
      </c>
      <c r="G650" s="0" t="s">
        <v>461</v>
      </c>
      <c r="H650" s="0" t="n">
        <v>1532290</v>
      </c>
      <c r="I650" s="0" t="n">
        <v>11</v>
      </c>
      <c r="J650" s="0" t="s">
        <v>1357</v>
      </c>
      <c r="K650" s="55" t="n">
        <v>370.49</v>
      </c>
    </row>
    <row r="651" customFormat="false" ht="15" hidden="false" customHeight="false" outlineLevel="0" collapsed="false">
      <c r="A651" s="0" t="n">
        <v>2</v>
      </c>
      <c r="B651" s="0" t="n">
        <v>598</v>
      </c>
      <c r="C651" s="0" t="s">
        <v>1363</v>
      </c>
      <c r="D651" s="0" t="s">
        <v>1368</v>
      </c>
      <c r="E651" s="54" t="n">
        <v>46246</v>
      </c>
      <c r="F651" s="54" t="n">
        <v>46245</v>
      </c>
      <c r="G651" s="0" t="s">
        <v>130</v>
      </c>
      <c r="H651" s="0" t="n">
        <v>1534760</v>
      </c>
      <c r="I651" s="0" t="n">
        <v>11</v>
      </c>
      <c r="J651" s="0" t="s">
        <v>1357</v>
      </c>
      <c r="K651" s="55" t="n">
        <v>240</v>
      </c>
    </row>
    <row r="652" customFormat="false" ht="15" hidden="false" customHeight="false" outlineLevel="0" collapsed="false">
      <c r="A652" s="0" t="n">
        <v>2</v>
      </c>
      <c r="B652" s="0" t="n">
        <v>1709601</v>
      </c>
      <c r="C652" s="0" t="s">
        <v>1363</v>
      </c>
      <c r="D652" s="0" t="s">
        <v>1371</v>
      </c>
      <c r="E652" s="54" t="n">
        <v>46246</v>
      </c>
      <c r="F652" s="54" t="n">
        <v>46245</v>
      </c>
      <c r="G652" s="0" t="s">
        <v>201</v>
      </c>
      <c r="H652" s="0" t="n">
        <v>1534782</v>
      </c>
      <c r="I652" s="0" t="n">
        <v>11</v>
      </c>
      <c r="J652" s="0" t="s">
        <v>1357</v>
      </c>
      <c r="K652" s="55" t="n">
        <v>3838.74</v>
      </c>
    </row>
    <row r="653" customFormat="false" ht="15" hidden="false" customHeight="false" outlineLevel="0" collapsed="false">
      <c r="A653" s="0" t="n">
        <v>2</v>
      </c>
      <c r="B653" s="0" t="n">
        <v>330057</v>
      </c>
      <c r="C653" s="0" t="s">
        <v>1363</v>
      </c>
      <c r="D653" s="0" t="s">
        <v>1447</v>
      </c>
      <c r="E653" s="54" t="n">
        <v>46246</v>
      </c>
      <c r="F653" s="54" t="n">
        <v>46245</v>
      </c>
      <c r="G653" s="0" t="s">
        <v>261</v>
      </c>
      <c r="H653" s="0" t="n">
        <v>1535235</v>
      </c>
      <c r="I653" s="0" t="n">
        <v>11</v>
      </c>
      <c r="J653" s="0" t="s">
        <v>1357</v>
      </c>
      <c r="K653" s="55" t="n">
        <v>1401.4</v>
      </c>
    </row>
    <row r="654" customFormat="false" ht="15" hidden="false" customHeight="false" outlineLevel="0" collapsed="false">
      <c r="A654" s="0" t="n">
        <v>2</v>
      </c>
      <c r="B654" s="0" t="n">
        <v>153</v>
      </c>
      <c r="C654" s="0" t="s">
        <v>1363</v>
      </c>
      <c r="D654" s="0" t="s">
        <v>1485</v>
      </c>
      <c r="E654" s="54" t="n">
        <v>46246</v>
      </c>
      <c r="F654" s="54" t="n">
        <v>46246</v>
      </c>
      <c r="G654" s="0" t="s">
        <v>552</v>
      </c>
      <c r="H654" s="0" t="n">
        <v>1545490</v>
      </c>
      <c r="I654" s="0" t="n">
        <v>11</v>
      </c>
      <c r="J654" s="0" t="s">
        <v>1357</v>
      </c>
      <c r="K654" s="55" t="n">
        <v>140</v>
      </c>
    </row>
    <row r="655" customFormat="false" ht="15" hidden="false" customHeight="false" outlineLevel="0" collapsed="false">
      <c r="A655" s="0" t="n">
        <v>2</v>
      </c>
      <c r="B655" s="0" t="n">
        <v>747704</v>
      </c>
      <c r="C655" s="0" t="s">
        <v>1427</v>
      </c>
      <c r="D655" s="0" t="s">
        <v>1449</v>
      </c>
      <c r="E655" s="54" t="n">
        <v>46246</v>
      </c>
      <c r="F655" s="54" t="n">
        <v>46244</v>
      </c>
      <c r="G655" s="0" t="s">
        <v>123</v>
      </c>
      <c r="H655" s="0" t="n">
        <v>1534499</v>
      </c>
      <c r="I655" s="0" t="n">
        <v>11</v>
      </c>
      <c r="J655" s="0" t="s">
        <v>1357</v>
      </c>
      <c r="K655" s="55" t="n">
        <v>509.85</v>
      </c>
    </row>
    <row r="656" customFormat="false" ht="15" hidden="false" customHeight="false" outlineLevel="0" collapsed="false">
      <c r="A656" s="0" t="n">
        <v>2</v>
      </c>
      <c r="B656" s="0" t="n">
        <v>399</v>
      </c>
      <c r="C656" s="0" t="s">
        <v>1363</v>
      </c>
      <c r="D656" s="0" t="s">
        <v>1494</v>
      </c>
      <c r="E656" s="54" t="n">
        <v>46246</v>
      </c>
      <c r="F656" s="54" t="n">
        <v>46245</v>
      </c>
      <c r="G656" s="0" t="s">
        <v>461</v>
      </c>
      <c r="H656" s="0" t="n">
        <v>1534914</v>
      </c>
      <c r="I656" s="0" t="n">
        <v>11</v>
      </c>
      <c r="J656" s="0" t="s">
        <v>1357</v>
      </c>
      <c r="K656" s="55" t="n">
        <v>346</v>
      </c>
    </row>
    <row r="657" customFormat="false" ht="15" hidden="false" customHeight="false" outlineLevel="0" collapsed="false">
      <c r="A657" s="0" t="n">
        <v>2</v>
      </c>
      <c r="B657" s="0" t="n">
        <v>44054</v>
      </c>
      <c r="C657" s="0" t="s">
        <v>1394</v>
      </c>
      <c r="D657" s="0" t="s">
        <v>1444</v>
      </c>
      <c r="E657" s="54" t="n">
        <v>46246</v>
      </c>
      <c r="F657" s="54" t="n">
        <v>46245</v>
      </c>
      <c r="G657" s="0" t="s">
        <v>728</v>
      </c>
      <c r="H657" s="0" t="n">
        <v>1537380</v>
      </c>
      <c r="I657" s="0" t="n">
        <v>11</v>
      </c>
      <c r="J657" s="0" t="s">
        <v>1357</v>
      </c>
      <c r="K657" s="55" t="n">
        <v>205.44</v>
      </c>
    </row>
    <row r="658" customFormat="false" ht="15" hidden="false" customHeight="false" outlineLevel="0" collapsed="false">
      <c r="A658" s="0" t="n">
        <v>2</v>
      </c>
      <c r="B658" s="0" t="n">
        <v>3231</v>
      </c>
      <c r="C658" s="0" t="s">
        <v>1418</v>
      </c>
      <c r="D658" s="0" t="s">
        <v>1375</v>
      </c>
      <c r="E658" s="54" t="n">
        <v>46247</v>
      </c>
      <c r="F658" s="54" t="n">
        <v>46246</v>
      </c>
      <c r="G658" s="0" t="s">
        <v>117</v>
      </c>
      <c r="H658" s="0" t="n">
        <v>1540992</v>
      </c>
      <c r="I658" s="0" t="n">
        <v>11</v>
      </c>
      <c r="J658" s="0" t="s">
        <v>1357</v>
      </c>
      <c r="K658" s="55" t="n">
        <v>600</v>
      </c>
    </row>
    <row r="659" customFormat="false" ht="15" hidden="false" customHeight="false" outlineLevel="0" collapsed="false">
      <c r="A659" s="0" t="n">
        <v>2</v>
      </c>
      <c r="B659" s="0" t="n">
        <v>862791</v>
      </c>
      <c r="C659" s="0" t="s">
        <v>1363</v>
      </c>
      <c r="D659" s="0" t="s">
        <v>1406</v>
      </c>
      <c r="E659" s="54" t="n">
        <v>46247</v>
      </c>
      <c r="F659" s="54" t="n">
        <v>46246</v>
      </c>
      <c r="G659" s="0" t="s">
        <v>175</v>
      </c>
      <c r="H659" s="0" t="n">
        <v>1543866</v>
      </c>
      <c r="I659" s="0" t="n">
        <v>11</v>
      </c>
      <c r="J659" s="0" t="s">
        <v>1357</v>
      </c>
      <c r="K659" s="55" t="n">
        <v>436.02</v>
      </c>
    </row>
    <row r="660" customFormat="false" ht="15" hidden="false" customHeight="false" outlineLevel="0" collapsed="false">
      <c r="A660" s="0" t="n">
        <v>2</v>
      </c>
      <c r="B660" s="0" t="n">
        <v>174797</v>
      </c>
      <c r="C660" s="0" t="s">
        <v>1363</v>
      </c>
      <c r="D660" s="0" t="s">
        <v>1376</v>
      </c>
      <c r="E660" s="54" t="n">
        <v>46247</v>
      </c>
      <c r="F660" s="54" t="n">
        <v>46247</v>
      </c>
      <c r="G660" s="0" t="s">
        <v>332</v>
      </c>
      <c r="H660" s="0" t="n">
        <v>1542553</v>
      </c>
      <c r="I660" s="0" t="n">
        <v>11</v>
      </c>
      <c r="J660" s="0" t="s">
        <v>1357</v>
      </c>
      <c r="K660" s="55" t="n">
        <v>3814.8</v>
      </c>
    </row>
    <row r="661" customFormat="false" ht="15" hidden="false" customHeight="false" outlineLevel="0" collapsed="false">
      <c r="A661" s="0" t="n">
        <v>2</v>
      </c>
      <c r="B661" s="0" t="n">
        <v>1710665</v>
      </c>
      <c r="C661" s="0" t="s">
        <v>1363</v>
      </c>
      <c r="D661" s="0" t="s">
        <v>1371</v>
      </c>
      <c r="E661" s="54" t="n">
        <v>46247</v>
      </c>
      <c r="F661" s="54" t="n">
        <v>46246</v>
      </c>
      <c r="G661" s="0" t="s">
        <v>201</v>
      </c>
      <c r="H661" s="0" t="n">
        <v>1540733</v>
      </c>
      <c r="I661" s="0" t="n">
        <v>11</v>
      </c>
      <c r="J661" s="0" t="s">
        <v>1357</v>
      </c>
      <c r="K661" s="55" t="n">
        <v>2076.78</v>
      </c>
    </row>
    <row r="662" customFormat="false" ht="15" hidden="false" customHeight="false" outlineLevel="0" collapsed="false">
      <c r="A662" s="0" t="n">
        <v>2</v>
      </c>
      <c r="B662" s="0" t="n">
        <v>398227</v>
      </c>
      <c r="C662" s="0" t="s">
        <v>1363</v>
      </c>
      <c r="D662" s="0" t="s">
        <v>1414</v>
      </c>
      <c r="E662" s="54" t="n">
        <v>46247</v>
      </c>
      <c r="F662" s="54" t="n">
        <v>46246</v>
      </c>
      <c r="G662" s="0" t="s">
        <v>82</v>
      </c>
      <c r="H662" s="0" t="n">
        <v>1540902</v>
      </c>
      <c r="I662" s="0" t="n">
        <v>11</v>
      </c>
      <c r="J662" s="0" t="s">
        <v>1357</v>
      </c>
      <c r="K662" s="55" t="n">
        <v>1332.55</v>
      </c>
    </row>
    <row r="663" customFormat="false" ht="15" hidden="false" customHeight="false" outlineLevel="0" collapsed="false">
      <c r="A663" s="0" t="n">
        <v>2</v>
      </c>
      <c r="B663" s="0" t="n">
        <v>158</v>
      </c>
      <c r="C663" s="0" t="s">
        <v>1363</v>
      </c>
      <c r="D663" s="0" t="s">
        <v>1485</v>
      </c>
      <c r="E663" s="54" t="n">
        <v>46247</v>
      </c>
      <c r="F663" s="54" t="n">
        <v>46247</v>
      </c>
      <c r="G663" s="0" t="s">
        <v>552</v>
      </c>
      <c r="H663" s="0" t="n">
        <v>1545507</v>
      </c>
      <c r="I663" s="0" t="n">
        <v>11</v>
      </c>
      <c r="J663" s="0" t="s">
        <v>1357</v>
      </c>
      <c r="K663" s="55" t="n">
        <v>120</v>
      </c>
    </row>
    <row r="664" customFormat="false" ht="15" hidden="false" customHeight="false" outlineLevel="0" collapsed="false">
      <c r="A664" s="0" t="n">
        <v>2</v>
      </c>
      <c r="B664" s="0" t="n">
        <v>1258801</v>
      </c>
      <c r="C664" s="0" t="s">
        <v>1363</v>
      </c>
      <c r="D664" s="0" t="s">
        <v>1408</v>
      </c>
      <c r="E664" s="54" t="n">
        <v>46247</v>
      </c>
      <c r="F664" s="54" t="n">
        <v>46247</v>
      </c>
      <c r="G664" s="0" t="s">
        <v>410</v>
      </c>
      <c r="H664" s="0" t="n">
        <v>1541166</v>
      </c>
      <c r="I664" s="0" t="n">
        <v>11</v>
      </c>
      <c r="J664" s="0" t="s">
        <v>1357</v>
      </c>
      <c r="K664" s="55" t="n">
        <v>386.74</v>
      </c>
    </row>
    <row r="665" customFormat="false" ht="15" hidden="false" customHeight="false" outlineLevel="0" collapsed="false">
      <c r="A665" s="0" t="n">
        <v>2</v>
      </c>
      <c r="B665" s="0" t="n">
        <v>760</v>
      </c>
      <c r="C665" s="0" t="s">
        <v>1355</v>
      </c>
      <c r="D665" s="0" t="s">
        <v>1365</v>
      </c>
      <c r="E665" s="54" t="n">
        <v>46247</v>
      </c>
      <c r="F665" s="54" t="n">
        <v>46247</v>
      </c>
      <c r="G665" s="0" t="s">
        <v>194</v>
      </c>
      <c r="H665" s="0" t="n">
        <v>1543431</v>
      </c>
      <c r="I665" s="0" t="n">
        <v>11</v>
      </c>
      <c r="J665" s="0" t="s">
        <v>1357</v>
      </c>
      <c r="K665" s="55" t="n">
        <v>317.18</v>
      </c>
    </row>
    <row r="666" customFormat="false" ht="15" hidden="false" customHeight="false" outlineLevel="0" collapsed="false">
      <c r="A666" s="0" t="n">
        <v>2</v>
      </c>
      <c r="B666" s="0" t="n">
        <v>621794</v>
      </c>
      <c r="C666" s="0" t="s">
        <v>1394</v>
      </c>
      <c r="D666" s="0" t="s">
        <v>1409</v>
      </c>
      <c r="E666" s="54" t="n">
        <v>46247</v>
      </c>
      <c r="F666" s="54" t="n">
        <v>46246</v>
      </c>
      <c r="G666" s="0" t="s">
        <v>412</v>
      </c>
      <c r="H666" s="0" t="n">
        <v>1541937</v>
      </c>
      <c r="I666" s="0" t="n">
        <v>11</v>
      </c>
      <c r="J666" s="0" t="s">
        <v>1357</v>
      </c>
      <c r="K666" s="55" t="n">
        <v>149</v>
      </c>
    </row>
    <row r="667" customFormat="false" ht="15" hidden="false" customHeight="false" outlineLevel="0" collapsed="false">
      <c r="A667" s="0" t="n">
        <v>2</v>
      </c>
      <c r="B667" s="0" t="n">
        <v>668739</v>
      </c>
      <c r="C667" s="0" t="s">
        <v>1363</v>
      </c>
      <c r="D667" s="0" t="s">
        <v>1437</v>
      </c>
      <c r="E667" s="54" t="n">
        <v>46247</v>
      </c>
      <c r="F667" s="54" t="n">
        <v>46246</v>
      </c>
      <c r="G667" s="0" t="s">
        <v>300</v>
      </c>
      <c r="H667" s="0" t="n">
        <v>1543899</v>
      </c>
      <c r="I667" s="0" t="n">
        <v>11</v>
      </c>
      <c r="J667" s="0" t="s">
        <v>1357</v>
      </c>
      <c r="K667" s="55" t="n">
        <v>2490.4</v>
      </c>
    </row>
    <row r="668" customFormat="false" ht="15" hidden="false" customHeight="false" outlineLevel="0" collapsed="false">
      <c r="A668" s="0" t="n">
        <v>2</v>
      </c>
      <c r="B668" s="0" t="n">
        <v>586317</v>
      </c>
      <c r="C668" s="0" t="s">
        <v>1363</v>
      </c>
      <c r="D668" s="0" t="s">
        <v>1469</v>
      </c>
      <c r="E668" s="54" t="n">
        <v>46247</v>
      </c>
      <c r="F668" s="54" t="n">
        <v>46246</v>
      </c>
      <c r="G668" s="0" t="s">
        <v>88</v>
      </c>
      <c r="H668" s="0" t="n">
        <v>1543011</v>
      </c>
      <c r="I668" s="0" t="n">
        <v>11</v>
      </c>
      <c r="J668" s="0" t="s">
        <v>1357</v>
      </c>
      <c r="K668" s="55" t="n">
        <v>271.2</v>
      </c>
    </row>
    <row r="669" customFormat="false" ht="15" hidden="false" customHeight="false" outlineLevel="0" collapsed="false">
      <c r="A669" s="0" t="n">
        <v>2</v>
      </c>
      <c r="B669" s="0" t="n">
        <v>257600</v>
      </c>
      <c r="C669" s="0" t="s">
        <v>1363</v>
      </c>
      <c r="D669" s="0" t="s">
        <v>1410</v>
      </c>
      <c r="E669" s="54" t="n">
        <v>46247</v>
      </c>
      <c r="F669" s="54" t="n">
        <v>46246</v>
      </c>
      <c r="G669" s="0" t="s">
        <v>489</v>
      </c>
      <c r="H669" s="0" t="n">
        <v>1542913</v>
      </c>
      <c r="I669" s="0" t="n">
        <v>11</v>
      </c>
      <c r="J669" s="0" t="s">
        <v>1357</v>
      </c>
      <c r="K669" s="55" t="n">
        <v>1050.07</v>
      </c>
    </row>
    <row r="670" customFormat="false" ht="15" hidden="false" customHeight="false" outlineLevel="0" collapsed="false">
      <c r="A670" s="0" t="n">
        <v>2</v>
      </c>
      <c r="B670" s="0" t="n">
        <v>53859</v>
      </c>
      <c r="C670" s="0" t="s">
        <v>1355</v>
      </c>
      <c r="D670" s="0" t="s">
        <v>1484</v>
      </c>
      <c r="E670" s="54" t="n">
        <v>46247</v>
      </c>
      <c r="F670" s="54" t="n">
        <v>46246</v>
      </c>
      <c r="G670" s="0" t="s">
        <v>1011</v>
      </c>
      <c r="H670" s="0" t="n">
        <v>1543143</v>
      </c>
      <c r="I670" s="0" t="n">
        <v>11</v>
      </c>
      <c r="J670" s="0" t="s">
        <v>1357</v>
      </c>
      <c r="K670" s="55" t="n">
        <v>1393.49</v>
      </c>
    </row>
    <row r="671" customFormat="false" ht="15" hidden="false" customHeight="false" outlineLevel="0" collapsed="false">
      <c r="A671" s="0" t="n">
        <v>2</v>
      </c>
      <c r="B671" s="0" t="n">
        <v>163912</v>
      </c>
      <c r="C671" s="0" t="s">
        <v>1363</v>
      </c>
      <c r="D671" s="0" t="s">
        <v>1451</v>
      </c>
      <c r="E671" s="54" t="n">
        <v>46248</v>
      </c>
      <c r="F671" s="54" t="n">
        <v>46246</v>
      </c>
      <c r="G671" s="0" t="s">
        <v>746</v>
      </c>
      <c r="H671" s="0" t="n">
        <v>1545803</v>
      </c>
      <c r="I671" s="0" t="n">
        <v>11</v>
      </c>
      <c r="J671" s="0" t="s">
        <v>1357</v>
      </c>
      <c r="K671" s="55" t="n">
        <v>2153.25</v>
      </c>
    </row>
    <row r="672" customFormat="false" ht="15" hidden="false" customHeight="false" outlineLevel="0" collapsed="false">
      <c r="A672" s="0" t="n">
        <v>2</v>
      </c>
      <c r="B672" s="0" t="n">
        <v>48205</v>
      </c>
      <c r="C672" s="0" t="s">
        <v>1363</v>
      </c>
      <c r="D672" s="0" t="s">
        <v>1452</v>
      </c>
      <c r="E672" s="54" t="n">
        <v>46248</v>
      </c>
      <c r="F672" s="54" t="n">
        <v>46246</v>
      </c>
      <c r="G672" s="0" t="s">
        <v>744</v>
      </c>
      <c r="H672" s="0" t="n">
        <v>1545678</v>
      </c>
      <c r="I672" s="0" t="n">
        <v>11</v>
      </c>
      <c r="J672" s="0" t="s">
        <v>1357</v>
      </c>
      <c r="K672" s="55" t="n">
        <v>1130.5</v>
      </c>
    </row>
    <row r="673" customFormat="false" ht="15" hidden="false" customHeight="false" outlineLevel="0" collapsed="false">
      <c r="A673" s="0" t="n">
        <v>2</v>
      </c>
      <c r="B673" s="0" t="n">
        <v>1246872</v>
      </c>
      <c r="C673" s="0" t="s">
        <v>1358</v>
      </c>
      <c r="D673" s="0" t="s">
        <v>1359</v>
      </c>
      <c r="E673" s="54" t="n">
        <v>46248</v>
      </c>
      <c r="F673" s="54" t="n">
        <v>46246</v>
      </c>
      <c r="G673" s="0" t="s">
        <v>119</v>
      </c>
      <c r="H673" s="0" t="n">
        <v>1546018</v>
      </c>
      <c r="I673" s="0" t="n">
        <v>11</v>
      </c>
      <c r="J673" s="0" t="s">
        <v>1357</v>
      </c>
      <c r="K673" s="55" t="n">
        <v>50.85</v>
      </c>
    </row>
    <row r="674" customFormat="false" ht="15" hidden="false" customHeight="false" outlineLevel="0" collapsed="false">
      <c r="A674" s="0" t="n">
        <v>2</v>
      </c>
      <c r="B674" s="0" t="n">
        <v>1246873</v>
      </c>
      <c r="C674" s="0" t="s">
        <v>1358</v>
      </c>
      <c r="D674" s="0" t="s">
        <v>1359</v>
      </c>
      <c r="E674" s="54" t="n">
        <v>46248</v>
      </c>
      <c r="F674" s="54" t="n">
        <v>46246</v>
      </c>
      <c r="G674" s="0" t="s">
        <v>119</v>
      </c>
      <c r="H674" s="0" t="n">
        <v>1546030</v>
      </c>
      <c r="I674" s="0" t="n">
        <v>11</v>
      </c>
      <c r="J674" s="0" t="s">
        <v>1357</v>
      </c>
      <c r="K674" s="55" t="n">
        <v>620.26</v>
      </c>
    </row>
    <row r="675" customFormat="false" ht="15" hidden="false" customHeight="false" outlineLevel="0" collapsed="false">
      <c r="A675" s="0" t="n">
        <v>2</v>
      </c>
      <c r="B675" s="0" t="n">
        <v>1986776</v>
      </c>
      <c r="C675" s="0" t="s">
        <v>1360</v>
      </c>
      <c r="D675" s="0" t="s">
        <v>1359</v>
      </c>
      <c r="E675" s="54" t="n">
        <v>46248</v>
      </c>
      <c r="F675" s="54" t="n">
        <v>46246</v>
      </c>
      <c r="G675" s="0" t="s">
        <v>119</v>
      </c>
      <c r="H675" s="0" t="n">
        <v>1546065</v>
      </c>
      <c r="I675" s="0" t="n">
        <v>11</v>
      </c>
      <c r="J675" s="0" t="s">
        <v>1357</v>
      </c>
      <c r="K675" s="55" t="n">
        <v>2148.12</v>
      </c>
    </row>
    <row r="676" customFormat="false" ht="15" hidden="false" customHeight="false" outlineLevel="0" collapsed="false">
      <c r="A676" s="0" t="n">
        <v>2</v>
      </c>
      <c r="B676" s="0" t="n">
        <v>1619132</v>
      </c>
      <c r="C676" s="0" t="s">
        <v>1363</v>
      </c>
      <c r="D676" s="0" t="s">
        <v>1412</v>
      </c>
      <c r="E676" s="54" t="n">
        <v>46248</v>
      </c>
      <c r="F676" s="54" t="n">
        <v>46248</v>
      </c>
      <c r="G676" s="0" t="s">
        <v>94</v>
      </c>
      <c r="H676" s="0" t="n">
        <v>1547445</v>
      </c>
      <c r="I676" s="0" t="n">
        <v>11</v>
      </c>
      <c r="J676" s="0" t="s">
        <v>1357</v>
      </c>
      <c r="K676" s="55" t="n">
        <v>2329.52</v>
      </c>
    </row>
    <row r="677" customFormat="false" ht="15" hidden="false" customHeight="false" outlineLevel="0" collapsed="false">
      <c r="A677" s="0" t="n">
        <v>2</v>
      </c>
      <c r="B677" s="0" t="n">
        <v>957093</v>
      </c>
      <c r="C677" s="0" t="s">
        <v>1422</v>
      </c>
      <c r="D677" s="0" t="s">
        <v>1423</v>
      </c>
      <c r="E677" s="54" t="n">
        <v>46248</v>
      </c>
      <c r="F677" s="54" t="n">
        <v>46247</v>
      </c>
      <c r="G677" s="0" t="s">
        <v>212</v>
      </c>
      <c r="H677" s="0" t="n">
        <v>1546177</v>
      </c>
      <c r="I677" s="0" t="n">
        <v>11</v>
      </c>
      <c r="J677" s="0" t="s">
        <v>1357</v>
      </c>
      <c r="K677" s="55" t="n">
        <v>3731.7</v>
      </c>
    </row>
    <row r="678" customFormat="false" ht="15" hidden="false" customHeight="false" outlineLevel="0" collapsed="false">
      <c r="A678" s="0" t="n">
        <v>2</v>
      </c>
      <c r="B678" s="0" t="n">
        <v>269</v>
      </c>
      <c r="C678" s="0" t="s">
        <v>1363</v>
      </c>
      <c r="D678" s="0" t="s">
        <v>1461</v>
      </c>
      <c r="E678" s="54" t="n">
        <v>46248</v>
      </c>
      <c r="F678" s="54" t="n">
        <v>46248</v>
      </c>
      <c r="G678" s="0" t="s">
        <v>718</v>
      </c>
      <c r="H678" s="0" t="n">
        <v>1546126</v>
      </c>
      <c r="I678" s="0" t="n">
        <v>11</v>
      </c>
      <c r="J678" s="0" t="s">
        <v>1357</v>
      </c>
      <c r="K678" s="55" t="n">
        <v>1045</v>
      </c>
    </row>
    <row r="679" customFormat="false" ht="15" hidden="false" customHeight="false" outlineLevel="0" collapsed="false">
      <c r="A679" s="0" t="n">
        <v>2</v>
      </c>
      <c r="B679" s="0" t="n">
        <v>689222</v>
      </c>
      <c r="C679" s="0" t="s">
        <v>1363</v>
      </c>
      <c r="D679" s="0" t="s">
        <v>1393</v>
      </c>
      <c r="E679" s="54" t="n">
        <v>46248</v>
      </c>
      <c r="F679" s="54" t="n">
        <v>46247</v>
      </c>
      <c r="G679" s="0" t="s">
        <v>199</v>
      </c>
      <c r="H679" s="0" t="n">
        <v>1547723</v>
      </c>
      <c r="I679" s="0" t="n">
        <v>11</v>
      </c>
      <c r="J679" s="0" t="s">
        <v>1357</v>
      </c>
      <c r="K679" s="55" t="n">
        <v>2119.67</v>
      </c>
    </row>
    <row r="680" customFormat="false" ht="15" hidden="false" customHeight="false" outlineLevel="0" collapsed="false">
      <c r="A680" s="0" t="n">
        <v>2</v>
      </c>
      <c r="B680" s="0" t="n">
        <v>1711525</v>
      </c>
      <c r="C680" s="0" t="s">
        <v>1363</v>
      </c>
      <c r="D680" s="0" t="s">
        <v>1371</v>
      </c>
      <c r="E680" s="54" t="n">
        <v>46248</v>
      </c>
      <c r="F680" s="54" t="n">
        <v>46247</v>
      </c>
      <c r="G680" s="0" t="s">
        <v>201</v>
      </c>
      <c r="H680" s="0" t="n">
        <v>1547032</v>
      </c>
      <c r="I680" s="0" t="n">
        <v>11</v>
      </c>
      <c r="J680" s="0" t="s">
        <v>1357</v>
      </c>
      <c r="K680" s="55" t="n">
        <v>877.23</v>
      </c>
    </row>
    <row r="681" customFormat="false" ht="15" hidden="false" customHeight="false" outlineLevel="0" collapsed="false">
      <c r="A681" s="0" t="n">
        <v>2</v>
      </c>
      <c r="B681" s="0" t="n">
        <v>1664419</v>
      </c>
      <c r="C681" s="0" t="s">
        <v>1361</v>
      </c>
      <c r="D681" s="0" t="s">
        <v>1362</v>
      </c>
      <c r="E681" s="54" t="n">
        <v>46248</v>
      </c>
      <c r="F681" s="54" t="n">
        <v>46248</v>
      </c>
      <c r="G681" s="0" t="s">
        <v>369</v>
      </c>
      <c r="H681" s="0" t="n">
        <v>1551184</v>
      </c>
      <c r="I681" s="0" t="n">
        <v>11</v>
      </c>
      <c r="J681" s="0" t="s">
        <v>1357</v>
      </c>
      <c r="K681" s="55" t="n">
        <v>147</v>
      </c>
    </row>
    <row r="682" customFormat="false" ht="15" hidden="false" customHeight="false" outlineLevel="0" collapsed="false">
      <c r="A682" s="0" t="n">
        <v>2</v>
      </c>
      <c r="B682" s="0" t="n">
        <v>1664421</v>
      </c>
      <c r="C682" s="0" t="s">
        <v>1361</v>
      </c>
      <c r="D682" s="0" t="s">
        <v>1362</v>
      </c>
      <c r="E682" s="54" t="n">
        <v>46248</v>
      </c>
      <c r="F682" s="54" t="n">
        <v>46248</v>
      </c>
      <c r="G682" s="0" t="s">
        <v>369</v>
      </c>
      <c r="H682" s="0" t="n">
        <v>1551194</v>
      </c>
      <c r="I682" s="0" t="n">
        <v>11</v>
      </c>
      <c r="J682" s="0" t="s">
        <v>1357</v>
      </c>
      <c r="K682" s="55" t="n">
        <v>79</v>
      </c>
    </row>
    <row r="683" customFormat="false" ht="15" hidden="false" customHeight="false" outlineLevel="0" collapsed="false">
      <c r="A683" s="0" t="n">
        <v>2</v>
      </c>
      <c r="B683" s="0" t="n">
        <v>228832</v>
      </c>
      <c r="C683" s="0" t="s">
        <v>1355</v>
      </c>
      <c r="D683" s="0" t="s">
        <v>1387</v>
      </c>
      <c r="E683" s="54" t="n">
        <v>46248</v>
      </c>
      <c r="F683" s="54" t="n">
        <v>46248</v>
      </c>
      <c r="G683" s="0" t="s">
        <v>390</v>
      </c>
      <c r="H683" s="0" t="n">
        <v>1547606</v>
      </c>
      <c r="I683" s="0" t="n">
        <v>11</v>
      </c>
      <c r="J683" s="0" t="s">
        <v>1357</v>
      </c>
      <c r="K683" s="55" t="n">
        <v>571.73</v>
      </c>
    </row>
    <row r="684" customFormat="false" ht="15" hidden="false" customHeight="false" outlineLevel="0" collapsed="false">
      <c r="A684" s="0" t="n">
        <v>2</v>
      </c>
      <c r="B684" s="0" t="n">
        <v>5971</v>
      </c>
      <c r="C684" s="0" t="s">
        <v>1363</v>
      </c>
      <c r="D684" s="0" t="s">
        <v>1382</v>
      </c>
      <c r="E684" s="54" t="n">
        <v>46248</v>
      </c>
      <c r="F684" s="54" t="n">
        <v>46246</v>
      </c>
      <c r="G684" s="0" t="s">
        <v>90</v>
      </c>
      <c r="H684" s="0" t="n">
        <v>1545655</v>
      </c>
      <c r="I684" s="0" t="n">
        <v>11</v>
      </c>
      <c r="J684" s="0" t="s">
        <v>1357</v>
      </c>
      <c r="K684" s="55" t="n">
        <v>597.4</v>
      </c>
    </row>
    <row r="685" customFormat="false" ht="15" hidden="false" customHeight="false" outlineLevel="0" collapsed="false">
      <c r="A685" s="0" t="n">
        <v>2</v>
      </c>
      <c r="B685" s="0" t="n">
        <v>401</v>
      </c>
      <c r="C685" s="0" t="s">
        <v>1363</v>
      </c>
      <c r="D685" s="0" t="s">
        <v>1390</v>
      </c>
      <c r="E685" s="54" t="n">
        <v>46248</v>
      </c>
      <c r="F685" s="54" t="n">
        <v>46248</v>
      </c>
      <c r="G685" s="0" t="s">
        <v>96</v>
      </c>
      <c r="H685" s="0" t="n">
        <v>1547265</v>
      </c>
      <c r="I685" s="0" t="n">
        <v>11</v>
      </c>
      <c r="J685" s="0" t="s">
        <v>1357</v>
      </c>
      <c r="K685" s="55" t="n">
        <v>183</v>
      </c>
    </row>
    <row r="686" customFormat="false" ht="15" hidden="false" customHeight="false" outlineLevel="0" collapsed="false">
      <c r="A686" s="0" t="n">
        <v>2</v>
      </c>
      <c r="B686" s="0" t="n">
        <v>31936</v>
      </c>
      <c r="C686" s="0" t="s">
        <v>1363</v>
      </c>
      <c r="D686" s="0" t="s">
        <v>1377</v>
      </c>
      <c r="E686" s="54" t="n">
        <v>46248</v>
      </c>
      <c r="F686" s="54" t="n">
        <v>46248</v>
      </c>
      <c r="G686" s="0" t="s">
        <v>126</v>
      </c>
      <c r="H686" s="0" t="n">
        <v>1546110</v>
      </c>
      <c r="I686" s="0" t="n">
        <v>11</v>
      </c>
      <c r="J686" s="0" t="s">
        <v>1357</v>
      </c>
      <c r="K686" s="55" t="n">
        <v>195</v>
      </c>
    </row>
    <row r="687" customFormat="false" ht="15" hidden="false" customHeight="false" outlineLevel="0" collapsed="false">
      <c r="A687" s="0" t="n">
        <v>2</v>
      </c>
      <c r="B687" s="0" t="n">
        <v>2603</v>
      </c>
      <c r="C687" s="0" t="s">
        <v>1363</v>
      </c>
      <c r="D687" s="0" t="s">
        <v>1373</v>
      </c>
      <c r="E687" s="54" t="n">
        <v>46248</v>
      </c>
      <c r="F687" s="54" t="n">
        <v>46248</v>
      </c>
      <c r="G687" s="0" t="s">
        <v>132</v>
      </c>
      <c r="H687" s="0" t="n">
        <v>1545625</v>
      </c>
      <c r="I687" s="0" t="n">
        <v>6</v>
      </c>
      <c r="J687" s="0" t="s">
        <v>1357</v>
      </c>
      <c r="K687" s="55" t="n">
        <v>225</v>
      </c>
    </row>
    <row r="688" customFormat="false" ht="15" hidden="false" customHeight="false" outlineLevel="0" collapsed="false">
      <c r="A688" s="0" t="n">
        <v>2</v>
      </c>
      <c r="B688" s="0" t="n">
        <v>2604</v>
      </c>
      <c r="C688" s="0" t="s">
        <v>1363</v>
      </c>
      <c r="D688" s="0" t="s">
        <v>1373</v>
      </c>
      <c r="E688" s="54" t="n">
        <v>46248</v>
      </c>
      <c r="F688" s="54" t="n">
        <v>46248</v>
      </c>
      <c r="G688" s="0" t="s">
        <v>132</v>
      </c>
      <c r="H688" s="0" t="n">
        <v>1546719</v>
      </c>
      <c r="I688" s="0" t="n">
        <v>6</v>
      </c>
      <c r="J688" s="0" t="s">
        <v>1357</v>
      </c>
      <c r="K688" s="55" t="n">
        <v>115</v>
      </c>
    </row>
    <row r="689" customFormat="false" ht="15" hidden="false" customHeight="false" outlineLevel="0" collapsed="false">
      <c r="A689" s="0" t="n">
        <v>2</v>
      </c>
      <c r="B689" s="0" t="n">
        <v>2605</v>
      </c>
      <c r="C689" s="0" t="s">
        <v>1363</v>
      </c>
      <c r="D689" s="0" t="s">
        <v>1373</v>
      </c>
      <c r="E689" s="54" t="n">
        <v>46248</v>
      </c>
      <c r="F689" s="54" t="n">
        <v>46248</v>
      </c>
      <c r="G689" s="0" t="s">
        <v>132</v>
      </c>
      <c r="H689" s="0" t="n">
        <v>1546864</v>
      </c>
      <c r="I689" s="0" t="n">
        <v>6</v>
      </c>
      <c r="J689" s="0" t="s">
        <v>1357</v>
      </c>
      <c r="K689" s="55" t="n">
        <v>1899.7</v>
      </c>
    </row>
    <row r="690" customFormat="false" ht="15" hidden="false" customHeight="false" outlineLevel="0" collapsed="false">
      <c r="A690" s="0" t="n">
        <v>2</v>
      </c>
      <c r="B690" s="0" t="n">
        <v>46106</v>
      </c>
      <c r="C690" s="0" t="s">
        <v>1363</v>
      </c>
      <c r="D690" s="0" t="s">
        <v>1388</v>
      </c>
      <c r="E690" s="54" t="n">
        <v>46248</v>
      </c>
      <c r="F690" s="54" t="n">
        <v>46248</v>
      </c>
      <c r="G690" s="0" t="s">
        <v>388</v>
      </c>
      <c r="H690" s="0" t="n">
        <v>1547523</v>
      </c>
      <c r="I690" s="0" t="n">
        <v>11</v>
      </c>
      <c r="J690" s="0" t="s">
        <v>1357</v>
      </c>
      <c r="K690" s="55" t="n">
        <v>460</v>
      </c>
    </row>
    <row r="691" customFormat="false" ht="15" hidden="false" customHeight="false" outlineLevel="0" collapsed="false">
      <c r="A691" s="0" t="n">
        <v>2</v>
      </c>
      <c r="B691" s="0" t="n">
        <v>35161</v>
      </c>
      <c r="C691" s="0" t="s">
        <v>1418</v>
      </c>
      <c r="D691" s="0" t="s">
        <v>1463</v>
      </c>
      <c r="E691" s="54" t="n">
        <v>46248</v>
      </c>
      <c r="F691" s="54" t="n">
        <v>46247</v>
      </c>
      <c r="G691" s="0" t="s">
        <v>292</v>
      </c>
      <c r="H691" s="0" t="n">
        <v>1545975</v>
      </c>
      <c r="I691" s="0" t="n">
        <v>11</v>
      </c>
      <c r="J691" s="0" t="s">
        <v>1357</v>
      </c>
      <c r="K691" s="55" t="n">
        <v>685.15</v>
      </c>
    </row>
    <row r="692" customFormat="false" ht="15" hidden="false" customHeight="false" outlineLevel="0" collapsed="false">
      <c r="A692" s="0" t="n">
        <v>2</v>
      </c>
      <c r="B692" s="0" t="n">
        <v>360</v>
      </c>
      <c r="C692" s="0" t="s">
        <v>1363</v>
      </c>
      <c r="D692" s="0" t="s">
        <v>1369</v>
      </c>
      <c r="E692" s="54" t="n">
        <v>46249</v>
      </c>
      <c r="F692" s="54" t="n">
        <v>46246</v>
      </c>
      <c r="G692" s="0" t="s">
        <v>220</v>
      </c>
      <c r="H692" s="0" t="n">
        <v>1551741</v>
      </c>
      <c r="I692" s="0" t="n">
        <v>11</v>
      </c>
      <c r="J692" s="0" t="s">
        <v>1357</v>
      </c>
      <c r="K692" s="55" t="n">
        <v>899.5</v>
      </c>
    </row>
    <row r="693" customFormat="false" ht="15" hidden="false" customHeight="false" outlineLevel="0" collapsed="false">
      <c r="A693" s="0" t="n">
        <v>2</v>
      </c>
      <c r="B693" s="0" t="n">
        <v>689224</v>
      </c>
      <c r="C693" s="0" t="s">
        <v>1363</v>
      </c>
      <c r="D693" s="0" t="s">
        <v>1393</v>
      </c>
      <c r="E693" s="54" t="n">
        <v>46249</v>
      </c>
      <c r="F693" s="54" t="n">
        <v>46247</v>
      </c>
      <c r="G693" s="0" t="s">
        <v>199</v>
      </c>
      <c r="H693" s="0" t="n">
        <v>1551950</v>
      </c>
      <c r="I693" s="0" t="n">
        <v>11</v>
      </c>
      <c r="J693" s="0" t="s">
        <v>1357</v>
      </c>
      <c r="K693" s="55" t="n">
        <v>4268.02</v>
      </c>
    </row>
    <row r="694" customFormat="false" ht="15" hidden="false" customHeight="false" outlineLevel="0" collapsed="false">
      <c r="A694" s="0" t="n">
        <v>2</v>
      </c>
      <c r="B694" s="0" t="n">
        <v>3237036</v>
      </c>
      <c r="C694" s="0" t="s">
        <v>1363</v>
      </c>
      <c r="D694" s="0" t="s">
        <v>1407</v>
      </c>
      <c r="E694" s="54" t="n">
        <v>46249</v>
      </c>
      <c r="F694" s="54" t="n">
        <v>46247</v>
      </c>
      <c r="G694" s="0" t="s">
        <v>85</v>
      </c>
      <c r="H694" s="0" t="n">
        <v>1551855</v>
      </c>
      <c r="I694" s="0" t="n">
        <v>11</v>
      </c>
      <c r="J694" s="0" t="s">
        <v>1357</v>
      </c>
      <c r="K694" s="55" t="n">
        <v>748.32</v>
      </c>
    </row>
    <row r="695" customFormat="false" ht="15" hidden="false" customHeight="false" outlineLevel="0" collapsed="false">
      <c r="A695" s="0" t="n">
        <v>2</v>
      </c>
      <c r="B695" s="0" t="n">
        <v>174</v>
      </c>
      <c r="C695" s="0" t="s">
        <v>1363</v>
      </c>
      <c r="D695" s="0" t="s">
        <v>1485</v>
      </c>
      <c r="E695" s="54" t="n">
        <v>46249</v>
      </c>
      <c r="F695" s="54" t="n">
        <v>46249</v>
      </c>
      <c r="G695" s="0" t="s">
        <v>552</v>
      </c>
      <c r="H695" s="0" t="n">
        <v>1561098</v>
      </c>
      <c r="I695" s="0" t="n">
        <v>11</v>
      </c>
      <c r="J695" s="0" t="s">
        <v>1357</v>
      </c>
      <c r="K695" s="55" t="n">
        <v>200</v>
      </c>
    </row>
    <row r="696" customFormat="false" ht="15" hidden="false" customHeight="false" outlineLevel="0" collapsed="false">
      <c r="A696" s="0" t="n">
        <v>2</v>
      </c>
      <c r="B696" s="0" t="n">
        <v>398015</v>
      </c>
      <c r="C696" s="0" t="s">
        <v>1363</v>
      </c>
      <c r="D696" s="0" t="s">
        <v>1384</v>
      </c>
      <c r="E696" s="54" t="n">
        <v>46249</v>
      </c>
      <c r="F696" s="54" t="n">
        <v>46248</v>
      </c>
      <c r="G696" s="0" t="s">
        <v>164</v>
      </c>
      <c r="H696" s="0" t="n">
        <v>1552107</v>
      </c>
      <c r="I696" s="0" t="n">
        <v>11</v>
      </c>
      <c r="J696" s="0" t="s">
        <v>1357</v>
      </c>
      <c r="K696" s="55" t="n">
        <v>511.98</v>
      </c>
    </row>
    <row r="697" customFormat="false" ht="15" hidden="false" customHeight="false" outlineLevel="0" collapsed="false">
      <c r="A697" s="0" t="n">
        <v>2</v>
      </c>
      <c r="B697" s="0" t="n">
        <v>2606</v>
      </c>
      <c r="C697" s="0" t="s">
        <v>1363</v>
      </c>
      <c r="D697" s="0" t="s">
        <v>1373</v>
      </c>
      <c r="E697" s="54" t="n">
        <v>46249</v>
      </c>
      <c r="F697" s="54" t="n">
        <v>46249</v>
      </c>
      <c r="G697" s="0" t="s">
        <v>132</v>
      </c>
      <c r="H697" s="0" t="n">
        <v>1552260</v>
      </c>
      <c r="I697" s="0" t="n">
        <v>6</v>
      </c>
      <c r="J697" s="0" t="s">
        <v>1357</v>
      </c>
      <c r="K697" s="55" t="n">
        <v>270</v>
      </c>
    </row>
    <row r="698" customFormat="false" ht="15" hidden="false" customHeight="false" outlineLevel="0" collapsed="false">
      <c r="A698" s="0" t="n">
        <v>2</v>
      </c>
      <c r="B698" s="0" t="n">
        <v>1919900</v>
      </c>
      <c r="C698" s="0" t="s">
        <v>1363</v>
      </c>
      <c r="D698" s="0" t="s">
        <v>1453</v>
      </c>
      <c r="E698" s="54" t="n">
        <v>46251</v>
      </c>
      <c r="F698" s="54" t="n">
        <v>46247</v>
      </c>
      <c r="G698" s="0" t="s">
        <v>764</v>
      </c>
      <c r="H698" s="0" t="n">
        <v>1561293</v>
      </c>
      <c r="I698" s="0" t="n">
        <v>11</v>
      </c>
      <c r="J698" s="0" t="s">
        <v>1357</v>
      </c>
      <c r="K698" s="55" t="n">
        <v>561.84</v>
      </c>
    </row>
    <row r="699" customFormat="false" ht="15" hidden="false" customHeight="false" outlineLevel="0" collapsed="false">
      <c r="A699" s="0" t="n">
        <v>2</v>
      </c>
      <c r="B699" s="0" t="n">
        <v>21279</v>
      </c>
      <c r="C699" s="0" t="s">
        <v>1363</v>
      </c>
      <c r="D699" s="0" t="s">
        <v>1386</v>
      </c>
      <c r="E699" s="54" t="n">
        <v>46251</v>
      </c>
      <c r="F699" s="54" t="n">
        <v>46251</v>
      </c>
      <c r="G699" s="0" t="s">
        <v>166</v>
      </c>
      <c r="H699" s="0" t="n">
        <v>1562642</v>
      </c>
      <c r="I699" s="0" t="n">
        <v>11</v>
      </c>
      <c r="J699" s="0" t="s">
        <v>1357</v>
      </c>
      <c r="K699" s="55" t="n">
        <v>691.91</v>
      </c>
    </row>
    <row r="700" customFormat="false" ht="15" hidden="false" customHeight="false" outlineLevel="0" collapsed="false">
      <c r="A700" s="0" t="n">
        <v>2</v>
      </c>
      <c r="B700" s="0" t="n">
        <v>3237634</v>
      </c>
      <c r="C700" s="0" t="s">
        <v>1363</v>
      </c>
      <c r="D700" s="0" t="s">
        <v>1407</v>
      </c>
      <c r="E700" s="54" t="n">
        <v>46251</v>
      </c>
      <c r="F700" s="54" t="n">
        <v>46248</v>
      </c>
      <c r="G700" s="0" t="s">
        <v>85</v>
      </c>
      <c r="H700" s="0" t="n">
        <v>1562682</v>
      </c>
      <c r="I700" s="0" t="n">
        <v>11</v>
      </c>
      <c r="J700" s="0" t="s">
        <v>1357</v>
      </c>
      <c r="K700" s="55" t="n">
        <v>1352.12</v>
      </c>
    </row>
    <row r="701" customFormat="false" ht="15" hidden="false" customHeight="false" outlineLevel="0" collapsed="false">
      <c r="A701" s="0" t="n">
        <v>2</v>
      </c>
      <c r="B701" s="0" t="n">
        <v>1664730</v>
      </c>
      <c r="C701" s="0" t="s">
        <v>1361</v>
      </c>
      <c r="D701" s="0" t="s">
        <v>1362</v>
      </c>
      <c r="E701" s="54" t="n">
        <v>46251</v>
      </c>
      <c r="F701" s="54" t="n">
        <v>46249</v>
      </c>
      <c r="G701" s="0" t="s">
        <v>369</v>
      </c>
      <c r="H701" s="0" t="n">
        <v>1561145</v>
      </c>
      <c r="I701" s="0" t="n">
        <v>11</v>
      </c>
      <c r="J701" s="0" t="s">
        <v>1357</v>
      </c>
      <c r="K701" s="55" t="n">
        <v>97.5</v>
      </c>
    </row>
    <row r="702" customFormat="false" ht="15" hidden="false" customHeight="false" outlineLevel="0" collapsed="false">
      <c r="A702" s="0" t="n">
        <v>2</v>
      </c>
      <c r="B702" s="0" t="n">
        <v>181</v>
      </c>
      <c r="C702" s="0" t="s">
        <v>1363</v>
      </c>
      <c r="D702" s="0" t="s">
        <v>1485</v>
      </c>
      <c r="E702" s="54" t="n">
        <v>46251</v>
      </c>
      <c r="F702" s="54" t="n">
        <v>46251</v>
      </c>
      <c r="G702" s="0" t="s">
        <v>552</v>
      </c>
      <c r="H702" s="0" t="n">
        <v>1566623</v>
      </c>
      <c r="I702" s="0" t="n">
        <v>11</v>
      </c>
      <c r="J702" s="0" t="s">
        <v>1357</v>
      </c>
      <c r="K702" s="55" t="n">
        <v>140</v>
      </c>
    </row>
    <row r="703" customFormat="false" ht="15" hidden="false" customHeight="false" outlineLevel="0" collapsed="false">
      <c r="A703" s="0" t="n">
        <v>2</v>
      </c>
      <c r="B703" s="0" t="n">
        <v>297321</v>
      </c>
      <c r="C703" s="0" t="s">
        <v>1363</v>
      </c>
      <c r="D703" s="0" t="s">
        <v>1495</v>
      </c>
      <c r="E703" s="54" t="n">
        <v>46251</v>
      </c>
      <c r="F703" s="54" t="n">
        <v>46246</v>
      </c>
      <c r="G703" s="0" t="s">
        <v>1247</v>
      </c>
      <c r="H703" s="0" t="n">
        <v>1562787</v>
      </c>
      <c r="I703" s="0" t="n">
        <v>11</v>
      </c>
      <c r="J703" s="0" t="s">
        <v>1357</v>
      </c>
      <c r="K703" s="55" t="n">
        <v>1120.76</v>
      </c>
    </row>
    <row r="704" customFormat="false" ht="15" hidden="false" customHeight="false" outlineLevel="0" collapsed="false">
      <c r="A704" s="0" t="n">
        <v>2</v>
      </c>
      <c r="B704" s="0" t="n">
        <v>3728</v>
      </c>
      <c r="C704" s="0" t="s">
        <v>1363</v>
      </c>
      <c r="D704" s="0" t="s">
        <v>1381</v>
      </c>
      <c r="E704" s="54" t="n">
        <v>46251</v>
      </c>
      <c r="F704" s="54" t="n">
        <v>46248</v>
      </c>
      <c r="G704" s="0" t="s">
        <v>171</v>
      </c>
      <c r="H704" s="0" t="n">
        <v>1561156</v>
      </c>
      <c r="I704" s="0" t="n">
        <v>11</v>
      </c>
      <c r="J704" s="0" t="s">
        <v>1357</v>
      </c>
      <c r="K704" s="55" t="n">
        <v>142</v>
      </c>
    </row>
    <row r="705" customFormat="false" ht="15" hidden="false" customHeight="false" outlineLevel="0" collapsed="false">
      <c r="A705" s="0" t="n">
        <v>2</v>
      </c>
      <c r="B705" s="0" t="n">
        <v>311270</v>
      </c>
      <c r="C705" s="0" t="s">
        <v>1363</v>
      </c>
      <c r="D705" s="0" t="s">
        <v>1385</v>
      </c>
      <c r="E705" s="54" t="n">
        <v>46251</v>
      </c>
      <c r="F705" s="54" t="n">
        <v>46248</v>
      </c>
      <c r="G705" s="0" t="s">
        <v>208</v>
      </c>
      <c r="H705" s="0" t="n">
        <v>1562946</v>
      </c>
      <c r="I705" s="0" t="n">
        <v>11</v>
      </c>
      <c r="J705" s="0" t="s">
        <v>1357</v>
      </c>
      <c r="K705" s="55" t="n">
        <v>1976.4</v>
      </c>
    </row>
    <row r="706" customFormat="false" ht="15" hidden="false" customHeight="false" outlineLevel="0" collapsed="false">
      <c r="A706" s="0" t="n">
        <v>2</v>
      </c>
      <c r="B706" s="0" t="n">
        <v>15061</v>
      </c>
      <c r="C706" s="0" t="s">
        <v>1363</v>
      </c>
      <c r="D706" s="0" t="s">
        <v>1364</v>
      </c>
      <c r="E706" s="54" t="n">
        <v>46251</v>
      </c>
      <c r="F706" s="54" t="n">
        <v>46249</v>
      </c>
      <c r="G706" s="0" t="s">
        <v>248</v>
      </c>
      <c r="H706" s="0" t="n">
        <v>1562567</v>
      </c>
      <c r="I706" s="0" t="n">
        <v>11</v>
      </c>
      <c r="J706" s="0" t="s">
        <v>1357</v>
      </c>
      <c r="K706" s="55" t="n">
        <v>3472.5</v>
      </c>
    </row>
    <row r="707" customFormat="false" ht="15" hidden="false" customHeight="false" outlineLevel="0" collapsed="false">
      <c r="A707" s="0" t="n">
        <v>2</v>
      </c>
      <c r="B707" s="0" t="n">
        <v>2609</v>
      </c>
      <c r="C707" s="0" t="s">
        <v>1363</v>
      </c>
      <c r="D707" s="0" t="s">
        <v>1373</v>
      </c>
      <c r="E707" s="54" t="n">
        <v>46251</v>
      </c>
      <c r="F707" s="54" t="n">
        <v>46251</v>
      </c>
      <c r="G707" s="0" t="s">
        <v>132</v>
      </c>
      <c r="H707" s="0" t="n">
        <v>1562623</v>
      </c>
      <c r="I707" s="0" t="n">
        <v>6</v>
      </c>
      <c r="J707" s="0" t="s">
        <v>1357</v>
      </c>
      <c r="K707" s="55" t="n">
        <v>225</v>
      </c>
    </row>
    <row r="708" customFormat="false" ht="15" hidden="false" customHeight="false" outlineLevel="0" collapsed="false">
      <c r="A708" s="0" t="n">
        <v>2</v>
      </c>
      <c r="B708" s="0" t="n">
        <v>195597</v>
      </c>
      <c r="C708" s="0" t="s">
        <v>1418</v>
      </c>
      <c r="D708" s="0" t="s">
        <v>1420</v>
      </c>
      <c r="E708" s="54" t="n">
        <v>46251</v>
      </c>
      <c r="F708" s="54" t="n">
        <v>46249</v>
      </c>
      <c r="G708" s="0" t="s">
        <v>168</v>
      </c>
      <c r="H708" s="0" t="n">
        <v>1561177</v>
      </c>
      <c r="I708" s="0" t="n">
        <v>11</v>
      </c>
      <c r="J708" s="0" t="s">
        <v>1357</v>
      </c>
      <c r="K708" s="55" t="n">
        <v>1199.7</v>
      </c>
    </row>
    <row r="709" customFormat="false" ht="15" hidden="false" customHeight="false" outlineLevel="0" collapsed="false">
      <c r="A709" s="0" t="n">
        <v>2</v>
      </c>
      <c r="B709" s="0" t="n">
        <v>605</v>
      </c>
      <c r="C709" s="0" t="s">
        <v>1363</v>
      </c>
      <c r="D709" s="0" t="s">
        <v>1368</v>
      </c>
      <c r="E709" s="54" t="n">
        <v>46252</v>
      </c>
      <c r="F709" s="54" t="n">
        <v>46251</v>
      </c>
      <c r="G709" s="0" t="s">
        <v>130</v>
      </c>
      <c r="H709" s="0" t="n">
        <v>1566508</v>
      </c>
      <c r="I709" s="0" t="n">
        <v>11</v>
      </c>
      <c r="J709" s="0" t="s">
        <v>1357</v>
      </c>
      <c r="K709" s="55" t="n">
        <v>204</v>
      </c>
    </row>
    <row r="710" customFormat="false" ht="15" hidden="false" customHeight="false" outlineLevel="0" collapsed="false">
      <c r="A710" s="0" t="n">
        <v>2</v>
      </c>
      <c r="B710" s="0" t="n">
        <v>1993231</v>
      </c>
      <c r="C710" s="0" t="s">
        <v>1360</v>
      </c>
      <c r="D710" s="0" t="s">
        <v>1359</v>
      </c>
      <c r="E710" s="54" t="n">
        <v>46252</v>
      </c>
      <c r="F710" s="54" t="n">
        <v>46248</v>
      </c>
      <c r="G710" s="0" t="s">
        <v>119</v>
      </c>
      <c r="H710" s="0" t="n">
        <v>1567564</v>
      </c>
      <c r="I710" s="0" t="n">
        <v>11</v>
      </c>
      <c r="J710" s="0" t="s">
        <v>1357</v>
      </c>
      <c r="K710" s="55" t="n">
        <v>2351.65</v>
      </c>
    </row>
    <row r="711" customFormat="false" ht="15" hidden="false" customHeight="false" outlineLevel="0" collapsed="false">
      <c r="A711" s="0" t="n">
        <v>2</v>
      </c>
      <c r="B711" s="0" t="n">
        <v>1037278</v>
      </c>
      <c r="C711" s="0" t="s">
        <v>1363</v>
      </c>
      <c r="D711" s="0" t="s">
        <v>1370</v>
      </c>
      <c r="E711" s="54" t="n">
        <v>46252</v>
      </c>
      <c r="F711" s="54" t="n">
        <v>46251</v>
      </c>
      <c r="G711" s="0" t="s">
        <v>210</v>
      </c>
      <c r="H711" s="0" t="n">
        <v>1566640</v>
      </c>
      <c r="I711" s="0" t="n">
        <v>11</v>
      </c>
      <c r="J711" s="0" t="s">
        <v>1357</v>
      </c>
      <c r="K711" s="55" t="n">
        <v>512.38</v>
      </c>
    </row>
    <row r="712" customFormat="false" ht="15" hidden="false" customHeight="false" outlineLevel="0" collapsed="false">
      <c r="A712" s="0" t="n">
        <v>2</v>
      </c>
      <c r="B712" s="0" t="n">
        <v>1665386</v>
      </c>
      <c r="C712" s="0" t="s">
        <v>1361</v>
      </c>
      <c r="D712" s="0" t="s">
        <v>1362</v>
      </c>
      <c r="E712" s="54" t="n">
        <v>46252</v>
      </c>
      <c r="F712" s="54" t="n">
        <v>46251</v>
      </c>
      <c r="G712" s="0" t="s">
        <v>369</v>
      </c>
      <c r="H712" s="0" t="n">
        <v>1566483</v>
      </c>
      <c r="I712" s="0" t="n">
        <v>11</v>
      </c>
      <c r="J712" s="0" t="s">
        <v>1357</v>
      </c>
      <c r="K712" s="55" t="n">
        <v>151</v>
      </c>
    </row>
    <row r="713" customFormat="false" ht="15" hidden="false" customHeight="false" outlineLevel="0" collapsed="false">
      <c r="A713" s="0" t="n">
        <v>2</v>
      </c>
      <c r="B713" s="0" t="n">
        <v>2310769</v>
      </c>
      <c r="C713" s="0" t="s">
        <v>1363</v>
      </c>
      <c r="D713" s="0" t="s">
        <v>1476</v>
      </c>
      <c r="E713" s="54" t="n">
        <v>46252</v>
      </c>
      <c r="F713" s="54" t="n">
        <v>46252</v>
      </c>
      <c r="G713" s="0" t="s">
        <v>76</v>
      </c>
      <c r="H713" s="0" t="n">
        <v>1567410</v>
      </c>
      <c r="I713" s="0" t="n">
        <v>11</v>
      </c>
      <c r="J713" s="0" t="s">
        <v>1357</v>
      </c>
      <c r="K713" s="55" t="n">
        <v>3463.94</v>
      </c>
    </row>
    <row r="714" customFormat="false" ht="15" hidden="false" customHeight="false" outlineLevel="0" collapsed="false">
      <c r="A714" s="0" t="n">
        <v>2</v>
      </c>
      <c r="B714" s="0" t="n">
        <v>160332</v>
      </c>
      <c r="C714" s="0" t="s">
        <v>1404</v>
      </c>
      <c r="D714" s="0" t="s">
        <v>1496</v>
      </c>
      <c r="E714" s="54" t="n">
        <v>46252</v>
      </c>
      <c r="F714" s="54" t="n">
        <v>46248</v>
      </c>
      <c r="G714" s="0" t="s">
        <v>1236</v>
      </c>
      <c r="H714" s="0" t="n">
        <v>1568081</v>
      </c>
      <c r="I714" s="0" t="n">
        <v>11</v>
      </c>
      <c r="J714" s="0" t="s">
        <v>1357</v>
      </c>
      <c r="K714" s="55" t="n">
        <v>1937.14</v>
      </c>
    </row>
    <row r="715" customFormat="false" ht="15" hidden="false" customHeight="false" outlineLevel="0" collapsed="false">
      <c r="A715" s="0" t="n">
        <v>2</v>
      </c>
      <c r="B715" s="0" t="n">
        <v>311351</v>
      </c>
      <c r="C715" s="0" t="s">
        <v>1363</v>
      </c>
      <c r="D715" s="0" t="s">
        <v>1385</v>
      </c>
      <c r="E715" s="54" t="n">
        <v>46252</v>
      </c>
      <c r="F715" s="54" t="n">
        <v>46251</v>
      </c>
      <c r="G715" s="0" t="s">
        <v>208</v>
      </c>
      <c r="H715" s="0" t="n">
        <v>1568205</v>
      </c>
      <c r="I715" s="0" t="n">
        <v>11</v>
      </c>
      <c r="J715" s="0" t="s">
        <v>1357</v>
      </c>
      <c r="K715" s="55" t="n">
        <v>949.5</v>
      </c>
    </row>
    <row r="716" customFormat="false" ht="15" hidden="false" customHeight="false" outlineLevel="0" collapsed="false">
      <c r="A716" s="0" t="n">
        <v>2</v>
      </c>
      <c r="B716" s="0" t="n">
        <v>508442</v>
      </c>
      <c r="C716" s="0" t="s">
        <v>1363</v>
      </c>
      <c r="D716" s="0" t="s">
        <v>1481</v>
      </c>
      <c r="E716" s="54" t="n">
        <v>46252</v>
      </c>
      <c r="F716" s="54" t="n">
        <v>46248</v>
      </c>
      <c r="G716" s="0" t="s">
        <v>263</v>
      </c>
      <c r="H716" s="0" t="n">
        <v>1566789</v>
      </c>
      <c r="I716" s="0" t="n">
        <v>11</v>
      </c>
      <c r="J716" s="0" t="s">
        <v>1357</v>
      </c>
      <c r="K716" s="55" t="n">
        <v>470.34</v>
      </c>
    </row>
    <row r="717" customFormat="false" ht="15" hidden="false" customHeight="false" outlineLevel="0" collapsed="false">
      <c r="A717" s="0" t="n">
        <v>2</v>
      </c>
      <c r="B717" s="0" t="n">
        <v>2610</v>
      </c>
      <c r="C717" s="0" t="s">
        <v>1363</v>
      </c>
      <c r="D717" s="0" t="s">
        <v>1373</v>
      </c>
      <c r="E717" s="54" t="n">
        <v>46252</v>
      </c>
      <c r="F717" s="54" t="n">
        <v>46252</v>
      </c>
      <c r="G717" s="0" t="s">
        <v>132</v>
      </c>
      <c r="H717" s="0" t="n">
        <v>1567601</v>
      </c>
      <c r="I717" s="0" t="n">
        <v>6</v>
      </c>
      <c r="J717" s="0" t="s">
        <v>1357</v>
      </c>
      <c r="K717" s="55" t="n">
        <v>200</v>
      </c>
    </row>
    <row r="718" customFormat="false" ht="15" hidden="false" customHeight="false" outlineLevel="0" collapsed="false">
      <c r="A718" s="0" t="n">
        <v>2</v>
      </c>
      <c r="B718" s="0" t="n">
        <v>2611</v>
      </c>
      <c r="C718" s="0" t="s">
        <v>1363</v>
      </c>
      <c r="D718" s="0" t="s">
        <v>1373</v>
      </c>
      <c r="E718" s="54" t="n">
        <v>46252</v>
      </c>
      <c r="F718" s="54" t="n">
        <v>46252</v>
      </c>
      <c r="G718" s="0" t="s">
        <v>132</v>
      </c>
      <c r="H718" s="0" t="n">
        <v>1567627</v>
      </c>
      <c r="I718" s="0" t="n">
        <v>6</v>
      </c>
      <c r="J718" s="0" t="s">
        <v>1357</v>
      </c>
      <c r="K718" s="55" t="n">
        <v>1404</v>
      </c>
    </row>
    <row r="719" customFormat="false" ht="15" hidden="false" customHeight="false" outlineLevel="0" collapsed="false">
      <c r="A719" s="0" t="n">
        <v>2</v>
      </c>
      <c r="B719" s="0" t="n">
        <v>4402</v>
      </c>
      <c r="C719" s="0" t="s">
        <v>1363</v>
      </c>
      <c r="D719" s="0" t="s">
        <v>1374</v>
      </c>
      <c r="E719" s="54" t="n">
        <v>46252</v>
      </c>
      <c r="F719" s="54" t="n">
        <v>46251</v>
      </c>
      <c r="G719" s="0" t="s">
        <v>92</v>
      </c>
      <c r="H719" s="0" t="n">
        <v>1566662</v>
      </c>
      <c r="I719" s="0" t="n">
        <v>11</v>
      </c>
      <c r="J719" s="0" t="s">
        <v>1357</v>
      </c>
      <c r="K719" s="55" t="n">
        <v>301.95</v>
      </c>
    </row>
    <row r="720" customFormat="false" ht="15" hidden="false" customHeight="false" outlineLevel="0" collapsed="false">
      <c r="A720" s="0" t="n">
        <v>2</v>
      </c>
      <c r="B720" s="0" t="n">
        <v>767</v>
      </c>
      <c r="C720" s="0" t="s">
        <v>1355</v>
      </c>
      <c r="D720" s="0" t="s">
        <v>1365</v>
      </c>
      <c r="E720" s="54" t="n">
        <v>46252</v>
      </c>
      <c r="F720" s="54" t="n">
        <v>46251</v>
      </c>
      <c r="G720" s="0" t="s">
        <v>194</v>
      </c>
      <c r="H720" s="0" t="n">
        <v>1566531</v>
      </c>
      <c r="I720" s="0" t="n">
        <v>11</v>
      </c>
      <c r="J720" s="0" t="s">
        <v>1357</v>
      </c>
      <c r="K720" s="55" t="n">
        <v>237.74</v>
      </c>
    </row>
    <row r="721" customFormat="false" ht="15" hidden="false" customHeight="false" outlineLevel="0" collapsed="false">
      <c r="A721" s="0" t="n">
        <v>2</v>
      </c>
      <c r="B721" s="0" t="n">
        <v>211355</v>
      </c>
      <c r="C721" s="0" t="s">
        <v>1363</v>
      </c>
      <c r="D721" s="0" t="s">
        <v>1455</v>
      </c>
      <c r="E721" s="54" t="n">
        <v>46252</v>
      </c>
      <c r="F721" s="54" t="n">
        <v>46251</v>
      </c>
      <c r="G721" s="0" t="s">
        <v>684</v>
      </c>
      <c r="H721" s="0" t="n">
        <v>1566715</v>
      </c>
      <c r="I721" s="0" t="n">
        <v>11</v>
      </c>
      <c r="J721" s="0" t="s">
        <v>1357</v>
      </c>
      <c r="K721" s="55" t="n">
        <v>1753.92</v>
      </c>
    </row>
    <row r="722" customFormat="false" ht="15" hidden="false" customHeight="false" outlineLevel="0" collapsed="false">
      <c r="A722" s="0" t="n">
        <v>2</v>
      </c>
      <c r="B722" s="0" t="n">
        <v>586415</v>
      </c>
      <c r="C722" s="0" t="s">
        <v>1363</v>
      </c>
      <c r="D722" s="0" t="s">
        <v>1469</v>
      </c>
      <c r="E722" s="54" t="n">
        <v>46252</v>
      </c>
      <c r="F722" s="54" t="n">
        <v>46247</v>
      </c>
      <c r="G722" s="0" t="s">
        <v>88</v>
      </c>
      <c r="H722" s="0" t="n">
        <v>1567122</v>
      </c>
      <c r="I722" s="0" t="n">
        <v>11</v>
      </c>
      <c r="J722" s="0" t="s">
        <v>1357</v>
      </c>
      <c r="K722" s="55" t="n">
        <v>3175.25</v>
      </c>
    </row>
    <row r="723" customFormat="false" ht="15" hidden="false" customHeight="false" outlineLevel="0" collapsed="false">
      <c r="A723" s="0" t="n">
        <v>2</v>
      </c>
      <c r="B723" s="0" t="n">
        <v>12793</v>
      </c>
      <c r="C723" s="0" t="s">
        <v>1418</v>
      </c>
      <c r="D723" s="0" t="s">
        <v>1497</v>
      </c>
      <c r="E723" s="54" t="n">
        <v>46252</v>
      </c>
      <c r="F723" s="54" t="n">
        <v>46245</v>
      </c>
      <c r="G723" s="0" t="s">
        <v>1212</v>
      </c>
      <c r="H723" s="0" t="n">
        <v>1566577</v>
      </c>
      <c r="I723" s="0" t="n">
        <v>11</v>
      </c>
      <c r="J723" s="0" t="s">
        <v>1357</v>
      </c>
      <c r="K723" s="55" t="n">
        <v>855.99</v>
      </c>
    </row>
    <row r="724" customFormat="false" ht="15" hidden="false" customHeight="false" outlineLevel="0" collapsed="false">
      <c r="A724" s="0" t="n">
        <v>2</v>
      </c>
      <c r="B724" s="0" t="n">
        <v>3745</v>
      </c>
      <c r="C724" s="0" t="s">
        <v>1418</v>
      </c>
      <c r="D724" s="0" t="s">
        <v>1375</v>
      </c>
      <c r="E724" s="54" t="n">
        <v>46253</v>
      </c>
      <c r="F724" s="54" t="n">
        <v>46252</v>
      </c>
      <c r="G724" s="0" t="s">
        <v>117</v>
      </c>
      <c r="H724" s="0" t="n">
        <v>1570866</v>
      </c>
      <c r="I724" s="0" t="n">
        <v>11</v>
      </c>
      <c r="J724" s="0" t="s">
        <v>1357</v>
      </c>
      <c r="K724" s="55" t="n">
        <v>1276.2</v>
      </c>
    </row>
    <row r="725" customFormat="false" ht="15" hidden="false" customHeight="false" outlineLevel="0" collapsed="false">
      <c r="A725" s="0" t="n">
        <v>2</v>
      </c>
      <c r="B725" s="0" t="n">
        <v>175038</v>
      </c>
      <c r="C725" s="0" t="s">
        <v>1363</v>
      </c>
      <c r="D725" s="0" t="s">
        <v>1376</v>
      </c>
      <c r="E725" s="54" t="n">
        <v>46253</v>
      </c>
      <c r="F725" s="54" t="n">
        <v>46252</v>
      </c>
      <c r="G725" s="0" t="s">
        <v>332</v>
      </c>
      <c r="H725" s="0" t="n">
        <v>1572387</v>
      </c>
      <c r="I725" s="0" t="n">
        <v>11</v>
      </c>
      <c r="J725" s="0" t="s">
        <v>1357</v>
      </c>
      <c r="K725" s="55" t="n">
        <v>2334.75</v>
      </c>
    </row>
    <row r="726" customFormat="false" ht="15" hidden="false" customHeight="false" outlineLevel="0" collapsed="false">
      <c r="A726" s="0" t="n">
        <v>2</v>
      </c>
      <c r="B726" s="0" t="n">
        <v>654907</v>
      </c>
      <c r="C726" s="0" t="s">
        <v>1363</v>
      </c>
      <c r="D726" s="0" t="s">
        <v>1413</v>
      </c>
      <c r="E726" s="54" t="n">
        <v>46253</v>
      </c>
      <c r="F726" s="54" t="n">
        <v>46248</v>
      </c>
      <c r="G726" s="0" t="s">
        <v>80</v>
      </c>
      <c r="H726" s="0" t="n">
        <v>1570965</v>
      </c>
      <c r="I726" s="0" t="n">
        <v>11</v>
      </c>
      <c r="J726" s="0" t="s">
        <v>1357</v>
      </c>
      <c r="K726" s="55" t="n">
        <v>1213.11</v>
      </c>
    </row>
    <row r="727" customFormat="false" ht="15" hidden="false" customHeight="false" outlineLevel="0" collapsed="false">
      <c r="A727" s="0" t="n">
        <v>2</v>
      </c>
      <c r="B727" s="0" t="n">
        <v>654908</v>
      </c>
      <c r="C727" s="0" t="s">
        <v>1363</v>
      </c>
      <c r="D727" s="0" t="s">
        <v>1413</v>
      </c>
      <c r="E727" s="54" t="n">
        <v>46253</v>
      </c>
      <c r="F727" s="54" t="n">
        <v>46248</v>
      </c>
      <c r="G727" s="0" t="s">
        <v>80</v>
      </c>
      <c r="H727" s="0" t="n">
        <v>1570885</v>
      </c>
      <c r="I727" s="0" t="n">
        <v>11</v>
      </c>
      <c r="J727" s="0" t="s">
        <v>1357</v>
      </c>
      <c r="K727" s="55" t="n">
        <v>431.3</v>
      </c>
    </row>
    <row r="728" customFormat="false" ht="15" hidden="false" customHeight="false" outlineLevel="0" collapsed="false">
      <c r="A728" s="0" t="n">
        <v>2</v>
      </c>
      <c r="B728" s="0" t="n">
        <v>319296</v>
      </c>
      <c r="C728" s="0" t="s">
        <v>1363</v>
      </c>
      <c r="D728" s="0" t="s">
        <v>1462</v>
      </c>
      <c r="E728" s="54" t="n">
        <v>46253</v>
      </c>
      <c r="F728" s="54" t="n">
        <v>46247</v>
      </c>
      <c r="G728" s="0" t="s">
        <v>818</v>
      </c>
      <c r="H728" s="0" t="n">
        <v>1572684</v>
      </c>
      <c r="I728" s="0" t="n">
        <v>11</v>
      </c>
      <c r="J728" s="0" t="s">
        <v>1357</v>
      </c>
      <c r="K728" s="55" t="n">
        <v>812.8</v>
      </c>
    </row>
    <row r="729" customFormat="false" ht="15" hidden="false" customHeight="false" outlineLevel="0" collapsed="false">
      <c r="A729" s="0" t="n">
        <v>2</v>
      </c>
      <c r="B729" s="0" t="n">
        <v>319297</v>
      </c>
      <c r="C729" s="0" t="s">
        <v>1363</v>
      </c>
      <c r="D729" s="0" t="s">
        <v>1462</v>
      </c>
      <c r="E729" s="54" t="n">
        <v>46253</v>
      </c>
      <c r="F729" s="54" t="n">
        <v>46247</v>
      </c>
      <c r="G729" s="0" t="s">
        <v>818</v>
      </c>
      <c r="H729" s="0" t="n">
        <v>1572075</v>
      </c>
      <c r="I729" s="0" t="n">
        <v>11</v>
      </c>
      <c r="J729" s="0" t="s">
        <v>1357</v>
      </c>
      <c r="K729" s="55" t="n">
        <v>2138.5</v>
      </c>
    </row>
    <row r="730" customFormat="false" ht="15" hidden="false" customHeight="false" outlineLevel="0" collapsed="false">
      <c r="A730" s="0" t="n">
        <v>2</v>
      </c>
      <c r="B730" s="0" t="n">
        <v>2612</v>
      </c>
      <c r="C730" s="0" t="s">
        <v>1363</v>
      </c>
      <c r="D730" s="0" t="s">
        <v>1373</v>
      </c>
      <c r="E730" s="54" t="n">
        <v>46253</v>
      </c>
      <c r="F730" s="54" t="n">
        <v>46253</v>
      </c>
      <c r="G730" s="0" t="s">
        <v>132</v>
      </c>
      <c r="H730" s="0" t="n">
        <v>1572278</v>
      </c>
      <c r="I730" s="0" t="n">
        <v>6</v>
      </c>
      <c r="J730" s="0" t="s">
        <v>1357</v>
      </c>
      <c r="K730" s="55" t="n">
        <v>225</v>
      </c>
    </row>
    <row r="731" customFormat="false" ht="15" hidden="false" customHeight="false" outlineLevel="0" collapsed="false">
      <c r="A731" s="0" t="n">
        <v>2</v>
      </c>
      <c r="B731" s="0" t="n">
        <v>265359</v>
      </c>
      <c r="C731" s="0" t="s">
        <v>1363</v>
      </c>
      <c r="D731" s="0" t="s">
        <v>1438</v>
      </c>
      <c r="E731" s="54" t="n">
        <v>46253</v>
      </c>
      <c r="F731" s="54" t="n">
        <v>46247</v>
      </c>
      <c r="G731" s="0" t="s">
        <v>245</v>
      </c>
      <c r="H731" s="0" t="n">
        <v>1572865</v>
      </c>
      <c r="I731" s="0" t="n">
        <v>11</v>
      </c>
      <c r="J731" s="0" t="s">
        <v>1357</v>
      </c>
      <c r="K731" s="55" t="n">
        <v>1644.54</v>
      </c>
    </row>
    <row r="732" customFormat="false" ht="15" hidden="false" customHeight="false" outlineLevel="0" collapsed="false">
      <c r="A732" s="0" t="n">
        <v>2</v>
      </c>
      <c r="B732" s="0" t="n">
        <v>1666696</v>
      </c>
      <c r="C732" s="0" t="s">
        <v>1361</v>
      </c>
      <c r="D732" s="0" t="s">
        <v>1362</v>
      </c>
      <c r="E732" s="54" t="n">
        <v>46254</v>
      </c>
      <c r="F732" s="54" t="n">
        <v>46253</v>
      </c>
      <c r="G732" s="0" t="s">
        <v>369</v>
      </c>
      <c r="H732" s="0" t="n">
        <v>1576171</v>
      </c>
      <c r="I732" s="0" t="n">
        <v>11</v>
      </c>
      <c r="J732" s="0" t="s">
        <v>1357</v>
      </c>
      <c r="K732" s="55" t="n">
        <v>156</v>
      </c>
    </row>
    <row r="733" customFormat="false" ht="15" hidden="false" customHeight="false" outlineLevel="0" collapsed="false">
      <c r="A733" s="0" t="n">
        <v>2</v>
      </c>
      <c r="B733" s="0" t="n">
        <v>37213</v>
      </c>
      <c r="C733" s="0" t="s">
        <v>1363</v>
      </c>
      <c r="D733" s="0" t="s">
        <v>1498</v>
      </c>
      <c r="E733" s="54" t="n">
        <v>46254</v>
      </c>
      <c r="F733" s="54" t="n">
        <v>46252</v>
      </c>
      <c r="G733" s="0" t="s">
        <v>1240</v>
      </c>
      <c r="H733" s="0" t="n">
        <v>1576139</v>
      </c>
      <c r="I733" s="0" t="n">
        <v>11</v>
      </c>
      <c r="J733" s="0" t="s">
        <v>1357</v>
      </c>
      <c r="K733" s="55" t="n">
        <v>842</v>
      </c>
    </row>
    <row r="734" customFormat="false" ht="15" hidden="false" customHeight="false" outlineLevel="0" collapsed="false">
      <c r="A734" s="0" t="n">
        <v>2</v>
      </c>
      <c r="B734" s="0" t="n">
        <v>2617</v>
      </c>
      <c r="C734" s="0" t="s">
        <v>1363</v>
      </c>
      <c r="D734" s="0" t="s">
        <v>1373</v>
      </c>
      <c r="E734" s="54" t="n">
        <v>46254</v>
      </c>
      <c r="F734" s="54" t="n">
        <v>46254</v>
      </c>
      <c r="G734" s="0" t="s">
        <v>132</v>
      </c>
      <c r="H734" s="0" t="n">
        <v>1576425</v>
      </c>
      <c r="I734" s="0" t="n">
        <v>6</v>
      </c>
      <c r="J734" s="0" t="s">
        <v>1357</v>
      </c>
      <c r="K734" s="55" t="n">
        <v>300</v>
      </c>
    </row>
    <row r="735" customFormat="false" ht="15" hidden="false" customHeight="false" outlineLevel="0" collapsed="false">
      <c r="A735" s="0" t="n">
        <v>2</v>
      </c>
      <c r="B735" s="0" t="n">
        <v>32564</v>
      </c>
      <c r="C735" s="0" t="s">
        <v>1363</v>
      </c>
      <c r="D735" s="0" t="s">
        <v>1378</v>
      </c>
      <c r="E735" s="54" t="n">
        <v>46254</v>
      </c>
      <c r="F735" s="54" t="n">
        <v>46253</v>
      </c>
      <c r="G735" s="0" t="s">
        <v>128</v>
      </c>
      <c r="H735" s="0" t="n">
        <v>1576222</v>
      </c>
      <c r="I735" s="0" t="n">
        <v>11</v>
      </c>
      <c r="J735" s="0" t="s">
        <v>1357</v>
      </c>
      <c r="K735" s="55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2026-08-20T19:06:36Z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