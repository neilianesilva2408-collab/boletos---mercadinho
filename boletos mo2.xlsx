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<sst xmlns="http://schemas.openxmlformats.org/spreadsheetml/2006/main" count="16148" uniqueCount="1528">
  <si>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</si>
  <si>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</si>
  <si>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</si>
  <si>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</si>
  <si>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</si>
  <si>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</si>
  <si>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</si>
  <si>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</si>
  <si>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</si>
  <si>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</si>
  <si>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</si>
  <si>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</si>
  <si>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</si>
  <si>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</si>
  <si>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</si>
  <si>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</si>
  <si>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</si>
  <si>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</si>
  <si>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</si>
  <si>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</si>
  <si>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</si>
  <si>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</si>
  <si>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</si>
  <si>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</si>
  <si>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</si>
  <si>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</si>
  <si>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</si>
  <si>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</si>
  <si>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</si>
  <si>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</si>
  <si>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</si>
  <si>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</si>
  <si>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</si>
  <si>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</si>
  <si>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</si>
  <si>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</si>
  <si>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SILVIA FERREIRA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</si>
  <si>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</si>
  <si>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</si>
  <si>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</si>
  <si>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</si>
  <si>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</si>
  <si>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</si>
  <si>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</si>
  <si>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</si>
  <si>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</si>
  <si>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</si>
  <si>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</si>
  <si>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</si>
  <si>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</si>
  <si>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</si>
  <si>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</si>
  <si>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</si>
  <si>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</si>
  <si>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</si>
  <si>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</si>
  <si>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</si>
  <si>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</si>
  <si>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</si>
  <si>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</si>
  <si>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</si>
  <si>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</si>
  <si>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</si>
  <si>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</si>
  <si>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</si>
  <si>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</si>
  <si>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</si>
  <si>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</si>
  <si>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</si>
  <si>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</si>
  <si>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</si>
  <si>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</si>
  <si>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</si>
  <si>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</si>
  <si>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</si>
  <si>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</si>
  <si>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</si>
  <si>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</si>
  <si>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</si>
  <si>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</si>
  <si>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</si>
  <si>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</si>
  <si>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</si>
  <si>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</si>
  <si>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</si>
  <si>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</si>
  <si>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</si>
  <si>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</si>
  <si>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</si>
  <si>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</si>
  <si>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</si>
  <si>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</si>
  <si>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</si>
  <si>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</si>
  <si>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</si>
  <si>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</si>
  <si>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</si>
  <si>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</si>
  <si>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</si>
  <si>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</si>
  <si>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</si>
  <si>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</si>
  <si>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</si>
  <si>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</si>
  <si>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</si>
  <si>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</si>
  <si>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</si>
  <si>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</si>
  <si>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BANCO ITAU Lj 02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</si>
  <si>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</si>
  <si>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</si>
  <si>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</si>
  <si>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</si>
  <si>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</si>
  <si>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</si>
  <si>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</si>
  <si>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</si>
  <si>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</si>
  <si>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</si>
  <si>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</si>
  <si>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</si>
  <si>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</si>
  <si>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</si>
  <si>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</si>
  <si>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</si>
  <si>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</si>
  <si>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</si>
  <si>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</si>
  <si>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</si>
  <si>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</si>
  <si>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</si>
  <si>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</si>
  <si>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</si>
  <si>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</si>
  <si>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</si>
  <si>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</si>
  <si>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</si>
  <si>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</si>
  <si>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</si>
  <si>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</si>
  <si>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</si>
  <si>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</si>
  <si>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</si>
  <si>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</si>
  <si>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</si>
  <si>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</si>
  <si>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</si>
  <si>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</si>
  <si>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</si>
  <si>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</si>
  <si>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</si>
  <si>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</si>
  <si>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</si>
  <si>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</si>
  <si>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</si>
  <si>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</si>
  <si>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</si>
  <si>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</si>
  <si>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</si>
  <si>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</si>
  <si>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</si>
  <si>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</si>
  <si>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</si>
  <si>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</si>
  <si>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</si>
  <si>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</si>
  <si>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</si>
  <si>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</si>
  <si>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</si>
  <si>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</si>
  <si>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</si>
  <si>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</si>
  <si>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</si>
  <si>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</si>
  <si>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</si>
  <si>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</si>
  <si>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</si>
  <si>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</si>
  <si>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</si>
  <si>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</si>
  <si>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</si>
  <si>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</si>
  <si>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</si>
  <si>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</si>
  <si>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</si>
  <si>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</si>
  <si>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</si>
  <si>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</si>
  <si>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</si>
  <si>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</si>
  <si>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</si>
  <si>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</si>
  <si>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</si>
  <si>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</si>
  <si>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</si>
  <si>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</si>
  <si>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</si>
  <si>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</si>
  <si>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</si>
  <si>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</si>
  <si>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</si>
  <si>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</si>
  <si>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</si>
  <si>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</si>
  <si>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</si>
  <si>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</si>
  <si>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</si>
  <si>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</si>
  <si>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</si>
  <si>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</si>
  <si>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</si>
  <si>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</si>
  <si>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</si>
  <si>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</si>
  <si>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</si>
  <si>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</si>
  <si>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</si>
  <si>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</si>
  <si>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</si>
  <si>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</si>
  <si>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</si>
  <si>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</si>
  <si>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</si>
  <si>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</si>
  <si>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</si>
  <si>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</si>
  <si>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</si>
  <si>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</si>
  <si>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</si>
  <si>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</si>
  <si>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</si>
  <si>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</si>
  <si>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</si>
  <si>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</si>
  <si>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</si>
  <si>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</si>
  <si>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</si>
  <si>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</si>
  <si>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</si>
  <si>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</si>
  <si>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</si>
  <si>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</si>
  <si>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</si>
  <si>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</si>
  <si>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</si>
  <si>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</si>
  <si>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</si>
  <si>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</si>
  <si>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</si>
  <si>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</si>
  <si>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</si>
  <si>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</si>
  <si>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</si>
  <si>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</si>
  <si>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</si>
  <si>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</si>
  <si>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</si>
  <si>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</si>
  <si>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</si>
  <si>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</si>
  <si>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</si>
  <si>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</si>
  <si>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</si>
  <si>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</si>
  <si>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</si>
  <si>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</si>
  <si>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</si>
  <si>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</si>
  <si>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</si>
  <si>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</si>
  <si>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</si>
  <si>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</si>
  <si>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</si>
  <si>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</si>
  <si>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</si>
  <si>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</si>
  <si>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</si>
  <si>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</si>
  <si>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</si>
  <si>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</si>
  <si>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</si>
  <si>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</si>
  <si>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</si>
  <si>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</si>
  <si>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</si>
  <si>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</si>
  <si>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</si>
  <si>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</si>
  <si>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</si>
  <si>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</si>
  <si>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</si>
  <si>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</si>
  <si>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</si>
  <si>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</si>
  <si>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</si>
  <si>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</si>
  <si>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</si>
  <si>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</si>
  <si>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</si>
  <si>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</si>
  <si>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</si>
  <si>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</si>
  <si>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</si>
  <si>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</si>
  <si>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</si>
  <si>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</si>
  <si>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</si>
  <si>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</si>
  <si>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</si>
  <si>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</si>
  <si>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</si>
  <si>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</si>
  <si>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</si>
  <si>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</si>
  <si>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</si>
  <si>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</si>
  <si>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</si>
  <si>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</si>
  <si>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</si>
  <si>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</si>
  <si>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</si>
  <si>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</si>
  <si>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</si>
  <si>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</si>
  <si>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</si>
  <si>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</si>
  <si>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</si>
  <si>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</si>
  <si>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</si>
  <si>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</si>
  <si>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</si>
  <si>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</si>
  <si>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</si>
  <si>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</si>
  <si>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</si>
  <si>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</si>
  <si>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</si>
  <si>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</si>
  <si>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</si>
  <si>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</si>
  <si>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</si>
  <si>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</si>
  <si>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</si>
  <si>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</si>
  <si>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</si>
  <si>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</si>
  <si>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BANCO ITAU Lj 01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</si>
  <si>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</si>
  <si>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</si>
  <si>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</si>
  <si>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</si>
  <si>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</si>
  <si>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</si>
  <si>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</si>
  <si>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</si>
  <si>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</si>
  <si>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</si>
  <si>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</si>
  <si>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</si>
  <si>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</si>
  <si>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</si>
  <si>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</si>
  <si>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</si>
  <si>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</si>
  <si>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</si>
  <si>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</si>
  <si>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</si>
  <si>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</si>
  <si>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</si>
  <si>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</si>
  <si>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</si>
  <si>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</si>
  <si>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</si>
  <si>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</si>
  <si>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</si>
  <si>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</si>
  <si>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</si>
  <si>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</si>
  <si>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</si>
  <si>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</si>
  <si>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</si>
  <si>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</si>
  <si>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</si>
  <si>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</si>
  <si>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</si>
  <si>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</si>
  <si>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</si>
  <si>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</si>
  <si>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</si>
  <si>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</si>
  <si>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</si>
  <si>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</si>
  <si>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</si>
  <si>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</si>
  <si>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</si>
  <si>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</si>
  <si>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</si>
  <si>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</si>
  <si>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</si>
  <si>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</si>
  <si>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</si>
  <si>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</si>
  <si>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</si>
  <si>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</si>
  <si>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</si>
  <si>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</si>
  <si>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</si>
  <si>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</si>
  <si>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</si>
  <si>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</si>
  <si>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</si>
  <si>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</si>
  <si>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</si>
  <si>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</si>
  <si>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</si>
  <si>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</si>
  <si>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</si>
  <si>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</si>
  <si>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</si>
  <si>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</si>
  <si>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</si>
  <si>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</si>
  <si>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</si>
  <si>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</si>
  <si>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</si>
  <si>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</si>
  <si>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</si>
  <si>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</si>
  <si>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</si>
  <si>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</si>
  <si>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</si>
  <si>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</si>
  <si>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</si>
  <si>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</si>
  <si>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</si>
  <si>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</si>
  <si>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</si>
  <si>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</si>
  <si>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</si>
  <si>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</si>
  <si>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</si>
  <si>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</si>
  <si>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</si>
  <si>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</si>
  <si>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</si>
  <si>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</si>
  <si>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</si>
  <si>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</si>
  <si>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</si>
  <si>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</si>
  <si>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</si>
  <si>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</si>
  <si>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</si>
  <si>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</si>
  <si>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</si>
  <si>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</si>
  <si>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</si>
  <si>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</si>
  <si>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</si>
  <si>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</si>
  <si>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</si>
  <si>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</si>
  <si>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</si>
  <si>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</si>
  <si>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</si>
  <si>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</si>
  <si>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</si>
  <si>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</si>
  <si>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</si>
  <si>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</si>
  <si>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</si>
  <si>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</si>
  <si>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</si>
  <si>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</si>
  <si>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</si>
  <si>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</si>
  <si>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</si>
  <si>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</si>
  <si>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</si>
  <si>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</si>
  <si>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</si>
  <si>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</si>
  <si>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</si>
  <si>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</si>
  <si>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</si>
  <si>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</si>
  <si>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</si>
  <si>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</si>
  <si>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</si>
  <si>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</si>
  <si>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</si>
  <si>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</si>
  <si>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</si>
  <si>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</si>
  <si>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</si>
  <si>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</si>
  <si>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</si>
  <si>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</si>
  <si>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</si>
  <si>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</si>
  <si>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</si>
  <si>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</si>
  <si>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</si>
  <si>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</si>
  <si>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</si>
  <si>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</si>
  <si>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</si>
  <si>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</si>
  <si>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</si>
  <si>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</si>
  <si>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</si>
  <si>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</si>
  <si>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</si>
  <si>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</si>
  <si>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</si>
  <si>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</si>
  <si>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</si>
  <si>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</si>
  <si>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</si>
  <si>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</si>
  <si>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</si>
  <si>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</si>
  <si>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</si>
  <si>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</si>
  <si>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</si>
  <si>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</si>
  <si>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</si>
  <si>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</si>
  <si>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</si>
  <si>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</si>
  <si>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</si>
  <si>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</si>
  <si>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</si>
  <si>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</si>
  <si>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</si>
  <si>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</si>
  <si>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</si>
  <si>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</si>
  <si>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</si>
  <si>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</si>
  <si>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</si>
  <si>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</si>
  <si>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</si>
  <si>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</si>
  <si>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</si>
  <si>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</si>
  <si>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</si>
  <si>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</si>
  <si>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</si>
  <si>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</si>
  <si>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</si>
  <si>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</si>
  <si>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</si>
  <si>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</si>
  <si>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</si>
  <si>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</si>
  <si>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</si>
  <si>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</si>
  <si>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</si>
  <si>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</si>
  <si>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</si>
  <si>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</si>
  <si>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</si>
  <si>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</si>
  <si>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</si>
  <si>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</si>
  <si>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</si>
  <si>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</si>
  <si>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</si>
  <si>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</si>
  <si>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</si>
  <si>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</si>
  <si>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</si>
  <si>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</si>
  <si>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</si>
  <si>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</si>
  <si>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</si>
  <si>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</si>
  <si>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</si>
  <si>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</si>
  <si>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</si>
  <si>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</si>
  <si>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</si>
  <si>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</si>
  <si>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</si>
  <si>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</si>
  <si>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</si>
  <si>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</si>
  <si>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</si>
  <si>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</si>
  <si>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</si>
  <si>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</si>
  <si>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</si>
  <si>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</si>
  <si>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</si>
  <si>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</si>
  <si>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</si>
  <si>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</si>
  <si>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</si>
  <si>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</si>
  <si>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</si>
  <si>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</si>
  <si>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</si>
  <si>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</si>
  <si>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</si>
  <si>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</si>
  <si>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</si>
  <si>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</si>
  <si>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</si>
  <si>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</si>
  <si>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</si>
  <si>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</si>
  <si>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</si>
  <si>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</si>
  <si>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</si>
  <si>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</si>
  <si>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</si>
  <si>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</si>
  <si>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</si>
  <si>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</si>
  <si>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</si>
  <si>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</si>
  <si>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</si>
  <si>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</si>
  <si>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</si>
  <si>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</si>
  <si>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</si>
  <si>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</si>
  <si>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</si>
  <si>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</si>
  <si>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</si>
  <si>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</si>
  <si>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</si>
  <si>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</si>
  <si>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</si>
  <si>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</si>
  <si>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</si>
  <si>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</si>
  <si>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</si>
  <si>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</si>
  <si>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</si>
  <si>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</si>
  <si>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</si>
  <si>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</si>
  <si>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</si>
  <si>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</si>
  <si>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</si>
  <si>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</si>
  <si>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</si>
  <si>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</si>
  <si>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</si>
  <si>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MANUTENÇÃO ELETRICA</t>
  </si>
  <si>
    <t xml:space="preserve">DESPESA LOJA - COMPRAS CHARLES 06/26  - KEILA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</si>
  <si>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</si>
  <si>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</si>
  <si>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</si>
  <si>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</si>
  <si>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</si>
  <si>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</si>
  <si>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</si>
  <si>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</si>
  <si>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</si>
  <si>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</si>
  <si>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</si>
  <si>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</si>
  <si>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</si>
  <si>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</si>
  <si>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</si>
  <si>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</si>
  <si>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</si>
  <si>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</si>
  <si>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</si>
  <si>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</si>
  <si>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</si>
  <si>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</si>
  <si>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</si>
  <si>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</si>
  <si>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</si>
  <si>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</si>
  <si>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</si>
  <si>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</si>
  <si>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</si>
  <si>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</si>
  <si>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</si>
  <si>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</si>
  <si>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</si>
  <si>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</si>
  <si>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</si>
  <si>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</si>
  <si>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</si>
  <si>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</si>
  <si>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</si>
  <si>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</si>
  <si>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</si>
  <si>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</si>
  <si>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</si>
  <si>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</si>
  <si>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</si>
  <si>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</si>
  <si>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</si>
  <si>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</si>
  <si>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</si>
  <si>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</si>
  <si>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</si>
  <si>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</si>
  <si>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</si>
  <si>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</si>
  <si>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</si>
  <si>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</si>
  <si>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</si>
  <si>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</si>
  <si>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</si>
  <si>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</si>
  <si>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</si>
  <si>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</si>
  <si>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</si>
  <si>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</si>
  <si>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</si>
  <si>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</si>
  <si>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</si>
  <si>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</si>
  <si>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</si>
  <si>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</si>
  <si>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</si>
  <si>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</si>
  <si>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</si>
  <si>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</si>
  <si>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</si>
  <si>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</si>
  <si>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</si>
  <si>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</si>
  <si>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</si>
  <si>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</si>
  <si>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</si>
  <si>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</si>
  <si>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</si>
  <si>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</si>
  <si>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</si>
  <si>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</si>
  <si>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</si>
  <si>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</si>
  <si>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</si>
  <si>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</si>
  <si>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</si>
  <si>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</si>
  <si>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</si>
  <si>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</si>
  <si>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</si>
  <si>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</si>
  <si>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</si>
  <si>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</si>
  <si>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</si>
  <si>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</si>
  <si>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</si>
  <si>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</si>
  <si>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</si>
  <si>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</si>
  <si>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</si>
  <si>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</si>
  <si>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</si>
  <si>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</si>
  <si>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</si>
  <si>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</si>
  <si>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</si>
  <si>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</si>
  <si>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</si>
  <si>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</si>
  <si>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</si>
  <si>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</si>
  <si>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</si>
  <si>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</si>
  <si>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</si>
  <si>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</si>
  <si>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</si>
  <si>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</si>
  <si>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</si>
  <si>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</si>
  <si>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</si>
  <si>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</si>
  <si>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</si>
  <si>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</si>
  <si>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</si>
  <si>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</si>
  <si>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</si>
  <si>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</si>
  <si>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</si>
  <si>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</si>
  <si>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</si>
  <si>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</si>
  <si>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</si>
  <si>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</si>
  <si>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</si>
  <si>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</si>
  <si>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</si>
  <si>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</si>
  <si>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</si>
  <si>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</si>
  <si>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</si>
  <si>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</si>
  <si>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</si>
  <si>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</si>
  <si>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</si>
  <si>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</si>
  <si>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</si>
  <si>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</si>
  <si>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</si>
  <si>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</si>
  <si>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</si>
  <si>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</si>
  <si>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</si>
  <si>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</si>
  <si>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</si>
  <si>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</si>
  <si>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</si>
  <si>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</si>
  <si>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</si>
  <si>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</si>
  <si>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</si>
  <si>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</si>
  <si>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</si>
  <si>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</si>
  <si>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</si>
  <si>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</si>
  <si>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</si>
  <si>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MENSALIDADE INSTAGRAM PARTE MO2 - KEILA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</si>
  <si>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</si>
  <si>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</si>
  <si>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</si>
  <si>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</si>
  <si>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</si>
  <si>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</si>
  <si>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</si>
  <si>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</si>
  <si>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</si>
  <si>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</si>
  <si>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</si>
  <si>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</si>
  <si>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</si>
  <si>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</si>
  <si>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</si>
  <si>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</si>
  <si>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</si>
  <si>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</si>
  <si>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</si>
  <si>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</si>
  <si>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</si>
  <si>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</si>
  <si>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</si>
  <si>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</si>
  <si>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</si>
  <si>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</si>
  <si>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</si>
  <si>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</si>
  <si>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</si>
  <si>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</si>
  <si>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</si>
  <si>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</si>
  <si>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</si>
  <si>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</si>
  <si>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</si>
  <si>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</si>
  <si>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</si>
  <si>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</si>
  <si>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</si>
  <si>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</si>
  <si>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</si>
  <si>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</si>
  <si>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</si>
  <si>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</si>
  <si>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</si>
  <si>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</si>
  <si>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</si>
  <si>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</si>
  <si>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</si>
  <si>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</si>
  <si>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</si>
  <si>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</si>
  <si>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</si>
  <si>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</si>
  <si>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</si>
  <si>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</si>
  <si>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</si>
  <si>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</si>
  <si>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</si>
  <si>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</si>
  <si>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</si>
  <si>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</si>
  <si>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</si>
  <si>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</si>
  <si>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</si>
  <si>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</si>
  <si>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</si>
  <si>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</si>
  <si>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</si>
  <si>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</si>
  <si>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</si>
  <si>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</si>
  <si>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</si>
  <si>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</si>
  <si>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</si>
  <si>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</si>
  <si>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</si>
  <si>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</si>
  <si>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</si>
  <si>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</si>
  <si>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</si>
  <si>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</si>
  <si>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</si>
  <si>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</si>
  <si>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</si>
  <si>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</si>
  <si>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</si>
  <si>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</si>
  <si>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</si>
  <si>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</si>
  <si>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</si>
  <si>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</si>
  <si>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</si>
  <si>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</si>
  <si>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</si>
  <si>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</si>
  <si>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</si>
  <si>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</si>
  <si>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</si>
  <si>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</si>
  <si>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</si>
  <si>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</si>
  <si>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</si>
  <si>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</si>
  <si>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</si>
  <si>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</si>
  <si>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</si>
  <si>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</si>
  <si>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</si>
  <si>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</si>
  <si>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</si>
  <si>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</si>
  <si>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</si>
  <si>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</si>
  <si>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</si>
  <si>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</si>
  <si>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</si>
  <si>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</si>
  <si>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</si>
  <si>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</si>
  <si>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</si>
  <si>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</si>
  <si>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</si>
  <si>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</si>
  <si>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</si>
  <si>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</si>
  <si>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</si>
  <si>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</si>
  <si>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</si>
  <si>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</si>
  <si>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</si>
  <si>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</si>
  <si>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</si>
  <si>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</si>
  <si>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</si>
  <si>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</si>
  <si>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</si>
  <si>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</si>
  <si>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</si>
  <si>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</si>
  <si>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</si>
  <si>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</si>
  <si>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</si>
  <si>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</si>
  <si>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</si>
  <si>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</si>
  <si>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</si>
  <si>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</si>
  <si>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</si>
  <si>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</si>
  <si>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</si>
  <si>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</si>
  <si>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</si>
  <si>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</si>
  <si>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</si>
  <si>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</si>
  <si>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</si>
  <si>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</si>
  <si>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</si>
  <si>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</si>
  <si>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</si>
  <si>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</si>
  <si>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</si>
  <si>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</si>
  <si>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</si>
  <si>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</si>
  <si>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</si>
  <si>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</si>
  <si>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</si>
  <si>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</si>
  <si>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</si>
  <si>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</si>
  <si>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</si>
  <si>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</si>
  <si>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</si>
  <si>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</si>
  <si>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</si>
  <si>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</si>
  <si>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</si>
  <si>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</si>
  <si>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</si>
  <si>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</si>
  <si>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</si>
  <si>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</si>
  <si>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</si>
  <si>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</si>
  <si>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</si>
  <si>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</si>
  <si>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</si>
  <si>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</si>
  <si>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</si>
  <si>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</si>
  <si>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</si>
  <si>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</si>
  <si>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</si>
  <si>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</si>
  <si>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</si>
  <si>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</si>
  <si>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</si>
  <si>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</si>
  <si>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</si>
  <si>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SABIA COMERCIO DE COSMETICOS LTDA</t>
  </si>
  <si>
    <t xml:space="preserve">NF 253576 ELLEN</t>
  </si>
  <si>
    <t xml:space="preserve">NF 261 ELLEN</t>
  </si>
  <si>
    <t xml:space="preserve">NF 1949480 ELLEN</t>
  </si>
  <si>
    <t xml:space="preserve">NF 1215300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</si>
  <si>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</si>
  <si>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</si>
  <si>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</si>
  <si>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</si>
  <si>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</si>
  <si>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</si>
  <si>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</si>
  <si>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</si>
  <si>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</si>
  <si>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</si>
  <si>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</si>
  <si>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</si>
  <si>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</si>
  <si>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</si>
  <si>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</si>
  <si>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</si>
  <si>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</si>
  <si>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</si>
  <si>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</si>
  <si>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</si>
  <si>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</si>
  <si>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</si>
  <si>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</si>
  <si>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</si>
  <si>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</si>
  <si>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</si>
  <si>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</si>
  <si>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</si>
  <si>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</si>
  <si>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</si>
  <si>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</si>
  <si>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</si>
  <si>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</si>
  <si>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</si>
  <si>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</si>
  <si>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</si>
  <si>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</si>
  <si>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</si>
  <si>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</si>
  <si>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</si>
  <si>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</si>
  <si>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</si>
  <si>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</si>
  <si>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</si>
  <si>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</si>
  <si>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</si>
  <si>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</si>
  <si>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</si>
  <si>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</si>
  <si>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</si>
  <si>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</si>
  <si>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</si>
  <si>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</si>
  <si>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</si>
  <si>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</si>
  <si>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</si>
  <si>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</si>
  <si>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</si>
  <si>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</si>
  <si>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</si>
  <si>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</si>
  <si>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</si>
  <si>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</si>
  <si>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</si>
  <si>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</si>
  <si>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</si>
  <si>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</si>
  <si>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</si>
  <si>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</si>
  <si>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</si>
  <si>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</si>
  <si>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</si>
  <si>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</si>
  <si>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</si>
  <si>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</si>
  <si>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</si>
  <si>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</si>
  <si>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</si>
  <si>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</si>
  <si>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</si>
  <si>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</si>
  <si>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</si>
  <si>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</si>
  <si>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</si>
  <si>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</si>
  <si>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</si>
  <si>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</si>
  <si>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</si>
  <si>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</si>
  <si>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</si>
  <si>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</si>
  <si>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</si>
  <si>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</si>
  <si>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</si>
  <si>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</si>
  <si>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</si>
  <si>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</si>
  <si>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</si>
  <si>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</si>
  <si>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</si>
  <si>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</si>
  <si>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</si>
  <si>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</si>
  <si>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</si>
  <si>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</si>
  <si>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</si>
  <si>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</si>
  <si>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</si>
  <si>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</si>
  <si>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</si>
  <si>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</si>
  <si>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</si>
  <si>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</si>
  <si>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</si>
  <si>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</si>
  <si>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</si>
  <si>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</si>
  <si>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</si>
  <si>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</si>
  <si>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</si>
  <si>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</si>
  <si>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</si>
  <si>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</si>
  <si>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</si>
  <si>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</si>
  <si>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</si>
  <si>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</si>
  <si>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</si>
  <si>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</si>
  <si>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</si>
  <si>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</si>
  <si>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</si>
  <si>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</si>
  <si>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</si>
  <si>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</si>
  <si>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</si>
  <si>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</si>
  <si>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</si>
  <si>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</si>
  <si>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</si>
  <si>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</si>
  <si>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</si>
  <si>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</si>
  <si>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</si>
  <si>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</si>
  <si>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</si>
  <si>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</si>
  <si>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</si>
  <si>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</si>
  <si>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</si>
  <si>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</si>
  <si>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</si>
  <si>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</si>
  <si>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</si>
  <si>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</si>
  <si>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</si>
  <si>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</si>
  <si>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</si>
  <si>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</si>
  <si>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</si>
  <si>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</si>
  <si>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</si>
  <si>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</si>
  <si>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</si>
  <si>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</si>
  <si>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</si>
  <si>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</si>
  <si>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</si>
  <si>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</si>
  <si>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</si>
  <si>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</si>
  <si>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</si>
  <si>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</si>
  <si>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</si>
  <si>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</si>
  <si>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</si>
  <si>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</si>
  <si>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</si>
  <si>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</si>
  <si>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</si>
  <si>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</si>
  <si>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</si>
  <si>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</si>
  <si>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</si>
  <si>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</si>
  <si>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</si>
  <si>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</si>
  <si>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</si>
  <si>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</si>
  <si>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</si>
  <si>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</si>
  <si>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</si>
  <si>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</si>
  <si>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</si>
  <si>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</si>
  <si>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</si>
  <si>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</si>
  <si>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</si>
  <si>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</si>
  <si>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</si>
  <si>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</si>
  <si>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</si>
  <si>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</si>
  <si>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</si>
  <si>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</si>
  <si>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</si>
  <si>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</si>
  <si>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NF 689222 ELLEN</t>
  </si>
  <si>
    <t xml:space="preserve">NF 689224 ELLEN</t>
  </si>
  <si>
    <t xml:space="preserve">NF 175169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</si>
  <si>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</si>
  <si>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</si>
  <si>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</si>
  <si>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</si>
  <si>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</si>
  <si>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</si>
  <si>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</si>
  <si>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</si>
  <si>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</si>
  <si>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</si>
  <si>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</si>
  <si>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</si>
  <si>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</si>
  <si>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</si>
  <si>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</si>
  <si>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</si>
  <si>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</si>
  <si>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</si>
  <si>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</si>
  <si>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</si>
  <si>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</si>
  <si>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2310769 ELLEN</t>
  </si>
  <si>
    <t xml:space="preserve">NF 44054 ELLEN</t>
  </si>
  <si>
    <t xml:space="preserve">NF 668739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</si>
  <si>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</si>
  <si>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</si>
  <si>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</si>
  <si>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</si>
  <si>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</si>
  <si>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</si>
  <si>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</si>
  <si>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53859 ELLEN</t>
  </si>
  <si>
    <t xml:space="preserve">NF 3237036 ELLEN</t>
  </si>
  <si>
    <t xml:space="preserve">SALARIO ELIANA MO2 PARTE ESO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</si>
  <si>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</si>
  <si>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</si>
  <si>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</si>
  <si>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</si>
  <si>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</si>
  <si>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</si>
  <si>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1915876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</si>
  <si>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</si>
  <si>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</si>
  <si>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</si>
  <si>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</si>
  <si>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</si>
  <si>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</si>
  <si>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</si>
  <si>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PARC 07/10 MATR 101674 IPTU MO2 - KEILA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</si>
  <si>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</si>
  <si>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</si>
  <si>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</si>
  <si>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PREVIA ENERGIA SETEMBRO MO2</t>
  </si>
  <si>
    <t xml:space="preserve">PL NEILA PG OUTROD SEGURO CARRO 06/06</t>
  </si>
  <si>
    <t xml:space="preserve">EMPRESTIMO PARC 34/42 INICIO 26.12.23 A 26.05.27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</si>
  <si>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</si>
  <si>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</si>
  <si>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</si>
  <si>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CURSO NEILA PARTE MO2 PAGAR P MO1 - KEILA</t>
  </si>
  <si>
    <t xml:space="preserve">PARC 08/10 MATR 101674 IPTU MO2 - KEILA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</si>
  <si>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</si>
  <si>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</si>
  <si>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</si>
  <si>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</si>
  <si>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</si>
  <si>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</si>
  <si>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</si>
  <si>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</si>
  <si>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</si>
  <si>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</si>
  <si>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</si>
  <si>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</si>
  <si>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</si>
  <si>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</si>
  <si>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</si>
  <si>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</si>
  <si>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</si>
  <si>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</si>
  <si>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</si>
  <si>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</si>
  <si>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</si>
  <si>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</si>
  <si>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</si>
  <si>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</si>
  <si>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</si>
  <si>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</si>
  <si>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</si>
  <si>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</si>
  <si>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</si>
  <si>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</si>
  <si>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</si>
  <si>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</si>
  <si>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</si>
  <si>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</si>
  <si>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</si>
  <si>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</si>
  <si>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</si>
  <si>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</si>
  <si>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</si>
  <si>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</si>
  <si>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</si>
  <si>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</si>
  <si>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</si>
  <si>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</si>
  <si>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</si>
  <si>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</si>
  <si>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</si>
  <si>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</si>
  <si>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</si>
  <si>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</si>
  <si>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</si>
  <si>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</si>
  <si>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</si>
  <si>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</si>
  <si>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</si>
  <si>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</si>
  <si>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</si>
  <si>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</si>
  <si>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</si>
  <si>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Percentual da venda do mês anterior para sugerir compra:</t>
  </si>
  <si>
    <t xml:space="preserve">Mês</t>
  </si>
  <si>
    <t xml:space="preserve">Venda do Mês</t>
  </si>
  <si>
    <t xml:space="preserve">Compra Sugerida</t>
  </si>
  <si>
    <t xml:space="preserve">Compra Real</t>
  </si>
  <si>
    <t xml:space="preserve">Comprado a Mais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</si>
  <si>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</si>
  <si>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</si>
  <si>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</si>
  <si>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</si>
  <si>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</si>
  <si>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</si>
  <si>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</si>
  <si>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</si>
  <si>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</si>
  <si>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</si>
  <si>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</si>
  <si>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</si>
  <si>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</si>
  <si>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</si>
  <si>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</si>
  <si>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</si>
  <si>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</si>
  <si>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</si>
  <si>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</si>
  <si>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</si>
  <si>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</si>
  <si>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</si>
  <si>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</si>
  <si>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</si>
  <si>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</si>
  <si>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</si>
  <si>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</si>
  <si>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</si>
  <si>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</si>
  <si>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</si>
  <si>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</si>
  <si>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</si>
  <si>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</si>
  <si>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</si>
  <si>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</si>
  <si>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</si>
  <si>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</si>
  <si>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</si>
  <si>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</si>
  <si>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</si>
  <si>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</si>
  <si>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</si>
  <si>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</si>
  <si>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</si>
  <si>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</si>
  <si>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</si>
  <si>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</si>
  <si>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</si>
  <si>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</si>
  <si>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</si>
  <si>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</si>
  <si>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</si>
  <si>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</si>
  <si>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</si>
  <si>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</si>
  <si>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</si>
  <si>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</si>
  <si>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</si>
  <si>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</si>
  <si>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</si>
  <si>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</si>
  <si>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</si>
  <si>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</si>
  <si>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</si>
  <si>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</si>
  <si>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</si>
  <si>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</si>
  <si>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</si>
  <si>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</si>
  <si>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</si>
  <si>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</si>
  <si>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</si>
  <si>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</si>
  <si>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</si>
  <si>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</si>
  <si>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</si>
  <si>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</si>
  <si>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</si>
  <si>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</si>
  <si>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</si>
  <si>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</si>
  <si>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</si>
  <si>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</si>
  <si>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</si>
  <si>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</si>
  <si>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</si>
  <si>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</si>
  <si>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</si>
  <si>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</si>
  <si>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</si>
  <si>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</si>
  <si>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</si>
  <si>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</si>
  <si>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</si>
  <si>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</si>
  <si>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</si>
  <si>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</si>
  <si>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</si>
  <si>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</si>
  <si>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</si>
  <si>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</si>
  <si>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</si>
  <si>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</si>
  <si>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</si>
  <si>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</si>
  <si>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</si>
  <si>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</si>
  <si>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</si>
  <si>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</si>
  <si>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</si>
  <si>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</si>
  <si>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</si>
  <si>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</si>
  <si>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</si>
  <si>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</si>
  <si>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</si>
  <si>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</si>
  <si>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</si>
  <si>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</si>
  <si>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</si>
  <si>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</si>
  <si>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</si>
  <si>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</si>
  <si>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</si>
  <si>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</si>
  <si>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</si>
  <si>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</si>
  <si>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</si>
  <si>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</si>
  <si>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</si>
  <si>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</si>
  <si>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</si>
  <si>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</si>
  <si>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</si>
  <si>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</si>
  <si>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</si>
  <si>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ALEXSANDRO BEZERRA DA SILVA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</si>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</sst>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8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4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Z1" s="1" t="s">
        <v>1</v>
      </c>
      <c r="AA1" s="1" t="s">
        <v>2</v>
      </c>
    </row>
    <row r="2" customFormat="false" ht="4.5" hidden="false" customHeight="true" outlineLevel="0" collapsed="false">
      <c r="A2" s="3"/>
    </row>
    <row r="3" customFormat="false" ht="9" hidden="false" customHeight="true" outlineLevel="0" collapsed="false">
      <c r="A3" s="4" t="s">
        <v>3</v>
      </c>
    </row>
    <row r="4" customFormat="false" ht="9" hidden="false" customHeight="true" outlineLevel="0" collapsed="false">
      <c r="A4" s="4" t="s">
        <v>4</v>
      </c>
    </row>
    <row r="5" customFormat="false" ht="9" hidden="false" customHeight="true" outlineLevel="0" collapsed="false">
      <c r="A5" s="4" t="s">
        <v>5</v>
      </c>
    </row>
    <row r="6" customFormat="false" ht="9" hidden="false" customHeight="true" outlineLevel="0" collapsed="false">
      <c r="A6" s="5" t="s">
        <v>6</v>
      </c>
    </row>
    <row r="7" customFormat="false" ht="9" hidden="false" customHeight="true" outlineLevel="0" collapsed="false">
      <c r="A7" s="6" t="s">
        <v>7</v>
      </c>
      <c r="O7" s="5" t="s">
        <v>8</v>
      </c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L8" s="7" t="s">
        <v>19</v>
      </c>
      <c r="M8" s="8" t="s">
        <v>20</v>
      </c>
      <c r="N8" s="8" t="s">
        <v>21</v>
      </c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W8" s="7" t="s">
        <v>28</v>
      </c>
      <c r="X8" s="8" t="s">
        <v>29</v>
      </c>
      <c r="Z8" s="1" t="s">
        <v>1</v>
      </c>
      <c r="AA8" s="1" t="s">
        <v>30</v>
      </c>
    </row>
    <row r="9" customFormat="false" ht="1.5" hidden="false" customHeight="true" outlineLevel="0" collapsed="false">
      <c r="A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31</v>
      </c>
      <c r="F10" s="10" t="n">
        <v>47</v>
      </c>
      <c r="G10" s="12" t="s">
        <v>32</v>
      </c>
      <c r="H10" s="10" t="n">
        <v>2110101</v>
      </c>
      <c r="I10" s="12" t="s">
        <v>33</v>
      </c>
      <c r="J10" s="10" t="n">
        <v>361903</v>
      </c>
      <c r="L10" s="10" t="n">
        <v>47174</v>
      </c>
      <c r="M10" s="12" t="s">
        <v>34</v>
      </c>
      <c r="N10" s="12" t="s">
        <v>35</v>
      </c>
      <c r="P10" s="10" t="n">
        <v>113</v>
      </c>
      <c r="Q10" s="12" t="s">
        <v>36</v>
      </c>
      <c r="R10" s="12" t="s">
        <v>37</v>
      </c>
      <c r="S10" s="10" t="n">
        <v>1240103</v>
      </c>
      <c r="T10" s="12" t="s">
        <v>38</v>
      </c>
      <c r="U10" s="13" t="n">
        <v>1898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40</v>
      </c>
      <c r="F11" s="10" t="n">
        <v>47</v>
      </c>
      <c r="G11" s="12" t="s">
        <v>32</v>
      </c>
      <c r="H11" s="10" t="n">
        <v>2110405</v>
      </c>
      <c r="I11" s="12" t="s">
        <v>41</v>
      </c>
      <c r="J11" s="10" t="n">
        <v>194393</v>
      </c>
      <c r="L11" s="10" t="n">
        <v>1</v>
      </c>
      <c r="M11" s="12" t="s">
        <v>34</v>
      </c>
      <c r="N11" s="12" t="s">
        <v>35</v>
      </c>
      <c r="P11" s="10" t="n">
        <v>101</v>
      </c>
      <c r="Q11" s="12" t="s">
        <v>42</v>
      </c>
      <c r="R11" s="12" t="s">
        <v>43</v>
      </c>
      <c r="S11" s="10" t="n">
        <v>4220199</v>
      </c>
      <c r="T11" s="12" t="s">
        <v>44</v>
      </c>
      <c r="U11" s="13" t="n">
        <v>100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46</v>
      </c>
      <c r="F12" s="10" t="n">
        <v>47</v>
      </c>
      <c r="G12" s="12" t="s">
        <v>32</v>
      </c>
      <c r="H12" s="10" t="n">
        <v>2110101</v>
      </c>
      <c r="I12" s="12" t="s">
        <v>33</v>
      </c>
      <c r="J12" s="10" t="n">
        <v>291910</v>
      </c>
      <c r="L12" s="10" t="n">
        <v>34288</v>
      </c>
      <c r="M12" s="12" t="s">
        <v>47</v>
      </c>
      <c r="N12" s="12" t="s">
        <v>35</v>
      </c>
      <c r="P12" s="10" t="n">
        <v>113</v>
      </c>
      <c r="Q12" s="12" t="s">
        <v>36</v>
      </c>
      <c r="R12" s="12" t="s">
        <v>48</v>
      </c>
      <c r="S12" s="10" t="n">
        <v>1130101</v>
      </c>
      <c r="T12" s="12" t="s">
        <v>49</v>
      </c>
      <c r="U12" s="13" t="n">
        <v>104.15</v>
      </c>
      <c r="W12" s="13" t="n">
        <v>0</v>
      </c>
      <c r="X12" s="12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51</v>
      </c>
      <c r="F13" s="10" t="n">
        <v>47</v>
      </c>
      <c r="G13" s="12" t="s">
        <v>32</v>
      </c>
      <c r="H13" s="10" t="n">
        <v>2110102</v>
      </c>
      <c r="I13" s="12" t="s">
        <v>52</v>
      </c>
      <c r="J13" s="10" t="n">
        <v>584704</v>
      </c>
      <c r="L13" s="10" t="n">
        <v>6278</v>
      </c>
      <c r="M13" s="12" t="s">
        <v>53</v>
      </c>
      <c r="N13" s="12" t="s">
        <v>54</v>
      </c>
      <c r="P13" s="10" t="n">
        <v>104</v>
      </c>
      <c r="Q13" s="12" t="s">
        <v>55</v>
      </c>
      <c r="R13" s="12" t="s">
        <v>56</v>
      </c>
      <c r="S13" s="10" t="n">
        <v>4210204</v>
      </c>
      <c r="T13" s="12" t="s">
        <v>57</v>
      </c>
      <c r="U13" s="13" t="n">
        <v>666.67</v>
      </c>
      <c r="W13" s="13" t="n">
        <v>0</v>
      </c>
      <c r="X13" s="12" t="s">
        <v>58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59</v>
      </c>
      <c r="F14" s="10" t="n">
        <v>47</v>
      </c>
      <c r="G14" s="12" t="s">
        <v>32</v>
      </c>
      <c r="H14" s="10" t="n">
        <v>2110102</v>
      </c>
      <c r="I14" s="12" t="s">
        <v>52</v>
      </c>
      <c r="J14" s="10" t="n">
        <v>584985</v>
      </c>
      <c r="L14" s="10" t="n">
        <v>7267</v>
      </c>
      <c r="M14" s="12" t="s">
        <v>53</v>
      </c>
      <c r="N14" s="12" t="s">
        <v>54</v>
      </c>
      <c r="P14" s="10" t="n">
        <v>104</v>
      </c>
      <c r="Q14" s="12" t="s">
        <v>55</v>
      </c>
      <c r="R14" s="12" t="s">
        <v>56</v>
      </c>
      <c r="S14" s="10" t="n">
        <v>4210204</v>
      </c>
      <c r="T14" s="12" t="s">
        <v>57</v>
      </c>
      <c r="U14" s="13" t="n">
        <v>165</v>
      </c>
      <c r="W14" s="13" t="n">
        <v>0</v>
      </c>
      <c r="X14" s="12" t="s">
        <v>60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61</v>
      </c>
      <c r="F15" s="10" t="n">
        <v>47</v>
      </c>
      <c r="G15" s="12" t="s">
        <v>32</v>
      </c>
      <c r="H15" s="10" t="n">
        <v>2110101</v>
      </c>
      <c r="I15" s="12" t="s">
        <v>33</v>
      </c>
      <c r="J15" s="10" t="n">
        <v>717593</v>
      </c>
      <c r="L15" s="10" t="n">
        <v>93840</v>
      </c>
      <c r="M15" s="12" t="s">
        <v>62</v>
      </c>
      <c r="N15" s="12" t="s">
        <v>35</v>
      </c>
      <c r="P15" s="10" t="n">
        <v>113</v>
      </c>
      <c r="Q15" s="12" t="s">
        <v>36</v>
      </c>
      <c r="R15" s="12" t="s">
        <v>56</v>
      </c>
      <c r="S15" s="10" t="n">
        <v>4210227</v>
      </c>
      <c r="T15" s="12" t="s">
        <v>63</v>
      </c>
      <c r="U15" s="13" t="n">
        <v>308.06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61</v>
      </c>
      <c r="F16" s="10" t="n">
        <v>47</v>
      </c>
      <c r="G16" s="12" t="s">
        <v>32</v>
      </c>
      <c r="H16" s="10" t="n">
        <v>2110101</v>
      </c>
      <c r="I16" s="12" t="s">
        <v>33</v>
      </c>
      <c r="J16" s="10" t="n">
        <v>717648</v>
      </c>
      <c r="L16" s="10" t="n">
        <v>93849</v>
      </c>
      <c r="M16" s="12" t="s">
        <v>62</v>
      </c>
      <c r="N16" s="12" t="s">
        <v>35</v>
      </c>
      <c r="P16" s="10" t="n">
        <v>113</v>
      </c>
      <c r="Q16" s="12" t="s">
        <v>36</v>
      </c>
      <c r="R16" s="12" t="s">
        <v>56</v>
      </c>
      <c r="S16" s="10" t="n">
        <v>4210227</v>
      </c>
      <c r="T16" s="12" t="s">
        <v>63</v>
      </c>
      <c r="U16" s="13" t="n">
        <v>513.26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32</v>
      </c>
      <c r="H17" s="10" t="n">
        <v>2110405</v>
      </c>
      <c r="I17" s="12" t="s">
        <v>41</v>
      </c>
      <c r="J17" s="10" t="n">
        <v>846735</v>
      </c>
      <c r="L17" s="10" t="n">
        <v>111490</v>
      </c>
      <c r="M17" s="12" t="s">
        <v>62</v>
      </c>
      <c r="N17" s="12" t="s">
        <v>35</v>
      </c>
      <c r="P17" s="10" t="n">
        <v>113</v>
      </c>
      <c r="Q17" s="12" t="s">
        <v>36</v>
      </c>
      <c r="R17" s="12" t="s">
        <v>56</v>
      </c>
      <c r="S17" s="10" t="n">
        <v>4210227</v>
      </c>
      <c r="T17" s="12" t="s">
        <v>63</v>
      </c>
      <c r="U17" s="13" t="n">
        <v>154.66</v>
      </c>
      <c r="W17" s="13" t="n">
        <v>0</v>
      </c>
      <c r="X17" s="12" t="s">
        <v>67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68</v>
      </c>
      <c r="F18" s="10" t="n">
        <v>47</v>
      </c>
      <c r="G18" s="12" t="s">
        <v>32</v>
      </c>
      <c r="H18" s="10" t="n">
        <v>2110405</v>
      </c>
      <c r="I18" s="12" t="s">
        <v>41</v>
      </c>
      <c r="J18" s="10" t="n">
        <v>846762</v>
      </c>
      <c r="L18" s="10" t="n">
        <v>111500</v>
      </c>
      <c r="M18" s="12" t="s">
        <v>62</v>
      </c>
      <c r="N18" s="12" t="s">
        <v>35</v>
      </c>
      <c r="P18" s="10" t="n">
        <v>113</v>
      </c>
      <c r="Q18" s="12" t="s">
        <v>36</v>
      </c>
      <c r="R18" s="12" t="s">
        <v>56</v>
      </c>
      <c r="S18" s="10" t="n">
        <v>4210227</v>
      </c>
      <c r="T18" s="12" t="s">
        <v>63</v>
      </c>
      <c r="U18" s="13" t="n">
        <v>1630</v>
      </c>
      <c r="W18" s="13" t="n">
        <v>0</v>
      </c>
      <c r="X18" s="12" t="s">
        <v>69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70</v>
      </c>
      <c r="F19" s="10" t="n">
        <v>47</v>
      </c>
      <c r="G19" s="12" t="s">
        <v>32</v>
      </c>
      <c r="H19" s="10" t="n">
        <v>2110405</v>
      </c>
      <c r="I19" s="12" t="s">
        <v>41</v>
      </c>
      <c r="J19" s="10" t="n">
        <v>846832</v>
      </c>
      <c r="L19" s="10" t="n">
        <v>111506</v>
      </c>
      <c r="M19" s="12" t="s">
        <v>71</v>
      </c>
      <c r="N19" s="12" t="s">
        <v>35</v>
      </c>
      <c r="P19" s="10" t="n">
        <v>113</v>
      </c>
      <c r="Q19" s="12" t="s">
        <v>36</v>
      </c>
      <c r="R19" s="12" t="s">
        <v>56</v>
      </c>
      <c r="S19" s="10" t="n">
        <v>4210227</v>
      </c>
      <c r="T19" s="12" t="s">
        <v>63</v>
      </c>
      <c r="U19" s="13" t="n">
        <v>378.82</v>
      </c>
      <c r="W19" s="13" t="n">
        <v>0</v>
      </c>
      <c r="X19" s="12" t="s">
        <v>72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73</v>
      </c>
      <c r="F20" s="10" t="n">
        <v>47</v>
      </c>
      <c r="G20" s="12" t="s">
        <v>32</v>
      </c>
      <c r="H20" s="10" t="n">
        <v>2110101</v>
      </c>
      <c r="I20" s="12" t="s">
        <v>33</v>
      </c>
      <c r="J20" s="10" t="n">
        <v>969379</v>
      </c>
      <c r="L20" s="10" t="n">
        <v>128358</v>
      </c>
      <c r="M20" s="12" t="s">
        <v>74</v>
      </c>
      <c r="N20" s="12" t="s">
        <v>35</v>
      </c>
      <c r="P20" s="10" t="n">
        <v>113</v>
      </c>
      <c r="Q20" s="12" t="s">
        <v>36</v>
      </c>
      <c r="R20" s="12" t="s">
        <v>48</v>
      </c>
      <c r="S20" s="10" t="n">
        <v>1130101</v>
      </c>
      <c r="T20" s="12" t="s">
        <v>49</v>
      </c>
      <c r="U20" s="13" t="n">
        <v>906.75</v>
      </c>
      <c r="W20" s="13" t="n">
        <v>0</v>
      </c>
      <c r="X20" s="12" t="s">
        <v>75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76</v>
      </c>
      <c r="F21" s="10" t="n">
        <v>24</v>
      </c>
      <c r="G21" s="12" t="s">
        <v>77</v>
      </c>
      <c r="H21" s="10" t="n">
        <v>2110101</v>
      </c>
      <c r="I21" s="12" t="s">
        <v>33</v>
      </c>
      <c r="J21" s="10" t="n">
        <v>1084481</v>
      </c>
      <c r="L21" s="10" t="n">
        <v>2282942</v>
      </c>
      <c r="M21" s="12" t="s">
        <v>74</v>
      </c>
      <c r="N21" s="12" t="s">
        <v>54</v>
      </c>
      <c r="P21" s="10" t="n">
        <v>113</v>
      </c>
      <c r="Q21" s="12" t="s">
        <v>36</v>
      </c>
      <c r="R21" s="12" t="s">
        <v>48</v>
      </c>
      <c r="S21" s="10" t="n">
        <v>1130101</v>
      </c>
      <c r="T21" s="12" t="s">
        <v>49</v>
      </c>
      <c r="U21" s="13" t="n">
        <v>100.36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76</v>
      </c>
      <c r="F22" s="10" t="n">
        <v>24</v>
      </c>
      <c r="G22" s="12" t="s">
        <v>77</v>
      </c>
      <c r="H22" s="10" t="n">
        <v>2110101</v>
      </c>
      <c r="I22" s="12" t="s">
        <v>33</v>
      </c>
      <c r="J22" s="10" t="n">
        <v>1084736</v>
      </c>
      <c r="L22" s="10" t="n">
        <v>2282943</v>
      </c>
      <c r="M22" s="12" t="s">
        <v>74</v>
      </c>
      <c r="N22" s="12" t="s">
        <v>54</v>
      </c>
      <c r="P22" s="10" t="n">
        <v>113</v>
      </c>
      <c r="Q22" s="12" t="s">
        <v>36</v>
      </c>
      <c r="R22" s="12" t="s">
        <v>48</v>
      </c>
      <c r="S22" s="10" t="n">
        <v>1130101</v>
      </c>
      <c r="T22" s="12" t="s">
        <v>49</v>
      </c>
      <c r="U22" s="13" t="n">
        <v>628.88</v>
      </c>
      <c r="W22" s="13" t="n">
        <v>0</v>
      </c>
      <c r="X22" s="12" t="s">
        <v>79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80</v>
      </c>
      <c r="F23" s="10" t="n">
        <v>24</v>
      </c>
      <c r="G23" s="12" t="s">
        <v>77</v>
      </c>
      <c r="H23" s="10" t="n">
        <v>2110101</v>
      </c>
      <c r="I23" s="12" t="s">
        <v>33</v>
      </c>
      <c r="J23" s="10" t="n">
        <v>1088464</v>
      </c>
      <c r="L23" s="10" t="n">
        <v>641255</v>
      </c>
      <c r="M23" s="12" t="s">
        <v>74</v>
      </c>
      <c r="N23" s="12" t="s">
        <v>54</v>
      </c>
      <c r="P23" s="10" t="n">
        <v>113</v>
      </c>
      <c r="Q23" s="12" t="s">
        <v>36</v>
      </c>
      <c r="R23" s="12" t="s">
        <v>48</v>
      </c>
      <c r="S23" s="10" t="n">
        <v>1130101</v>
      </c>
      <c r="T23" s="12" t="s">
        <v>49</v>
      </c>
      <c r="U23" s="13" t="n">
        <v>346.6</v>
      </c>
      <c r="W23" s="13" t="n">
        <v>0</v>
      </c>
      <c r="X23" s="12" t="s">
        <v>81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82</v>
      </c>
      <c r="F24" s="10" t="n">
        <v>24</v>
      </c>
      <c r="G24" s="12" t="s">
        <v>77</v>
      </c>
      <c r="H24" s="10" t="n">
        <v>2110101</v>
      </c>
      <c r="I24" s="12" t="s">
        <v>33</v>
      </c>
      <c r="J24" s="10" t="n">
        <v>1117731</v>
      </c>
      <c r="L24" s="10" t="n">
        <v>148043</v>
      </c>
      <c r="M24" s="12" t="s">
        <v>83</v>
      </c>
      <c r="N24" s="12" t="s">
        <v>35</v>
      </c>
      <c r="P24" s="10" t="n">
        <v>113</v>
      </c>
      <c r="Q24" s="12" t="s">
        <v>36</v>
      </c>
      <c r="R24" s="12" t="s">
        <v>48</v>
      </c>
      <c r="S24" s="10" t="n">
        <v>1130101</v>
      </c>
      <c r="T24" s="12" t="s">
        <v>49</v>
      </c>
      <c r="U24" s="13" t="n">
        <v>750.79</v>
      </c>
      <c r="W24" s="13" t="n">
        <v>0</v>
      </c>
      <c r="X24" s="12" t="s">
        <v>84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85</v>
      </c>
      <c r="F25" s="10" t="n">
        <v>24</v>
      </c>
      <c r="G25" s="12" t="s">
        <v>77</v>
      </c>
      <c r="H25" s="10" t="n">
        <v>2110101</v>
      </c>
      <c r="I25" s="12" t="s">
        <v>33</v>
      </c>
      <c r="J25" s="10" t="n">
        <v>1131611</v>
      </c>
      <c r="L25" s="10" t="n">
        <v>150117</v>
      </c>
      <c r="M25" s="12" t="s">
        <v>83</v>
      </c>
      <c r="N25" s="12" t="s">
        <v>35</v>
      </c>
      <c r="P25" s="10" t="n">
        <v>113</v>
      </c>
      <c r="Q25" s="12" t="s">
        <v>36</v>
      </c>
      <c r="R25" s="12" t="s">
        <v>48</v>
      </c>
      <c r="S25" s="10" t="n">
        <v>1130101</v>
      </c>
      <c r="T25" s="12" t="s">
        <v>49</v>
      </c>
      <c r="U25" s="13" t="n">
        <v>389.51</v>
      </c>
      <c r="W25" s="13" t="n">
        <v>0</v>
      </c>
      <c r="X25" s="12" t="s">
        <v>86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85</v>
      </c>
      <c r="F26" s="10" t="n">
        <v>24</v>
      </c>
      <c r="G26" s="12" t="s">
        <v>77</v>
      </c>
      <c r="H26" s="10" t="n">
        <v>2110101</v>
      </c>
      <c r="I26" s="12" t="s">
        <v>33</v>
      </c>
      <c r="J26" s="10" t="n">
        <v>1131755</v>
      </c>
      <c r="L26" s="10" t="n">
        <v>150154</v>
      </c>
      <c r="M26" s="12" t="s">
        <v>83</v>
      </c>
      <c r="N26" s="12" t="s">
        <v>35</v>
      </c>
      <c r="P26" s="10" t="n">
        <v>113</v>
      </c>
      <c r="Q26" s="12" t="s">
        <v>36</v>
      </c>
      <c r="R26" s="12" t="s">
        <v>48</v>
      </c>
      <c r="S26" s="10" t="n">
        <v>1130101</v>
      </c>
      <c r="T26" s="12" t="s">
        <v>49</v>
      </c>
      <c r="U26" s="13" t="n">
        <v>1560.38</v>
      </c>
      <c r="W26" s="13" t="n">
        <v>0</v>
      </c>
      <c r="X26" s="12" t="s">
        <v>87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88</v>
      </c>
      <c r="F27" s="10" t="n">
        <v>24</v>
      </c>
      <c r="G27" s="12" t="s">
        <v>77</v>
      </c>
      <c r="H27" s="10" t="n">
        <v>2110101</v>
      </c>
      <c r="I27" s="12" t="s">
        <v>33</v>
      </c>
      <c r="J27" s="10" t="n">
        <v>1138281</v>
      </c>
      <c r="L27" s="10" t="n">
        <v>151108</v>
      </c>
      <c r="M27" s="12" t="s">
        <v>83</v>
      </c>
      <c r="N27" s="12" t="s">
        <v>35</v>
      </c>
      <c r="P27" s="10" t="n">
        <v>113</v>
      </c>
      <c r="Q27" s="12" t="s">
        <v>36</v>
      </c>
      <c r="R27" s="12" t="s">
        <v>48</v>
      </c>
      <c r="S27" s="10" t="n">
        <v>1130101</v>
      </c>
      <c r="T27" s="12" t="s">
        <v>49</v>
      </c>
      <c r="U27" s="13" t="n">
        <v>1093.35</v>
      </c>
      <c r="W27" s="13" t="n">
        <v>0</v>
      </c>
      <c r="X27" s="12" t="s">
        <v>89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90</v>
      </c>
      <c r="F28" s="10" t="n">
        <v>24</v>
      </c>
      <c r="G28" s="12" t="s">
        <v>77</v>
      </c>
      <c r="H28" s="10" t="n">
        <v>2110101</v>
      </c>
      <c r="I28" s="12" t="s">
        <v>33</v>
      </c>
      <c r="J28" s="10" t="n">
        <v>1150714</v>
      </c>
      <c r="L28" s="10" t="n">
        <v>5582</v>
      </c>
      <c r="M28" s="12" t="s">
        <v>83</v>
      </c>
      <c r="N28" s="12" t="s">
        <v>54</v>
      </c>
      <c r="P28" s="10" t="n">
        <v>113</v>
      </c>
      <c r="Q28" s="12" t="s">
        <v>36</v>
      </c>
      <c r="R28" s="12" t="s">
        <v>48</v>
      </c>
      <c r="S28" s="10" t="n">
        <v>1130101</v>
      </c>
      <c r="T28" s="12" t="s">
        <v>49</v>
      </c>
      <c r="U28" s="13" t="n">
        <v>536.65</v>
      </c>
      <c r="W28" s="13" t="n">
        <v>0</v>
      </c>
      <c r="X28" s="12" t="s">
        <v>91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92</v>
      </c>
      <c r="F29" s="10" t="n">
        <v>24</v>
      </c>
      <c r="G29" s="12" t="s">
        <v>77</v>
      </c>
      <c r="H29" s="10" t="n">
        <v>2110101</v>
      </c>
      <c r="I29" s="12" t="s">
        <v>33</v>
      </c>
      <c r="J29" s="10" t="n">
        <v>1157986</v>
      </c>
      <c r="L29" s="10" t="n">
        <v>3552</v>
      </c>
      <c r="M29" s="12" t="s">
        <v>83</v>
      </c>
      <c r="N29" s="12" t="s">
        <v>54</v>
      </c>
      <c r="P29" s="10" t="n">
        <v>113</v>
      </c>
      <c r="Q29" s="12" t="s">
        <v>36</v>
      </c>
      <c r="R29" s="12" t="s">
        <v>48</v>
      </c>
      <c r="S29" s="10" t="n">
        <v>1130101</v>
      </c>
      <c r="T29" s="12" t="s">
        <v>49</v>
      </c>
      <c r="U29" s="13" t="n">
        <v>240.98</v>
      </c>
      <c r="W29" s="13" t="n">
        <v>0</v>
      </c>
      <c r="X29" s="12" t="s">
        <v>93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94</v>
      </c>
      <c r="F30" s="10" t="n">
        <v>24</v>
      </c>
      <c r="G30" s="12" t="s">
        <v>77</v>
      </c>
      <c r="H30" s="10" t="n">
        <v>2110101</v>
      </c>
      <c r="I30" s="12" t="s">
        <v>33</v>
      </c>
      <c r="J30" s="10" t="n">
        <v>1166437</v>
      </c>
      <c r="L30" s="10" t="n">
        <v>155223</v>
      </c>
      <c r="M30" s="12" t="s">
        <v>83</v>
      </c>
      <c r="N30" s="12" t="s">
        <v>35</v>
      </c>
      <c r="P30" s="10" t="n">
        <v>113</v>
      </c>
      <c r="Q30" s="12" t="s">
        <v>36</v>
      </c>
      <c r="R30" s="12" t="s">
        <v>48</v>
      </c>
      <c r="S30" s="10" t="n">
        <v>1130101</v>
      </c>
      <c r="T30" s="12" t="s">
        <v>49</v>
      </c>
      <c r="U30" s="13" t="n">
        <v>788.13</v>
      </c>
      <c r="W30" s="13" t="n">
        <v>0</v>
      </c>
      <c r="X30" s="12" t="s">
        <v>95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96</v>
      </c>
      <c r="F31" s="10" t="n">
        <v>34</v>
      </c>
      <c r="G31" s="12" t="s">
        <v>97</v>
      </c>
      <c r="H31" s="10" t="n">
        <v>2110101</v>
      </c>
      <c r="I31" s="12" t="s">
        <v>33</v>
      </c>
      <c r="J31" s="10" t="n">
        <v>1170703</v>
      </c>
      <c r="L31" s="10" t="n">
        <v>287</v>
      </c>
      <c r="M31" s="12" t="s">
        <v>83</v>
      </c>
      <c r="N31" s="12" t="s">
        <v>54</v>
      </c>
      <c r="P31" s="10" t="n">
        <v>113</v>
      </c>
      <c r="Q31" s="12" t="s">
        <v>36</v>
      </c>
      <c r="R31" s="12" t="s">
        <v>48</v>
      </c>
      <c r="S31" s="10" t="n">
        <v>1130101</v>
      </c>
      <c r="T31" s="12" t="s">
        <v>49</v>
      </c>
      <c r="U31" s="13" t="n">
        <v>212</v>
      </c>
      <c r="W31" s="13" t="n">
        <v>0</v>
      </c>
      <c r="X31" s="12" t="s">
        <v>98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99</v>
      </c>
      <c r="F32" s="10" t="n">
        <v>34</v>
      </c>
      <c r="G32" s="12" t="s">
        <v>97</v>
      </c>
      <c r="H32" s="10" t="n">
        <v>2110405</v>
      </c>
      <c r="I32" s="12" t="s">
        <v>41</v>
      </c>
      <c r="J32" s="10" t="n">
        <v>1188537</v>
      </c>
      <c r="L32" s="10" t="n">
        <v>158303</v>
      </c>
      <c r="M32" s="12" t="s">
        <v>83</v>
      </c>
      <c r="N32" s="12" t="s">
        <v>35</v>
      </c>
      <c r="P32" s="10" t="n">
        <v>113</v>
      </c>
      <c r="Q32" s="12" t="s">
        <v>36</v>
      </c>
      <c r="R32" s="12" t="s">
        <v>100</v>
      </c>
      <c r="S32" s="10" t="n">
        <v>4210309</v>
      </c>
      <c r="T32" s="12" t="s">
        <v>101</v>
      </c>
      <c r="U32" s="13" t="n">
        <v>250</v>
      </c>
      <c r="W32" s="13" t="n">
        <v>0</v>
      </c>
      <c r="X32" s="12" t="s">
        <v>102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103</v>
      </c>
      <c r="F33" s="10" t="n">
        <v>34</v>
      </c>
      <c r="G33" s="12" t="s">
        <v>97</v>
      </c>
      <c r="H33" s="10" t="n">
        <v>2110405</v>
      </c>
      <c r="I33" s="12" t="s">
        <v>41</v>
      </c>
      <c r="J33" s="10" t="n">
        <v>1188543</v>
      </c>
      <c r="L33" s="10" t="n">
        <v>158305</v>
      </c>
      <c r="M33" s="12" t="s">
        <v>83</v>
      </c>
      <c r="N33" s="12" t="s">
        <v>35</v>
      </c>
      <c r="P33" s="10" t="n">
        <v>113</v>
      </c>
      <c r="Q33" s="12" t="s">
        <v>36</v>
      </c>
      <c r="R33" s="12" t="s">
        <v>100</v>
      </c>
      <c r="S33" s="10" t="n">
        <v>4210309</v>
      </c>
      <c r="T33" s="12" t="s">
        <v>101</v>
      </c>
      <c r="U33" s="13" t="n">
        <v>260</v>
      </c>
      <c r="W33" s="13" t="n">
        <v>0</v>
      </c>
      <c r="X33" s="12" t="s">
        <v>104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105</v>
      </c>
      <c r="F34" s="10" t="n">
        <v>34</v>
      </c>
      <c r="G34" s="12" t="s">
        <v>97</v>
      </c>
      <c r="H34" s="10" t="n">
        <v>2110405</v>
      </c>
      <c r="I34" s="12" t="s">
        <v>41</v>
      </c>
      <c r="J34" s="10" t="n">
        <v>1188550</v>
      </c>
      <c r="L34" s="10" t="n">
        <v>158307</v>
      </c>
      <c r="M34" s="12" t="s">
        <v>83</v>
      </c>
      <c r="N34" s="12" t="s">
        <v>35</v>
      </c>
      <c r="P34" s="10" t="n">
        <v>113</v>
      </c>
      <c r="Q34" s="12" t="s">
        <v>36</v>
      </c>
      <c r="R34" s="12" t="s">
        <v>100</v>
      </c>
      <c r="S34" s="10" t="n">
        <v>4210309</v>
      </c>
      <c r="T34" s="12" t="s">
        <v>101</v>
      </c>
      <c r="U34" s="13" t="n">
        <v>260</v>
      </c>
      <c r="W34" s="13" t="n">
        <v>0</v>
      </c>
      <c r="X34" s="12" t="s">
        <v>106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107</v>
      </c>
      <c r="F35" s="10" t="n">
        <v>34</v>
      </c>
      <c r="G35" s="12" t="s">
        <v>97</v>
      </c>
      <c r="H35" s="10" t="n">
        <v>1110203</v>
      </c>
      <c r="I35" s="12" t="s">
        <v>108</v>
      </c>
      <c r="J35" s="10" t="n">
        <v>1435822</v>
      </c>
      <c r="L35" s="10" t="n">
        <v>193976</v>
      </c>
      <c r="M35" s="12" t="s">
        <v>83</v>
      </c>
      <c r="N35" s="12" t="s">
        <v>35</v>
      </c>
      <c r="P35" s="10" t="n">
        <v>101</v>
      </c>
      <c r="Q35" s="12" t="s">
        <v>42</v>
      </c>
      <c r="R35" s="12" t="s">
        <v>109</v>
      </c>
      <c r="S35" s="10" t="n">
        <v>1240203</v>
      </c>
      <c r="T35" s="12" t="s">
        <v>110</v>
      </c>
      <c r="U35" s="13" t="n">
        <v>404.78</v>
      </c>
      <c r="W35" s="13" t="n">
        <v>0</v>
      </c>
      <c r="X35" s="12" t="s">
        <v>111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112</v>
      </c>
      <c r="F36" s="10" t="n">
        <v>24</v>
      </c>
      <c r="G36" s="12" t="s">
        <v>77</v>
      </c>
      <c r="H36" s="10" t="n">
        <v>2110101</v>
      </c>
      <c r="I36" s="12" t="s">
        <v>33</v>
      </c>
      <c r="J36" s="10" t="n">
        <v>1137302</v>
      </c>
      <c r="L36" s="10" t="n">
        <v>81956</v>
      </c>
      <c r="M36" s="12" t="s">
        <v>74</v>
      </c>
      <c r="N36" s="12" t="s">
        <v>54</v>
      </c>
      <c r="P36" s="10" t="n">
        <v>113</v>
      </c>
      <c r="Q36" s="12" t="s">
        <v>36</v>
      </c>
      <c r="R36" s="12" t="s">
        <v>48</v>
      </c>
      <c r="S36" s="10" t="n">
        <v>1130101</v>
      </c>
      <c r="T36" s="12" t="s">
        <v>49</v>
      </c>
      <c r="U36" s="13" t="n">
        <v>280</v>
      </c>
      <c r="W36" s="13" t="n">
        <v>0</v>
      </c>
      <c r="X36" s="12" t="s">
        <v>113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114</v>
      </c>
      <c r="F37" s="10" t="n">
        <v>24</v>
      </c>
      <c r="G37" s="12" t="s">
        <v>77</v>
      </c>
      <c r="H37" s="10" t="n">
        <v>2110405</v>
      </c>
      <c r="I37" s="12" t="s">
        <v>41</v>
      </c>
      <c r="J37" s="10" t="n">
        <v>1092201</v>
      </c>
      <c r="L37" s="10" t="n">
        <v>144677</v>
      </c>
      <c r="M37" s="12" t="s">
        <v>83</v>
      </c>
      <c r="N37" s="12" t="s">
        <v>35</v>
      </c>
      <c r="P37" s="10" t="n">
        <v>113</v>
      </c>
      <c r="Q37" s="12" t="s">
        <v>36</v>
      </c>
      <c r="R37" s="12" t="s">
        <v>56</v>
      </c>
      <c r="S37" s="10" t="n">
        <v>4210299</v>
      </c>
      <c r="T37" s="12" t="s">
        <v>115</v>
      </c>
      <c r="U37" s="13" t="n">
        <v>1373.2</v>
      </c>
      <c r="W37" s="13" t="n">
        <v>0</v>
      </c>
      <c r="X37" s="12" t="s">
        <v>116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117</v>
      </c>
      <c r="F38" s="10" t="n">
        <v>24</v>
      </c>
      <c r="G38" s="12" t="s">
        <v>77</v>
      </c>
      <c r="H38" s="10" t="n">
        <v>2110101</v>
      </c>
      <c r="I38" s="12" t="s">
        <v>33</v>
      </c>
      <c r="J38" s="10" t="n">
        <v>1093412</v>
      </c>
      <c r="L38" s="10" t="n">
        <v>515967</v>
      </c>
      <c r="M38" s="12" t="s">
        <v>83</v>
      </c>
      <c r="N38" s="12" t="s">
        <v>54</v>
      </c>
      <c r="P38" s="10" t="n">
        <v>113</v>
      </c>
      <c r="Q38" s="12" t="s">
        <v>36</v>
      </c>
      <c r="R38" s="12" t="s">
        <v>48</v>
      </c>
      <c r="S38" s="10" t="n">
        <v>1130101</v>
      </c>
      <c r="T38" s="12" t="s">
        <v>49</v>
      </c>
      <c r="U38" s="13" t="n">
        <v>1398</v>
      </c>
      <c r="W38" s="13" t="n">
        <v>0</v>
      </c>
      <c r="X38" s="12" t="s">
        <v>118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119</v>
      </c>
      <c r="F39" s="10" t="n">
        <v>24</v>
      </c>
      <c r="G39" s="12" t="s">
        <v>77</v>
      </c>
      <c r="H39" s="10" t="n">
        <v>2110101</v>
      </c>
      <c r="I39" s="12" t="s">
        <v>33</v>
      </c>
      <c r="J39" s="10" t="n">
        <v>1117397</v>
      </c>
      <c r="L39" s="10" t="n">
        <v>1834010</v>
      </c>
      <c r="M39" s="12" t="s">
        <v>83</v>
      </c>
      <c r="N39" s="12" t="s">
        <v>54</v>
      </c>
      <c r="P39" s="10" t="n">
        <v>113</v>
      </c>
      <c r="Q39" s="12" t="s">
        <v>36</v>
      </c>
      <c r="R39" s="12" t="s">
        <v>48</v>
      </c>
      <c r="S39" s="10" t="n">
        <v>1130101</v>
      </c>
      <c r="T39" s="12" t="s">
        <v>49</v>
      </c>
      <c r="U39" s="13" t="n">
        <v>256.41</v>
      </c>
      <c r="W39" s="13" t="n">
        <v>0</v>
      </c>
      <c r="X39" s="12" t="s">
        <v>120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119</v>
      </c>
      <c r="F40" s="10" t="n">
        <v>24</v>
      </c>
      <c r="G40" s="12" t="s">
        <v>77</v>
      </c>
      <c r="H40" s="10" t="n">
        <v>2110101</v>
      </c>
      <c r="I40" s="12" t="s">
        <v>33</v>
      </c>
      <c r="J40" s="10" t="n">
        <v>1117409</v>
      </c>
      <c r="L40" s="10" t="n">
        <v>1833935</v>
      </c>
      <c r="M40" s="12" t="s">
        <v>83</v>
      </c>
      <c r="N40" s="12" t="s">
        <v>54</v>
      </c>
      <c r="P40" s="10" t="n">
        <v>113</v>
      </c>
      <c r="Q40" s="12" t="s">
        <v>36</v>
      </c>
      <c r="R40" s="12" t="s">
        <v>48</v>
      </c>
      <c r="S40" s="10" t="n">
        <v>1130101</v>
      </c>
      <c r="T40" s="12" t="s">
        <v>49</v>
      </c>
      <c r="U40" s="13" t="n">
        <v>1193.82</v>
      </c>
      <c r="W40" s="13" t="n">
        <v>0</v>
      </c>
      <c r="X40" s="12" t="s">
        <v>121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119</v>
      </c>
      <c r="F41" s="10" t="n">
        <v>24</v>
      </c>
      <c r="G41" s="12" t="s">
        <v>77</v>
      </c>
      <c r="H41" s="10" t="n">
        <v>2110101</v>
      </c>
      <c r="I41" s="12" t="s">
        <v>33</v>
      </c>
      <c r="J41" s="10" t="n">
        <v>1117426</v>
      </c>
      <c r="L41" s="10" t="n">
        <v>147974</v>
      </c>
      <c r="M41" s="12" t="s">
        <v>83</v>
      </c>
      <c r="N41" s="12" t="s">
        <v>35</v>
      </c>
      <c r="P41" s="10" t="n">
        <v>113</v>
      </c>
      <c r="Q41" s="12" t="s">
        <v>36</v>
      </c>
      <c r="R41" s="12" t="s">
        <v>48</v>
      </c>
      <c r="S41" s="10" t="n">
        <v>1130101</v>
      </c>
      <c r="T41" s="12" t="s">
        <v>49</v>
      </c>
      <c r="U41" s="13" t="n">
        <v>186.51</v>
      </c>
      <c r="W41" s="13" t="n">
        <v>0</v>
      </c>
      <c r="X41" s="12" t="s">
        <v>122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123</v>
      </c>
      <c r="F42" s="10" t="n">
        <v>24</v>
      </c>
      <c r="G42" s="12" t="s">
        <v>77</v>
      </c>
      <c r="H42" s="10" t="n">
        <v>2110101</v>
      </c>
      <c r="I42" s="12" t="s">
        <v>33</v>
      </c>
      <c r="J42" s="10" t="n">
        <v>1131396</v>
      </c>
      <c r="L42" s="10" t="n">
        <v>720157</v>
      </c>
      <c r="M42" s="12" t="s">
        <v>83</v>
      </c>
      <c r="N42" s="12" t="s">
        <v>54</v>
      </c>
      <c r="P42" s="10" t="n">
        <v>113</v>
      </c>
      <c r="Q42" s="12" t="s">
        <v>36</v>
      </c>
      <c r="R42" s="12" t="s">
        <v>48</v>
      </c>
      <c r="S42" s="10" t="n">
        <v>1130101</v>
      </c>
      <c r="T42" s="12" t="s">
        <v>49</v>
      </c>
      <c r="U42" s="13" t="n">
        <v>460.62</v>
      </c>
      <c r="W42" s="13" t="n">
        <v>0</v>
      </c>
      <c r="X42" s="12" t="s">
        <v>124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112</v>
      </c>
      <c r="F43" s="10" t="n">
        <v>24</v>
      </c>
      <c r="G43" s="12" t="s">
        <v>77</v>
      </c>
      <c r="H43" s="10" t="n">
        <v>2110101</v>
      </c>
      <c r="I43" s="12" t="s">
        <v>33</v>
      </c>
      <c r="J43" s="10" t="n">
        <v>1137318</v>
      </c>
      <c r="L43" s="10" t="n">
        <v>81957</v>
      </c>
      <c r="M43" s="12" t="s">
        <v>74</v>
      </c>
      <c r="N43" s="12" t="s">
        <v>54</v>
      </c>
      <c r="P43" s="10" t="n">
        <v>113</v>
      </c>
      <c r="Q43" s="12" t="s">
        <v>36</v>
      </c>
      <c r="R43" s="12" t="s">
        <v>48</v>
      </c>
      <c r="S43" s="10" t="n">
        <v>1130101</v>
      </c>
      <c r="T43" s="12" t="s">
        <v>49</v>
      </c>
      <c r="U43" s="13" t="n">
        <v>1006.5</v>
      </c>
      <c r="W43" s="13" t="n">
        <v>0</v>
      </c>
      <c r="X43" s="12" t="s">
        <v>125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126</v>
      </c>
      <c r="F44" s="10" t="n">
        <v>24</v>
      </c>
      <c r="G44" s="12" t="s">
        <v>77</v>
      </c>
      <c r="H44" s="10" t="n">
        <v>2110101</v>
      </c>
      <c r="I44" s="12" t="s">
        <v>33</v>
      </c>
      <c r="J44" s="10" t="n">
        <v>1157527</v>
      </c>
      <c r="L44" s="10" t="n">
        <v>30655</v>
      </c>
      <c r="M44" s="12" t="s">
        <v>83</v>
      </c>
      <c r="N44" s="12" t="s">
        <v>54</v>
      </c>
      <c r="P44" s="10" t="n">
        <v>113</v>
      </c>
      <c r="Q44" s="12" t="s">
        <v>36</v>
      </c>
      <c r="R44" s="12" t="s">
        <v>48</v>
      </c>
      <c r="S44" s="10" t="n">
        <v>1130101</v>
      </c>
      <c r="T44" s="12" t="s">
        <v>49</v>
      </c>
      <c r="U44" s="13" t="n">
        <v>199</v>
      </c>
      <c r="W44" s="13" t="n">
        <v>0</v>
      </c>
      <c r="X44" s="12" t="s">
        <v>127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128</v>
      </c>
      <c r="F45" s="10" t="n">
        <v>24</v>
      </c>
      <c r="G45" s="12" t="s">
        <v>77</v>
      </c>
      <c r="H45" s="10" t="n">
        <v>2110101</v>
      </c>
      <c r="I45" s="12" t="s">
        <v>33</v>
      </c>
      <c r="J45" s="10" t="n">
        <v>1162485</v>
      </c>
      <c r="L45" s="10" t="n">
        <v>30636</v>
      </c>
      <c r="M45" s="12" t="s">
        <v>83</v>
      </c>
      <c r="N45" s="12" t="s">
        <v>54</v>
      </c>
      <c r="P45" s="10" t="n">
        <v>113</v>
      </c>
      <c r="Q45" s="12" t="s">
        <v>36</v>
      </c>
      <c r="R45" s="12" t="s">
        <v>48</v>
      </c>
      <c r="S45" s="10" t="n">
        <v>1130101</v>
      </c>
      <c r="T45" s="12" t="s">
        <v>49</v>
      </c>
      <c r="U45" s="13" t="n">
        <v>3849.6</v>
      </c>
      <c r="W45" s="13" t="n">
        <v>0</v>
      </c>
      <c r="X45" s="12" t="s">
        <v>129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130</v>
      </c>
      <c r="F46" s="10" t="n">
        <v>24</v>
      </c>
      <c r="G46" s="12" t="s">
        <v>77</v>
      </c>
      <c r="H46" s="10" t="n">
        <v>2110101</v>
      </c>
      <c r="I46" s="12" t="s">
        <v>33</v>
      </c>
      <c r="J46" s="10" t="n">
        <v>1175751</v>
      </c>
      <c r="L46" s="10" t="n">
        <v>481</v>
      </c>
      <c r="M46" s="12" t="s">
        <v>83</v>
      </c>
      <c r="N46" s="12" t="s">
        <v>54</v>
      </c>
      <c r="P46" s="10" t="n">
        <v>113</v>
      </c>
      <c r="Q46" s="12" t="s">
        <v>36</v>
      </c>
      <c r="R46" s="12" t="s">
        <v>48</v>
      </c>
      <c r="S46" s="10" t="n">
        <v>1130101</v>
      </c>
      <c r="T46" s="12" t="s">
        <v>49</v>
      </c>
      <c r="U46" s="13" t="n">
        <v>180</v>
      </c>
      <c r="W46" s="13" t="n">
        <v>0</v>
      </c>
      <c r="X46" s="12" t="s">
        <v>131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132</v>
      </c>
      <c r="F47" s="10" t="n">
        <v>13</v>
      </c>
      <c r="G47" s="12" t="s">
        <v>133</v>
      </c>
      <c r="H47" s="10" t="n">
        <v>2110101</v>
      </c>
      <c r="I47" s="12" t="s">
        <v>33</v>
      </c>
      <c r="J47" s="10" t="n">
        <v>1192377</v>
      </c>
      <c r="L47" s="10" t="n">
        <v>2473</v>
      </c>
      <c r="M47" s="12" t="s">
        <v>83</v>
      </c>
      <c r="N47" s="12" t="s">
        <v>54</v>
      </c>
      <c r="P47" s="10" t="n">
        <v>113</v>
      </c>
      <c r="Q47" s="12" t="s">
        <v>36</v>
      </c>
      <c r="R47" s="12" t="s">
        <v>48</v>
      </c>
      <c r="S47" s="10" t="n">
        <v>1130101</v>
      </c>
      <c r="T47" s="12" t="s">
        <v>49</v>
      </c>
      <c r="U47" s="13" t="n">
        <v>195</v>
      </c>
      <c r="W47" s="13" t="n">
        <v>195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135</v>
      </c>
      <c r="F48" s="10" t="n">
        <v>34</v>
      </c>
      <c r="G48" s="12" t="s">
        <v>97</v>
      </c>
      <c r="H48" s="10" t="n">
        <v>2110405</v>
      </c>
      <c r="I48" s="12" t="s">
        <v>41</v>
      </c>
      <c r="J48" s="10" t="n">
        <v>1193042</v>
      </c>
      <c r="L48" s="10" t="n">
        <v>158999</v>
      </c>
      <c r="M48" s="12" t="s">
        <v>83</v>
      </c>
      <c r="N48" s="12" t="s">
        <v>35</v>
      </c>
      <c r="P48" s="10" t="n">
        <v>101</v>
      </c>
      <c r="Q48" s="12" t="s">
        <v>42</v>
      </c>
      <c r="R48" s="12" t="s">
        <v>100</v>
      </c>
      <c r="S48" s="10" t="n">
        <v>4210310</v>
      </c>
      <c r="T48" s="12" t="s">
        <v>136</v>
      </c>
      <c r="U48" s="13" t="n">
        <v>643</v>
      </c>
      <c r="W48" s="13" t="n">
        <v>0</v>
      </c>
      <c r="X48" s="12" t="s">
        <v>137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132</v>
      </c>
      <c r="F49" s="10" t="n">
        <v>13</v>
      </c>
      <c r="G49" s="12" t="s">
        <v>133</v>
      </c>
      <c r="H49" s="10" t="n">
        <v>2110101</v>
      </c>
      <c r="I49" s="12" t="s">
        <v>33</v>
      </c>
      <c r="J49" s="10" t="n">
        <v>1193292</v>
      </c>
      <c r="L49" s="10" t="n">
        <v>2474</v>
      </c>
      <c r="M49" s="12" t="s">
        <v>83</v>
      </c>
      <c r="N49" s="12" t="s">
        <v>54</v>
      </c>
      <c r="P49" s="10" t="n">
        <v>113</v>
      </c>
      <c r="Q49" s="12" t="s">
        <v>36</v>
      </c>
      <c r="R49" s="12" t="s">
        <v>48</v>
      </c>
      <c r="S49" s="10" t="n">
        <v>1130101</v>
      </c>
      <c r="T49" s="12" t="s">
        <v>49</v>
      </c>
      <c r="U49" s="13" t="n">
        <v>1465.86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139</v>
      </c>
      <c r="F50" s="10" t="n">
        <v>13</v>
      </c>
      <c r="G50" s="12" t="s">
        <v>133</v>
      </c>
      <c r="H50" s="10" t="n">
        <v>2110101</v>
      </c>
      <c r="I50" s="12" t="s">
        <v>33</v>
      </c>
      <c r="J50" s="10" t="n">
        <v>1193324</v>
      </c>
      <c r="L50" s="10" t="n">
        <v>159037</v>
      </c>
      <c r="M50" s="12" t="s">
        <v>83</v>
      </c>
      <c r="N50" s="12" t="s">
        <v>35</v>
      </c>
      <c r="P50" s="10" t="n">
        <v>113</v>
      </c>
      <c r="Q50" s="12" t="s">
        <v>36</v>
      </c>
      <c r="R50" s="12" t="s">
        <v>48</v>
      </c>
      <c r="S50" s="10" t="n">
        <v>1130101</v>
      </c>
      <c r="T50" s="12" t="s">
        <v>49</v>
      </c>
      <c r="U50" s="13" t="n">
        <v>370</v>
      </c>
      <c r="W50" s="13" t="n">
        <v>0</v>
      </c>
      <c r="X50" s="12" t="s">
        <v>140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141</v>
      </c>
      <c r="F51" s="10" t="n">
        <v>13</v>
      </c>
      <c r="G51" s="12" t="s">
        <v>133</v>
      </c>
      <c r="H51" s="10" t="n">
        <v>2110101</v>
      </c>
      <c r="I51" s="12" t="s">
        <v>33</v>
      </c>
      <c r="J51" s="10" t="n">
        <v>1193349</v>
      </c>
      <c r="L51" s="10" t="n">
        <v>5932</v>
      </c>
      <c r="M51" s="12" t="s">
        <v>83</v>
      </c>
      <c r="N51" s="12" t="s">
        <v>54</v>
      </c>
      <c r="P51" s="10" t="n">
        <v>113</v>
      </c>
      <c r="Q51" s="12" t="s">
        <v>36</v>
      </c>
      <c r="R51" s="12" t="s">
        <v>48</v>
      </c>
      <c r="S51" s="10" t="n">
        <v>1130101</v>
      </c>
      <c r="T51" s="12" t="s">
        <v>49</v>
      </c>
      <c r="U51" s="13" t="n">
        <v>140</v>
      </c>
      <c r="W51" s="13" t="n">
        <v>140</v>
      </c>
      <c r="X51" s="12" t="s">
        <v>142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143</v>
      </c>
      <c r="F52" s="10" t="n">
        <v>34</v>
      </c>
      <c r="G52" s="12" t="s">
        <v>97</v>
      </c>
      <c r="H52" s="10" t="n">
        <v>1110203</v>
      </c>
      <c r="I52" s="12" t="s">
        <v>108</v>
      </c>
      <c r="J52" s="10" t="n">
        <v>1443986</v>
      </c>
      <c r="L52" s="10" t="n">
        <v>195286</v>
      </c>
      <c r="M52" s="12" t="s">
        <v>83</v>
      </c>
      <c r="N52" s="12" t="s">
        <v>35</v>
      </c>
      <c r="P52" s="10" t="n">
        <v>104</v>
      </c>
      <c r="Q52" s="12" t="s">
        <v>55</v>
      </c>
      <c r="R52" s="12" t="s">
        <v>144</v>
      </c>
      <c r="S52" s="10" t="n">
        <v>4210505</v>
      </c>
      <c r="T52" s="12" t="s">
        <v>145</v>
      </c>
      <c r="U52" s="13" t="n">
        <v>329.94</v>
      </c>
      <c r="W52" s="13" t="n">
        <v>0</v>
      </c>
      <c r="X52" s="12" t="s">
        <v>146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143</v>
      </c>
      <c r="F53" s="10" t="n">
        <v>34</v>
      </c>
      <c r="G53" s="12" t="s">
        <v>97</v>
      </c>
      <c r="H53" s="10" t="n">
        <v>1110203</v>
      </c>
      <c r="I53" s="12" t="s">
        <v>108</v>
      </c>
      <c r="J53" s="10" t="n">
        <v>1444012</v>
      </c>
      <c r="L53" s="10" t="n">
        <v>195292</v>
      </c>
      <c r="M53" s="12" t="s">
        <v>83</v>
      </c>
      <c r="N53" s="12" t="s">
        <v>35</v>
      </c>
      <c r="P53" s="10" t="n">
        <v>104</v>
      </c>
      <c r="Q53" s="12" t="s">
        <v>55</v>
      </c>
      <c r="R53" s="12" t="s">
        <v>144</v>
      </c>
      <c r="S53" s="10" t="n">
        <v>4210505</v>
      </c>
      <c r="T53" s="12" t="s">
        <v>145</v>
      </c>
      <c r="U53" s="13" t="n">
        <v>114.21</v>
      </c>
      <c r="W53" s="13" t="n">
        <v>0</v>
      </c>
      <c r="X53" s="12" t="s">
        <v>147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143</v>
      </c>
      <c r="F54" s="10" t="n">
        <v>34</v>
      </c>
      <c r="G54" s="12" t="s">
        <v>97</v>
      </c>
      <c r="H54" s="10" t="n">
        <v>1110203</v>
      </c>
      <c r="I54" s="12" t="s">
        <v>108</v>
      </c>
      <c r="J54" s="10" t="n">
        <v>1444050</v>
      </c>
      <c r="L54" s="10" t="n">
        <v>195295</v>
      </c>
      <c r="M54" s="12" t="s">
        <v>83</v>
      </c>
      <c r="N54" s="12" t="s">
        <v>35</v>
      </c>
      <c r="P54" s="10" t="n">
        <v>104</v>
      </c>
      <c r="Q54" s="12" t="s">
        <v>55</v>
      </c>
      <c r="R54" s="12" t="s">
        <v>144</v>
      </c>
      <c r="S54" s="10" t="n">
        <v>4210505</v>
      </c>
      <c r="T54" s="12" t="s">
        <v>145</v>
      </c>
      <c r="U54" s="13" t="n">
        <v>212.66</v>
      </c>
      <c r="W54" s="13" t="n">
        <v>0</v>
      </c>
      <c r="X54" s="12" t="s">
        <v>148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143</v>
      </c>
      <c r="F55" s="10" t="n">
        <v>34</v>
      </c>
      <c r="G55" s="12" t="s">
        <v>97</v>
      </c>
      <c r="H55" s="10" t="n">
        <v>1110203</v>
      </c>
      <c r="I55" s="12" t="s">
        <v>108</v>
      </c>
      <c r="J55" s="10" t="n">
        <v>1444092</v>
      </c>
      <c r="L55" s="10" t="n">
        <v>195306</v>
      </c>
      <c r="M55" s="12" t="s">
        <v>83</v>
      </c>
      <c r="N55" s="12" t="s">
        <v>35</v>
      </c>
      <c r="P55" s="10" t="n">
        <v>104</v>
      </c>
      <c r="Q55" s="12" t="s">
        <v>55</v>
      </c>
      <c r="R55" s="12" t="s">
        <v>144</v>
      </c>
      <c r="S55" s="10" t="n">
        <v>4210504</v>
      </c>
      <c r="T55" s="12" t="s">
        <v>149</v>
      </c>
      <c r="U55" s="13" t="n">
        <v>36.11</v>
      </c>
      <c r="W55" s="13" t="n">
        <v>0</v>
      </c>
      <c r="X55" s="12" t="s">
        <v>150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143</v>
      </c>
      <c r="F56" s="10" t="n">
        <v>34</v>
      </c>
      <c r="G56" s="12" t="s">
        <v>97</v>
      </c>
      <c r="H56" s="10" t="n">
        <v>1110203</v>
      </c>
      <c r="I56" s="12" t="s">
        <v>108</v>
      </c>
      <c r="J56" s="10" t="n">
        <v>1444103</v>
      </c>
      <c r="L56" s="10" t="n">
        <v>195320</v>
      </c>
      <c r="M56" s="12" t="s">
        <v>83</v>
      </c>
      <c r="N56" s="12" t="s">
        <v>35</v>
      </c>
      <c r="P56" s="10" t="n">
        <v>104</v>
      </c>
      <c r="Q56" s="12" t="s">
        <v>55</v>
      </c>
      <c r="R56" s="12" t="s">
        <v>144</v>
      </c>
      <c r="S56" s="10" t="n">
        <v>4210504</v>
      </c>
      <c r="T56" s="12" t="s">
        <v>149</v>
      </c>
      <c r="U56" s="13" t="n">
        <v>0.22</v>
      </c>
      <c r="W56" s="13" t="n">
        <v>0</v>
      </c>
      <c r="X56" s="12" t="s">
        <v>151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143</v>
      </c>
      <c r="F57" s="10" t="n">
        <v>34</v>
      </c>
      <c r="G57" s="12" t="s">
        <v>97</v>
      </c>
      <c r="H57" s="10" t="n">
        <v>1110203</v>
      </c>
      <c r="I57" s="12" t="s">
        <v>108</v>
      </c>
      <c r="J57" s="10" t="n">
        <v>1444107</v>
      </c>
      <c r="L57" s="10" t="n">
        <v>195323</v>
      </c>
      <c r="M57" s="12" t="s">
        <v>83</v>
      </c>
      <c r="N57" s="12" t="s">
        <v>35</v>
      </c>
      <c r="P57" s="10" t="n">
        <v>104</v>
      </c>
      <c r="Q57" s="12" t="s">
        <v>55</v>
      </c>
      <c r="R57" s="12" t="s">
        <v>144</v>
      </c>
      <c r="S57" s="10" t="n">
        <v>4210504</v>
      </c>
      <c r="T57" s="12" t="s">
        <v>149</v>
      </c>
      <c r="U57" s="13" t="n">
        <v>485.04</v>
      </c>
      <c r="W57" s="13" t="n">
        <v>0</v>
      </c>
      <c r="X57" s="12" t="s">
        <v>152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85</v>
      </c>
      <c r="F58" s="10" t="n">
        <v>24</v>
      </c>
      <c r="G58" s="12" t="s">
        <v>77</v>
      </c>
      <c r="H58" s="10" t="n">
        <v>2110101</v>
      </c>
      <c r="I58" s="12" t="s">
        <v>33</v>
      </c>
      <c r="J58" s="10" t="n">
        <v>1097352</v>
      </c>
      <c r="L58" s="10" t="n">
        <v>145428</v>
      </c>
      <c r="M58" s="12" t="s">
        <v>83</v>
      </c>
      <c r="N58" s="12" t="s">
        <v>35</v>
      </c>
      <c r="P58" s="10" t="n">
        <v>113</v>
      </c>
      <c r="Q58" s="12" t="s">
        <v>36</v>
      </c>
      <c r="R58" s="12" t="s">
        <v>48</v>
      </c>
      <c r="S58" s="10" t="n">
        <v>1130101</v>
      </c>
      <c r="T58" s="12" t="s">
        <v>49</v>
      </c>
      <c r="U58" s="13" t="n">
        <v>1036.09</v>
      </c>
      <c r="W58" s="13" t="n">
        <v>0</v>
      </c>
      <c r="X58" s="12" t="s">
        <v>153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154</v>
      </c>
      <c r="F59" s="10" t="n">
        <v>24</v>
      </c>
      <c r="G59" s="12" t="s">
        <v>77</v>
      </c>
      <c r="H59" s="10" t="n">
        <v>2110101</v>
      </c>
      <c r="I59" s="12" t="s">
        <v>33</v>
      </c>
      <c r="J59" s="10" t="n">
        <v>1098104</v>
      </c>
      <c r="L59" s="10" t="n">
        <v>341419</v>
      </c>
      <c r="M59" s="12" t="s">
        <v>74</v>
      </c>
      <c r="N59" s="12" t="s">
        <v>54</v>
      </c>
      <c r="P59" s="10" t="n">
        <v>113</v>
      </c>
      <c r="Q59" s="12" t="s">
        <v>36</v>
      </c>
      <c r="R59" s="12" t="s">
        <v>48</v>
      </c>
      <c r="S59" s="10" t="n">
        <v>1130101</v>
      </c>
      <c r="T59" s="12" t="s">
        <v>49</v>
      </c>
      <c r="U59" s="13" t="n">
        <v>843.12</v>
      </c>
      <c r="W59" s="13" t="n">
        <v>0</v>
      </c>
      <c r="X59" s="12" t="s">
        <v>155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156</v>
      </c>
      <c r="F60" s="10" t="n">
        <v>24</v>
      </c>
      <c r="G60" s="12" t="s">
        <v>77</v>
      </c>
      <c r="H60" s="10" t="n">
        <v>2110101</v>
      </c>
      <c r="I60" s="12" t="s">
        <v>33</v>
      </c>
      <c r="J60" s="10" t="n">
        <v>1101879</v>
      </c>
      <c r="L60" s="10" t="n">
        <v>146196</v>
      </c>
      <c r="M60" s="12" t="s">
        <v>83</v>
      </c>
      <c r="N60" s="12" t="s">
        <v>35</v>
      </c>
      <c r="P60" s="10" t="n">
        <v>113</v>
      </c>
      <c r="Q60" s="12" t="s">
        <v>36</v>
      </c>
      <c r="R60" s="12" t="s">
        <v>48</v>
      </c>
      <c r="S60" s="10" t="n">
        <v>1130101</v>
      </c>
      <c r="T60" s="12" t="s">
        <v>49</v>
      </c>
      <c r="U60" s="13" t="n">
        <v>392.13</v>
      </c>
      <c r="W60" s="13" t="n">
        <v>0</v>
      </c>
      <c r="X60" s="12" t="s">
        <v>157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156</v>
      </c>
      <c r="F61" s="10" t="n">
        <v>24</v>
      </c>
      <c r="G61" s="12" t="s">
        <v>77</v>
      </c>
      <c r="H61" s="10" t="n">
        <v>2110101</v>
      </c>
      <c r="I61" s="12" t="s">
        <v>33</v>
      </c>
      <c r="J61" s="10" t="n">
        <v>1102198</v>
      </c>
      <c r="L61" s="10" t="n">
        <v>1762195</v>
      </c>
      <c r="M61" s="12" t="s">
        <v>74</v>
      </c>
      <c r="N61" s="12" t="s">
        <v>54</v>
      </c>
      <c r="P61" s="10" t="n">
        <v>113</v>
      </c>
      <c r="Q61" s="12" t="s">
        <v>36</v>
      </c>
      <c r="R61" s="12" t="s">
        <v>48</v>
      </c>
      <c r="S61" s="10" t="n">
        <v>1130101</v>
      </c>
      <c r="T61" s="12" t="s">
        <v>49</v>
      </c>
      <c r="U61" s="13" t="n">
        <v>691.5</v>
      </c>
      <c r="W61" s="13" t="n">
        <v>0</v>
      </c>
      <c r="X61" s="12" t="s">
        <v>158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94</v>
      </c>
      <c r="F62" s="10" t="n">
        <v>24</v>
      </c>
      <c r="G62" s="12" t="s">
        <v>77</v>
      </c>
      <c r="H62" s="10" t="n">
        <v>2110101</v>
      </c>
      <c r="I62" s="12" t="s">
        <v>33</v>
      </c>
      <c r="J62" s="10" t="n">
        <v>1102672</v>
      </c>
      <c r="L62" s="10" t="n">
        <v>1585747</v>
      </c>
      <c r="M62" s="12" t="s">
        <v>74</v>
      </c>
      <c r="N62" s="12" t="s">
        <v>54</v>
      </c>
      <c r="P62" s="10" t="n">
        <v>113</v>
      </c>
      <c r="Q62" s="12" t="s">
        <v>36</v>
      </c>
      <c r="R62" s="12" t="s">
        <v>48</v>
      </c>
      <c r="S62" s="10" t="n">
        <v>1130101</v>
      </c>
      <c r="T62" s="12" t="s">
        <v>49</v>
      </c>
      <c r="U62" s="13" t="n">
        <v>349.37</v>
      </c>
      <c r="W62" s="13" t="n">
        <v>0</v>
      </c>
      <c r="X62" s="12" t="s">
        <v>159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160</v>
      </c>
      <c r="F63" s="10" t="n">
        <v>24</v>
      </c>
      <c r="G63" s="12" t="s">
        <v>77</v>
      </c>
      <c r="H63" s="10" t="n">
        <v>2110101</v>
      </c>
      <c r="I63" s="12" t="s">
        <v>33</v>
      </c>
      <c r="J63" s="10" t="n">
        <v>1106692</v>
      </c>
      <c r="L63" s="10" t="n">
        <v>1952417</v>
      </c>
      <c r="M63" s="12" t="s">
        <v>83</v>
      </c>
      <c r="N63" s="12" t="s">
        <v>54</v>
      </c>
      <c r="P63" s="10" t="n">
        <v>113</v>
      </c>
      <c r="Q63" s="12" t="s">
        <v>36</v>
      </c>
      <c r="R63" s="12" t="s">
        <v>48</v>
      </c>
      <c r="S63" s="10" t="n">
        <v>1130101</v>
      </c>
      <c r="T63" s="12" t="s">
        <v>49</v>
      </c>
      <c r="U63" s="13" t="n">
        <v>1262.32</v>
      </c>
      <c r="W63" s="13" t="n">
        <v>0</v>
      </c>
      <c r="X63" s="12" t="s">
        <v>161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162</v>
      </c>
      <c r="F64" s="10" t="n">
        <v>24</v>
      </c>
      <c r="G64" s="12" t="s">
        <v>77</v>
      </c>
      <c r="H64" s="10" t="n">
        <v>2110101</v>
      </c>
      <c r="I64" s="12" t="s">
        <v>33</v>
      </c>
      <c r="J64" s="10" t="n">
        <v>1121614</v>
      </c>
      <c r="L64" s="10" t="n">
        <v>148605</v>
      </c>
      <c r="M64" s="12" t="s">
        <v>83</v>
      </c>
      <c r="N64" s="12" t="s">
        <v>35</v>
      </c>
      <c r="P64" s="10" t="n">
        <v>113</v>
      </c>
      <c r="Q64" s="12" t="s">
        <v>36</v>
      </c>
      <c r="R64" s="12" t="s">
        <v>48</v>
      </c>
      <c r="S64" s="10" t="n">
        <v>1130101</v>
      </c>
      <c r="T64" s="12" t="s">
        <v>49</v>
      </c>
      <c r="U64" s="13" t="n">
        <v>504.96</v>
      </c>
      <c r="W64" s="13" t="n">
        <v>0</v>
      </c>
      <c r="X64" s="12" t="s">
        <v>163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164</v>
      </c>
      <c r="F65" s="10" t="n">
        <v>24</v>
      </c>
      <c r="G65" s="12" t="s">
        <v>77</v>
      </c>
      <c r="H65" s="10" t="n">
        <v>2110101</v>
      </c>
      <c r="I65" s="12" t="s">
        <v>33</v>
      </c>
      <c r="J65" s="10" t="n">
        <v>1131280</v>
      </c>
      <c r="L65" s="10" t="n">
        <v>382547</v>
      </c>
      <c r="M65" s="12" t="s">
        <v>74</v>
      </c>
      <c r="N65" s="12" t="s">
        <v>54</v>
      </c>
      <c r="P65" s="10" t="n">
        <v>113</v>
      </c>
      <c r="Q65" s="12" t="s">
        <v>36</v>
      </c>
      <c r="R65" s="12" t="s">
        <v>48</v>
      </c>
      <c r="S65" s="10" t="n">
        <v>1130101</v>
      </c>
      <c r="T65" s="12" t="s">
        <v>49</v>
      </c>
      <c r="U65" s="13" t="n">
        <v>774.34</v>
      </c>
      <c r="W65" s="13" t="n">
        <v>0</v>
      </c>
      <c r="X65" s="12" t="s">
        <v>165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166</v>
      </c>
      <c r="F66" s="10" t="n">
        <v>24</v>
      </c>
      <c r="G66" s="12" t="s">
        <v>77</v>
      </c>
      <c r="H66" s="10" t="n">
        <v>2110101</v>
      </c>
      <c r="I66" s="12" t="s">
        <v>33</v>
      </c>
      <c r="J66" s="10" t="n">
        <v>1131644</v>
      </c>
      <c r="L66" s="10" t="n">
        <v>20752</v>
      </c>
      <c r="M66" s="12" t="s">
        <v>83</v>
      </c>
      <c r="N66" s="12" t="s">
        <v>54</v>
      </c>
      <c r="P66" s="10" t="n">
        <v>113</v>
      </c>
      <c r="Q66" s="12" t="s">
        <v>36</v>
      </c>
      <c r="R66" s="12" t="s">
        <v>48</v>
      </c>
      <c r="S66" s="10" t="n">
        <v>1130101</v>
      </c>
      <c r="T66" s="12" t="s">
        <v>49</v>
      </c>
      <c r="U66" s="13" t="n">
        <v>340.77</v>
      </c>
      <c r="W66" s="13" t="n">
        <v>0</v>
      </c>
      <c r="X66" s="12" t="s">
        <v>167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168</v>
      </c>
      <c r="F67" s="10" t="n">
        <v>24</v>
      </c>
      <c r="G67" s="12" t="s">
        <v>77</v>
      </c>
      <c r="H67" s="10" t="n">
        <v>2110101</v>
      </c>
      <c r="I67" s="12" t="s">
        <v>33</v>
      </c>
      <c r="J67" s="10" t="n">
        <v>1133244</v>
      </c>
      <c r="L67" s="10" t="n">
        <v>192719</v>
      </c>
      <c r="M67" s="12" t="s">
        <v>83</v>
      </c>
      <c r="N67" s="12" t="s">
        <v>54</v>
      </c>
      <c r="P67" s="10" t="n">
        <v>113</v>
      </c>
      <c r="Q67" s="12" t="s">
        <v>36</v>
      </c>
      <c r="R67" s="12" t="s">
        <v>48</v>
      </c>
      <c r="S67" s="10" t="n">
        <v>1130101</v>
      </c>
      <c r="T67" s="12" t="s">
        <v>49</v>
      </c>
      <c r="U67" s="13" t="n">
        <v>534.12</v>
      </c>
      <c r="W67" s="13" t="n">
        <v>0</v>
      </c>
      <c r="X67" s="12" t="s">
        <v>169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94</v>
      </c>
      <c r="F68" s="10" t="n">
        <v>24</v>
      </c>
      <c r="G68" s="12" t="s">
        <v>77</v>
      </c>
      <c r="H68" s="10" t="n">
        <v>2110101</v>
      </c>
      <c r="I68" s="12" t="s">
        <v>33</v>
      </c>
      <c r="J68" s="10" t="n">
        <v>1137478</v>
      </c>
      <c r="L68" s="10" t="n">
        <v>1588694</v>
      </c>
      <c r="M68" s="12" t="s">
        <v>83</v>
      </c>
      <c r="N68" s="12" t="s">
        <v>54</v>
      </c>
      <c r="P68" s="10" t="n">
        <v>113</v>
      </c>
      <c r="Q68" s="12" t="s">
        <v>36</v>
      </c>
      <c r="R68" s="12" t="s">
        <v>48</v>
      </c>
      <c r="S68" s="10" t="n">
        <v>1130101</v>
      </c>
      <c r="T68" s="12" t="s">
        <v>49</v>
      </c>
      <c r="U68" s="13" t="n">
        <v>1208.63</v>
      </c>
      <c r="W68" s="13" t="n">
        <v>0</v>
      </c>
      <c r="X68" s="12" t="s">
        <v>170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171</v>
      </c>
      <c r="F69" s="10" t="n">
        <v>24</v>
      </c>
      <c r="G69" s="12" t="s">
        <v>77</v>
      </c>
      <c r="H69" s="10" t="n">
        <v>2110101</v>
      </c>
      <c r="I69" s="12" t="s">
        <v>33</v>
      </c>
      <c r="J69" s="10" t="n">
        <v>1162575</v>
      </c>
      <c r="L69" s="10" t="n">
        <v>3262</v>
      </c>
      <c r="M69" s="12" t="s">
        <v>83</v>
      </c>
      <c r="N69" s="12" t="s">
        <v>54</v>
      </c>
      <c r="P69" s="10" t="n">
        <v>113</v>
      </c>
      <c r="Q69" s="12" t="s">
        <v>36</v>
      </c>
      <c r="R69" s="12" t="s">
        <v>48</v>
      </c>
      <c r="S69" s="10" t="n">
        <v>1130101</v>
      </c>
      <c r="T69" s="12" t="s">
        <v>49</v>
      </c>
      <c r="U69" s="13" t="n">
        <v>156</v>
      </c>
      <c r="W69" s="13" t="n">
        <v>0</v>
      </c>
      <c r="X69" s="12" t="s">
        <v>172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132</v>
      </c>
      <c r="F70" s="10" t="n">
        <v>34</v>
      </c>
      <c r="G70" s="12" t="s">
        <v>97</v>
      </c>
      <c r="H70" s="10" t="n">
        <v>2110101</v>
      </c>
      <c r="I70" s="12" t="s">
        <v>33</v>
      </c>
      <c r="J70" s="10" t="n">
        <v>1166147</v>
      </c>
      <c r="L70" s="10" t="n">
        <v>2460</v>
      </c>
      <c r="M70" s="12" t="s">
        <v>83</v>
      </c>
      <c r="N70" s="12" t="s">
        <v>54</v>
      </c>
      <c r="P70" s="10" t="n">
        <v>113</v>
      </c>
      <c r="Q70" s="12" t="s">
        <v>36</v>
      </c>
      <c r="R70" s="12" t="s">
        <v>48</v>
      </c>
      <c r="S70" s="10" t="n">
        <v>1130101</v>
      </c>
      <c r="T70" s="12" t="s">
        <v>49</v>
      </c>
      <c r="U70" s="13" t="n">
        <v>950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123</v>
      </c>
      <c r="F71" s="10" t="n">
        <v>24</v>
      </c>
      <c r="G71" s="12" t="s">
        <v>77</v>
      </c>
      <c r="H71" s="10" t="n">
        <v>2110101</v>
      </c>
      <c r="I71" s="12" t="s">
        <v>33</v>
      </c>
      <c r="J71" s="10" t="n">
        <v>1167108</v>
      </c>
      <c r="L71" s="10" t="n">
        <v>27273</v>
      </c>
      <c r="M71" s="12" t="s">
        <v>83</v>
      </c>
      <c r="N71" s="12" t="s">
        <v>54</v>
      </c>
      <c r="P71" s="10" t="n">
        <v>113</v>
      </c>
      <c r="Q71" s="12" t="s">
        <v>36</v>
      </c>
      <c r="R71" s="12" t="s">
        <v>48</v>
      </c>
      <c r="S71" s="10" t="n">
        <v>1130101</v>
      </c>
      <c r="T71" s="12" t="s">
        <v>49</v>
      </c>
      <c r="U71" s="13" t="n">
        <v>84.11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175</v>
      </c>
      <c r="F72" s="10" t="n">
        <v>24</v>
      </c>
      <c r="G72" s="12" t="s">
        <v>77</v>
      </c>
      <c r="H72" s="10" t="n">
        <v>2110101</v>
      </c>
      <c r="I72" s="12" t="s">
        <v>33</v>
      </c>
      <c r="J72" s="10" t="n">
        <v>1061272</v>
      </c>
      <c r="L72" s="10" t="n">
        <v>831791</v>
      </c>
      <c r="M72" s="12" t="s">
        <v>62</v>
      </c>
      <c r="N72" s="12" t="s">
        <v>54</v>
      </c>
      <c r="P72" s="10" t="n">
        <v>113</v>
      </c>
      <c r="Q72" s="12" t="s">
        <v>36</v>
      </c>
      <c r="R72" s="12" t="s">
        <v>48</v>
      </c>
      <c r="S72" s="10" t="n">
        <v>1130101</v>
      </c>
      <c r="T72" s="12" t="s">
        <v>49</v>
      </c>
      <c r="U72" s="13" t="n">
        <v>897.51</v>
      </c>
      <c r="W72" s="13" t="n">
        <v>0</v>
      </c>
      <c r="X72" s="12" t="s">
        <v>176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119</v>
      </c>
      <c r="F73" s="10" t="n">
        <v>24</v>
      </c>
      <c r="G73" s="12" t="s">
        <v>77</v>
      </c>
      <c r="H73" s="10" t="n">
        <v>2110101</v>
      </c>
      <c r="I73" s="12" t="s">
        <v>33</v>
      </c>
      <c r="J73" s="10" t="n">
        <v>1062696</v>
      </c>
      <c r="L73" s="10" t="n">
        <v>1109453</v>
      </c>
      <c r="M73" s="12" t="s">
        <v>83</v>
      </c>
      <c r="N73" s="12" t="s">
        <v>54</v>
      </c>
      <c r="P73" s="10" t="n">
        <v>113</v>
      </c>
      <c r="Q73" s="12" t="s">
        <v>36</v>
      </c>
      <c r="R73" s="12" t="s">
        <v>48</v>
      </c>
      <c r="S73" s="10" t="n">
        <v>1130101</v>
      </c>
      <c r="T73" s="12" t="s">
        <v>49</v>
      </c>
      <c r="U73" s="13" t="n">
        <v>157.75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156</v>
      </c>
      <c r="F74" s="10" t="n">
        <v>24</v>
      </c>
      <c r="G74" s="12" t="s">
        <v>77</v>
      </c>
      <c r="H74" s="10" t="n">
        <v>2110101</v>
      </c>
      <c r="I74" s="12" t="s">
        <v>33</v>
      </c>
      <c r="J74" s="10" t="n">
        <v>1121534</v>
      </c>
      <c r="L74" s="10" t="n">
        <v>148580</v>
      </c>
      <c r="M74" s="12" t="s">
        <v>83</v>
      </c>
      <c r="N74" s="12" t="s">
        <v>35</v>
      </c>
      <c r="P74" s="10" t="n">
        <v>113</v>
      </c>
      <c r="Q74" s="12" t="s">
        <v>36</v>
      </c>
      <c r="R74" s="12" t="s">
        <v>48</v>
      </c>
      <c r="S74" s="10" t="n">
        <v>1130101</v>
      </c>
      <c r="T74" s="12" t="s">
        <v>49</v>
      </c>
      <c r="U74" s="13" t="n">
        <v>3345.97</v>
      </c>
      <c r="W74" s="13" t="n">
        <v>0</v>
      </c>
      <c r="X74" s="12" t="s">
        <v>178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179</v>
      </c>
      <c r="F75" s="10" t="n">
        <v>24</v>
      </c>
      <c r="G75" s="12" t="s">
        <v>77</v>
      </c>
      <c r="H75" s="10" t="n">
        <v>2110101</v>
      </c>
      <c r="I75" s="12" t="s">
        <v>33</v>
      </c>
      <c r="J75" s="10" t="n">
        <v>1131437</v>
      </c>
      <c r="L75" s="10" t="n">
        <v>195290</v>
      </c>
      <c r="M75" s="12" t="s">
        <v>83</v>
      </c>
      <c r="N75" s="12" t="s">
        <v>54</v>
      </c>
      <c r="P75" s="10" t="n">
        <v>113</v>
      </c>
      <c r="Q75" s="12" t="s">
        <v>36</v>
      </c>
      <c r="R75" s="12" t="s">
        <v>48</v>
      </c>
      <c r="S75" s="10" t="n">
        <v>1130101</v>
      </c>
      <c r="T75" s="12" t="s">
        <v>49</v>
      </c>
      <c r="U75" s="13" t="n">
        <v>538.53</v>
      </c>
      <c r="W75" s="13" t="n">
        <v>0</v>
      </c>
      <c r="X75" s="12" t="s">
        <v>180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181</v>
      </c>
      <c r="F76" s="10" t="n">
        <v>24</v>
      </c>
      <c r="G76" s="12" t="s">
        <v>77</v>
      </c>
      <c r="H76" s="10" t="n">
        <v>2110101</v>
      </c>
      <c r="I76" s="12" t="s">
        <v>33</v>
      </c>
      <c r="J76" s="10" t="n">
        <v>1133085</v>
      </c>
      <c r="L76" s="10" t="n">
        <v>10468</v>
      </c>
      <c r="M76" s="12" t="s">
        <v>83</v>
      </c>
      <c r="N76" s="12" t="s">
        <v>54</v>
      </c>
      <c r="P76" s="10" t="n">
        <v>113</v>
      </c>
      <c r="Q76" s="12" t="s">
        <v>36</v>
      </c>
      <c r="R76" s="12" t="s">
        <v>48</v>
      </c>
      <c r="S76" s="10" t="n">
        <v>1130101</v>
      </c>
      <c r="T76" s="12" t="s">
        <v>49</v>
      </c>
      <c r="U76" s="13" t="n">
        <v>228</v>
      </c>
      <c r="W76" s="13" t="n">
        <v>0</v>
      </c>
      <c r="X76" s="12" t="s">
        <v>182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175</v>
      </c>
      <c r="F77" s="10" t="n">
        <v>24</v>
      </c>
      <c r="G77" s="12" t="s">
        <v>77</v>
      </c>
      <c r="H77" s="10" t="n">
        <v>2110101</v>
      </c>
      <c r="I77" s="12" t="s">
        <v>33</v>
      </c>
      <c r="J77" s="10" t="n">
        <v>1136474</v>
      </c>
      <c r="L77" s="10" t="n">
        <v>836836</v>
      </c>
      <c r="M77" s="12" t="s">
        <v>83</v>
      </c>
      <c r="N77" s="12" t="s">
        <v>54</v>
      </c>
      <c r="P77" s="10" t="n">
        <v>113</v>
      </c>
      <c r="Q77" s="12" t="s">
        <v>36</v>
      </c>
      <c r="R77" s="12" t="s">
        <v>48</v>
      </c>
      <c r="S77" s="10" t="n">
        <v>1130101</v>
      </c>
      <c r="T77" s="12" t="s">
        <v>49</v>
      </c>
      <c r="U77" s="13" t="n">
        <v>346.96</v>
      </c>
      <c r="W77" s="13" t="n">
        <v>0</v>
      </c>
      <c r="X77" s="12" t="s">
        <v>183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175</v>
      </c>
      <c r="F78" s="10" t="n">
        <v>24</v>
      </c>
      <c r="G78" s="12" t="s">
        <v>77</v>
      </c>
      <c r="H78" s="10" t="n">
        <v>2110101</v>
      </c>
      <c r="I78" s="12" t="s">
        <v>33</v>
      </c>
      <c r="J78" s="10" t="n">
        <v>1136600</v>
      </c>
      <c r="L78" s="10" t="n">
        <v>836835</v>
      </c>
      <c r="M78" s="12" t="s">
        <v>83</v>
      </c>
      <c r="N78" s="12" t="s">
        <v>54</v>
      </c>
      <c r="P78" s="10" t="n">
        <v>113</v>
      </c>
      <c r="Q78" s="12" t="s">
        <v>36</v>
      </c>
      <c r="R78" s="12" t="s">
        <v>48</v>
      </c>
      <c r="S78" s="10" t="n">
        <v>1130101</v>
      </c>
      <c r="T78" s="12" t="s">
        <v>49</v>
      </c>
      <c r="U78" s="13" t="n">
        <v>560.42</v>
      </c>
      <c r="W78" s="13" t="n">
        <v>0</v>
      </c>
      <c r="X78" s="12" t="s">
        <v>184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185</v>
      </c>
      <c r="F79" s="10" t="n">
        <v>24</v>
      </c>
      <c r="G79" s="12" t="s">
        <v>77</v>
      </c>
      <c r="H79" s="10" t="n">
        <v>2110405</v>
      </c>
      <c r="I79" s="12" t="s">
        <v>41</v>
      </c>
      <c r="J79" s="10" t="n">
        <v>1166357</v>
      </c>
      <c r="L79" s="10" t="n">
        <v>155208</v>
      </c>
      <c r="M79" s="12" t="s">
        <v>83</v>
      </c>
      <c r="N79" s="12" t="s">
        <v>35</v>
      </c>
      <c r="P79" s="10" t="n">
        <v>101</v>
      </c>
      <c r="Q79" s="12" t="s">
        <v>42</v>
      </c>
      <c r="R79" s="12" t="s">
        <v>56</v>
      </c>
      <c r="S79" s="10" t="n">
        <v>4210233</v>
      </c>
      <c r="T79" s="12" t="s">
        <v>186</v>
      </c>
      <c r="U79" s="13" t="n">
        <v>258</v>
      </c>
      <c r="W79" s="13" t="n">
        <v>0</v>
      </c>
      <c r="X79" s="12" t="s">
        <v>187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188</v>
      </c>
      <c r="F80" s="10" t="n">
        <v>24</v>
      </c>
      <c r="G80" s="12" t="s">
        <v>77</v>
      </c>
      <c r="H80" s="10" t="n">
        <v>2110101</v>
      </c>
      <c r="I80" s="12" t="s">
        <v>33</v>
      </c>
      <c r="J80" s="10" t="n">
        <v>1166991</v>
      </c>
      <c r="L80" s="10" t="n">
        <v>3278</v>
      </c>
      <c r="M80" s="12" t="s">
        <v>83</v>
      </c>
      <c r="N80" s="12" t="s">
        <v>54</v>
      </c>
      <c r="P80" s="10" t="n">
        <v>113</v>
      </c>
      <c r="Q80" s="12" t="s">
        <v>36</v>
      </c>
      <c r="R80" s="12" t="s">
        <v>48</v>
      </c>
      <c r="S80" s="10" t="n">
        <v>1130101</v>
      </c>
      <c r="T80" s="12" t="s">
        <v>49</v>
      </c>
      <c r="U80" s="13" t="n">
        <v>398.65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76</v>
      </c>
      <c r="F81" s="10" t="n">
        <v>24</v>
      </c>
      <c r="G81" s="12" t="s">
        <v>77</v>
      </c>
      <c r="H81" s="10" t="n">
        <v>2110101</v>
      </c>
      <c r="I81" s="12" t="s">
        <v>33</v>
      </c>
      <c r="J81" s="10" t="n">
        <v>1172063</v>
      </c>
      <c r="L81" s="10" t="n">
        <v>2285997</v>
      </c>
      <c r="M81" s="12" t="s">
        <v>83</v>
      </c>
      <c r="N81" s="12" t="s">
        <v>54</v>
      </c>
      <c r="P81" s="10" t="n">
        <v>113</v>
      </c>
      <c r="Q81" s="12" t="s">
        <v>36</v>
      </c>
      <c r="R81" s="12" t="s">
        <v>48</v>
      </c>
      <c r="S81" s="10" t="n">
        <v>1130101</v>
      </c>
      <c r="T81" s="12" t="s">
        <v>49</v>
      </c>
      <c r="U81" s="13" t="n">
        <v>506.55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191</v>
      </c>
      <c r="F82" s="10" t="n">
        <v>24</v>
      </c>
      <c r="G82" s="12" t="s">
        <v>77</v>
      </c>
      <c r="H82" s="10" t="n">
        <v>2110405</v>
      </c>
      <c r="I82" s="12" t="s">
        <v>41</v>
      </c>
      <c r="J82" s="10" t="n">
        <v>1172101</v>
      </c>
      <c r="L82" s="10" t="n">
        <v>156217</v>
      </c>
      <c r="M82" s="12" t="s">
        <v>83</v>
      </c>
      <c r="N82" s="12" t="s">
        <v>35</v>
      </c>
      <c r="P82" s="10" t="n">
        <v>113</v>
      </c>
      <c r="Q82" s="12" t="s">
        <v>36</v>
      </c>
      <c r="R82" s="12" t="s">
        <v>56</v>
      </c>
      <c r="S82" s="10" t="n">
        <v>4210207</v>
      </c>
      <c r="T82" s="12" t="s">
        <v>192</v>
      </c>
      <c r="U82" s="13" t="n">
        <v>620.88</v>
      </c>
      <c r="W82" s="13" t="n">
        <v>0</v>
      </c>
      <c r="X82" s="12" t="s">
        <v>193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194</v>
      </c>
      <c r="F83" s="10" t="n">
        <v>24</v>
      </c>
      <c r="G83" s="12" t="s">
        <v>77</v>
      </c>
      <c r="H83" s="10" t="n">
        <v>2110101</v>
      </c>
      <c r="I83" s="12" t="s">
        <v>33</v>
      </c>
      <c r="J83" s="10" t="n">
        <v>1176638</v>
      </c>
      <c r="L83" s="10" t="n">
        <v>641</v>
      </c>
      <c r="M83" s="12" t="s">
        <v>83</v>
      </c>
      <c r="N83" s="12" t="s">
        <v>54</v>
      </c>
      <c r="P83" s="10" t="n">
        <v>113</v>
      </c>
      <c r="Q83" s="12" t="s">
        <v>36</v>
      </c>
      <c r="R83" s="12" t="s">
        <v>48</v>
      </c>
      <c r="S83" s="10" t="n">
        <v>1130101</v>
      </c>
      <c r="T83" s="12" t="s">
        <v>49</v>
      </c>
      <c r="U83" s="13" t="n">
        <v>189.8</v>
      </c>
      <c r="W83" s="13" t="n">
        <v>0</v>
      </c>
      <c r="X83" s="12" t="s">
        <v>195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130</v>
      </c>
      <c r="F84" s="10" t="n">
        <v>24</v>
      </c>
      <c r="G84" s="12" t="s">
        <v>77</v>
      </c>
      <c r="H84" s="10" t="n">
        <v>2110101</v>
      </c>
      <c r="I84" s="12" t="s">
        <v>33</v>
      </c>
      <c r="J84" s="10" t="n">
        <v>1192348</v>
      </c>
      <c r="L84" s="10" t="n">
        <v>483</v>
      </c>
      <c r="M84" s="12" t="s">
        <v>83</v>
      </c>
      <c r="N84" s="12" t="s">
        <v>54</v>
      </c>
      <c r="P84" s="10" t="n">
        <v>113</v>
      </c>
      <c r="Q84" s="12" t="s">
        <v>36</v>
      </c>
      <c r="R84" s="12" t="s">
        <v>48</v>
      </c>
      <c r="S84" s="10" t="n">
        <v>1130101</v>
      </c>
      <c r="T84" s="12" t="s">
        <v>49</v>
      </c>
      <c r="U84" s="13" t="n">
        <v>180</v>
      </c>
      <c r="W84" s="13" t="n">
        <v>0</v>
      </c>
      <c r="X84" s="12" t="s">
        <v>196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197</v>
      </c>
      <c r="F85" s="10" t="n">
        <v>24</v>
      </c>
      <c r="G85" s="12" t="s">
        <v>77</v>
      </c>
      <c r="H85" s="10" t="n">
        <v>2110101</v>
      </c>
      <c r="I85" s="12" t="s">
        <v>33</v>
      </c>
      <c r="J85" s="10" t="n">
        <v>1057739</v>
      </c>
      <c r="L85" s="10" t="n">
        <v>869870</v>
      </c>
      <c r="M85" s="12" t="s">
        <v>62</v>
      </c>
      <c r="N85" s="12" t="s">
        <v>54</v>
      </c>
      <c r="P85" s="10" t="n">
        <v>113</v>
      </c>
      <c r="Q85" s="12" t="s">
        <v>36</v>
      </c>
      <c r="R85" s="12" t="s">
        <v>48</v>
      </c>
      <c r="S85" s="10" t="n">
        <v>1130101</v>
      </c>
      <c r="T85" s="12" t="s">
        <v>49</v>
      </c>
      <c r="U85" s="13" t="n">
        <v>820.73</v>
      </c>
      <c r="W85" s="13" t="n">
        <v>0</v>
      </c>
      <c r="X85" s="12" t="s">
        <v>198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199</v>
      </c>
      <c r="F86" s="10" t="n">
        <v>24</v>
      </c>
      <c r="G86" s="12" t="s">
        <v>77</v>
      </c>
      <c r="H86" s="10" t="n">
        <v>2110101</v>
      </c>
      <c r="I86" s="12" t="s">
        <v>33</v>
      </c>
      <c r="J86" s="10" t="n">
        <v>1060635</v>
      </c>
      <c r="L86" s="10" t="n">
        <v>666212</v>
      </c>
      <c r="M86" s="12" t="s">
        <v>62</v>
      </c>
      <c r="N86" s="12" t="s">
        <v>54</v>
      </c>
      <c r="P86" s="10" t="n">
        <v>113</v>
      </c>
      <c r="Q86" s="12" t="s">
        <v>36</v>
      </c>
      <c r="R86" s="12" t="s">
        <v>48</v>
      </c>
      <c r="S86" s="10" t="n">
        <v>1130101</v>
      </c>
      <c r="T86" s="12" t="s">
        <v>49</v>
      </c>
      <c r="U86" s="13" t="n">
        <v>700.23</v>
      </c>
      <c r="W86" s="13" t="n">
        <v>0</v>
      </c>
      <c r="X86" s="12" t="s">
        <v>200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201</v>
      </c>
      <c r="F87" s="10" t="n">
        <v>24</v>
      </c>
      <c r="G87" s="12" t="s">
        <v>77</v>
      </c>
      <c r="H87" s="10" t="n">
        <v>2110101</v>
      </c>
      <c r="I87" s="12" t="s">
        <v>33</v>
      </c>
      <c r="J87" s="10" t="n">
        <v>1136027</v>
      </c>
      <c r="L87" s="10" t="n">
        <v>1659538</v>
      </c>
      <c r="M87" s="12" t="s">
        <v>83</v>
      </c>
      <c r="N87" s="12" t="s">
        <v>54</v>
      </c>
      <c r="P87" s="10" t="n">
        <v>113</v>
      </c>
      <c r="Q87" s="12" t="s">
        <v>36</v>
      </c>
      <c r="R87" s="12" t="s">
        <v>48</v>
      </c>
      <c r="S87" s="10" t="n">
        <v>1130101</v>
      </c>
      <c r="T87" s="12" t="s">
        <v>49</v>
      </c>
      <c r="U87" s="13" t="n">
        <v>1041.86</v>
      </c>
      <c r="W87" s="13" t="n">
        <v>0</v>
      </c>
      <c r="X87" s="12" t="s">
        <v>202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199</v>
      </c>
      <c r="F88" s="10" t="n">
        <v>24</v>
      </c>
      <c r="G88" s="12" t="s">
        <v>77</v>
      </c>
      <c r="H88" s="10" t="n">
        <v>2110101</v>
      </c>
      <c r="I88" s="12" t="s">
        <v>33</v>
      </c>
      <c r="J88" s="10" t="n">
        <v>1136374</v>
      </c>
      <c r="L88" s="10" t="n">
        <v>668750</v>
      </c>
      <c r="M88" s="12" t="s">
        <v>83</v>
      </c>
      <c r="N88" s="12" t="s">
        <v>54</v>
      </c>
      <c r="P88" s="10" t="n">
        <v>113</v>
      </c>
      <c r="Q88" s="12" t="s">
        <v>36</v>
      </c>
      <c r="R88" s="12" t="s">
        <v>48</v>
      </c>
      <c r="S88" s="10" t="n">
        <v>1130101</v>
      </c>
      <c r="T88" s="12" t="s">
        <v>49</v>
      </c>
      <c r="U88" s="13" t="n">
        <v>352.35</v>
      </c>
      <c r="W88" s="13" t="n">
        <v>0</v>
      </c>
      <c r="X88" s="12" t="s">
        <v>203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204</v>
      </c>
      <c r="F89" s="10" t="n">
        <v>24</v>
      </c>
      <c r="G89" s="12" t="s">
        <v>77</v>
      </c>
      <c r="H89" s="10" t="n">
        <v>2110101</v>
      </c>
      <c r="I89" s="12" t="s">
        <v>33</v>
      </c>
      <c r="J89" s="10" t="n">
        <v>1137727</v>
      </c>
      <c r="L89" s="10" t="n">
        <v>407270</v>
      </c>
      <c r="M89" s="12" t="s">
        <v>83</v>
      </c>
      <c r="N89" s="12" t="s">
        <v>54</v>
      </c>
      <c r="P89" s="10" t="n">
        <v>113</v>
      </c>
      <c r="Q89" s="12" t="s">
        <v>36</v>
      </c>
      <c r="R89" s="12" t="s">
        <v>48</v>
      </c>
      <c r="S89" s="10" t="n">
        <v>1130101</v>
      </c>
      <c r="T89" s="12" t="s">
        <v>49</v>
      </c>
      <c r="U89" s="13" t="n">
        <v>639.84</v>
      </c>
      <c r="W89" s="13" t="n">
        <v>0</v>
      </c>
      <c r="X89" s="12" t="s">
        <v>205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206</v>
      </c>
      <c r="F90" s="10" t="n">
        <v>24</v>
      </c>
      <c r="G90" s="12" t="s">
        <v>77</v>
      </c>
      <c r="H90" s="10" t="n">
        <v>2110101</v>
      </c>
      <c r="I90" s="12" t="s">
        <v>33</v>
      </c>
      <c r="J90" s="10" t="n">
        <v>1141061</v>
      </c>
      <c r="L90" s="10" t="n">
        <v>151469</v>
      </c>
      <c r="M90" s="12" t="s">
        <v>83</v>
      </c>
      <c r="N90" s="12" t="s">
        <v>35</v>
      </c>
      <c r="P90" s="10" t="n">
        <v>113</v>
      </c>
      <c r="Q90" s="12" t="s">
        <v>36</v>
      </c>
      <c r="R90" s="12" t="s">
        <v>48</v>
      </c>
      <c r="S90" s="10" t="n">
        <v>1130101</v>
      </c>
      <c r="T90" s="12" t="s">
        <v>49</v>
      </c>
      <c r="U90" s="13" t="n">
        <v>3927.04</v>
      </c>
      <c r="W90" s="13" t="n">
        <v>0</v>
      </c>
      <c r="X90" s="12" t="s">
        <v>207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208</v>
      </c>
      <c r="F91" s="10" t="n">
        <v>24</v>
      </c>
      <c r="G91" s="12" t="s">
        <v>77</v>
      </c>
      <c r="H91" s="10" t="n">
        <v>2110101</v>
      </c>
      <c r="I91" s="12" t="s">
        <v>33</v>
      </c>
      <c r="J91" s="10" t="n">
        <v>1166006</v>
      </c>
      <c r="L91" s="10" t="n">
        <v>302504</v>
      </c>
      <c r="M91" s="12" t="s">
        <v>83</v>
      </c>
      <c r="N91" s="12" t="s">
        <v>54</v>
      </c>
      <c r="P91" s="10" t="n">
        <v>113</v>
      </c>
      <c r="Q91" s="12" t="s">
        <v>36</v>
      </c>
      <c r="R91" s="12" t="s">
        <v>48</v>
      </c>
      <c r="S91" s="10" t="n">
        <v>1130101</v>
      </c>
      <c r="T91" s="12" t="s">
        <v>49</v>
      </c>
      <c r="U91" s="13" t="n">
        <v>290</v>
      </c>
      <c r="W91" s="13" t="n">
        <v>0</v>
      </c>
      <c r="X91" s="12" t="s">
        <v>209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210</v>
      </c>
      <c r="F92" s="10" t="n">
        <v>24</v>
      </c>
      <c r="G92" s="12" t="s">
        <v>77</v>
      </c>
      <c r="H92" s="10" t="n">
        <v>2110101</v>
      </c>
      <c r="I92" s="12" t="s">
        <v>33</v>
      </c>
      <c r="J92" s="10" t="n">
        <v>1171638</v>
      </c>
      <c r="L92" s="10" t="n">
        <v>1024603</v>
      </c>
      <c r="M92" s="12" t="s">
        <v>83</v>
      </c>
      <c r="N92" s="12" t="s">
        <v>54</v>
      </c>
      <c r="P92" s="10" t="n">
        <v>113</v>
      </c>
      <c r="Q92" s="12" t="s">
        <v>36</v>
      </c>
      <c r="R92" s="12" t="s">
        <v>48</v>
      </c>
      <c r="S92" s="10" t="n">
        <v>1130101</v>
      </c>
      <c r="T92" s="12" t="s">
        <v>49</v>
      </c>
      <c r="U92" s="13" t="n">
        <v>479.28</v>
      </c>
      <c r="W92" s="13" t="n">
        <v>0</v>
      </c>
      <c r="X92" s="12" t="s">
        <v>211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212</v>
      </c>
      <c r="F93" s="10" t="n">
        <v>24</v>
      </c>
      <c r="G93" s="12" t="s">
        <v>77</v>
      </c>
      <c r="H93" s="10" t="n">
        <v>2110101</v>
      </c>
      <c r="I93" s="12" t="s">
        <v>33</v>
      </c>
      <c r="J93" s="10" t="n">
        <v>1172086</v>
      </c>
      <c r="L93" s="10" t="n">
        <v>830893</v>
      </c>
      <c r="M93" s="12" t="s">
        <v>83</v>
      </c>
      <c r="N93" s="12" t="s">
        <v>54</v>
      </c>
      <c r="P93" s="10" t="n">
        <v>113</v>
      </c>
      <c r="Q93" s="12" t="s">
        <v>36</v>
      </c>
      <c r="R93" s="12" t="s">
        <v>48</v>
      </c>
      <c r="S93" s="10" t="n">
        <v>1130101</v>
      </c>
      <c r="T93" s="12" t="s">
        <v>49</v>
      </c>
      <c r="U93" s="13" t="n">
        <v>1156.72</v>
      </c>
      <c r="W93" s="13" t="n">
        <v>0</v>
      </c>
      <c r="X93" s="12" t="s">
        <v>213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212</v>
      </c>
      <c r="F94" s="10" t="n">
        <v>24</v>
      </c>
      <c r="G94" s="12" t="s">
        <v>77</v>
      </c>
      <c r="H94" s="10" t="n">
        <v>2110101</v>
      </c>
      <c r="I94" s="12" t="s">
        <v>33</v>
      </c>
      <c r="J94" s="10" t="n">
        <v>1172095</v>
      </c>
      <c r="L94" s="10" t="n">
        <v>156216</v>
      </c>
      <c r="M94" s="12" t="s">
        <v>83</v>
      </c>
      <c r="N94" s="12" t="s">
        <v>35</v>
      </c>
      <c r="P94" s="10" t="n">
        <v>113</v>
      </c>
      <c r="Q94" s="12" t="s">
        <v>36</v>
      </c>
      <c r="R94" s="12" t="s">
        <v>48</v>
      </c>
      <c r="S94" s="10" t="n">
        <v>1130101</v>
      </c>
      <c r="T94" s="12" t="s">
        <v>49</v>
      </c>
      <c r="U94" s="13" t="n">
        <v>1.55</v>
      </c>
      <c r="W94" s="13" t="n">
        <v>0</v>
      </c>
      <c r="X94" s="12" t="s">
        <v>214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128</v>
      </c>
      <c r="F95" s="10" t="n">
        <v>24</v>
      </c>
      <c r="G95" s="12" t="s">
        <v>77</v>
      </c>
      <c r="H95" s="10" t="n">
        <v>2110101</v>
      </c>
      <c r="I95" s="12" t="s">
        <v>33</v>
      </c>
      <c r="J95" s="10" t="n">
        <v>1176238</v>
      </c>
      <c r="L95" s="10" t="n">
        <v>30723</v>
      </c>
      <c r="M95" s="12" t="s">
        <v>83</v>
      </c>
      <c r="N95" s="12" t="s">
        <v>54</v>
      </c>
      <c r="P95" s="10" t="n">
        <v>113</v>
      </c>
      <c r="Q95" s="12" t="s">
        <v>36</v>
      </c>
      <c r="R95" s="12" t="s">
        <v>48</v>
      </c>
      <c r="S95" s="10" t="n">
        <v>1130101</v>
      </c>
      <c r="T95" s="12" t="s">
        <v>49</v>
      </c>
      <c r="U95" s="13" t="n">
        <v>2731.2</v>
      </c>
      <c r="W95" s="13" t="n">
        <v>0</v>
      </c>
      <c r="X95" s="12" t="s">
        <v>215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216</v>
      </c>
      <c r="F96" s="10" t="n">
        <v>24</v>
      </c>
      <c r="G96" s="12" t="s">
        <v>77</v>
      </c>
      <c r="H96" s="10" t="n">
        <v>2110101</v>
      </c>
      <c r="I96" s="12" t="s">
        <v>33</v>
      </c>
      <c r="J96" s="10" t="n">
        <v>1187093</v>
      </c>
      <c r="L96" s="10" t="n">
        <v>157983</v>
      </c>
      <c r="M96" s="12" t="s">
        <v>83</v>
      </c>
      <c r="N96" s="12" t="s">
        <v>35</v>
      </c>
      <c r="P96" s="10" t="n">
        <v>113</v>
      </c>
      <c r="Q96" s="12" t="s">
        <v>36</v>
      </c>
      <c r="R96" s="12" t="s">
        <v>48</v>
      </c>
      <c r="S96" s="10" t="n">
        <v>1130101</v>
      </c>
      <c r="T96" s="12" t="s">
        <v>49</v>
      </c>
      <c r="U96" s="13" t="n">
        <v>627.05</v>
      </c>
      <c r="W96" s="13" t="n">
        <v>0</v>
      </c>
      <c r="X96" s="12" t="s">
        <v>217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194</v>
      </c>
      <c r="F97" s="10" t="n">
        <v>24</v>
      </c>
      <c r="G97" s="12" t="s">
        <v>77</v>
      </c>
      <c r="H97" s="10" t="n">
        <v>2110101</v>
      </c>
      <c r="I97" s="12" t="s">
        <v>33</v>
      </c>
      <c r="J97" s="10" t="n">
        <v>1188208</v>
      </c>
      <c r="L97" s="10" t="n">
        <v>643</v>
      </c>
      <c r="M97" s="12" t="s">
        <v>83</v>
      </c>
      <c r="N97" s="12" t="s">
        <v>54</v>
      </c>
      <c r="P97" s="10" t="n">
        <v>113</v>
      </c>
      <c r="Q97" s="12" t="s">
        <v>36</v>
      </c>
      <c r="R97" s="12" t="s">
        <v>48</v>
      </c>
      <c r="S97" s="10" t="n">
        <v>1130101</v>
      </c>
      <c r="T97" s="12" t="s">
        <v>49</v>
      </c>
      <c r="U97" s="13" t="n">
        <v>334.6</v>
      </c>
      <c r="W97" s="13" t="n">
        <v>0</v>
      </c>
      <c r="X97" s="12" t="s">
        <v>218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201</v>
      </c>
      <c r="F98" s="10" t="n">
        <v>24</v>
      </c>
      <c r="G98" s="12" t="s">
        <v>77</v>
      </c>
      <c r="H98" s="10" t="n">
        <v>2110101</v>
      </c>
      <c r="I98" s="12" t="s">
        <v>33</v>
      </c>
      <c r="J98" s="10" t="n">
        <v>1191332</v>
      </c>
      <c r="L98" s="10" t="n">
        <v>1664082</v>
      </c>
      <c r="M98" s="12" t="s">
        <v>83</v>
      </c>
      <c r="N98" s="12" t="s">
        <v>54</v>
      </c>
      <c r="P98" s="10" t="n">
        <v>113</v>
      </c>
      <c r="Q98" s="12" t="s">
        <v>36</v>
      </c>
      <c r="R98" s="12" t="s">
        <v>48</v>
      </c>
      <c r="S98" s="10" t="n">
        <v>1130101</v>
      </c>
      <c r="T98" s="12" t="s">
        <v>49</v>
      </c>
      <c r="U98" s="13" t="n">
        <v>342.59</v>
      </c>
      <c r="W98" s="13" t="n">
        <v>0</v>
      </c>
      <c r="X98" s="12" t="s">
        <v>219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220</v>
      </c>
      <c r="F99" s="10" t="n">
        <v>34</v>
      </c>
      <c r="G99" s="12" t="s">
        <v>97</v>
      </c>
      <c r="H99" s="10" t="n">
        <v>2110101</v>
      </c>
      <c r="I99" s="12" t="s">
        <v>33</v>
      </c>
      <c r="J99" s="10" t="n">
        <v>1193359</v>
      </c>
      <c r="L99" s="10" t="n">
        <v>287</v>
      </c>
      <c r="M99" s="12" t="s">
        <v>83</v>
      </c>
      <c r="N99" s="12" t="s">
        <v>54</v>
      </c>
      <c r="P99" s="10" t="n">
        <v>113</v>
      </c>
      <c r="Q99" s="12" t="s">
        <v>36</v>
      </c>
      <c r="R99" s="12" t="s">
        <v>48</v>
      </c>
      <c r="S99" s="10" t="n">
        <v>1130101</v>
      </c>
      <c r="T99" s="12" t="s">
        <v>49</v>
      </c>
      <c r="U99" s="13" t="n">
        <v>570</v>
      </c>
      <c r="W99" s="13" t="n">
        <v>0</v>
      </c>
      <c r="X99" s="12" t="s">
        <v>98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132</v>
      </c>
      <c r="F100" s="10" t="n">
        <v>34</v>
      </c>
      <c r="G100" s="12" t="s">
        <v>97</v>
      </c>
      <c r="H100" s="10" t="n">
        <v>2110101</v>
      </c>
      <c r="I100" s="12" t="s">
        <v>33</v>
      </c>
      <c r="J100" s="10" t="n">
        <v>1207974</v>
      </c>
      <c r="L100" s="10" t="n">
        <v>2479</v>
      </c>
      <c r="M100" s="12" t="s">
        <v>83</v>
      </c>
      <c r="N100" s="12" t="s">
        <v>54</v>
      </c>
      <c r="P100" s="10" t="n">
        <v>113</v>
      </c>
      <c r="Q100" s="12" t="s">
        <v>36</v>
      </c>
      <c r="R100" s="12" t="s">
        <v>48</v>
      </c>
      <c r="S100" s="10" t="n">
        <v>1130101</v>
      </c>
      <c r="T100" s="12" t="s">
        <v>49</v>
      </c>
      <c r="U100" s="13" t="n">
        <v>1281.95</v>
      </c>
      <c r="W100" s="13" t="n">
        <v>0</v>
      </c>
      <c r="X100" s="12" t="s">
        <v>221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139</v>
      </c>
      <c r="F101" s="10" t="n">
        <v>34</v>
      </c>
      <c r="G101" s="12" t="s">
        <v>97</v>
      </c>
      <c r="H101" s="10" t="n">
        <v>2110101</v>
      </c>
      <c r="I101" s="12" t="s">
        <v>33</v>
      </c>
      <c r="J101" s="10" t="n">
        <v>1207986</v>
      </c>
      <c r="L101" s="10" t="n">
        <v>160933</v>
      </c>
      <c r="M101" s="12" t="s">
        <v>83</v>
      </c>
      <c r="N101" s="12" t="s">
        <v>35</v>
      </c>
      <c r="P101" s="10" t="n">
        <v>113</v>
      </c>
      <c r="Q101" s="12" t="s">
        <v>36</v>
      </c>
      <c r="R101" s="12" t="s">
        <v>48</v>
      </c>
      <c r="S101" s="10" t="n">
        <v>1130101</v>
      </c>
      <c r="T101" s="12" t="s">
        <v>49</v>
      </c>
      <c r="U101" s="13" t="n">
        <v>120</v>
      </c>
      <c r="W101" s="13" t="n">
        <v>0</v>
      </c>
      <c r="X101" s="12" t="s">
        <v>222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132</v>
      </c>
      <c r="F102" s="10" t="n">
        <v>13</v>
      </c>
      <c r="G102" s="12" t="s">
        <v>133</v>
      </c>
      <c r="H102" s="10" t="n">
        <v>2110101</v>
      </c>
      <c r="I102" s="12" t="s">
        <v>33</v>
      </c>
      <c r="J102" s="10" t="n">
        <v>1208155</v>
      </c>
      <c r="L102" s="10" t="n">
        <v>2480</v>
      </c>
      <c r="M102" s="12" t="s">
        <v>83</v>
      </c>
      <c r="N102" s="12" t="s">
        <v>54</v>
      </c>
      <c r="P102" s="10" t="n">
        <v>113</v>
      </c>
      <c r="Q102" s="12" t="s">
        <v>36</v>
      </c>
      <c r="R102" s="12" t="s">
        <v>48</v>
      </c>
      <c r="S102" s="10" t="n">
        <v>1130101</v>
      </c>
      <c r="T102" s="12" t="s">
        <v>49</v>
      </c>
      <c r="U102" s="13" t="n">
        <v>247</v>
      </c>
      <c r="W102" s="13" t="n">
        <v>247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34</v>
      </c>
      <c r="G103" s="12" t="s">
        <v>97</v>
      </c>
      <c r="H103" s="10" t="n">
        <v>2110405</v>
      </c>
      <c r="I103" s="12" t="s">
        <v>41</v>
      </c>
      <c r="J103" s="10" t="n">
        <v>1209041</v>
      </c>
      <c r="L103" s="10" t="n">
        <v>161105</v>
      </c>
      <c r="M103" s="12" t="s">
        <v>83</v>
      </c>
      <c r="N103" s="12" t="s">
        <v>35</v>
      </c>
      <c r="P103" s="10" t="n">
        <v>101</v>
      </c>
      <c r="Q103" s="12" t="s">
        <v>42</v>
      </c>
      <c r="R103" s="12" t="s">
        <v>100</v>
      </c>
      <c r="S103" s="10" t="n">
        <v>4210305</v>
      </c>
      <c r="T103" s="12" t="s">
        <v>225</v>
      </c>
      <c r="U103" s="13" t="n">
        <v>2147.05</v>
      </c>
      <c r="W103" s="13" t="n">
        <v>0</v>
      </c>
      <c r="X103" s="12" t="s">
        <v>226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141</v>
      </c>
      <c r="F104" s="10" t="n">
        <v>13</v>
      </c>
      <c r="G104" s="12" t="s">
        <v>133</v>
      </c>
      <c r="H104" s="10" t="n">
        <v>2110101</v>
      </c>
      <c r="I104" s="12" t="s">
        <v>33</v>
      </c>
      <c r="J104" s="10" t="n">
        <v>1221476</v>
      </c>
      <c r="L104" s="10" t="n">
        <v>5947</v>
      </c>
      <c r="M104" s="12" t="s">
        <v>83</v>
      </c>
      <c r="N104" s="12" t="s">
        <v>54</v>
      </c>
      <c r="P104" s="10" t="n">
        <v>113</v>
      </c>
      <c r="Q104" s="12" t="s">
        <v>36</v>
      </c>
      <c r="R104" s="12" t="s">
        <v>48</v>
      </c>
      <c r="S104" s="10" t="n">
        <v>1130101</v>
      </c>
      <c r="T104" s="12" t="s">
        <v>49</v>
      </c>
      <c r="U104" s="13" t="n">
        <v>140</v>
      </c>
      <c r="W104" s="13" t="n">
        <v>140</v>
      </c>
      <c r="X104" s="12" t="s">
        <v>227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199</v>
      </c>
      <c r="F105" s="10" t="n">
        <v>24</v>
      </c>
      <c r="G105" s="12" t="s">
        <v>77</v>
      </c>
      <c r="H105" s="10" t="n">
        <v>2110101</v>
      </c>
      <c r="I105" s="12" t="s">
        <v>33</v>
      </c>
      <c r="J105" s="10" t="n">
        <v>1231901</v>
      </c>
      <c r="L105" s="10" t="n">
        <v>670477</v>
      </c>
      <c r="M105" s="12" t="s">
        <v>83</v>
      </c>
      <c r="N105" s="12" t="s">
        <v>54</v>
      </c>
      <c r="P105" s="10" t="n">
        <v>113</v>
      </c>
      <c r="Q105" s="12" t="s">
        <v>36</v>
      </c>
      <c r="R105" s="12" t="s">
        <v>48</v>
      </c>
      <c r="S105" s="10" t="n">
        <v>1130101</v>
      </c>
      <c r="T105" s="12" t="s">
        <v>49</v>
      </c>
      <c r="U105" s="13" t="n">
        <v>238.4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229</v>
      </c>
      <c r="F106" s="10" t="n">
        <v>34</v>
      </c>
      <c r="G106" s="12" t="s">
        <v>97</v>
      </c>
      <c r="H106" s="10" t="n">
        <v>2110405</v>
      </c>
      <c r="I106" s="12" t="s">
        <v>41</v>
      </c>
      <c r="J106" s="10" t="n">
        <v>1295967</v>
      </c>
      <c r="L106" s="10" t="n">
        <v>173527</v>
      </c>
      <c r="M106" s="12" t="s">
        <v>83</v>
      </c>
      <c r="N106" s="12" t="s">
        <v>35</v>
      </c>
      <c r="P106" s="10" t="n">
        <v>113</v>
      </c>
      <c r="Q106" s="12" t="s">
        <v>36</v>
      </c>
      <c r="R106" s="12" t="s">
        <v>100</v>
      </c>
      <c r="S106" s="10" t="n">
        <v>4210301</v>
      </c>
      <c r="T106" s="12" t="s">
        <v>230</v>
      </c>
      <c r="U106" s="13" t="n">
        <v>520</v>
      </c>
      <c r="W106" s="13" t="n">
        <v>0</v>
      </c>
      <c r="X106" s="12" t="s">
        <v>231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229</v>
      </c>
      <c r="F107" s="10" t="n">
        <v>7</v>
      </c>
      <c r="G107" s="12" t="s">
        <v>232</v>
      </c>
      <c r="H107" s="10" t="n">
        <v>2110405</v>
      </c>
      <c r="I107" s="12" t="s">
        <v>41</v>
      </c>
      <c r="J107" s="10" t="n">
        <v>1295970</v>
      </c>
      <c r="L107" s="10" t="n">
        <v>173529</v>
      </c>
      <c r="M107" s="12" t="s">
        <v>83</v>
      </c>
      <c r="N107" s="12" t="s">
        <v>35</v>
      </c>
      <c r="P107" s="10" t="n">
        <v>113</v>
      </c>
      <c r="Q107" s="12" t="s">
        <v>36</v>
      </c>
      <c r="R107" s="12" t="s">
        <v>100</v>
      </c>
      <c r="S107" s="10" t="n">
        <v>4210301</v>
      </c>
      <c r="T107" s="12" t="s">
        <v>230</v>
      </c>
      <c r="U107" s="13" t="n">
        <v>491.78</v>
      </c>
      <c r="W107" s="13" t="n">
        <v>0</v>
      </c>
      <c r="X107" s="12" t="s">
        <v>233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224</v>
      </c>
      <c r="F108" s="10" t="n">
        <v>34</v>
      </c>
      <c r="G108" s="12" t="s">
        <v>97</v>
      </c>
      <c r="H108" s="10" t="n">
        <v>2110405</v>
      </c>
      <c r="I108" s="12" t="s">
        <v>41</v>
      </c>
      <c r="J108" s="10" t="n">
        <v>1295979</v>
      </c>
      <c r="L108" s="10" t="n">
        <v>173532</v>
      </c>
      <c r="M108" s="12" t="s">
        <v>83</v>
      </c>
      <c r="N108" s="12" t="s">
        <v>35</v>
      </c>
      <c r="P108" s="10" t="n">
        <v>113</v>
      </c>
      <c r="Q108" s="12" t="s">
        <v>36</v>
      </c>
      <c r="R108" s="12" t="s">
        <v>100</v>
      </c>
      <c r="S108" s="10" t="n">
        <v>4210301</v>
      </c>
      <c r="T108" s="12" t="s">
        <v>230</v>
      </c>
      <c r="U108" s="13" t="n">
        <v>948.93</v>
      </c>
      <c r="W108" s="13" t="n">
        <v>0</v>
      </c>
      <c r="X108" s="12" t="s">
        <v>231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224</v>
      </c>
      <c r="F109" s="10" t="n">
        <v>7</v>
      </c>
      <c r="G109" s="12" t="s">
        <v>232</v>
      </c>
      <c r="H109" s="10" t="n">
        <v>2110405</v>
      </c>
      <c r="I109" s="12" t="s">
        <v>41</v>
      </c>
      <c r="J109" s="10" t="n">
        <v>1295990</v>
      </c>
      <c r="L109" s="10" t="n">
        <v>173535</v>
      </c>
      <c r="M109" s="12" t="s">
        <v>83</v>
      </c>
      <c r="N109" s="12" t="s">
        <v>35</v>
      </c>
      <c r="P109" s="10" t="n">
        <v>113</v>
      </c>
      <c r="Q109" s="12" t="s">
        <v>36</v>
      </c>
      <c r="R109" s="12" t="s">
        <v>100</v>
      </c>
      <c r="S109" s="10" t="n">
        <v>4210301</v>
      </c>
      <c r="T109" s="12" t="s">
        <v>230</v>
      </c>
      <c r="U109" s="13" t="n">
        <v>325.49</v>
      </c>
      <c r="W109" s="13" t="n">
        <v>0</v>
      </c>
      <c r="X109" s="12" t="s">
        <v>234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235</v>
      </c>
      <c r="F110" s="10" t="n">
        <v>34</v>
      </c>
      <c r="G110" s="12" t="s">
        <v>97</v>
      </c>
      <c r="H110" s="10" t="n">
        <v>2110405</v>
      </c>
      <c r="I110" s="12" t="s">
        <v>41</v>
      </c>
      <c r="J110" s="10" t="n">
        <v>1296006</v>
      </c>
      <c r="L110" s="10" t="n">
        <v>173539</v>
      </c>
      <c r="M110" s="12" t="s">
        <v>83</v>
      </c>
      <c r="N110" s="12" t="s">
        <v>35</v>
      </c>
      <c r="P110" s="10" t="n">
        <v>113</v>
      </c>
      <c r="Q110" s="12" t="s">
        <v>36</v>
      </c>
      <c r="R110" s="12" t="s">
        <v>100</v>
      </c>
      <c r="S110" s="10" t="n">
        <v>4210301</v>
      </c>
      <c r="T110" s="12" t="s">
        <v>230</v>
      </c>
      <c r="U110" s="13" t="n">
        <v>1631.39</v>
      </c>
      <c r="W110" s="13" t="n">
        <v>0</v>
      </c>
      <c r="X110" s="12" t="s">
        <v>231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235</v>
      </c>
      <c r="F111" s="10" t="n">
        <v>7</v>
      </c>
      <c r="G111" s="12" t="s">
        <v>232</v>
      </c>
      <c r="H111" s="10" t="n">
        <v>2110405</v>
      </c>
      <c r="I111" s="12" t="s">
        <v>41</v>
      </c>
      <c r="J111" s="10" t="n">
        <v>1296010</v>
      </c>
      <c r="L111" s="10" t="n">
        <v>173542</v>
      </c>
      <c r="M111" s="12" t="s">
        <v>83</v>
      </c>
      <c r="N111" s="12" t="s">
        <v>35</v>
      </c>
      <c r="P111" s="10" t="n">
        <v>113</v>
      </c>
      <c r="Q111" s="12" t="s">
        <v>36</v>
      </c>
      <c r="R111" s="12" t="s">
        <v>100</v>
      </c>
      <c r="S111" s="10" t="n">
        <v>4210301</v>
      </c>
      <c r="T111" s="12" t="s">
        <v>230</v>
      </c>
      <c r="U111" s="13" t="n">
        <v>80.46</v>
      </c>
      <c r="W111" s="13" t="n">
        <v>0</v>
      </c>
      <c r="X111" s="12" t="s">
        <v>233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236</v>
      </c>
      <c r="F112" s="10" t="n">
        <v>34</v>
      </c>
      <c r="G112" s="12" t="s">
        <v>97</v>
      </c>
      <c r="H112" s="10" t="n">
        <v>2110405</v>
      </c>
      <c r="I112" s="12" t="s">
        <v>41</v>
      </c>
      <c r="J112" s="10" t="n">
        <v>1296014</v>
      </c>
      <c r="L112" s="10" t="n">
        <v>173544</v>
      </c>
      <c r="M112" s="12" t="s">
        <v>83</v>
      </c>
      <c r="N112" s="12" t="s">
        <v>35</v>
      </c>
      <c r="P112" s="10" t="n">
        <v>113</v>
      </c>
      <c r="Q112" s="12" t="s">
        <v>36</v>
      </c>
      <c r="R112" s="12" t="s">
        <v>100</v>
      </c>
      <c r="S112" s="10" t="n">
        <v>4210301</v>
      </c>
      <c r="T112" s="12" t="s">
        <v>230</v>
      </c>
      <c r="U112" s="13" t="n">
        <v>521.01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236</v>
      </c>
      <c r="F113" s="10" t="n">
        <v>7</v>
      </c>
      <c r="G113" s="12" t="s">
        <v>232</v>
      </c>
      <c r="H113" s="10" t="n">
        <v>2110405</v>
      </c>
      <c r="I113" s="12" t="s">
        <v>41</v>
      </c>
      <c r="J113" s="10" t="n">
        <v>1296017</v>
      </c>
      <c r="L113" s="10" t="n">
        <v>173546</v>
      </c>
      <c r="M113" s="12" t="s">
        <v>83</v>
      </c>
      <c r="N113" s="12" t="s">
        <v>35</v>
      </c>
      <c r="P113" s="10" t="n">
        <v>113</v>
      </c>
      <c r="Q113" s="12" t="s">
        <v>36</v>
      </c>
      <c r="R113" s="12" t="s">
        <v>100</v>
      </c>
      <c r="S113" s="10" t="n">
        <v>4210301</v>
      </c>
      <c r="T113" s="12" t="s">
        <v>230</v>
      </c>
      <c r="U113" s="13" t="n">
        <v>828.99</v>
      </c>
      <c r="W113" s="13" t="n">
        <v>0</v>
      </c>
      <c r="X113" s="12" t="s">
        <v>237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99</v>
      </c>
      <c r="F114" s="10" t="n">
        <v>34</v>
      </c>
      <c r="G114" s="12" t="s">
        <v>97</v>
      </c>
      <c r="H114" s="10" t="n">
        <v>2110405</v>
      </c>
      <c r="I114" s="12" t="s">
        <v>41</v>
      </c>
      <c r="J114" s="10" t="n">
        <v>1296020</v>
      </c>
      <c r="L114" s="10" t="n">
        <v>173547</v>
      </c>
      <c r="M114" s="12" t="s">
        <v>83</v>
      </c>
      <c r="N114" s="12" t="s">
        <v>35</v>
      </c>
      <c r="P114" s="10" t="n">
        <v>113</v>
      </c>
      <c r="Q114" s="12" t="s">
        <v>36</v>
      </c>
      <c r="R114" s="12" t="s">
        <v>100</v>
      </c>
      <c r="S114" s="10" t="n">
        <v>4210301</v>
      </c>
      <c r="T114" s="12" t="s">
        <v>230</v>
      </c>
      <c r="U114" s="13" t="n">
        <v>1089.98</v>
      </c>
      <c r="W114" s="13" t="n">
        <v>0</v>
      </c>
      <c r="X114" s="12" t="s">
        <v>231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99</v>
      </c>
      <c r="F115" s="10" t="n">
        <v>7</v>
      </c>
      <c r="G115" s="12" t="s">
        <v>232</v>
      </c>
      <c r="H115" s="10" t="n">
        <v>2110405</v>
      </c>
      <c r="I115" s="12" t="s">
        <v>41</v>
      </c>
      <c r="J115" s="10" t="n">
        <v>1296025</v>
      </c>
      <c r="L115" s="10" t="n">
        <v>173548</v>
      </c>
      <c r="M115" s="12" t="s">
        <v>83</v>
      </c>
      <c r="N115" s="12" t="s">
        <v>35</v>
      </c>
      <c r="P115" s="10" t="n">
        <v>113</v>
      </c>
      <c r="Q115" s="12" t="s">
        <v>36</v>
      </c>
      <c r="R115" s="12" t="s">
        <v>100</v>
      </c>
      <c r="S115" s="10" t="n">
        <v>4210301</v>
      </c>
      <c r="T115" s="12" t="s">
        <v>230</v>
      </c>
      <c r="U115" s="13" t="n">
        <v>81.41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40</v>
      </c>
      <c r="F116" s="10" t="n">
        <v>7</v>
      </c>
      <c r="G116" s="12" t="s">
        <v>232</v>
      </c>
      <c r="H116" s="10" t="n">
        <v>2110405</v>
      </c>
      <c r="I116" s="12" t="s">
        <v>41</v>
      </c>
      <c r="J116" s="10" t="n">
        <v>1296041</v>
      </c>
      <c r="L116" s="10" t="n">
        <v>173552</v>
      </c>
      <c r="M116" s="12" t="s">
        <v>83</v>
      </c>
      <c r="N116" s="12" t="s">
        <v>35</v>
      </c>
      <c r="P116" s="10" t="n">
        <v>113</v>
      </c>
      <c r="Q116" s="12" t="s">
        <v>36</v>
      </c>
      <c r="R116" s="12" t="s">
        <v>100</v>
      </c>
      <c r="S116" s="10" t="n">
        <v>4210301</v>
      </c>
      <c r="T116" s="12" t="s">
        <v>230</v>
      </c>
      <c r="U116" s="13" t="n">
        <v>657.85</v>
      </c>
      <c r="W116" s="13" t="n">
        <v>0</v>
      </c>
      <c r="X116" s="12" t="s">
        <v>237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238</v>
      </c>
      <c r="F117" s="10" t="n">
        <v>34</v>
      </c>
      <c r="G117" s="12" t="s">
        <v>97</v>
      </c>
      <c r="H117" s="10" t="n">
        <v>2110405</v>
      </c>
      <c r="I117" s="12" t="s">
        <v>41</v>
      </c>
      <c r="J117" s="10" t="n">
        <v>1296046</v>
      </c>
      <c r="L117" s="10" t="n">
        <v>173554</v>
      </c>
      <c r="M117" s="12" t="s">
        <v>83</v>
      </c>
      <c r="N117" s="12" t="s">
        <v>35</v>
      </c>
      <c r="P117" s="10" t="n">
        <v>113</v>
      </c>
      <c r="Q117" s="12" t="s">
        <v>36</v>
      </c>
      <c r="R117" s="12" t="s">
        <v>100</v>
      </c>
      <c r="S117" s="10" t="n">
        <v>4210301</v>
      </c>
      <c r="T117" s="12" t="s">
        <v>230</v>
      </c>
      <c r="U117" s="13" t="n">
        <v>1155.89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238</v>
      </c>
      <c r="F118" s="10" t="n">
        <v>7</v>
      </c>
      <c r="G118" s="12" t="s">
        <v>232</v>
      </c>
      <c r="H118" s="10" t="n">
        <v>2110405</v>
      </c>
      <c r="I118" s="12" t="s">
        <v>41</v>
      </c>
      <c r="J118" s="10" t="n">
        <v>1296047</v>
      </c>
      <c r="L118" s="10" t="n">
        <v>173555</v>
      </c>
      <c r="M118" s="12" t="s">
        <v>83</v>
      </c>
      <c r="N118" s="12" t="s">
        <v>35</v>
      </c>
      <c r="P118" s="10" t="n">
        <v>113</v>
      </c>
      <c r="Q118" s="12" t="s">
        <v>36</v>
      </c>
      <c r="R118" s="12" t="s">
        <v>100</v>
      </c>
      <c r="S118" s="10" t="n">
        <v>4210301</v>
      </c>
      <c r="T118" s="12" t="s">
        <v>230</v>
      </c>
      <c r="U118" s="13" t="n">
        <v>225.14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239</v>
      </c>
      <c r="F119" s="10" t="n">
        <v>34</v>
      </c>
      <c r="G119" s="12" t="s">
        <v>97</v>
      </c>
      <c r="H119" s="10" t="n">
        <v>2110405</v>
      </c>
      <c r="I119" s="12" t="s">
        <v>41</v>
      </c>
      <c r="J119" s="10" t="n">
        <v>1296050</v>
      </c>
      <c r="L119" s="10" t="n">
        <v>173557</v>
      </c>
      <c r="M119" s="12" t="s">
        <v>83</v>
      </c>
      <c r="N119" s="12" t="s">
        <v>35</v>
      </c>
      <c r="P119" s="10" t="n">
        <v>113</v>
      </c>
      <c r="Q119" s="12" t="s">
        <v>36</v>
      </c>
      <c r="R119" s="12" t="s">
        <v>100</v>
      </c>
      <c r="S119" s="10" t="n">
        <v>4210301</v>
      </c>
      <c r="T119" s="12" t="s">
        <v>230</v>
      </c>
      <c r="U119" s="13" t="n">
        <v>998.37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239</v>
      </c>
      <c r="F120" s="10" t="n">
        <v>7</v>
      </c>
      <c r="G120" s="12" t="s">
        <v>232</v>
      </c>
      <c r="H120" s="10" t="n">
        <v>2110405</v>
      </c>
      <c r="I120" s="12" t="s">
        <v>41</v>
      </c>
      <c r="J120" s="10" t="n">
        <v>1296053</v>
      </c>
      <c r="L120" s="10" t="n">
        <v>173558</v>
      </c>
      <c r="M120" s="12" t="s">
        <v>83</v>
      </c>
      <c r="N120" s="12" t="s">
        <v>35</v>
      </c>
      <c r="P120" s="10" t="n">
        <v>113</v>
      </c>
      <c r="Q120" s="12" t="s">
        <v>36</v>
      </c>
      <c r="R120" s="12" t="s">
        <v>100</v>
      </c>
      <c r="S120" s="10" t="n">
        <v>4210301</v>
      </c>
      <c r="T120" s="12" t="s">
        <v>230</v>
      </c>
      <c r="U120" s="13" t="n">
        <v>386.94</v>
      </c>
      <c r="W120" s="13" t="n">
        <v>0</v>
      </c>
      <c r="X120" s="12" t="s">
        <v>237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103</v>
      </c>
      <c r="F121" s="10" t="n">
        <v>34</v>
      </c>
      <c r="G121" s="12" t="s">
        <v>97</v>
      </c>
      <c r="H121" s="10" t="n">
        <v>2110405</v>
      </c>
      <c r="I121" s="12" t="s">
        <v>41</v>
      </c>
      <c r="J121" s="10" t="n">
        <v>1296060</v>
      </c>
      <c r="L121" s="10" t="n">
        <v>173560</v>
      </c>
      <c r="M121" s="12" t="s">
        <v>83</v>
      </c>
      <c r="N121" s="12" t="s">
        <v>35</v>
      </c>
      <c r="P121" s="10" t="n">
        <v>113</v>
      </c>
      <c r="Q121" s="12" t="s">
        <v>36</v>
      </c>
      <c r="R121" s="12" t="s">
        <v>100</v>
      </c>
      <c r="S121" s="10" t="n">
        <v>4210301</v>
      </c>
      <c r="T121" s="12" t="s">
        <v>230</v>
      </c>
      <c r="U121" s="13" t="n">
        <v>572.89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103</v>
      </c>
      <c r="F122" s="10" t="n">
        <v>7</v>
      </c>
      <c r="G122" s="12" t="s">
        <v>232</v>
      </c>
      <c r="H122" s="10" t="n">
        <v>2110405</v>
      </c>
      <c r="I122" s="12" t="s">
        <v>41</v>
      </c>
      <c r="J122" s="10" t="n">
        <v>1296062</v>
      </c>
      <c r="L122" s="10" t="n">
        <v>173561</v>
      </c>
      <c r="M122" s="12" t="s">
        <v>83</v>
      </c>
      <c r="N122" s="12" t="s">
        <v>35</v>
      </c>
      <c r="P122" s="10" t="n">
        <v>113</v>
      </c>
      <c r="Q122" s="12" t="s">
        <v>36</v>
      </c>
      <c r="R122" s="12" t="s">
        <v>100</v>
      </c>
      <c r="S122" s="10" t="n">
        <v>4210301</v>
      </c>
      <c r="T122" s="12" t="s">
        <v>230</v>
      </c>
      <c r="U122" s="13" t="n">
        <v>289.97</v>
      </c>
      <c r="W122" s="13" t="n">
        <v>0</v>
      </c>
      <c r="X122" s="12" t="s">
        <v>237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105</v>
      </c>
      <c r="F123" s="10" t="n">
        <v>34</v>
      </c>
      <c r="G123" s="12" t="s">
        <v>97</v>
      </c>
      <c r="H123" s="10" t="n">
        <v>2110405</v>
      </c>
      <c r="I123" s="12" t="s">
        <v>41</v>
      </c>
      <c r="J123" s="10" t="n">
        <v>1296064</v>
      </c>
      <c r="L123" s="10" t="n">
        <v>173562</v>
      </c>
      <c r="M123" s="12" t="s">
        <v>83</v>
      </c>
      <c r="N123" s="12" t="s">
        <v>35</v>
      </c>
      <c r="P123" s="10" t="n">
        <v>113</v>
      </c>
      <c r="Q123" s="12" t="s">
        <v>36</v>
      </c>
      <c r="R123" s="12" t="s">
        <v>100</v>
      </c>
      <c r="S123" s="10" t="n">
        <v>4210301</v>
      </c>
      <c r="T123" s="12" t="s">
        <v>230</v>
      </c>
      <c r="U123" s="13" t="n">
        <v>150.03</v>
      </c>
      <c r="W123" s="13" t="n">
        <v>0</v>
      </c>
      <c r="X123" s="12" t="s">
        <v>231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105</v>
      </c>
      <c r="F124" s="10" t="n">
        <v>7</v>
      </c>
      <c r="G124" s="12" t="s">
        <v>232</v>
      </c>
      <c r="H124" s="10" t="n">
        <v>2110405</v>
      </c>
      <c r="I124" s="12" t="s">
        <v>41</v>
      </c>
      <c r="J124" s="10" t="n">
        <v>1296066</v>
      </c>
      <c r="L124" s="10" t="n">
        <v>173563</v>
      </c>
      <c r="M124" s="12" t="s">
        <v>83</v>
      </c>
      <c r="N124" s="12" t="s">
        <v>35</v>
      </c>
      <c r="P124" s="10" t="n">
        <v>113</v>
      </c>
      <c r="Q124" s="12" t="s">
        <v>36</v>
      </c>
      <c r="R124" s="12" t="s">
        <v>100</v>
      </c>
      <c r="S124" s="10" t="n">
        <v>4210301</v>
      </c>
      <c r="T124" s="12" t="s">
        <v>230</v>
      </c>
      <c r="U124" s="13" t="n">
        <v>359.56</v>
      </c>
      <c r="W124" s="13" t="n">
        <v>0</v>
      </c>
      <c r="X124" s="12" t="s">
        <v>237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240</v>
      </c>
      <c r="F125" s="10" t="n">
        <v>7</v>
      </c>
      <c r="G125" s="12" t="s">
        <v>232</v>
      </c>
      <c r="H125" s="10" t="n">
        <v>2110405</v>
      </c>
      <c r="I125" s="12" t="s">
        <v>41</v>
      </c>
      <c r="J125" s="10" t="n">
        <v>1296074</v>
      </c>
      <c r="L125" s="10" t="n">
        <v>173564</v>
      </c>
      <c r="M125" s="12" t="s">
        <v>83</v>
      </c>
      <c r="N125" s="12" t="s">
        <v>35</v>
      </c>
      <c r="P125" s="10" t="n">
        <v>113</v>
      </c>
      <c r="Q125" s="12" t="s">
        <v>36</v>
      </c>
      <c r="R125" s="12" t="s">
        <v>100</v>
      </c>
      <c r="S125" s="10" t="n">
        <v>4210301</v>
      </c>
      <c r="T125" s="12" t="s">
        <v>230</v>
      </c>
      <c r="U125" s="13" t="n">
        <v>234.18</v>
      </c>
      <c r="W125" s="13" t="n">
        <v>0</v>
      </c>
      <c r="X125" s="12" t="s">
        <v>237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241</v>
      </c>
      <c r="F126" s="10" t="n">
        <v>7</v>
      </c>
      <c r="G126" s="12" t="s">
        <v>232</v>
      </c>
      <c r="H126" s="10" t="n">
        <v>2110405</v>
      </c>
      <c r="I126" s="12" t="s">
        <v>41</v>
      </c>
      <c r="J126" s="10" t="n">
        <v>1296086</v>
      </c>
      <c r="L126" s="10" t="n">
        <v>173568</v>
      </c>
      <c r="M126" s="12" t="s">
        <v>83</v>
      </c>
      <c r="N126" s="12" t="s">
        <v>35</v>
      </c>
      <c r="P126" s="10" t="n">
        <v>113</v>
      </c>
      <c r="Q126" s="12" t="s">
        <v>36</v>
      </c>
      <c r="R126" s="12" t="s">
        <v>100</v>
      </c>
      <c r="S126" s="10" t="n">
        <v>4210301</v>
      </c>
      <c r="T126" s="12" t="s">
        <v>230</v>
      </c>
      <c r="U126" s="13" t="n">
        <v>515.6</v>
      </c>
      <c r="W126" s="13" t="n">
        <v>0</v>
      </c>
      <c r="X126" s="12" t="s">
        <v>237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240</v>
      </c>
      <c r="F127" s="10" t="n">
        <v>34</v>
      </c>
      <c r="G127" s="12" t="s">
        <v>97</v>
      </c>
      <c r="H127" s="10" t="n">
        <v>1110203</v>
      </c>
      <c r="I127" s="12" t="s">
        <v>108</v>
      </c>
      <c r="J127" s="10" t="n">
        <v>1441236</v>
      </c>
      <c r="L127" s="10" t="n">
        <v>194938</v>
      </c>
      <c r="M127" s="12" t="s">
        <v>83</v>
      </c>
      <c r="N127" s="12" t="s">
        <v>35</v>
      </c>
      <c r="P127" s="10" t="n">
        <v>101</v>
      </c>
      <c r="Q127" s="12" t="s">
        <v>42</v>
      </c>
      <c r="R127" s="12" t="s">
        <v>100</v>
      </c>
      <c r="S127" s="10" t="n">
        <v>4210301</v>
      </c>
      <c r="T127" s="12" t="s">
        <v>230</v>
      </c>
      <c r="U127" s="13" t="n">
        <v>500</v>
      </c>
      <c r="W127" s="13" t="n">
        <v>0</v>
      </c>
      <c r="X127" s="12" t="s">
        <v>242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143</v>
      </c>
      <c r="F128" s="10" t="n">
        <v>34</v>
      </c>
      <c r="G128" s="12" t="s">
        <v>97</v>
      </c>
      <c r="H128" s="10" t="n">
        <v>1110203</v>
      </c>
      <c r="I128" s="12" t="s">
        <v>108</v>
      </c>
      <c r="J128" s="10" t="n">
        <v>1444132</v>
      </c>
      <c r="L128" s="10" t="n">
        <v>195327</v>
      </c>
      <c r="M128" s="12" t="s">
        <v>83</v>
      </c>
      <c r="N128" s="12" t="s">
        <v>35</v>
      </c>
      <c r="P128" s="10" t="n">
        <v>104</v>
      </c>
      <c r="Q128" s="12" t="s">
        <v>55</v>
      </c>
      <c r="R128" s="12" t="s">
        <v>144</v>
      </c>
      <c r="S128" s="10" t="n">
        <v>4210502</v>
      </c>
      <c r="T128" s="12" t="s">
        <v>243</v>
      </c>
      <c r="U128" s="13" t="n">
        <v>689.65</v>
      </c>
      <c r="W128" s="13" t="n">
        <v>0</v>
      </c>
      <c r="X128" s="12" t="s">
        <v>244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245</v>
      </c>
      <c r="F129" s="10" t="n">
        <v>24</v>
      </c>
      <c r="G129" s="12" t="s">
        <v>77</v>
      </c>
      <c r="H129" s="10" t="n">
        <v>2110101</v>
      </c>
      <c r="I129" s="12" t="s">
        <v>33</v>
      </c>
      <c r="J129" s="10" t="n">
        <v>1102211</v>
      </c>
      <c r="L129" s="10" t="n">
        <v>258977</v>
      </c>
      <c r="M129" s="12" t="s">
        <v>83</v>
      </c>
      <c r="N129" s="12" t="s">
        <v>54</v>
      </c>
      <c r="P129" s="10" t="n">
        <v>113</v>
      </c>
      <c r="Q129" s="12" t="s">
        <v>36</v>
      </c>
      <c r="R129" s="12" t="s">
        <v>48</v>
      </c>
      <c r="S129" s="10" t="n">
        <v>1130101</v>
      </c>
      <c r="T129" s="12" t="s">
        <v>49</v>
      </c>
      <c r="U129" s="13" t="n">
        <v>317.81</v>
      </c>
      <c r="W129" s="13" t="n">
        <v>0</v>
      </c>
      <c r="X129" s="12" t="s">
        <v>246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245</v>
      </c>
      <c r="F130" s="10" t="n">
        <v>24</v>
      </c>
      <c r="G130" s="12" t="s">
        <v>77</v>
      </c>
      <c r="H130" s="10" t="n">
        <v>2110101</v>
      </c>
      <c r="I130" s="12" t="s">
        <v>33</v>
      </c>
      <c r="J130" s="10" t="n">
        <v>1102216</v>
      </c>
      <c r="L130" s="10" t="n">
        <v>258978</v>
      </c>
      <c r="M130" s="12" t="s">
        <v>83</v>
      </c>
      <c r="N130" s="12" t="s">
        <v>54</v>
      </c>
      <c r="P130" s="10" t="n">
        <v>113</v>
      </c>
      <c r="Q130" s="12" t="s">
        <v>36</v>
      </c>
      <c r="R130" s="12" t="s">
        <v>48</v>
      </c>
      <c r="S130" s="10" t="n">
        <v>1130101</v>
      </c>
      <c r="T130" s="12" t="s">
        <v>49</v>
      </c>
      <c r="U130" s="13" t="n">
        <v>528.95</v>
      </c>
      <c r="W130" s="13" t="n">
        <v>0</v>
      </c>
      <c r="X130" s="12" t="s">
        <v>247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248</v>
      </c>
      <c r="F131" s="10" t="n">
        <v>24</v>
      </c>
      <c r="G131" s="12" t="s">
        <v>77</v>
      </c>
      <c r="H131" s="10" t="n">
        <v>2110101</v>
      </c>
      <c r="I131" s="12" t="s">
        <v>33</v>
      </c>
      <c r="J131" s="10" t="n">
        <v>1150882</v>
      </c>
      <c r="L131" s="10" t="n">
        <v>14303</v>
      </c>
      <c r="M131" s="12" t="s">
        <v>83</v>
      </c>
      <c r="N131" s="12" t="s">
        <v>54</v>
      </c>
      <c r="P131" s="10" t="n">
        <v>113</v>
      </c>
      <c r="Q131" s="12" t="s">
        <v>36</v>
      </c>
      <c r="R131" s="12" t="s">
        <v>48</v>
      </c>
      <c r="S131" s="10" t="n">
        <v>1130101</v>
      </c>
      <c r="T131" s="12" t="s">
        <v>49</v>
      </c>
      <c r="U131" s="13" t="n">
        <v>2412.8</v>
      </c>
      <c r="W131" s="13" t="n">
        <v>0</v>
      </c>
      <c r="X131" s="12" t="s">
        <v>249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250</v>
      </c>
      <c r="F132" s="10" t="n">
        <v>24</v>
      </c>
      <c r="G132" s="12" t="s">
        <v>77</v>
      </c>
      <c r="H132" s="10" t="n">
        <v>2110101</v>
      </c>
      <c r="I132" s="12" t="s">
        <v>33</v>
      </c>
      <c r="J132" s="10" t="n">
        <v>1176847</v>
      </c>
      <c r="L132" s="10" t="n">
        <v>29829</v>
      </c>
      <c r="M132" s="12" t="s">
        <v>83</v>
      </c>
      <c r="N132" s="12" t="s">
        <v>54</v>
      </c>
      <c r="P132" s="10" t="n">
        <v>113</v>
      </c>
      <c r="Q132" s="12" t="s">
        <v>36</v>
      </c>
      <c r="R132" s="12" t="s">
        <v>48</v>
      </c>
      <c r="S132" s="10" t="n">
        <v>1130101</v>
      </c>
      <c r="T132" s="12" t="s">
        <v>49</v>
      </c>
      <c r="U132" s="13" t="n">
        <v>1598.59</v>
      </c>
      <c r="W132" s="13" t="n">
        <v>0</v>
      </c>
      <c r="X132" s="12" t="s">
        <v>251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188</v>
      </c>
      <c r="F133" s="10" t="n">
        <v>24</v>
      </c>
      <c r="G133" s="12" t="s">
        <v>77</v>
      </c>
      <c r="H133" s="10" t="n">
        <v>2110101</v>
      </c>
      <c r="I133" s="12" t="s">
        <v>33</v>
      </c>
      <c r="J133" s="10" t="n">
        <v>1187124</v>
      </c>
      <c r="L133" s="10" t="n">
        <v>3301</v>
      </c>
      <c r="M133" s="12" t="s">
        <v>83</v>
      </c>
      <c r="N133" s="12" t="s">
        <v>54</v>
      </c>
      <c r="P133" s="10" t="n">
        <v>113</v>
      </c>
      <c r="Q133" s="12" t="s">
        <v>36</v>
      </c>
      <c r="R133" s="12" t="s">
        <v>48</v>
      </c>
      <c r="S133" s="10" t="n">
        <v>1130101</v>
      </c>
      <c r="T133" s="12" t="s">
        <v>49</v>
      </c>
      <c r="U133" s="13" t="n">
        <v>449.5</v>
      </c>
      <c r="W133" s="13" t="n">
        <v>0</v>
      </c>
      <c r="X133" s="12" t="s">
        <v>252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248</v>
      </c>
      <c r="F134" s="10" t="n">
        <v>24</v>
      </c>
      <c r="G134" s="12" t="s">
        <v>77</v>
      </c>
      <c r="H134" s="10" t="n">
        <v>2110101</v>
      </c>
      <c r="I134" s="12" t="s">
        <v>33</v>
      </c>
      <c r="J134" s="10" t="n">
        <v>1188021</v>
      </c>
      <c r="L134" s="10" t="n">
        <v>14361</v>
      </c>
      <c r="M134" s="12" t="s">
        <v>83</v>
      </c>
      <c r="N134" s="12" t="s">
        <v>54</v>
      </c>
      <c r="P134" s="10" t="n">
        <v>113</v>
      </c>
      <c r="Q134" s="12" t="s">
        <v>36</v>
      </c>
      <c r="R134" s="12" t="s">
        <v>48</v>
      </c>
      <c r="S134" s="10" t="n">
        <v>1130101</v>
      </c>
      <c r="T134" s="12" t="s">
        <v>49</v>
      </c>
      <c r="U134" s="13" t="n">
        <v>3329</v>
      </c>
      <c r="W134" s="13" t="n">
        <v>0</v>
      </c>
      <c r="X134" s="12" t="s">
        <v>253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254</v>
      </c>
      <c r="F135" s="10" t="n">
        <v>24</v>
      </c>
      <c r="G135" s="12" t="s">
        <v>77</v>
      </c>
      <c r="H135" s="10" t="n">
        <v>2110101</v>
      </c>
      <c r="I135" s="12" t="s">
        <v>33</v>
      </c>
      <c r="J135" s="10" t="n">
        <v>1023193</v>
      </c>
      <c r="L135" s="10" t="n">
        <v>10245</v>
      </c>
      <c r="M135" s="12" t="s">
        <v>62</v>
      </c>
      <c r="N135" s="12" t="s">
        <v>54</v>
      </c>
      <c r="P135" s="10" t="n">
        <v>113</v>
      </c>
      <c r="Q135" s="12" t="s">
        <v>36</v>
      </c>
      <c r="R135" s="12" t="s">
        <v>48</v>
      </c>
      <c r="S135" s="10" t="n">
        <v>1130101</v>
      </c>
      <c r="T135" s="12" t="s">
        <v>49</v>
      </c>
      <c r="U135" s="13" t="n">
        <v>644.97</v>
      </c>
      <c r="W135" s="13" t="n">
        <v>0</v>
      </c>
      <c r="X135" s="12" t="s">
        <v>255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256</v>
      </c>
      <c r="F136" s="10" t="n">
        <v>34</v>
      </c>
      <c r="G136" s="12" t="s">
        <v>97</v>
      </c>
      <c r="H136" s="10" t="n">
        <v>2110405</v>
      </c>
      <c r="I136" s="12" t="s">
        <v>41</v>
      </c>
      <c r="J136" s="10" t="n">
        <v>1166351</v>
      </c>
      <c r="L136" s="10" t="n">
        <v>155207</v>
      </c>
      <c r="M136" s="12" t="s">
        <v>83</v>
      </c>
      <c r="N136" s="12" t="s">
        <v>35</v>
      </c>
      <c r="P136" s="10" t="n">
        <v>101</v>
      </c>
      <c r="Q136" s="12" t="s">
        <v>42</v>
      </c>
      <c r="R136" s="12" t="s">
        <v>100</v>
      </c>
      <c r="S136" s="10" t="n">
        <v>4210315</v>
      </c>
      <c r="T136" s="12" t="s">
        <v>257</v>
      </c>
      <c r="U136" s="13" t="n">
        <v>119.97</v>
      </c>
      <c r="W136" s="13" t="n">
        <v>0</v>
      </c>
      <c r="X136" s="12" t="s">
        <v>258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76</v>
      </c>
      <c r="F137" s="10" t="n">
        <v>24</v>
      </c>
      <c r="G137" s="12" t="s">
        <v>77</v>
      </c>
      <c r="H137" s="10" t="n">
        <v>2110101</v>
      </c>
      <c r="I137" s="12" t="s">
        <v>33</v>
      </c>
      <c r="J137" s="10" t="n">
        <v>1084481</v>
      </c>
      <c r="L137" s="10" t="n">
        <v>2282942</v>
      </c>
      <c r="M137" s="12" t="s">
        <v>62</v>
      </c>
      <c r="N137" s="12" t="s">
        <v>54</v>
      </c>
      <c r="P137" s="10" t="n">
        <v>113</v>
      </c>
      <c r="Q137" s="12" t="s">
        <v>36</v>
      </c>
      <c r="R137" s="12" t="s">
        <v>48</v>
      </c>
      <c r="S137" s="10" t="n">
        <v>1130101</v>
      </c>
      <c r="T137" s="12" t="s">
        <v>49</v>
      </c>
      <c r="U137" s="13" t="n">
        <v>100.36</v>
      </c>
      <c r="W137" s="13" t="n">
        <v>0</v>
      </c>
      <c r="X137" s="12" t="s">
        <v>78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76</v>
      </c>
      <c r="F138" s="10" t="n">
        <v>24</v>
      </c>
      <c r="G138" s="12" t="s">
        <v>77</v>
      </c>
      <c r="H138" s="10" t="n">
        <v>2110101</v>
      </c>
      <c r="I138" s="12" t="s">
        <v>33</v>
      </c>
      <c r="J138" s="10" t="n">
        <v>1084736</v>
      </c>
      <c r="L138" s="10" t="n">
        <v>2282943</v>
      </c>
      <c r="M138" s="12" t="s">
        <v>62</v>
      </c>
      <c r="N138" s="12" t="s">
        <v>54</v>
      </c>
      <c r="P138" s="10" t="n">
        <v>113</v>
      </c>
      <c r="Q138" s="12" t="s">
        <v>36</v>
      </c>
      <c r="R138" s="12" t="s">
        <v>48</v>
      </c>
      <c r="S138" s="10" t="n">
        <v>1130101</v>
      </c>
      <c r="T138" s="12" t="s">
        <v>49</v>
      </c>
      <c r="U138" s="13" t="n">
        <v>628.88</v>
      </c>
      <c r="W138" s="13" t="n">
        <v>0</v>
      </c>
      <c r="X138" s="12" t="s">
        <v>79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80</v>
      </c>
      <c r="F139" s="10" t="n">
        <v>24</v>
      </c>
      <c r="G139" s="12" t="s">
        <v>77</v>
      </c>
      <c r="H139" s="10" t="n">
        <v>2110101</v>
      </c>
      <c r="I139" s="12" t="s">
        <v>33</v>
      </c>
      <c r="J139" s="10" t="n">
        <v>1088464</v>
      </c>
      <c r="L139" s="10" t="n">
        <v>641255</v>
      </c>
      <c r="M139" s="12" t="s">
        <v>62</v>
      </c>
      <c r="N139" s="12" t="s">
        <v>54</v>
      </c>
      <c r="P139" s="10" t="n">
        <v>113</v>
      </c>
      <c r="Q139" s="12" t="s">
        <v>36</v>
      </c>
      <c r="R139" s="12" t="s">
        <v>48</v>
      </c>
      <c r="S139" s="10" t="n">
        <v>1130101</v>
      </c>
      <c r="T139" s="12" t="s">
        <v>49</v>
      </c>
      <c r="U139" s="13" t="n">
        <v>346.6</v>
      </c>
      <c r="W139" s="13" t="n">
        <v>0</v>
      </c>
      <c r="X139" s="12" t="s">
        <v>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82</v>
      </c>
      <c r="F140" s="10" t="n">
        <v>24</v>
      </c>
      <c r="G140" s="12" t="s">
        <v>77</v>
      </c>
      <c r="H140" s="10" t="n">
        <v>2110101</v>
      </c>
      <c r="I140" s="12" t="s">
        <v>33</v>
      </c>
      <c r="J140" s="10" t="n">
        <v>1117737</v>
      </c>
      <c r="L140" s="10" t="n">
        <v>148044</v>
      </c>
      <c r="M140" s="12" t="s">
        <v>83</v>
      </c>
      <c r="N140" s="12" t="s">
        <v>35</v>
      </c>
      <c r="P140" s="10" t="n">
        <v>113</v>
      </c>
      <c r="Q140" s="12" t="s">
        <v>36</v>
      </c>
      <c r="R140" s="12" t="s">
        <v>48</v>
      </c>
      <c r="S140" s="10" t="n">
        <v>1130101</v>
      </c>
      <c r="T140" s="12" t="s">
        <v>49</v>
      </c>
      <c r="U140" s="13" t="n">
        <v>750.79</v>
      </c>
      <c r="W140" s="13" t="n">
        <v>0</v>
      </c>
      <c r="X140" s="12" t="s">
        <v>84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88</v>
      </c>
      <c r="F141" s="10" t="n">
        <v>24</v>
      </c>
      <c r="G141" s="12" t="s">
        <v>77</v>
      </c>
      <c r="H141" s="10" t="n">
        <v>2110101</v>
      </c>
      <c r="I141" s="12" t="s">
        <v>33</v>
      </c>
      <c r="J141" s="10" t="n">
        <v>1131480</v>
      </c>
      <c r="L141" s="10" t="n">
        <v>569926</v>
      </c>
      <c r="M141" s="12" t="s">
        <v>83</v>
      </c>
      <c r="N141" s="12" t="s">
        <v>54</v>
      </c>
      <c r="P141" s="10" t="n">
        <v>113</v>
      </c>
      <c r="Q141" s="12" t="s">
        <v>36</v>
      </c>
      <c r="R141" s="12" t="s">
        <v>48</v>
      </c>
      <c r="S141" s="10" t="n">
        <v>1130101</v>
      </c>
      <c r="T141" s="12" t="s">
        <v>49</v>
      </c>
      <c r="U141" s="13" t="n">
        <v>680.53</v>
      </c>
      <c r="W141" s="13" t="n">
        <v>0</v>
      </c>
      <c r="X141" s="12" t="s">
        <v>259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85</v>
      </c>
      <c r="F142" s="10" t="n">
        <v>24</v>
      </c>
      <c r="G142" s="12" t="s">
        <v>77</v>
      </c>
      <c r="H142" s="10" t="n">
        <v>2110101</v>
      </c>
      <c r="I142" s="12" t="s">
        <v>33</v>
      </c>
      <c r="J142" s="10" t="n">
        <v>1131615</v>
      </c>
      <c r="L142" s="10" t="n">
        <v>150120</v>
      </c>
      <c r="M142" s="12" t="s">
        <v>83</v>
      </c>
      <c r="N142" s="12" t="s">
        <v>35</v>
      </c>
      <c r="P142" s="10" t="n">
        <v>113</v>
      </c>
      <c r="Q142" s="12" t="s">
        <v>36</v>
      </c>
      <c r="R142" s="12" t="s">
        <v>48</v>
      </c>
      <c r="S142" s="10" t="n">
        <v>1130101</v>
      </c>
      <c r="T142" s="12" t="s">
        <v>49</v>
      </c>
      <c r="U142" s="13" t="n">
        <v>391.4</v>
      </c>
      <c r="W142" s="13" t="n">
        <v>0</v>
      </c>
      <c r="X142" s="12" t="s">
        <v>86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85</v>
      </c>
      <c r="F143" s="10" t="n">
        <v>24</v>
      </c>
      <c r="G143" s="12" t="s">
        <v>77</v>
      </c>
      <c r="H143" s="10" t="n">
        <v>2110101</v>
      </c>
      <c r="I143" s="12" t="s">
        <v>33</v>
      </c>
      <c r="J143" s="10" t="n">
        <v>1131763</v>
      </c>
      <c r="L143" s="10" t="n">
        <v>150158</v>
      </c>
      <c r="M143" s="12" t="s">
        <v>83</v>
      </c>
      <c r="N143" s="12" t="s">
        <v>35</v>
      </c>
      <c r="P143" s="10" t="n">
        <v>113</v>
      </c>
      <c r="Q143" s="12" t="s">
        <v>36</v>
      </c>
      <c r="R143" s="12" t="s">
        <v>48</v>
      </c>
      <c r="S143" s="10" t="n">
        <v>1130101</v>
      </c>
      <c r="T143" s="12" t="s">
        <v>49</v>
      </c>
      <c r="U143" s="13" t="n">
        <v>1562.27</v>
      </c>
      <c r="W143" s="13" t="n">
        <v>0</v>
      </c>
      <c r="X143" s="12" t="s">
        <v>87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191</v>
      </c>
      <c r="F144" s="10" t="n">
        <v>24</v>
      </c>
      <c r="G144" s="12" t="s">
        <v>77</v>
      </c>
      <c r="H144" s="10" t="n">
        <v>2110405</v>
      </c>
      <c r="I144" s="12" t="s">
        <v>41</v>
      </c>
      <c r="J144" s="10" t="n">
        <v>1133080</v>
      </c>
      <c r="L144" s="10" t="n">
        <v>150375</v>
      </c>
      <c r="M144" s="12" t="s">
        <v>83</v>
      </c>
      <c r="N144" s="12" t="s">
        <v>35</v>
      </c>
      <c r="P144" s="10" t="n">
        <v>101</v>
      </c>
      <c r="Q144" s="12" t="s">
        <v>42</v>
      </c>
      <c r="R144" s="12" t="s">
        <v>56</v>
      </c>
      <c r="S144" s="10" t="n">
        <v>4210207</v>
      </c>
      <c r="T144" s="12" t="s">
        <v>192</v>
      </c>
      <c r="U144" s="13" t="n">
        <v>620.88</v>
      </c>
      <c r="W144" s="13" t="n">
        <v>0</v>
      </c>
      <c r="X144" s="12" t="s">
        <v>260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88</v>
      </c>
      <c r="F145" s="10" t="n">
        <v>24</v>
      </c>
      <c r="G145" s="12" t="s">
        <v>77</v>
      </c>
      <c r="H145" s="10" t="n">
        <v>2110101</v>
      </c>
      <c r="I145" s="12" t="s">
        <v>33</v>
      </c>
      <c r="J145" s="10" t="n">
        <v>1138283</v>
      </c>
      <c r="L145" s="10" t="n">
        <v>151110</v>
      </c>
      <c r="M145" s="12" t="s">
        <v>83</v>
      </c>
      <c r="N145" s="12" t="s">
        <v>35</v>
      </c>
      <c r="P145" s="10" t="n">
        <v>113</v>
      </c>
      <c r="Q145" s="12" t="s">
        <v>36</v>
      </c>
      <c r="R145" s="12" t="s">
        <v>48</v>
      </c>
      <c r="S145" s="10" t="n">
        <v>1130101</v>
      </c>
      <c r="T145" s="12" t="s">
        <v>49</v>
      </c>
      <c r="U145" s="13" t="n">
        <v>1095.36</v>
      </c>
      <c r="W145" s="13" t="n">
        <v>0</v>
      </c>
      <c r="X145" s="12" t="s">
        <v>89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261</v>
      </c>
      <c r="F146" s="10" t="n">
        <v>24</v>
      </c>
      <c r="G146" s="12" t="s">
        <v>77</v>
      </c>
      <c r="H146" s="10" t="n">
        <v>2110101</v>
      </c>
      <c r="I146" s="12" t="s">
        <v>33</v>
      </c>
      <c r="J146" s="10" t="n">
        <v>1151044</v>
      </c>
      <c r="L146" s="10" t="n">
        <v>325220</v>
      </c>
      <c r="M146" s="12" t="s">
        <v>83</v>
      </c>
      <c r="N146" s="12" t="s">
        <v>54</v>
      </c>
      <c r="P146" s="10" t="n">
        <v>113</v>
      </c>
      <c r="Q146" s="12" t="s">
        <v>36</v>
      </c>
      <c r="R146" s="12" t="s">
        <v>48</v>
      </c>
      <c r="S146" s="10" t="n">
        <v>1130101</v>
      </c>
      <c r="T146" s="12" t="s">
        <v>49</v>
      </c>
      <c r="U146" s="13" t="n">
        <v>591.96</v>
      </c>
      <c r="W146" s="13" t="n">
        <v>0</v>
      </c>
      <c r="X146" s="12" t="s">
        <v>262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263</v>
      </c>
      <c r="F147" s="10" t="n">
        <v>24</v>
      </c>
      <c r="G147" s="12" t="s">
        <v>77</v>
      </c>
      <c r="H147" s="10" t="n">
        <v>2110101</v>
      </c>
      <c r="I147" s="12" t="s">
        <v>33</v>
      </c>
      <c r="J147" s="10" t="n">
        <v>1156642</v>
      </c>
      <c r="L147" s="10" t="n">
        <v>491844</v>
      </c>
      <c r="M147" s="12" t="s">
        <v>83</v>
      </c>
      <c r="N147" s="12" t="s">
        <v>54</v>
      </c>
      <c r="P147" s="10" t="n">
        <v>113</v>
      </c>
      <c r="Q147" s="12" t="s">
        <v>36</v>
      </c>
      <c r="R147" s="12" t="s">
        <v>48</v>
      </c>
      <c r="S147" s="10" t="n">
        <v>1130101</v>
      </c>
      <c r="T147" s="12" t="s">
        <v>49</v>
      </c>
      <c r="U147" s="13" t="n">
        <v>344.71</v>
      </c>
      <c r="W147" s="13" t="n">
        <v>0</v>
      </c>
      <c r="X147" s="12" t="s">
        <v>264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263</v>
      </c>
      <c r="F148" s="10" t="n">
        <v>24</v>
      </c>
      <c r="G148" s="12" t="s">
        <v>77</v>
      </c>
      <c r="H148" s="10" t="n">
        <v>2110101</v>
      </c>
      <c r="I148" s="12" t="s">
        <v>33</v>
      </c>
      <c r="J148" s="10" t="n">
        <v>1157010</v>
      </c>
      <c r="L148" s="10" t="n">
        <v>491834</v>
      </c>
      <c r="M148" s="12" t="s">
        <v>83</v>
      </c>
      <c r="N148" s="12" t="s">
        <v>54</v>
      </c>
      <c r="P148" s="10" t="n">
        <v>113</v>
      </c>
      <c r="Q148" s="12" t="s">
        <v>36</v>
      </c>
      <c r="R148" s="12" t="s">
        <v>48</v>
      </c>
      <c r="S148" s="10" t="n">
        <v>1130101</v>
      </c>
      <c r="T148" s="12" t="s">
        <v>49</v>
      </c>
      <c r="U148" s="13" t="n">
        <v>1022.42</v>
      </c>
      <c r="W148" s="13" t="n">
        <v>0</v>
      </c>
      <c r="X148" s="12" t="s">
        <v>265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266</v>
      </c>
      <c r="F149" s="10" t="n">
        <v>24</v>
      </c>
      <c r="G149" s="12" t="s">
        <v>77</v>
      </c>
      <c r="H149" s="10" t="n">
        <v>2110101</v>
      </c>
      <c r="I149" s="12" t="s">
        <v>33</v>
      </c>
      <c r="J149" s="10" t="n">
        <v>1187978</v>
      </c>
      <c r="L149" s="10" t="n">
        <v>14975</v>
      </c>
      <c r="M149" s="12" t="s">
        <v>83</v>
      </c>
      <c r="N149" s="12" t="s">
        <v>54</v>
      </c>
      <c r="P149" s="10" t="n">
        <v>113</v>
      </c>
      <c r="Q149" s="12" t="s">
        <v>36</v>
      </c>
      <c r="R149" s="12" t="s">
        <v>48</v>
      </c>
      <c r="S149" s="10" t="n">
        <v>1130101</v>
      </c>
      <c r="T149" s="12" t="s">
        <v>49</v>
      </c>
      <c r="U149" s="13" t="n">
        <v>374.01</v>
      </c>
      <c r="W149" s="13" t="n">
        <v>0</v>
      </c>
      <c r="X149" s="12" t="s">
        <v>267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92</v>
      </c>
      <c r="F150" s="10" t="n">
        <v>24</v>
      </c>
      <c r="G150" s="12" t="s">
        <v>77</v>
      </c>
      <c r="H150" s="10" t="n">
        <v>2110101</v>
      </c>
      <c r="I150" s="12" t="s">
        <v>33</v>
      </c>
      <c r="J150" s="10" t="n">
        <v>1193352</v>
      </c>
      <c r="L150" s="10" t="n">
        <v>3628</v>
      </c>
      <c r="M150" s="12" t="s">
        <v>83</v>
      </c>
      <c r="N150" s="12" t="s">
        <v>54</v>
      </c>
      <c r="P150" s="10" t="n">
        <v>113</v>
      </c>
      <c r="Q150" s="12" t="s">
        <v>36</v>
      </c>
      <c r="R150" s="12" t="s">
        <v>48</v>
      </c>
      <c r="S150" s="10" t="n">
        <v>1130101</v>
      </c>
      <c r="T150" s="12" t="s">
        <v>49</v>
      </c>
      <c r="U150" s="13" t="n">
        <v>209.7</v>
      </c>
      <c r="W150" s="13" t="n">
        <v>0</v>
      </c>
      <c r="X150" s="12" t="s">
        <v>268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132</v>
      </c>
      <c r="F151" s="10" t="n">
        <v>13</v>
      </c>
      <c r="G151" s="12" t="s">
        <v>133</v>
      </c>
      <c r="H151" s="10" t="n">
        <v>2110101</v>
      </c>
      <c r="I151" s="12" t="s">
        <v>33</v>
      </c>
      <c r="J151" s="10" t="n">
        <v>1221843</v>
      </c>
      <c r="L151" s="10" t="n">
        <v>2485</v>
      </c>
      <c r="M151" s="12" t="s">
        <v>83</v>
      </c>
      <c r="N151" s="12" t="s">
        <v>54</v>
      </c>
      <c r="P151" s="10" t="n">
        <v>113</v>
      </c>
      <c r="Q151" s="12" t="s">
        <v>36</v>
      </c>
      <c r="R151" s="12" t="s">
        <v>48</v>
      </c>
      <c r="S151" s="10" t="n">
        <v>1130101</v>
      </c>
      <c r="T151" s="12" t="s">
        <v>49</v>
      </c>
      <c r="U151" s="13" t="n">
        <v>180</v>
      </c>
      <c r="W151" s="13" t="n">
        <v>0</v>
      </c>
      <c r="X151" s="12" t="s">
        <v>269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132</v>
      </c>
      <c r="F152" s="10" t="n">
        <v>13</v>
      </c>
      <c r="G152" s="12" t="s">
        <v>133</v>
      </c>
      <c r="H152" s="10" t="n">
        <v>2110101</v>
      </c>
      <c r="I152" s="12" t="s">
        <v>33</v>
      </c>
      <c r="J152" s="10" t="n">
        <v>1222855</v>
      </c>
      <c r="L152" s="10" t="n">
        <v>2486</v>
      </c>
      <c r="M152" s="12" t="s">
        <v>83</v>
      </c>
      <c r="N152" s="12" t="s">
        <v>54</v>
      </c>
      <c r="P152" s="10" t="n">
        <v>113</v>
      </c>
      <c r="Q152" s="12" t="s">
        <v>36</v>
      </c>
      <c r="R152" s="12" t="s">
        <v>48</v>
      </c>
      <c r="S152" s="10" t="n">
        <v>1130101</v>
      </c>
      <c r="T152" s="12" t="s">
        <v>49</v>
      </c>
      <c r="U152" s="13" t="n">
        <v>195</v>
      </c>
      <c r="W152" s="13" t="n">
        <v>195</v>
      </c>
      <c r="X152" s="12" t="s">
        <v>270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141</v>
      </c>
      <c r="F153" s="10" t="n">
        <v>13</v>
      </c>
      <c r="G153" s="12" t="s">
        <v>133</v>
      </c>
      <c r="H153" s="10" t="n">
        <v>2110101</v>
      </c>
      <c r="I153" s="12" t="s">
        <v>33</v>
      </c>
      <c r="J153" s="10" t="n">
        <v>1226536</v>
      </c>
      <c r="L153" s="10" t="n">
        <v>5957</v>
      </c>
      <c r="M153" s="12" t="s">
        <v>83</v>
      </c>
      <c r="N153" s="12" t="s">
        <v>54</v>
      </c>
      <c r="P153" s="10" t="n">
        <v>113</v>
      </c>
      <c r="Q153" s="12" t="s">
        <v>36</v>
      </c>
      <c r="R153" s="12" t="s">
        <v>48</v>
      </c>
      <c r="S153" s="10" t="n">
        <v>1130101</v>
      </c>
      <c r="T153" s="12" t="s">
        <v>49</v>
      </c>
      <c r="U153" s="13" t="n">
        <v>140</v>
      </c>
      <c r="W153" s="13" t="n">
        <v>140</v>
      </c>
      <c r="X153" s="12" t="s">
        <v>271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272</v>
      </c>
      <c r="F154" s="10" t="n">
        <v>34</v>
      </c>
      <c r="G154" s="12" t="s">
        <v>97</v>
      </c>
      <c r="H154" s="10" t="n">
        <v>2110405</v>
      </c>
      <c r="I154" s="12" t="s">
        <v>41</v>
      </c>
      <c r="J154" s="10" t="n">
        <v>1052625</v>
      </c>
      <c r="L154" s="10" t="n">
        <v>139006</v>
      </c>
      <c r="M154" s="12" t="s">
        <v>83</v>
      </c>
      <c r="N154" s="12" t="s">
        <v>35</v>
      </c>
      <c r="P154" s="10" t="n">
        <v>101</v>
      </c>
      <c r="Q154" s="12" t="s">
        <v>42</v>
      </c>
      <c r="R154" s="12" t="s">
        <v>100</v>
      </c>
      <c r="S154" s="10" t="n">
        <v>4210301</v>
      </c>
      <c r="T154" s="12" t="s">
        <v>230</v>
      </c>
      <c r="U154" s="13" t="n">
        <v>225.48</v>
      </c>
      <c r="W154" s="13" t="n">
        <v>0</v>
      </c>
      <c r="X154" s="12" t="s">
        <v>273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123</v>
      </c>
      <c r="F155" s="10" t="n">
        <v>24</v>
      </c>
      <c r="G155" s="12" t="s">
        <v>77</v>
      </c>
      <c r="H155" s="10" t="n">
        <v>2110101</v>
      </c>
      <c r="I155" s="12" t="s">
        <v>33</v>
      </c>
      <c r="J155" s="10" t="n">
        <v>1131396</v>
      </c>
      <c r="L155" s="10" t="n">
        <v>720157</v>
      </c>
      <c r="M155" s="12" t="s">
        <v>74</v>
      </c>
      <c r="N155" s="12" t="s">
        <v>54</v>
      </c>
      <c r="P155" s="10" t="n">
        <v>113</v>
      </c>
      <c r="Q155" s="12" t="s">
        <v>36</v>
      </c>
      <c r="R155" s="12" t="s">
        <v>48</v>
      </c>
      <c r="S155" s="10" t="n">
        <v>1130101</v>
      </c>
      <c r="T155" s="12" t="s">
        <v>49</v>
      </c>
      <c r="U155" s="13" t="n">
        <v>460.61</v>
      </c>
      <c r="W155" s="13" t="n">
        <v>0</v>
      </c>
      <c r="X155" s="12" t="s">
        <v>124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119</v>
      </c>
      <c r="F156" s="10" t="n">
        <v>24</v>
      </c>
      <c r="G156" s="12" t="s">
        <v>77</v>
      </c>
      <c r="H156" s="10" t="n">
        <v>2110101</v>
      </c>
      <c r="I156" s="12" t="s">
        <v>33</v>
      </c>
      <c r="J156" s="10" t="n">
        <v>1150772</v>
      </c>
      <c r="L156" s="10" t="n">
        <v>1133947</v>
      </c>
      <c r="M156" s="12" t="s">
        <v>83</v>
      </c>
      <c r="N156" s="12" t="s">
        <v>54</v>
      </c>
      <c r="P156" s="10" t="n">
        <v>113</v>
      </c>
      <c r="Q156" s="12" t="s">
        <v>36</v>
      </c>
      <c r="R156" s="12" t="s">
        <v>48</v>
      </c>
      <c r="S156" s="10" t="n">
        <v>1130101</v>
      </c>
      <c r="T156" s="12" t="s">
        <v>49</v>
      </c>
      <c r="U156" s="13" t="n">
        <v>776.55</v>
      </c>
      <c r="W156" s="13" t="n">
        <v>0</v>
      </c>
      <c r="X156" s="12" t="s">
        <v>274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119</v>
      </c>
      <c r="F157" s="10" t="n">
        <v>24</v>
      </c>
      <c r="G157" s="12" t="s">
        <v>77</v>
      </c>
      <c r="H157" s="10" t="n">
        <v>2110101</v>
      </c>
      <c r="I157" s="12" t="s">
        <v>33</v>
      </c>
      <c r="J157" s="10" t="n">
        <v>1150801</v>
      </c>
      <c r="L157" s="10" t="n">
        <v>152633</v>
      </c>
      <c r="M157" s="12" t="s">
        <v>83</v>
      </c>
      <c r="N157" s="12" t="s">
        <v>35</v>
      </c>
      <c r="P157" s="10" t="n">
        <v>113</v>
      </c>
      <c r="Q157" s="12" t="s">
        <v>36</v>
      </c>
      <c r="R157" s="12" t="s">
        <v>48</v>
      </c>
      <c r="S157" s="10" t="n">
        <v>1130101</v>
      </c>
      <c r="T157" s="12" t="s">
        <v>49</v>
      </c>
      <c r="U157" s="13" t="n">
        <v>258.47</v>
      </c>
      <c r="W157" s="13" t="n">
        <v>0</v>
      </c>
      <c r="X157" s="12" t="s">
        <v>275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210</v>
      </c>
      <c r="F158" s="10" t="n">
        <v>24</v>
      </c>
      <c r="G158" s="12" t="s">
        <v>77</v>
      </c>
      <c r="H158" s="10" t="n">
        <v>2110101</v>
      </c>
      <c r="I158" s="12" t="s">
        <v>33</v>
      </c>
      <c r="J158" s="10" t="n">
        <v>1191352</v>
      </c>
      <c r="L158" s="10" t="n">
        <v>1025111</v>
      </c>
      <c r="M158" s="12" t="s">
        <v>83</v>
      </c>
      <c r="N158" s="12" t="s">
        <v>54</v>
      </c>
      <c r="P158" s="10" t="n">
        <v>113</v>
      </c>
      <c r="Q158" s="12" t="s">
        <v>36</v>
      </c>
      <c r="R158" s="12" t="s">
        <v>48</v>
      </c>
      <c r="S158" s="10" t="n">
        <v>1130101</v>
      </c>
      <c r="T158" s="12" t="s">
        <v>49</v>
      </c>
      <c r="U158" s="13" t="n">
        <v>337.08</v>
      </c>
      <c r="W158" s="13" t="n">
        <v>0</v>
      </c>
      <c r="X158" s="12" t="s">
        <v>276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220</v>
      </c>
      <c r="F159" s="10" t="n">
        <v>34</v>
      </c>
      <c r="G159" s="12" t="s">
        <v>97</v>
      </c>
      <c r="H159" s="10" t="n">
        <v>2110101</v>
      </c>
      <c r="I159" s="12" t="s">
        <v>33</v>
      </c>
      <c r="J159" s="10" t="n">
        <v>1202298</v>
      </c>
      <c r="L159" s="10" t="n">
        <v>160380</v>
      </c>
      <c r="M159" s="12" t="s">
        <v>83</v>
      </c>
      <c r="N159" s="12" t="s">
        <v>35</v>
      </c>
      <c r="P159" s="10" t="n">
        <v>113</v>
      </c>
      <c r="Q159" s="12" t="s">
        <v>36</v>
      </c>
      <c r="R159" s="12" t="s">
        <v>48</v>
      </c>
      <c r="S159" s="10" t="n">
        <v>1130101</v>
      </c>
      <c r="T159" s="12" t="s">
        <v>49</v>
      </c>
      <c r="U159" s="13" t="n">
        <v>950</v>
      </c>
      <c r="W159" s="13" t="n">
        <v>0</v>
      </c>
      <c r="X159" s="12" t="s">
        <v>277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278</v>
      </c>
      <c r="F160" s="10" t="n">
        <v>24</v>
      </c>
      <c r="G160" s="12" t="s">
        <v>77</v>
      </c>
      <c r="H160" s="10" t="n">
        <v>2110405</v>
      </c>
      <c r="I160" s="12" t="s">
        <v>41</v>
      </c>
      <c r="J160" s="10" t="n">
        <v>1206907</v>
      </c>
      <c r="L160" s="10" t="n">
        <v>160749</v>
      </c>
      <c r="M160" s="12" t="s">
        <v>83</v>
      </c>
      <c r="N160" s="12" t="s">
        <v>35</v>
      </c>
      <c r="P160" s="10" t="n">
        <v>101</v>
      </c>
      <c r="Q160" s="12" t="s">
        <v>42</v>
      </c>
      <c r="R160" s="12" t="s">
        <v>56</v>
      </c>
      <c r="S160" s="10" t="n">
        <v>4210227</v>
      </c>
      <c r="T160" s="12" t="s">
        <v>63</v>
      </c>
      <c r="U160" s="13" t="n">
        <v>134.8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132</v>
      </c>
      <c r="F161" s="10" t="n">
        <v>13</v>
      </c>
      <c r="G161" s="12" t="s">
        <v>133</v>
      </c>
      <c r="H161" s="10" t="n">
        <v>2110101</v>
      </c>
      <c r="I161" s="12" t="s">
        <v>33</v>
      </c>
      <c r="J161" s="10" t="n">
        <v>1227926</v>
      </c>
      <c r="L161" s="10" t="n">
        <v>2487</v>
      </c>
      <c r="M161" s="12" t="s">
        <v>83</v>
      </c>
      <c r="N161" s="12" t="s">
        <v>54</v>
      </c>
      <c r="P161" s="10" t="n">
        <v>113</v>
      </c>
      <c r="Q161" s="12" t="s">
        <v>36</v>
      </c>
      <c r="R161" s="12" t="s">
        <v>48</v>
      </c>
      <c r="S161" s="10" t="n">
        <v>1130101</v>
      </c>
      <c r="T161" s="12" t="s">
        <v>49</v>
      </c>
      <c r="U161" s="13" t="n">
        <v>1926.18</v>
      </c>
      <c r="W161" s="13" t="n">
        <v>0</v>
      </c>
      <c r="X161" s="12" t="s">
        <v>280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139</v>
      </c>
      <c r="F162" s="10" t="n">
        <v>13</v>
      </c>
      <c r="G162" s="12" t="s">
        <v>133</v>
      </c>
      <c r="H162" s="10" t="n">
        <v>2110101</v>
      </c>
      <c r="I162" s="12" t="s">
        <v>33</v>
      </c>
      <c r="J162" s="10" t="n">
        <v>1227950</v>
      </c>
      <c r="L162" s="10" t="n">
        <v>163364</v>
      </c>
      <c r="M162" s="12" t="s">
        <v>83</v>
      </c>
      <c r="N162" s="12" t="s">
        <v>35</v>
      </c>
      <c r="P162" s="10" t="n">
        <v>113</v>
      </c>
      <c r="Q162" s="12" t="s">
        <v>36</v>
      </c>
      <c r="R162" s="12" t="s">
        <v>48</v>
      </c>
      <c r="S162" s="10" t="n">
        <v>1130101</v>
      </c>
      <c r="T162" s="12" t="s">
        <v>49</v>
      </c>
      <c r="U162" s="13" t="n">
        <v>180</v>
      </c>
      <c r="W162" s="13" t="n">
        <v>0</v>
      </c>
      <c r="X162" s="12" t="s">
        <v>281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139</v>
      </c>
      <c r="F163" s="10" t="n">
        <v>34</v>
      </c>
      <c r="G163" s="12" t="s">
        <v>97</v>
      </c>
      <c r="H163" s="10" t="n">
        <v>2110405</v>
      </c>
      <c r="I163" s="12" t="s">
        <v>41</v>
      </c>
      <c r="J163" s="10" t="n">
        <v>1237086</v>
      </c>
      <c r="L163" s="10" t="n">
        <v>164841</v>
      </c>
      <c r="M163" s="12" t="s">
        <v>83</v>
      </c>
      <c r="N163" s="12" t="s">
        <v>35</v>
      </c>
      <c r="P163" s="10" t="n">
        <v>102</v>
      </c>
      <c r="Q163" s="12" t="s">
        <v>282</v>
      </c>
      <c r="R163" s="12" t="s">
        <v>43</v>
      </c>
      <c r="S163" s="10" t="n">
        <v>4220199</v>
      </c>
      <c r="T163" s="12" t="s">
        <v>44</v>
      </c>
      <c r="U163" s="13" t="n">
        <v>404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139</v>
      </c>
      <c r="F164" s="10" t="n">
        <v>34</v>
      </c>
      <c r="G164" s="12" t="s">
        <v>97</v>
      </c>
      <c r="H164" s="10" t="n">
        <v>2110405</v>
      </c>
      <c r="I164" s="12" t="s">
        <v>41</v>
      </c>
      <c r="J164" s="10" t="n">
        <v>1237089</v>
      </c>
      <c r="L164" s="10" t="n">
        <v>164844</v>
      </c>
      <c r="M164" s="12" t="s">
        <v>83</v>
      </c>
      <c r="N164" s="12" t="s">
        <v>35</v>
      </c>
      <c r="P164" s="10" t="n">
        <v>102</v>
      </c>
      <c r="Q164" s="12" t="s">
        <v>282</v>
      </c>
      <c r="R164" s="12" t="s">
        <v>43</v>
      </c>
      <c r="S164" s="10" t="n">
        <v>4220199</v>
      </c>
      <c r="T164" s="12" t="s">
        <v>44</v>
      </c>
      <c r="U164" s="13" t="n">
        <v>1340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284</v>
      </c>
      <c r="F165" s="10" t="n">
        <v>46</v>
      </c>
      <c r="G165" s="12" t="s">
        <v>285</v>
      </c>
      <c r="H165" s="10" t="n">
        <v>2110405</v>
      </c>
      <c r="I165" s="12" t="s">
        <v>41</v>
      </c>
      <c r="J165" s="10" t="n">
        <v>651715</v>
      </c>
      <c r="L165" s="10" t="n">
        <v>84736</v>
      </c>
      <c r="M165" s="12" t="s">
        <v>71</v>
      </c>
      <c r="N165" s="12" t="s">
        <v>35</v>
      </c>
      <c r="P165" s="10" t="n">
        <v>101</v>
      </c>
      <c r="Q165" s="12" t="s">
        <v>42</v>
      </c>
      <c r="R165" s="12" t="s">
        <v>56</v>
      </c>
      <c r="S165" s="10" t="n">
        <v>4210232</v>
      </c>
      <c r="T165" s="12" t="s">
        <v>286</v>
      </c>
      <c r="U165" s="13" t="n">
        <v>166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288</v>
      </c>
      <c r="F166" s="10" t="n">
        <v>46</v>
      </c>
      <c r="G166" s="12" t="s">
        <v>285</v>
      </c>
      <c r="H166" s="10" t="n">
        <v>2110101</v>
      </c>
      <c r="I166" s="12" t="s">
        <v>33</v>
      </c>
      <c r="J166" s="10" t="n">
        <v>717667</v>
      </c>
      <c r="L166" s="10" t="n">
        <v>93850</v>
      </c>
      <c r="M166" s="12" t="s">
        <v>71</v>
      </c>
      <c r="N166" s="12" t="s">
        <v>35</v>
      </c>
      <c r="P166" s="10" t="n">
        <v>113</v>
      </c>
      <c r="Q166" s="12" t="s">
        <v>36</v>
      </c>
      <c r="R166" s="12" t="s">
        <v>56</v>
      </c>
      <c r="S166" s="10" t="n">
        <v>4210227</v>
      </c>
      <c r="T166" s="12" t="s">
        <v>63</v>
      </c>
      <c r="U166" s="13" t="n">
        <v>283.67</v>
      </c>
      <c r="W166" s="13" t="n">
        <v>0</v>
      </c>
      <c r="X166" s="12" t="s">
        <v>289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290</v>
      </c>
      <c r="F167" s="10" t="n">
        <v>46</v>
      </c>
      <c r="G167" s="12" t="s">
        <v>285</v>
      </c>
      <c r="H167" s="10" t="n">
        <v>2110405</v>
      </c>
      <c r="I167" s="12" t="s">
        <v>41</v>
      </c>
      <c r="J167" s="10" t="n">
        <v>1067484</v>
      </c>
      <c r="L167" s="10" t="n">
        <v>139909</v>
      </c>
      <c r="M167" s="12" t="s">
        <v>83</v>
      </c>
      <c r="N167" s="12" t="s">
        <v>35</v>
      </c>
      <c r="P167" s="10" t="n">
        <v>113</v>
      </c>
      <c r="Q167" s="12" t="s">
        <v>36</v>
      </c>
      <c r="R167" s="12" t="s">
        <v>56</v>
      </c>
      <c r="S167" s="10" t="n">
        <v>4210227</v>
      </c>
      <c r="T167" s="12" t="s">
        <v>63</v>
      </c>
      <c r="U167" s="13" t="n">
        <v>340</v>
      </c>
      <c r="W167" s="13" t="n">
        <v>340</v>
      </c>
      <c r="X167" s="12" t="s">
        <v>291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292</v>
      </c>
      <c r="F168" s="10" t="n">
        <v>24</v>
      </c>
      <c r="G168" s="12" t="s">
        <v>77</v>
      </c>
      <c r="H168" s="10" t="n">
        <v>2110101</v>
      </c>
      <c r="I168" s="12" t="s">
        <v>33</v>
      </c>
      <c r="J168" s="10" t="n">
        <v>1083233</v>
      </c>
      <c r="L168" s="10" t="n">
        <v>33574</v>
      </c>
      <c r="M168" s="12" t="s">
        <v>83</v>
      </c>
      <c r="N168" s="12" t="s">
        <v>54</v>
      </c>
      <c r="P168" s="10" t="n">
        <v>113</v>
      </c>
      <c r="Q168" s="12" t="s">
        <v>36</v>
      </c>
      <c r="R168" s="12" t="s">
        <v>48</v>
      </c>
      <c r="S168" s="10" t="n">
        <v>1130101</v>
      </c>
      <c r="T168" s="12" t="s">
        <v>49</v>
      </c>
      <c r="U168" s="13" t="n">
        <v>1270.35</v>
      </c>
      <c r="W168" s="13" t="n">
        <v>0</v>
      </c>
      <c r="X168" s="12" t="s">
        <v>293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294</v>
      </c>
      <c r="F169" s="10" t="n">
        <v>24</v>
      </c>
      <c r="G169" s="12" t="s">
        <v>77</v>
      </c>
      <c r="H169" s="10" t="n">
        <v>2110405</v>
      </c>
      <c r="I169" s="12" t="s">
        <v>41</v>
      </c>
      <c r="J169" s="10" t="n">
        <v>1083394</v>
      </c>
      <c r="L169" s="10" t="n">
        <v>143444</v>
      </c>
      <c r="M169" s="12" t="s">
        <v>74</v>
      </c>
      <c r="N169" s="12" t="s">
        <v>35</v>
      </c>
      <c r="P169" s="10" t="n">
        <v>101</v>
      </c>
      <c r="Q169" s="12" t="s">
        <v>42</v>
      </c>
      <c r="R169" s="12" t="s">
        <v>295</v>
      </c>
      <c r="S169" s="10" t="n">
        <v>2110901</v>
      </c>
      <c r="T169" s="12" t="s">
        <v>296</v>
      </c>
      <c r="U169" s="13" t="n">
        <v>2332.19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85</v>
      </c>
      <c r="F170" s="10" t="n">
        <v>24</v>
      </c>
      <c r="G170" s="12" t="s">
        <v>77</v>
      </c>
      <c r="H170" s="10" t="n">
        <v>2110101</v>
      </c>
      <c r="I170" s="12" t="s">
        <v>33</v>
      </c>
      <c r="J170" s="10" t="n">
        <v>1097363</v>
      </c>
      <c r="L170" s="10" t="n">
        <v>145430</v>
      </c>
      <c r="M170" s="12" t="s">
        <v>83</v>
      </c>
      <c r="N170" s="12" t="s">
        <v>35</v>
      </c>
      <c r="P170" s="10" t="n">
        <v>113</v>
      </c>
      <c r="Q170" s="12" t="s">
        <v>36</v>
      </c>
      <c r="R170" s="12" t="s">
        <v>48</v>
      </c>
      <c r="S170" s="10" t="n">
        <v>1130101</v>
      </c>
      <c r="T170" s="12" t="s">
        <v>49</v>
      </c>
      <c r="U170" s="13" t="n">
        <v>1036.09</v>
      </c>
      <c r="W170" s="13" t="n">
        <v>0</v>
      </c>
      <c r="X170" s="12" t="s">
        <v>153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154</v>
      </c>
      <c r="F171" s="10" t="n">
        <v>24</v>
      </c>
      <c r="G171" s="12" t="s">
        <v>77</v>
      </c>
      <c r="H171" s="10" t="n">
        <v>2110101</v>
      </c>
      <c r="I171" s="12" t="s">
        <v>33</v>
      </c>
      <c r="J171" s="10" t="n">
        <v>1098104</v>
      </c>
      <c r="L171" s="10" t="n">
        <v>341419</v>
      </c>
      <c r="M171" s="12" t="s">
        <v>62</v>
      </c>
      <c r="N171" s="12" t="s">
        <v>54</v>
      </c>
      <c r="P171" s="10" t="n">
        <v>113</v>
      </c>
      <c r="Q171" s="12" t="s">
        <v>36</v>
      </c>
      <c r="R171" s="12" t="s">
        <v>48</v>
      </c>
      <c r="S171" s="10" t="n">
        <v>1130101</v>
      </c>
      <c r="T171" s="12" t="s">
        <v>49</v>
      </c>
      <c r="U171" s="13" t="n">
        <v>843.15</v>
      </c>
      <c r="W171" s="13" t="n">
        <v>0</v>
      </c>
      <c r="X171" s="12" t="s">
        <v>155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156</v>
      </c>
      <c r="F172" s="10" t="n">
        <v>24</v>
      </c>
      <c r="G172" s="12" t="s">
        <v>77</v>
      </c>
      <c r="H172" s="10" t="n">
        <v>2110101</v>
      </c>
      <c r="I172" s="12" t="s">
        <v>33</v>
      </c>
      <c r="J172" s="10" t="n">
        <v>1101883</v>
      </c>
      <c r="L172" s="10" t="n">
        <v>146197</v>
      </c>
      <c r="M172" s="12" t="s">
        <v>83</v>
      </c>
      <c r="N172" s="12" t="s">
        <v>35</v>
      </c>
      <c r="P172" s="10" t="n">
        <v>113</v>
      </c>
      <c r="Q172" s="12" t="s">
        <v>36</v>
      </c>
      <c r="R172" s="12" t="s">
        <v>48</v>
      </c>
      <c r="S172" s="10" t="n">
        <v>1130101</v>
      </c>
      <c r="T172" s="12" t="s">
        <v>49</v>
      </c>
      <c r="U172" s="13" t="n">
        <v>392.13</v>
      </c>
      <c r="W172" s="13" t="n">
        <v>0</v>
      </c>
      <c r="X172" s="12" t="s">
        <v>157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156</v>
      </c>
      <c r="F173" s="10" t="n">
        <v>24</v>
      </c>
      <c r="G173" s="12" t="s">
        <v>77</v>
      </c>
      <c r="H173" s="10" t="n">
        <v>2110101</v>
      </c>
      <c r="I173" s="12" t="s">
        <v>33</v>
      </c>
      <c r="J173" s="10" t="n">
        <v>1102198</v>
      </c>
      <c r="L173" s="10" t="n">
        <v>1762195</v>
      </c>
      <c r="M173" s="12" t="s">
        <v>62</v>
      </c>
      <c r="N173" s="12" t="s">
        <v>54</v>
      </c>
      <c r="P173" s="10" t="n">
        <v>113</v>
      </c>
      <c r="Q173" s="12" t="s">
        <v>36</v>
      </c>
      <c r="R173" s="12" t="s">
        <v>48</v>
      </c>
      <c r="S173" s="10" t="n">
        <v>1130101</v>
      </c>
      <c r="T173" s="12" t="s">
        <v>49</v>
      </c>
      <c r="U173" s="13" t="n">
        <v>691.5</v>
      </c>
      <c r="W173" s="13" t="n">
        <v>0</v>
      </c>
      <c r="X173" s="12" t="s">
        <v>158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160</v>
      </c>
      <c r="F174" s="10" t="n">
        <v>24</v>
      </c>
      <c r="G174" s="12" t="s">
        <v>77</v>
      </c>
      <c r="H174" s="10" t="n">
        <v>2110101</v>
      </c>
      <c r="I174" s="12" t="s">
        <v>33</v>
      </c>
      <c r="J174" s="10" t="n">
        <v>1106692</v>
      </c>
      <c r="L174" s="10" t="n">
        <v>1952417</v>
      </c>
      <c r="M174" s="12" t="s">
        <v>74</v>
      </c>
      <c r="N174" s="12" t="s">
        <v>54</v>
      </c>
      <c r="P174" s="10" t="n">
        <v>113</v>
      </c>
      <c r="Q174" s="12" t="s">
        <v>36</v>
      </c>
      <c r="R174" s="12" t="s">
        <v>48</v>
      </c>
      <c r="S174" s="10" t="n">
        <v>1130101</v>
      </c>
      <c r="T174" s="12" t="s">
        <v>49</v>
      </c>
      <c r="U174" s="13" t="n">
        <v>1262.32</v>
      </c>
      <c r="W174" s="13" t="n">
        <v>0</v>
      </c>
      <c r="X174" s="12" t="s">
        <v>161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164</v>
      </c>
      <c r="F175" s="10" t="n">
        <v>24</v>
      </c>
      <c r="G175" s="12" t="s">
        <v>77</v>
      </c>
      <c r="H175" s="10" t="n">
        <v>2110101</v>
      </c>
      <c r="I175" s="12" t="s">
        <v>33</v>
      </c>
      <c r="J175" s="10" t="n">
        <v>1131280</v>
      </c>
      <c r="L175" s="10" t="n">
        <v>382547</v>
      </c>
      <c r="M175" s="12" t="s">
        <v>62</v>
      </c>
      <c r="N175" s="12" t="s">
        <v>54</v>
      </c>
      <c r="P175" s="10" t="n">
        <v>113</v>
      </c>
      <c r="Q175" s="12" t="s">
        <v>36</v>
      </c>
      <c r="R175" s="12" t="s">
        <v>48</v>
      </c>
      <c r="S175" s="10" t="n">
        <v>1130101</v>
      </c>
      <c r="T175" s="12" t="s">
        <v>49</v>
      </c>
      <c r="U175" s="13" t="n">
        <v>774.33</v>
      </c>
      <c r="W175" s="13" t="n">
        <v>0</v>
      </c>
      <c r="X175" s="12" t="s">
        <v>165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298</v>
      </c>
      <c r="F176" s="10" t="n">
        <v>24</v>
      </c>
      <c r="G176" s="12" t="s">
        <v>77</v>
      </c>
      <c r="H176" s="10" t="n">
        <v>2110101</v>
      </c>
      <c r="I176" s="12" t="s">
        <v>33</v>
      </c>
      <c r="J176" s="10" t="n">
        <v>1131327</v>
      </c>
      <c r="L176" s="10" t="n">
        <v>2108</v>
      </c>
      <c r="M176" s="12" t="s">
        <v>83</v>
      </c>
      <c r="N176" s="12" t="s">
        <v>54</v>
      </c>
      <c r="P176" s="10" t="n">
        <v>113</v>
      </c>
      <c r="Q176" s="12" t="s">
        <v>36</v>
      </c>
      <c r="R176" s="12" t="s">
        <v>48</v>
      </c>
      <c r="S176" s="10" t="n">
        <v>1130101</v>
      </c>
      <c r="T176" s="12" t="s">
        <v>49</v>
      </c>
      <c r="U176" s="13" t="n">
        <v>504.52</v>
      </c>
      <c r="W176" s="13" t="n">
        <v>0</v>
      </c>
      <c r="X176" s="12" t="s">
        <v>299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166</v>
      </c>
      <c r="F177" s="10" t="n">
        <v>24</v>
      </c>
      <c r="G177" s="12" t="s">
        <v>77</v>
      </c>
      <c r="H177" s="10" t="n">
        <v>2110101</v>
      </c>
      <c r="I177" s="12" t="s">
        <v>33</v>
      </c>
      <c r="J177" s="10" t="n">
        <v>1131644</v>
      </c>
      <c r="L177" s="10" t="n">
        <v>20752</v>
      </c>
      <c r="M177" s="12" t="s">
        <v>74</v>
      </c>
      <c r="N177" s="12" t="s">
        <v>54</v>
      </c>
      <c r="P177" s="10" t="n">
        <v>113</v>
      </c>
      <c r="Q177" s="12" t="s">
        <v>36</v>
      </c>
      <c r="R177" s="12" t="s">
        <v>48</v>
      </c>
      <c r="S177" s="10" t="n">
        <v>1130101</v>
      </c>
      <c r="T177" s="12" t="s">
        <v>49</v>
      </c>
      <c r="U177" s="13" t="n">
        <v>340.77</v>
      </c>
      <c r="W177" s="13" t="n">
        <v>0</v>
      </c>
      <c r="X177" s="12" t="s">
        <v>167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300</v>
      </c>
      <c r="F178" s="10" t="n">
        <v>24</v>
      </c>
      <c r="G178" s="12" t="s">
        <v>77</v>
      </c>
      <c r="H178" s="10" t="n">
        <v>2110101</v>
      </c>
      <c r="I178" s="12" t="s">
        <v>33</v>
      </c>
      <c r="J178" s="10" t="n">
        <v>1133230</v>
      </c>
      <c r="L178" s="10" t="n">
        <v>654829</v>
      </c>
      <c r="M178" s="12" t="s">
        <v>83</v>
      </c>
      <c r="N178" s="12" t="s">
        <v>54</v>
      </c>
      <c r="P178" s="10" t="n">
        <v>113</v>
      </c>
      <c r="Q178" s="12" t="s">
        <v>36</v>
      </c>
      <c r="R178" s="12" t="s">
        <v>48</v>
      </c>
      <c r="S178" s="10" t="n">
        <v>1130101</v>
      </c>
      <c r="T178" s="12" t="s">
        <v>49</v>
      </c>
      <c r="U178" s="13" t="n">
        <v>650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94</v>
      </c>
      <c r="F179" s="10" t="n">
        <v>24</v>
      </c>
      <c r="G179" s="12" t="s">
        <v>77</v>
      </c>
      <c r="H179" s="10" t="n">
        <v>2110101</v>
      </c>
      <c r="I179" s="12" t="s">
        <v>33</v>
      </c>
      <c r="J179" s="10" t="n">
        <v>1137478</v>
      </c>
      <c r="L179" s="10" t="n">
        <v>1588694</v>
      </c>
      <c r="M179" s="12" t="s">
        <v>74</v>
      </c>
      <c r="N179" s="12" t="s">
        <v>54</v>
      </c>
      <c r="P179" s="10" t="n">
        <v>113</v>
      </c>
      <c r="Q179" s="12" t="s">
        <v>36</v>
      </c>
      <c r="R179" s="12" t="s">
        <v>48</v>
      </c>
      <c r="S179" s="10" t="n">
        <v>1130101</v>
      </c>
      <c r="T179" s="12" t="s">
        <v>49</v>
      </c>
      <c r="U179" s="13" t="n">
        <v>1208.63</v>
      </c>
      <c r="W179" s="13" t="n">
        <v>0</v>
      </c>
      <c r="X179" s="12" t="s">
        <v>170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302</v>
      </c>
      <c r="F180" s="10" t="n">
        <v>24</v>
      </c>
      <c r="G180" s="12" t="s">
        <v>77</v>
      </c>
      <c r="H180" s="10" t="n">
        <v>2110101</v>
      </c>
      <c r="I180" s="12" t="s">
        <v>33</v>
      </c>
      <c r="J180" s="10" t="n">
        <v>1137537</v>
      </c>
      <c r="L180" s="10" t="n">
        <v>1353427</v>
      </c>
      <c r="M180" s="12" t="s">
        <v>83</v>
      </c>
      <c r="N180" s="12" t="s">
        <v>54</v>
      </c>
      <c r="P180" s="10" t="n">
        <v>113</v>
      </c>
      <c r="Q180" s="12" t="s">
        <v>36</v>
      </c>
      <c r="R180" s="12" t="s">
        <v>48</v>
      </c>
      <c r="S180" s="10" t="n">
        <v>1130101</v>
      </c>
      <c r="T180" s="12" t="s">
        <v>49</v>
      </c>
      <c r="U180" s="13" t="n">
        <v>2345.6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88</v>
      </c>
      <c r="F181" s="10" t="n">
        <v>24</v>
      </c>
      <c r="G181" s="12" t="s">
        <v>77</v>
      </c>
      <c r="H181" s="10" t="n">
        <v>2110101</v>
      </c>
      <c r="I181" s="12" t="s">
        <v>33</v>
      </c>
      <c r="J181" s="10" t="n">
        <v>1157192</v>
      </c>
      <c r="L181" s="10" t="n">
        <v>153704</v>
      </c>
      <c r="M181" s="12" t="s">
        <v>83</v>
      </c>
      <c r="N181" s="12" t="s">
        <v>35</v>
      </c>
      <c r="P181" s="10" t="n">
        <v>113</v>
      </c>
      <c r="Q181" s="12" t="s">
        <v>36</v>
      </c>
      <c r="R181" s="12" t="s">
        <v>48</v>
      </c>
      <c r="S181" s="10" t="n">
        <v>1130101</v>
      </c>
      <c r="T181" s="12" t="s">
        <v>49</v>
      </c>
      <c r="U181" s="13" t="n">
        <v>633.45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305</v>
      </c>
      <c r="F182" s="10" t="n">
        <v>24</v>
      </c>
      <c r="G182" s="12" t="s">
        <v>77</v>
      </c>
      <c r="H182" s="10" t="n">
        <v>2110405</v>
      </c>
      <c r="I182" s="12" t="s">
        <v>41</v>
      </c>
      <c r="J182" s="10" t="n">
        <v>1165973</v>
      </c>
      <c r="L182" s="10" t="n">
        <v>155116</v>
      </c>
      <c r="M182" s="12" t="s">
        <v>83</v>
      </c>
      <c r="N182" s="12" t="s">
        <v>35</v>
      </c>
      <c r="P182" s="10" t="n">
        <v>113</v>
      </c>
      <c r="Q182" s="12" t="s">
        <v>36</v>
      </c>
      <c r="R182" s="12" t="s">
        <v>56</v>
      </c>
      <c r="S182" s="10" t="n">
        <v>4210299</v>
      </c>
      <c r="T182" s="12" t="s">
        <v>115</v>
      </c>
      <c r="U182" s="13" t="n">
        <v>430.35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123</v>
      </c>
      <c r="F183" s="10" t="n">
        <v>24</v>
      </c>
      <c r="G183" s="12" t="s">
        <v>77</v>
      </c>
      <c r="H183" s="10" t="n">
        <v>2110405</v>
      </c>
      <c r="I183" s="12" t="s">
        <v>41</v>
      </c>
      <c r="J183" s="10" t="n">
        <v>1166891</v>
      </c>
      <c r="L183" s="10" t="n">
        <v>155337</v>
      </c>
      <c r="M183" s="12" t="s">
        <v>83</v>
      </c>
      <c r="N183" s="12" t="s">
        <v>35</v>
      </c>
      <c r="P183" s="10" t="n">
        <v>113</v>
      </c>
      <c r="Q183" s="12" t="s">
        <v>36</v>
      </c>
      <c r="R183" s="12" t="s">
        <v>56</v>
      </c>
      <c r="S183" s="10" t="n">
        <v>4210299</v>
      </c>
      <c r="T183" s="12" t="s">
        <v>115</v>
      </c>
      <c r="U183" s="13" t="n">
        <v>474.78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117</v>
      </c>
      <c r="F184" s="10" t="n">
        <v>24</v>
      </c>
      <c r="G184" s="12" t="s">
        <v>77</v>
      </c>
      <c r="H184" s="10" t="n">
        <v>2110101</v>
      </c>
      <c r="I184" s="12" t="s">
        <v>33</v>
      </c>
      <c r="J184" s="10" t="n">
        <v>1167024</v>
      </c>
      <c r="L184" s="10" t="n">
        <v>517177</v>
      </c>
      <c r="M184" s="12" t="s">
        <v>83</v>
      </c>
      <c r="N184" s="12" t="s">
        <v>54</v>
      </c>
      <c r="P184" s="10" t="n">
        <v>113</v>
      </c>
      <c r="Q184" s="12" t="s">
        <v>36</v>
      </c>
      <c r="R184" s="12" t="s">
        <v>48</v>
      </c>
      <c r="S184" s="10" t="n">
        <v>1130101</v>
      </c>
      <c r="T184" s="12" t="s">
        <v>49</v>
      </c>
      <c r="U184" s="13" t="n">
        <v>823.77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123</v>
      </c>
      <c r="F185" s="10" t="n">
        <v>24</v>
      </c>
      <c r="G185" s="12" t="s">
        <v>77</v>
      </c>
      <c r="H185" s="10" t="n">
        <v>2110101</v>
      </c>
      <c r="I185" s="12" t="s">
        <v>33</v>
      </c>
      <c r="J185" s="10" t="n">
        <v>1167108</v>
      </c>
      <c r="L185" s="10" t="n">
        <v>27273</v>
      </c>
      <c r="M185" s="12" t="s">
        <v>74</v>
      </c>
      <c r="N185" s="12" t="s">
        <v>54</v>
      </c>
      <c r="P185" s="10" t="n">
        <v>113</v>
      </c>
      <c r="Q185" s="12" t="s">
        <v>36</v>
      </c>
      <c r="R185" s="12" t="s">
        <v>48</v>
      </c>
      <c r="S185" s="10" t="n">
        <v>1130101</v>
      </c>
      <c r="T185" s="12" t="s">
        <v>49</v>
      </c>
      <c r="U185" s="13" t="n">
        <v>84.11</v>
      </c>
      <c r="W185" s="13" t="n">
        <v>0</v>
      </c>
      <c r="X185" s="12" t="s">
        <v>174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94</v>
      </c>
      <c r="F186" s="10" t="n">
        <v>24</v>
      </c>
      <c r="G186" s="12" t="s">
        <v>77</v>
      </c>
      <c r="H186" s="10" t="n">
        <v>2110101</v>
      </c>
      <c r="I186" s="12" t="s">
        <v>33</v>
      </c>
      <c r="J186" s="10" t="n">
        <v>1170890</v>
      </c>
      <c r="L186" s="10" t="n">
        <v>1591453</v>
      </c>
      <c r="M186" s="12" t="s">
        <v>83</v>
      </c>
      <c r="N186" s="12" t="s">
        <v>54</v>
      </c>
      <c r="P186" s="10" t="n">
        <v>113</v>
      </c>
      <c r="Q186" s="12" t="s">
        <v>36</v>
      </c>
      <c r="R186" s="12" t="s">
        <v>48</v>
      </c>
      <c r="S186" s="10" t="n">
        <v>1130101</v>
      </c>
      <c r="T186" s="12" t="s">
        <v>49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309</v>
      </c>
      <c r="F187" s="10" t="n">
        <v>24</v>
      </c>
      <c r="G187" s="12" t="s">
        <v>77</v>
      </c>
      <c r="H187" s="10" t="n">
        <v>2110101</v>
      </c>
      <c r="I187" s="12" t="s">
        <v>33</v>
      </c>
      <c r="J187" s="10" t="n">
        <v>1176619</v>
      </c>
      <c r="L187" s="10" t="n">
        <v>436</v>
      </c>
      <c r="M187" s="12" t="s">
        <v>83</v>
      </c>
      <c r="N187" s="12" t="s">
        <v>54</v>
      </c>
      <c r="P187" s="10" t="n">
        <v>113</v>
      </c>
      <c r="Q187" s="12" t="s">
        <v>36</v>
      </c>
      <c r="R187" s="12" t="s">
        <v>48</v>
      </c>
      <c r="S187" s="10" t="n">
        <v>1130101</v>
      </c>
      <c r="T187" s="12" t="s">
        <v>49</v>
      </c>
      <c r="U187" s="13" t="n">
        <v>405</v>
      </c>
      <c r="W187" s="13" t="n">
        <v>0</v>
      </c>
      <c r="X187" s="12" t="s">
        <v>310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126</v>
      </c>
      <c r="F188" s="10" t="n">
        <v>24</v>
      </c>
      <c r="G188" s="12" t="s">
        <v>77</v>
      </c>
      <c r="H188" s="10" t="n">
        <v>2110101</v>
      </c>
      <c r="I188" s="12" t="s">
        <v>33</v>
      </c>
      <c r="J188" s="10" t="n">
        <v>1198404</v>
      </c>
      <c r="L188" s="10" t="n">
        <v>159821</v>
      </c>
      <c r="M188" s="12" t="s">
        <v>83</v>
      </c>
      <c r="N188" s="12" t="s">
        <v>35</v>
      </c>
      <c r="P188" s="10" t="n">
        <v>113</v>
      </c>
      <c r="Q188" s="12" t="s">
        <v>36</v>
      </c>
      <c r="R188" s="12" t="s">
        <v>48</v>
      </c>
      <c r="S188" s="10" t="n">
        <v>1130101</v>
      </c>
      <c r="T188" s="12" t="s">
        <v>49</v>
      </c>
      <c r="U188" s="13" t="n">
        <v>199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128</v>
      </c>
      <c r="F189" s="10" t="n">
        <v>24</v>
      </c>
      <c r="G189" s="12" t="s">
        <v>77</v>
      </c>
      <c r="H189" s="10" t="n">
        <v>2110101</v>
      </c>
      <c r="I189" s="12" t="s">
        <v>33</v>
      </c>
      <c r="J189" s="10" t="n">
        <v>1201529</v>
      </c>
      <c r="L189" s="10" t="n">
        <v>160202</v>
      </c>
      <c r="M189" s="12" t="s">
        <v>83</v>
      </c>
      <c r="N189" s="12" t="s">
        <v>35</v>
      </c>
      <c r="P189" s="10" t="n">
        <v>113</v>
      </c>
      <c r="Q189" s="12" t="s">
        <v>36</v>
      </c>
      <c r="R189" s="12" t="s">
        <v>48</v>
      </c>
      <c r="S189" s="10" t="n">
        <v>1130101</v>
      </c>
      <c r="T189" s="12" t="s">
        <v>49</v>
      </c>
      <c r="U189" s="13" t="n">
        <v>1600.8</v>
      </c>
      <c r="W189" s="13" t="n">
        <v>0</v>
      </c>
      <c r="X189" s="12" t="s">
        <v>312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128</v>
      </c>
      <c r="F190" s="10" t="n">
        <v>24</v>
      </c>
      <c r="G190" s="12" t="s">
        <v>77</v>
      </c>
      <c r="H190" s="10" t="n">
        <v>2110101</v>
      </c>
      <c r="I190" s="12" t="s">
        <v>33</v>
      </c>
      <c r="J190" s="10" t="n">
        <v>1207507</v>
      </c>
      <c r="L190" s="10" t="n">
        <v>160865</v>
      </c>
      <c r="M190" s="12" t="s">
        <v>83</v>
      </c>
      <c r="N190" s="12" t="s">
        <v>35</v>
      </c>
      <c r="P190" s="10" t="n">
        <v>113</v>
      </c>
      <c r="Q190" s="12" t="s">
        <v>36</v>
      </c>
      <c r="R190" s="12" t="s">
        <v>48</v>
      </c>
      <c r="S190" s="10" t="n">
        <v>1130101</v>
      </c>
      <c r="T190" s="12" t="s">
        <v>49</v>
      </c>
      <c r="U190" s="13" t="n">
        <v>290</v>
      </c>
      <c r="W190" s="13" t="n">
        <v>0</v>
      </c>
      <c r="X190" s="12" t="s">
        <v>313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314</v>
      </c>
      <c r="F191" s="10" t="n">
        <v>24</v>
      </c>
      <c r="G191" s="12" t="s">
        <v>77</v>
      </c>
      <c r="H191" s="10" t="n">
        <v>2110405</v>
      </c>
      <c r="I191" s="12" t="s">
        <v>41</v>
      </c>
      <c r="J191" s="10" t="n">
        <v>1212006</v>
      </c>
      <c r="L191" s="10" t="n">
        <v>161452</v>
      </c>
      <c r="M191" s="12" t="s">
        <v>83</v>
      </c>
      <c r="N191" s="12" t="s">
        <v>35</v>
      </c>
      <c r="P191" s="10" t="n">
        <v>101</v>
      </c>
      <c r="Q191" s="12" t="s">
        <v>42</v>
      </c>
      <c r="R191" s="12" t="s">
        <v>100</v>
      </c>
      <c r="S191" s="10" t="n">
        <v>4210315</v>
      </c>
      <c r="T191" s="12" t="s">
        <v>257</v>
      </c>
      <c r="U191" s="13" t="n">
        <v>160</v>
      </c>
      <c r="W191" s="13" t="n">
        <v>0</v>
      </c>
      <c r="X191" s="12" t="s">
        <v>315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191</v>
      </c>
      <c r="F192" s="10" t="n">
        <v>24</v>
      </c>
      <c r="G192" s="12" t="s">
        <v>77</v>
      </c>
      <c r="H192" s="10" t="n">
        <v>2110405</v>
      </c>
      <c r="I192" s="12" t="s">
        <v>41</v>
      </c>
      <c r="J192" s="10" t="n">
        <v>1223195</v>
      </c>
      <c r="L192" s="10" t="n">
        <v>162681</v>
      </c>
      <c r="M192" s="12" t="s">
        <v>83</v>
      </c>
      <c r="N192" s="12" t="s">
        <v>35</v>
      </c>
      <c r="P192" s="10" t="n">
        <v>101</v>
      </c>
      <c r="Q192" s="12" t="s">
        <v>42</v>
      </c>
      <c r="R192" s="12" t="s">
        <v>56</v>
      </c>
      <c r="S192" s="10" t="n">
        <v>4210207</v>
      </c>
      <c r="T192" s="12" t="s">
        <v>192</v>
      </c>
      <c r="U192" s="13" t="n">
        <v>620.88</v>
      </c>
      <c r="W192" s="13" t="n">
        <v>0</v>
      </c>
      <c r="X192" s="12" t="s">
        <v>260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185</v>
      </c>
      <c r="F193" s="10" t="n">
        <v>46</v>
      </c>
      <c r="G193" s="12" t="s">
        <v>285</v>
      </c>
      <c r="H193" s="10" t="n">
        <v>2110405</v>
      </c>
      <c r="I193" s="12" t="s">
        <v>41</v>
      </c>
      <c r="J193" s="10" t="n">
        <v>1230712</v>
      </c>
      <c r="L193" s="10" t="n">
        <v>163750</v>
      </c>
      <c r="M193" s="12" t="s">
        <v>83</v>
      </c>
      <c r="N193" s="12" t="s">
        <v>35</v>
      </c>
      <c r="P193" s="10" t="n">
        <v>101</v>
      </c>
      <c r="Q193" s="12" t="s">
        <v>42</v>
      </c>
      <c r="R193" s="12" t="s">
        <v>56</v>
      </c>
      <c r="S193" s="10" t="n">
        <v>4210232</v>
      </c>
      <c r="T193" s="12" t="s">
        <v>286</v>
      </c>
      <c r="U193" s="13" t="n">
        <v>415.26</v>
      </c>
      <c r="W193" s="13" t="n">
        <v>0</v>
      </c>
      <c r="X193" s="12" t="s">
        <v>316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290</v>
      </c>
      <c r="F194" s="10" t="n">
        <v>46</v>
      </c>
      <c r="G194" s="12" t="s">
        <v>285</v>
      </c>
      <c r="H194" s="10" t="n">
        <v>2110101</v>
      </c>
      <c r="I194" s="12" t="s">
        <v>33</v>
      </c>
      <c r="J194" s="10" t="n">
        <v>1230732</v>
      </c>
      <c r="L194" s="10" t="n">
        <v>1399</v>
      </c>
      <c r="M194" s="12" t="s">
        <v>83</v>
      </c>
      <c r="N194" s="12" t="s">
        <v>317</v>
      </c>
      <c r="P194" s="10" t="n">
        <v>101</v>
      </c>
      <c r="Q194" s="12" t="s">
        <v>42</v>
      </c>
      <c r="R194" s="12" t="s">
        <v>318</v>
      </c>
      <c r="S194" s="10" t="n">
        <v>2110101</v>
      </c>
      <c r="T194" s="12" t="s">
        <v>33</v>
      </c>
      <c r="U194" s="13" t="n">
        <v>226.67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320</v>
      </c>
      <c r="F195" s="10" t="n">
        <v>13</v>
      </c>
      <c r="G195" s="12" t="s">
        <v>133</v>
      </c>
      <c r="H195" s="10" t="n">
        <v>2110101</v>
      </c>
      <c r="I195" s="12" t="s">
        <v>33</v>
      </c>
      <c r="J195" s="10" t="n">
        <v>1231225</v>
      </c>
      <c r="L195" s="10" t="n">
        <v>502</v>
      </c>
      <c r="M195" s="12" t="s">
        <v>83</v>
      </c>
      <c r="N195" s="12" t="s">
        <v>54</v>
      </c>
      <c r="P195" s="10" t="n">
        <v>113</v>
      </c>
      <c r="Q195" s="12" t="s">
        <v>36</v>
      </c>
      <c r="R195" s="12" t="s">
        <v>48</v>
      </c>
      <c r="S195" s="10" t="n">
        <v>1130101</v>
      </c>
      <c r="T195" s="12" t="s">
        <v>49</v>
      </c>
      <c r="U195" s="13" t="n">
        <v>160.32</v>
      </c>
      <c r="W195" s="13" t="n">
        <v>160.32</v>
      </c>
      <c r="X195" s="12" t="s">
        <v>321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132</v>
      </c>
      <c r="F196" s="10" t="n">
        <v>13</v>
      </c>
      <c r="G196" s="12" t="s">
        <v>133</v>
      </c>
      <c r="H196" s="10" t="n">
        <v>2110101</v>
      </c>
      <c r="I196" s="12" t="s">
        <v>33</v>
      </c>
      <c r="J196" s="10" t="n">
        <v>1231753</v>
      </c>
      <c r="L196" s="10" t="n">
        <v>2493</v>
      </c>
      <c r="M196" s="12" t="s">
        <v>83</v>
      </c>
      <c r="N196" s="12" t="s">
        <v>54</v>
      </c>
      <c r="P196" s="10" t="n">
        <v>113</v>
      </c>
      <c r="Q196" s="12" t="s">
        <v>36</v>
      </c>
      <c r="R196" s="12" t="s">
        <v>48</v>
      </c>
      <c r="S196" s="10" t="n">
        <v>1130101</v>
      </c>
      <c r="T196" s="12" t="s">
        <v>49</v>
      </c>
      <c r="U196" s="13" t="n">
        <v>195</v>
      </c>
      <c r="W196" s="13" t="n">
        <v>195</v>
      </c>
      <c r="X196" s="12" t="s">
        <v>322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141</v>
      </c>
      <c r="F197" s="10" t="n">
        <v>13</v>
      </c>
      <c r="G197" s="12" t="s">
        <v>133</v>
      </c>
      <c r="H197" s="10" t="n">
        <v>2110101</v>
      </c>
      <c r="I197" s="12" t="s">
        <v>33</v>
      </c>
      <c r="J197" s="10" t="n">
        <v>1232441</v>
      </c>
      <c r="L197" s="10" t="n">
        <v>5967</v>
      </c>
      <c r="M197" s="12" t="s">
        <v>83</v>
      </c>
      <c r="N197" s="12" t="s">
        <v>54</v>
      </c>
      <c r="P197" s="10" t="n">
        <v>113</v>
      </c>
      <c r="Q197" s="12" t="s">
        <v>36</v>
      </c>
      <c r="R197" s="12" t="s">
        <v>48</v>
      </c>
      <c r="S197" s="10" t="n">
        <v>1130101</v>
      </c>
      <c r="T197" s="12" t="s">
        <v>49</v>
      </c>
      <c r="U197" s="13" t="n">
        <v>200</v>
      </c>
      <c r="W197" s="13" t="n">
        <v>200</v>
      </c>
      <c r="X197" s="12" t="s">
        <v>323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156</v>
      </c>
      <c r="F198" s="10" t="n">
        <v>24</v>
      </c>
      <c r="G198" s="12" t="s">
        <v>77</v>
      </c>
      <c r="H198" s="10" t="n">
        <v>2110101</v>
      </c>
      <c r="I198" s="12" t="s">
        <v>33</v>
      </c>
      <c r="J198" s="10" t="n">
        <v>1121537</v>
      </c>
      <c r="L198" s="10" t="n">
        <v>148581</v>
      </c>
      <c r="M198" s="12" t="s">
        <v>83</v>
      </c>
      <c r="N198" s="12" t="s">
        <v>35</v>
      </c>
      <c r="P198" s="10" t="n">
        <v>113</v>
      </c>
      <c r="Q198" s="12" t="s">
        <v>36</v>
      </c>
      <c r="R198" s="12" t="s">
        <v>48</v>
      </c>
      <c r="S198" s="10" t="n">
        <v>1130101</v>
      </c>
      <c r="T198" s="12" t="s">
        <v>49</v>
      </c>
      <c r="U198" s="13" t="n">
        <v>3345.97</v>
      </c>
      <c r="W198" s="13" t="n">
        <v>0</v>
      </c>
      <c r="X198" s="12" t="s">
        <v>178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175</v>
      </c>
      <c r="F199" s="10" t="n">
        <v>24</v>
      </c>
      <c r="G199" s="12" t="s">
        <v>77</v>
      </c>
      <c r="H199" s="10" t="n">
        <v>2110101</v>
      </c>
      <c r="I199" s="12" t="s">
        <v>33</v>
      </c>
      <c r="J199" s="10" t="n">
        <v>1136600</v>
      </c>
      <c r="L199" s="10" t="n">
        <v>836835</v>
      </c>
      <c r="M199" s="12" t="s">
        <v>74</v>
      </c>
      <c r="N199" s="12" t="s">
        <v>54</v>
      </c>
      <c r="P199" s="10" t="n">
        <v>113</v>
      </c>
      <c r="Q199" s="12" t="s">
        <v>36</v>
      </c>
      <c r="R199" s="12" t="s">
        <v>48</v>
      </c>
      <c r="S199" s="10" t="n">
        <v>1130101</v>
      </c>
      <c r="T199" s="12" t="s">
        <v>49</v>
      </c>
      <c r="U199" s="13" t="n">
        <v>560.42</v>
      </c>
      <c r="W199" s="13" t="n">
        <v>0</v>
      </c>
      <c r="X199" s="12" t="s">
        <v>184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160</v>
      </c>
      <c r="F200" s="10" t="n">
        <v>24</v>
      </c>
      <c r="G200" s="12" t="s">
        <v>77</v>
      </c>
      <c r="H200" s="10" t="n">
        <v>2110101</v>
      </c>
      <c r="I200" s="12" t="s">
        <v>33</v>
      </c>
      <c r="J200" s="10" t="n">
        <v>1160814</v>
      </c>
      <c r="L200" s="10" t="n">
        <v>1953907</v>
      </c>
      <c r="M200" s="12" t="s">
        <v>83</v>
      </c>
      <c r="N200" s="12" t="s">
        <v>54</v>
      </c>
      <c r="P200" s="10" t="n">
        <v>113</v>
      </c>
      <c r="Q200" s="12" t="s">
        <v>36</v>
      </c>
      <c r="R200" s="12" t="s">
        <v>48</v>
      </c>
      <c r="S200" s="10" t="n">
        <v>1130101</v>
      </c>
      <c r="T200" s="12" t="s">
        <v>49</v>
      </c>
      <c r="U200" s="13" t="n">
        <v>409.2</v>
      </c>
      <c r="W200" s="13" t="n">
        <v>0</v>
      </c>
      <c r="X200" s="12" t="s">
        <v>324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119</v>
      </c>
      <c r="F201" s="10" t="n">
        <v>24</v>
      </c>
      <c r="G201" s="12" t="s">
        <v>77</v>
      </c>
      <c r="H201" s="10" t="n">
        <v>2110101</v>
      </c>
      <c r="I201" s="12" t="s">
        <v>33</v>
      </c>
      <c r="J201" s="10" t="n">
        <v>1161307</v>
      </c>
      <c r="L201" s="10" t="n">
        <v>1138131</v>
      </c>
      <c r="M201" s="12" t="s">
        <v>83</v>
      </c>
      <c r="N201" s="12" t="s">
        <v>54</v>
      </c>
      <c r="P201" s="10" t="n">
        <v>113</v>
      </c>
      <c r="Q201" s="12" t="s">
        <v>36</v>
      </c>
      <c r="R201" s="12" t="s">
        <v>48</v>
      </c>
      <c r="S201" s="10" t="n">
        <v>1130101</v>
      </c>
      <c r="T201" s="12" t="s">
        <v>49</v>
      </c>
      <c r="U201" s="13" t="n">
        <v>472.41</v>
      </c>
      <c r="W201" s="13" t="n">
        <v>0</v>
      </c>
      <c r="X201" s="12" t="s">
        <v>325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119</v>
      </c>
      <c r="F202" s="10" t="n">
        <v>24</v>
      </c>
      <c r="G202" s="12" t="s">
        <v>77</v>
      </c>
      <c r="H202" s="10" t="n">
        <v>2110101</v>
      </c>
      <c r="I202" s="12" t="s">
        <v>33</v>
      </c>
      <c r="J202" s="10" t="n">
        <v>1161379</v>
      </c>
      <c r="L202" s="10" t="n">
        <v>154122</v>
      </c>
      <c r="M202" s="12" t="s">
        <v>83</v>
      </c>
      <c r="N202" s="12" t="s">
        <v>35</v>
      </c>
      <c r="P202" s="10" t="n">
        <v>113</v>
      </c>
      <c r="Q202" s="12" t="s">
        <v>36</v>
      </c>
      <c r="R202" s="12" t="s">
        <v>48</v>
      </c>
      <c r="S202" s="10" t="n">
        <v>1130101</v>
      </c>
      <c r="T202" s="12" t="s">
        <v>49</v>
      </c>
      <c r="U202" s="13" t="n">
        <v>205.37</v>
      </c>
      <c r="W202" s="13" t="n">
        <v>0</v>
      </c>
      <c r="X202" s="12" t="s">
        <v>326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119</v>
      </c>
      <c r="F203" s="10" t="n">
        <v>24</v>
      </c>
      <c r="G203" s="12" t="s">
        <v>77</v>
      </c>
      <c r="H203" s="10" t="n">
        <v>2110101</v>
      </c>
      <c r="I203" s="12" t="s">
        <v>33</v>
      </c>
      <c r="J203" s="10" t="n">
        <v>1161585</v>
      </c>
      <c r="L203" s="10" t="n">
        <v>1851161</v>
      </c>
      <c r="M203" s="12" t="s">
        <v>83</v>
      </c>
      <c r="N203" s="12" t="s">
        <v>54</v>
      </c>
      <c r="P203" s="10" t="n">
        <v>113</v>
      </c>
      <c r="Q203" s="12" t="s">
        <v>36</v>
      </c>
      <c r="R203" s="12" t="s">
        <v>48</v>
      </c>
      <c r="S203" s="10" t="n">
        <v>1130101</v>
      </c>
      <c r="T203" s="12" t="s">
        <v>49</v>
      </c>
      <c r="U203" s="13" t="n">
        <v>2614.74</v>
      </c>
      <c r="W203" s="13" t="n">
        <v>0</v>
      </c>
      <c r="X203" s="12" t="s">
        <v>327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208</v>
      </c>
      <c r="F204" s="10" t="n">
        <v>24</v>
      </c>
      <c r="G204" s="12" t="s">
        <v>77</v>
      </c>
      <c r="H204" s="10" t="n">
        <v>2110101</v>
      </c>
      <c r="I204" s="12" t="s">
        <v>33</v>
      </c>
      <c r="J204" s="10" t="n">
        <v>1166006</v>
      </c>
      <c r="L204" s="10" t="n">
        <v>302504</v>
      </c>
      <c r="M204" s="12" t="s">
        <v>74</v>
      </c>
      <c r="N204" s="12" t="s">
        <v>54</v>
      </c>
      <c r="P204" s="10" t="n">
        <v>113</v>
      </c>
      <c r="Q204" s="12" t="s">
        <v>36</v>
      </c>
      <c r="R204" s="12" t="s">
        <v>48</v>
      </c>
      <c r="S204" s="10" t="n">
        <v>1130101</v>
      </c>
      <c r="T204" s="12" t="s">
        <v>49</v>
      </c>
      <c r="U204" s="13" t="n">
        <v>290</v>
      </c>
      <c r="W204" s="13" t="n">
        <v>0</v>
      </c>
      <c r="X204" s="12" t="s">
        <v>209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76</v>
      </c>
      <c r="F205" s="10" t="n">
        <v>24</v>
      </c>
      <c r="G205" s="12" t="s">
        <v>77</v>
      </c>
      <c r="H205" s="10" t="n">
        <v>2110101</v>
      </c>
      <c r="I205" s="12" t="s">
        <v>33</v>
      </c>
      <c r="J205" s="10" t="n">
        <v>1172063</v>
      </c>
      <c r="L205" s="10" t="n">
        <v>2285997</v>
      </c>
      <c r="M205" s="12" t="s">
        <v>74</v>
      </c>
      <c r="N205" s="12" t="s">
        <v>54</v>
      </c>
      <c r="P205" s="10" t="n">
        <v>113</v>
      </c>
      <c r="Q205" s="12" t="s">
        <v>36</v>
      </c>
      <c r="R205" s="12" t="s">
        <v>48</v>
      </c>
      <c r="S205" s="10" t="n">
        <v>1130101</v>
      </c>
      <c r="T205" s="12" t="s">
        <v>49</v>
      </c>
      <c r="U205" s="13" t="n">
        <v>506.55</v>
      </c>
      <c r="W205" s="13" t="n">
        <v>0</v>
      </c>
      <c r="X205" s="12" t="s">
        <v>190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92</v>
      </c>
      <c r="F206" s="10" t="n">
        <v>24</v>
      </c>
      <c r="G206" s="12" t="s">
        <v>77</v>
      </c>
      <c r="H206" s="10" t="n">
        <v>2110101</v>
      </c>
      <c r="I206" s="12" t="s">
        <v>33</v>
      </c>
      <c r="J206" s="10" t="n">
        <v>1208198</v>
      </c>
      <c r="L206" s="10" t="n">
        <v>3659</v>
      </c>
      <c r="M206" s="12" t="s">
        <v>83</v>
      </c>
      <c r="N206" s="12" t="s">
        <v>54</v>
      </c>
      <c r="P206" s="10" t="n">
        <v>113</v>
      </c>
      <c r="Q206" s="12" t="s">
        <v>36</v>
      </c>
      <c r="R206" s="12" t="s">
        <v>48</v>
      </c>
      <c r="S206" s="10" t="n">
        <v>1130101</v>
      </c>
      <c r="T206" s="12" t="s">
        <v>49</v>
      </c>
      <c r="U206" s="13" t="n">
        <v>126.04</v>
      </c>
      <c r="W206" s="13" t="n">
        <v>0</v>
      </c>
      <c r="X206" s="12" t="s">
        <v>328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194</v>
      </c>
      <c r="F207" s="10" t="n">
        <v>24</v>
      </c>
      <c r="G207" s="12" t="s">
        <v>77</v>
      </c>
      <c r="H207" s="10" t="n">
        <v>2110101</v>
      </c>
      <c r="I207" s="12" t="s">
        <v>33</v>
      </c>
      <c r="J207" s="10" t="n">
        <v>1208221</v>
      </c>
      <c r="L207" s="10" t="n">
        <v>654</v>
      </c>
      <c r="M207" s="12" t="s">
        <v>83</v>
      </c>
      <c r="N207" s="12" t="s">
        <v>54</v>
      </c>
      <c r="P207" s="10" t="n">
        <v>113</v>
      </c>
      <c r="Q207" s="12" t="s">
        <v>36</v>
      </c>
      <c r="R207" s="12" t="s">
        <v>48</v>
      </c>
      <c r="S207" s="10" t="n">
        <v>1130101</v>
      </c>
      <c r="T207" s="12" t="s">
        <v>49</v>
      </c>
      <c r="U207" s="13" t="n">
        <v>282.25</v>
      </c>
      <c r="W207" s="13" t="n">
        <v>0</v>
      </c>
      <c r="X207" s="12" t="s">
        <v>329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201</v>
      </c>
      <c r="F208" s="10" t="n">
        <v>24</v>
      </c>
      <c r="G208" s="12" t="s">
        <v>77</v>
      </c>
      <c r="H208" s="10" t="n">
        <v>2110101</v>
      </c>
      <c r="I208" s="12" t="s">
        <v>33</v>
      </c>
      <c r="J208" s="10" t="n">
        <v>1132874</v>
      </c>
      <c r="L208" s="10" t="n">
        <v>1659288</v>
      </c>
      <c r="M208" s="12" t="s">
        <v>83</v>
      </c>
      <c r="N208" s="12" t="s">
        <v>54</v>
      </c>
      <c r="P208" s="10" t="n">
        <v>113</v>
      </c>
      <c r="Q208" s="12" t="s">
        <v>36</v>
      </c>
      <c r="R208" s="12" t="s">
        <v>48</v>
      </c>
      <c r="S208" s="10" t="n">
        <v>1130101</v>
      </c>
      <c r="T208" s="12" t="s">
        <v>49</v>
      </c>
      <c r="U208" s="13" t="n">
        <v>956.2</v>
      </c>
      <c r="W208" s="13" t="n">
        <v>0</v>
      </c>
      <c r="X208" s="12" t="s">
        <v>330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201</v>
      </c>
      <c r="F209" s="10" t="n">
        <v>24</v>
      </c>
      <c r="G209" s="12" t="s">
        <v>77</v>
      </c>
      <c r="H209" s="10" t="n">
        <v>2110101</v>
      </c>
      <c r="I209" s="12" t="s">
        <v>33</v>
      </c>
      <c r="J209" s="10" t="n">
        <v>1133064</v>
      </c>
      <c r="L209" s="10" t="n">
        <v>1659289</v>
      </c>
      <c r="M209" s="12" t="s">
        <v>83</v>
      </c>
      <c r="N209" s="12" t="s">
        <v>54</v>
      </c>
      <c r="P209" s="10" t="n">
        <v>113</v>
      </c>
      <c r="Q209" s="12" t="s">
        <v>36</v>
      </c>
      <c r="R209" s="12" t="s">
        <v>48</v>
      </c>
      <c r="S209" s="10" t="n">
        <v>1130101</v>
      </c>
      <c r="T209" s="12" t="s">
        <v>49</v>
      </c>
      <c r="U209" s="13" t="n">
        <v>643.51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201</v>
      </c>
      <c r="F210" s="10" t="n">
        <v>24</v>
      </c>
      <c r="G210" s="12" t="s">
        <v>77</v>
      </c>
      <c r="H210" s="10" t="n">
        <v>2110101</v>
      </c>
      <c r="I210" s="12" t="s">
        <v>33</v>
      </c>
      <c r="J210" s="10" t="n">
        <v>1136027</v>
      </c>
      <c r="L210" s="10" t="n">
        <v>1659538</v>
      </c>
      <c r="M210" s="12" t="s">
        <v>74</v>
      </c>
      <c r="N210" s="12" t="s">
        <v>54</v>
      </c>
      <c r="P210" s="10" t="n">
        <v>113</v>
      </c>
      <c r="Q210" s="12" t="s">
        <v>36</v>
      </c>
      <c r="R210" s="12" t="s">
        <v>48</v>
      </c>
      <c r="S210" s="10" t="n">
        <v>1130101</v>
      </c>
      <c r="T210" s="12" t="s">
        <v>49</v>
      </c>
      <c r="U210" s="13" t="n">
        <v>1041.87</v>
      </c>
      <c r="W210" s="13" t="n">
        <v>0</v>
      </c>
      <c r="X210" s="12" t="s">
        <v>202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199</v>
      </c>
      <c r="F211" s="10" t="n">
        <v>24</v>
      </c>
      <c r="G211" s="12" t="s">
        <v>77</v>
      </c>
      <c r="H211" s="10" t="n">
        <v>2110101</v>
      </c>
      <c r="I211" s="12" t="s">
        <v>33</v>
      </c>
      <c r="J211" s="10" t="n">
        <v>1136374</v>
      </c>
      <c r="L211" s="10" t="n">
        <v>668750</v>
      </c>
      <c r="M211" s="12" t="s">
        <v>74</v>
      </c>
      <c r="N211" s="12" t="s">
        <v>54</v>
      </c>
      <c r="P211" s="10" t="n">
        <v>113</v>
      </c>
      <c r="Q211" s="12" t="s">
        <v>36</v>
      </c>
      <c r="R211" s="12" t="s">
        <v>48</v>
      </c>
      <c r="S211" s="10" t="n">
        <v>1130101</v>
      </c>
      <c r="T211" s="12" t="s">
        <v>49</v>
      </c>
      <c r="U211" s="13" t="n">
        <v>352.35</v>
      </c>
      <c r="W211" s="13" t="n">
        <v>0</v>
      </c>
      <c r="X211" s="12" t="s">
        <v>203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204</v>
      </c>
      <c r="F212" s="10" t="n">
        <v>24</v>
      </c>
      <c r="G212" s="12" t="s">
        <v>77</v>
      </c>
      <c r="H212" s="10" t="n">
        <v>2110101</v>
      </c>
      <c r="I212" s="12" t="s">
        <v>33</v>
      </c>
      <c r="J212" s="10" t="n">
        <v>1137727</v>
      </c>
      <c r="L212" s="10" t="n">
        <v>407270</v>
      </c>
      <c r="M212" s="12" t="s">
        <v>74</v>
      </c>
      <c r="N212" s="12" t="s">
        <v>54</v>
      </c>
      <c r="P212" s="10" t="n">
        <v>113</v>
      </c>
      <c r="Q212" s="12" t="s">
        <v>36</v>
      </c>
      <c r="R212" s="12" t="s">
        <v>48</v>
      </c>
      <c r="S212" s="10" t="n">
        <v>1130101</v>
      </c>
      <c r="T212" s="12" t="s">
        <v>49</v>
      </c>
      <c r="U212" s="13" t="n">
        <v>639.85</v>
      </c>
      <c r="W212" s="13" t="n">
        <v>0</v>
      </c>
      <c r="X212" s="12" t="s">
        <v>205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206</v>
      </c>
      <c r="F213" s="10" t="n">
        <v>24</v>
      </c>
      <c r="G213" s="12" t="s">
        <v>77</v>
      </c>
      <c r="H213" s="10" t="n">
        <v>2110101</v>
      </c>
      <c r="I213" s="12" t="s">
        <v>33</v>
      </c>
      <c r="J213" s="10" t="n">
        <v>1141070</v>
      </c>
      <c r="L213" s="10" t="n">
        <v>151471</v>
      </c>
      <c r="M213" s="12" t="s">
        <v>83</v>
      </c>
      <c r="N213" s="12" t="s">
        <v>35</v>
      </c>
      <c r="P213" s="10" t="n">
        <v>113</v>
      </c>
      <c r="Q213" s="12" t="s">
        <v>36</v>
      </c>
      <c r="R213" s="12" t="s">
        <v>48</v>
      </c>
      <c r="S213" s="10" t="n">
        <v>1130101</v>
      </c>
      <c r="T213" s="12" t="s">
        <v>49</v>
      </c>
      <c r="U213" s="13" t="n">
        <v>3787.04</v>
      </c>
      <c r="W213" s="13" t="n">
        <v>0</v>
      </c>
      <c r="X213" s="12" t="s">
        <v>207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332</v>
      </c>
      <c r="F214" s="10" t="n">
        <v>24</v>
      </c>
      <c r="G214" s="12" t="s">
        <v>77</v>
      </c>
      <c r="H214" s="10" t="n">
        <v>2110101</v>
      </c>
      <c r="I214" s="12" t="s">
        <v>33</v>
      </c>
      <c r="J214" s="10" t="n">
        <v>1197015</v>
      </c>
      <c r="L214" s="10" t="n">
        <v>170938</v>
      </c>
      <c r="M214" s="12" t="s">
        <v>83</v>
      </c>
      <c r="N214" s="12" t="s">
        <v>54</v>
      </c>
      <c r="P214" s="10" t="n">
        <v>113</v>
      </c>
      <c r="Q214" s="12" t="s">
        <v>36</v>
      </c>
      <c r="R214" s="12" t="s">
        <v>48</v>
      </c>
      <c r="S214" s="10" t="n">
        <v>1130101</v>
      </c>
      <c r="T214" s="12" t="s">
        <v>49</v>
      </c>
      <c r="U214" s="13" t="n">
        <v>2264.85</v>
      </c>
      <c r="W214" s="13" t="n">
        <v>0</v>
      </c>
      <c r="X214" s="12" t="s">
        <v>333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82</v>
      </c>
      <c r="F215" s="10" t="n">
        <v>24</v>
      </c>
      <c r="G215" s="12" t="s">
        <v>77</v>
      </c>
      <c r="H215" s="10" t="n">
        <v>2110101</v>
      </c>
      <c r="I215" s="12" t="s">
        <v>33</v>
      </c>
      <c r="J215" s="10" t="n">
        <v>1206560</v>
      </c>
      <c r="L215" s="10" t="n">
        <v>160678</v>
      </c>
      <c r="M215" s="12" t="s">
        <v>83</v>
      </c>
      <c r="N215" s="12" t="s">
        <v>35</v>
      </c>
      <c r="P215" s="10" t="n">
        <v>113</v>
      </c>
      <c r="Q215" s="12" t="s">
        <v>36</v>
      </c>
      <c r="R215" s="12" t="s">
        <v>48</v>
      </c>
      <c r="S215" s="10" t="n">
        <v>1130101</v>
      </c>
      <c r="T215" s="12" t="s">
        <v>49</v>
      </c>
      <c r="U215" s="13" t="n">
        <v>392.25</v>
      </c>
      <c r="W215" s="13" t="n">
        <v>0</v>
      </c>
      <c r="X215" s="12" t="s">
        <v>334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171</v>
      </c>
      <c r="F216" s="10" t="n">
        <v>24</v>
      </c>
      <c r="G216" s="12" t="s">
        <v>77</v>
      </c>
      <c r="H216" s="10" t="n">
        <v>2110101</v>
      </c>
      <c r="I216" s="12" t="s">
        <v>33</v>
      </c>
      <c r="J216" s="10" t="n">
        <v>1208207</v>
      </c>
      <c r="L216" s="10" t="n">
        <v>3322</v>
      </c>
      <c r="M216" s="12" t="s">
        <v>83</v>
      </c>
      <c r="N216" s="12" t="s">
        <v>54</v>
      </c>
      <c r="P216" s="10" t="n">
        <v>113</v>
      </c>
      <c r="Q216" s="12" t="s">
        <v>36</v>
      </c>
      <c r="R216" s="12" t="s">
        <v>48</v>
      </c>
      <c r="S216" s="10" t="n">
        <v>1130101</v>
      </c>
      <c r="T216" s="12" t="s">
        <v>49</v>
      </c>
      <c r="U216" s="13" t="n">
        <v>161</v>
      </c>
      <c r="W216" s="13" t="n">
        <v>0</v>
      </c>
      <c r="X216" s="12" t="s">
        <v>335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130</v>
      </c>
      <c r="F217" s="10" t="n">
        <v>24</v>
      </c>
      <c r="G217" s="12" t="s">
        <v>77</v>
      </c>
      <c r="H217" s="10" t="n">
        <v>2110101</v>
      </c>
      <c r="I217" s="12" t="s">
        <v>33</v>
      </c>
      <c r="J217" s="10" t="n">
        <v>1221458</v>
      </c>
      <c r="L217" s="10" t="n">
        <v>487</v>
      </c>
      <c r="M217" s="12" t="s">
        <v>83</v>
      </c>
      <c r="N217" s="12" t="s">
        <v>54</v>
      </c>
      <c r="P217" s="10" t="n">
        <v>113</v>
      </c>
      <c r="Q217" s="12" t="s">
        <v>36</v>
      </c>
      <c r="R217" s="12" t="s">
        <v>48</v>
      </c>
      <c r="S217" s="10" t="n">
        <v>1130101</v>
      </c>
      <c r="T217" s="12" t="s">
        <v>49</v>
      </c>
      <c r="U217" s="13" t="n">
        <v>180</v>
      </c>
      <c r="W217" s="13" t="n">
        <v>0</v>
      </c>
      <c r="X217" s="12" t="s">
        <v>336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128</v>
      </c>
      <c r="F218" s="10" t="n">
        <v>24</v>
      </c>
      <c r="G218" s="12" t="s">
        <v>77</v>
      </c>
      <c r="H218" s="10" t="n">
        <v>2110101</v>
      </c>
      <c r="I218" s="12" t="s">
        <v>33</v>
      </c>
      <c r="J218" s="10" t="n">
        <v>1221751</v>
      </c>
      <c r="L218" s="10" t="n">
        <v>30915</v>
      </c>
      <c r="M218" s="12" t="s">
        <v>83</v>
      </c>
      <c r="N218" s="12" t="s">
        <v>54</v>
      </c>
      <c r="P218" s="10" t="n">
        <v>113</v>
      </c>
      <c r="Q218" s="12" t="s">
        <v>36</v>
      </c>
      <c r="R218" s="12" t="s">
        <v>48</v>
      </c>
      <c r="S218" s="10" t="n">
        <v>1130101</v>
      </c>
      <c r="T218" s="12" t="s">
        <v>49</v>
      </c>
      <c r="U218" s="13" t="n">
        <v>3840</v>
      </c>
      <c r="W218" s="13" t="n">
        <v>0</v>
      </c>
      <c r="X218" s="12" t="s">
        <v>337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130</v>
      </c>
      <c r="F219" s="10" t="n">
        <v>24</v>
      </c>
      <c r="G219" s="12" t="s">
        <v>77</v>
      </c>
      <c r="H219" s="10" t="n">
        <v>2110101</v>
      </c>
      <c r="I219" s="12" t="s">
        <v>33</v>
      </c>
      <c r="J219" s="10" t="n">
        <v>1227245</v>
      </c>
      <c r="L219" s="10" t="n">
        <v>493</v>
      </c>
      <c r="M219" s="12" t="s">
        <v>83</v>
      </c>
      <c r="N219" s="12" t="s">
        <v>54</v>
      </c>
      <c r="P219" s="10" t="n">
        <v>113</v>
      </c>
      <c r="Q219" s="12" t="s">
        <v>36</v>
      </c>
      <c r="R219" s="12" t="s">
        <v>48</v>
      </c>
      <c r="S219" s="10" t="n">
        <v>1130101</v>
      </c>
      <c r="T219" s="12" t="s">
        <v>49</v>
      </c>
      <c r="U219" s="13" t="n">
        <v>180</v>
      </c>
      <c r="W219" s="13" t="n">
        <v>0</v>
      </c>
      <c r="X219" s="12" t="s">
        <v>338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96</v>
      </c>
      <c r="F220" s="10" t="n">
        <v>34</v>
      </c>
      <c r="G220" s="12" t="s">
        <v>97</v>
      </c>
      <c r="H220" s="10" t="n">
        <v>2110101</v>
      </c>
      <c r="I220" s="12" t="s">
        <v>33</v>
      </c>
      <c r="J220" s="10" t="n">
        <v>1231085</v>
      </c>
      <c r="L220" s="10" t="n">
        <v>297</v>
      </c>
      <c r="M220" s="12" t="s">
        <v>83</v>
      </c>
      <c r="N220" s="12" t="s">
        <v>54</v>
      </c>
      <c r="P220" s="10" t="n">
        <v>113</v>
      </c>
      <c r="Q220" s="12" t="s">
        <v>36</v>
      </c>
      <c r="R220" s="12" t="s">
        <v>48</v>
      </c>
      <c r="S220" s="10" t="n">
        <v>1130101</v>
      </c>
      <c r="T220" s="12" t="s">
        <v>49</v>
      </c>
      <c r="U220" s="13" t="n">
        <v>190.5</v>
      </c>
      <c r="W220" s="13" t="n">
        <v>0</v>
      </c>
      <c r="X220" s="12" t="s">
        <v>339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132</v>
      </c>
      <c r="F221" s="10" t="n">
        <v>34</v>
      </c>
      <c r="G221" s="12" t="s">
        <v>97</v>
      </c>
      <c r="H221" s="10" t="n">
        <v>2110101</v>
      </c>
      <c r="I221" s="12" t="s">
        <v>33</v>
      </c>
      <c r="J221" s="10" t="n">
        <v>1231255</v>
      </c>
      <c r="L221" s="10" t="n">
        <v>2489</v>
      </c>
      <c r="M221" s="12" t="s">
        <v>83</v>
      </c>
      <c r="N221" s="12" t="s">
        <v>54</v>
      </c>
      <c r="P221" s="10" t="n">
        <v>113</v>
      </c>
      <c r="Q221" s="12" t="s">
        <v>36</v>
      </c>
      <c r="R221" s="12" t="s">
        <v>48</v>
      </c>
      <c r="S221" s="10" t="n">
        <v>1130101</v>
      </c>
      <c r="T221" s="12" t="s">
        <v>49</v>
      </c>
      <c r="U221" s="13" t="n">
        <v>600</v>
      </c>
      <c r="W221" s="13" t="n">
        <v>0</v>
      </c>
      <c r="X221" s="12" t="s">
        <v>340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199</v>
      </c>
      <c r="F222" s="10" t="n">
        <v>24</v>
      </c>
      <c r="G222" s="12" t="s">
        <v>77</v>
      </c>
      <c r="H222" s="10" t="n">
        <v>2110101</v>
      </c>
      <c r="I222" s="12" t="s">
        <v>33</v>
      </c>
      <c r="J222" s="10" t="n">
        <v>1231901</v>
      </c>
      <c r="L222" s="10" t="n">
        <v>670477</v>
      </c>
      <c r="M222" s="12" t="s">
        <v>74</v>
      </c>
      <c r="N222" s="12" t="s">
        <v>54</v>
      </c>
      <c r="P222" s="10" t="n">
        <v>113</v>
      </c>
      <c r="Q222" s="12" t="s">
        <v>36</v>
      </c>
      <c r="R222" s="12" t="s">
        <v>48</v>
      </c>
      <c r="S222" s="10" t="n">
        <v>1130101</v>
      </c>
      <c r="T222" s="12" t="s">
        <v>49</v>
      </c>
      <c r="U222" s="13" t="n">
        <v>238.4</v>
      </c>
      <c r="W222" s="13" t="n">
        <v>0</v>
      </c>
      <c r="X222" s="12" t="s">
        <v>341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132</v>
      </c>
      <c r="F223" s="10" t="n">
        <v>13</v>
      </c>
      <c r="G223" s="12" t="s">
        <v>133</v>
      </c>
      <c r="H223" s="10" t="n">
        <v>2110101</v>
      </c>
      <c r="I223" s="12" t="s">
        <v>33</v>
      </c>
      <c r="J223" s="10" t="n">
        <v>1240627</v>
      </c>
      <c r="L223" s="10" t="n">
        <v>2494</v>
      </c>
      <c r="M223" s="12" t="s">
        <v>83</v>
      </c>
      <c r="N223" s="12" t="s">
        <v>54</v>
      </c>
      <c r="P223" s="10" t="n">
        <v>113</v>
      </c>
      <c r="Q223" s="12" t="s">
        <v>36</v>
      </c>
      <c r="R223" s="12" t="s">
        <v>48</v>
      </c>
      <c r="S223" s="10" t="n">
        <v>1130101</v>
      </c>
      <c r="T223" s="12" t="s">
        <v>49</v>
      </c>
      <c r="U223" s="13" t="n">
        <v>260</v>
      </c>
      <c r="W223" s="13" t="n">
        <v>260</v>
      </c>
      <c r="X223" s="12" t="s">
        <v>342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132</v>
      </c>
      <c r="F224" s="10" t="n">
        <v>13</v>
      </c>
      <c r="G224" s="12" t="s">
        <v>133</v>
      </c>
      <c r="H224" s="10" t="n">
        <v>2110101</v>
      </c>
      <c r="I224" s="12" t="s">
        <v>33</v>
      </c>
      <c r="J224" s="10" t="n">
        <v>1241673</v>
      </c>
      <c r="L224" s="10" t="n">
        <v>2495</v>
      </c>
      <c r="M224" s="12" t="s">
        <v>83</v>
      </c>
      <c r="N224" s="12" t="s">
        <v>54</v>
      </c>
      <c r="P224" s="10" t="n">
        <v>113</v>
      </c>
      <c r="Q224" s="12" t="s">
        <v>36</v>
      </c>
      <c r="R224" s="12" t="s">
        <v>48</v>
      </c>
      <c r="S224" s="10" t="n">
        <v>1130101</v>
      </c>
      <c r="T224" s="12" t="s">
        <v>49</v>
      </c>
      <c r="U224" s="13" t="n">
        <v>1323.79</v>
      </c>
      <c r="W224" s="13" t="n">
        <v>0</v>
      </c>
      <c r="X224" s="12" t="s">
        <v>343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139</v>
      </c>
      <c r="F225" s="10" t="n">
        <v>13</v>
      </c>
      <c r="G225" s="12" t="s">
        <v>133</v>
      </c>
      <c r="H225" s="10" t="n">
        <v>2110101</v>
      </c>
      <c r="I225" s="12" t="s">
        <v>33</v>
      </c>
      <c r="J225" s="10" t="n">
        <v>1241682</v>
      </c>
      <c r="L225" s="10" t="n">
        <v>165590</v>
      </c>
      <c r="M225" s="12" t="s">
        <v>83</v>
      </c>
      <c r="N225" s="12" t="s">
        <v>35</v>
      </c>
      <c r="P225" s="10" t="n">
        <v>113</v>
      </c>
      <c r="Q225" s="12" t="s">
        <v>36</v>
      </c>
      <c r="R225" s="12" t="s">
        <v>48</v>
      </c>
      <c r="S225" s="10" t="n">
        <v>1130101</v>
      </c>
      <c r="T225" s="12" t="s">
        <v>49</v>
      </c>
      <c r="U225" s="13" t="n">
        <v>380</v>
      </c>
      <c r="W225" s="13" t="n">
        <v>0</v>
      </c>
      <c r="X225" s="12" t="s">
        <v>344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345</v>
      </c>
      <c r="F226" s="10" t="n">
        <v>34</v>
      </c>
      <c r="G226" s="12" t="s">
        <v>97</v>
      </c>
      <c r="H226" s="10" t="n">
        <v>1110202</v>
      </c>
      <c r="I226" s="12" t="s">
        <v>346</v>
      </c>
      <c r="J226" s="10" t="n">
        <v>628286</v>
      </c>
      <c r="L226" s="10" t="n">
        <v>81552</v>
      </c>
      <c r="M226" s="12" t="s">
        <v>71</v>
      </c>
      <c r="N226" s="12" t="s">
        <v>35</v>
      </c>
      <c r="P226" s="10" t="n">
        <v>102</v>
      </c>
      <c r="Q226" s="12" t="s">
        <v>282</v>
      </c>
      <c r="R226" s="12" t="s">
        <v>56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139</v>
      </c>
      <c r="F227" s="10" t="n">
        <v>34</v>
      </c>
      <c r="G227" s="12" t="s">
        <v>97</v>
      </c>
      <c r="H227" s="10" t="n">
        <v>1110203</v>
      </c>
      <c r="I227" s="12" t="s">
        <v>108</v>
      </c>
      <c r="J227" s="10" t="n">
        <v>1441299</v>
      </c>
      <c r="L227" s="10" t="n">
        <v>194943</v>
      </c>
      <c r="M227" s="12" t="s">
        <v>83</v>
      </c>
      <c r="N227" s="12" t="s">
        <v>35</v>
      </c>
      <c r="P227" s="10" t="n">
        <v>101</v>
      </c>
      <c r="Q227" s="12" t="s">
        <v>42</v>
      </c>
      <c r="R227" s="12" t="s">
        <v>43</v>
      </c>
      <c r="S227" s="10" t="n">
        <v>4220199</v>
      </c>
      <c r="T227" s="12" t="s">
        <v>44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119</v>
      </c>
      <c r="F228" s="10" t="n">
        <v>24</v>
      </c>
      <c r="G228" s="12" t="s">
        <v>77</v>
      </c>
      <c r="H228" s="10" t="n">
        <v>2110101</v>
      </c>
      <c r="I228" s="12" t="s">
        <v>33</v>
      </c>
      <c r="J228" s="10" t="n">
        <v>1172473</v>
      </c>
      <c r="L228" s="10" t="n">
        <v>156276</v>
      </c>
      <c r="M228" s="12" t="s">
        <v>83</v>
      </c>
      <c r="N228" s="12" t="s">
        <v>35</v>
      </c>
      <c r="P228" s="10" t="n">
        <v>113</v>
      </c>
      <c r="Q228" s="12" t="s">
        <v>36</v>
      </c>
      <c r="R228" s="12" t="s">
        <v>48</v>
      </c>
      <c r="S228" s="10" t="n">
        <v>1130101</v>
      </c>
      <c r="T228" s="12" t="s">
        <v>49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250</v>
      </c>
      <c r="F229" s="10" t="n">
        <v>24</v>
      </c>
      <c r="G229" s="12" t="s">
        <v>77</v>
      </c>
      <c r="H229" s="10" t="n">
        <v>2110101</v>
      </c>
      <c r="I229" s="12" t="s">
        <v>33</v>
      </c>
      <c r="J229" s="10" t="n">
        <v>1176847</v>
      </c>
      <c r="L229" s="10" t="n">
        <v>29829</v>
      </c>
      <c r="M229" s="12" t="s">
        <v>74</v>
      </c>
      <c r="N229" s="12" t="s">
        <v>54</v>
      </c>
      <c r="P229" s="10" t="n">
        <v>113</v>
      </c>
      <c r="Q229" s="12" t="s">
        <v>36</v>
      </c>
      <c r="R229" s="12" t="s">
        <v>48</v>
      </c>
      <c r="S229" s="10" t="n">
        <v>1130101</v>
      </c>
      <c r="T229" s="12" t="s">
        <v>49</v>
      </c>
      <c r="U229" s="13" t="n">
        <v>1598.58</v>
      </c>
      <c r="W229" s="13" t="n">
        <v>0</v>
      </c>
      <c r="X229" s="12" t="s">
        <v>251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164</v>
      </c>
      <c r="F230" s="10" t="n">
        <v>24</v>
      </c>
      <c r="G230" s="12" t="s">
        <v>77</v>
      </c>
      <c r="H230" s="10" t="n">
        <v>2110101</v>
      </c>
      <c r="I230" s="12" t="s">
        <v>33</v>
      </c>
      <c r="J230" s="10" t="n">
        <v>1221500</v>
      </c>
      <c r="L230" s="10" t="n">
        <v>385542</v>
      </c>
      <c r="M230" s="12" t="s">
        <v>83</v>
      </c>
      <c r="N230" s="12" t="s">
        <v>54</v>
      </c>
      <c r="P230" s="10" t="n">
        <v>113</v>
      </c>
      <c r="Q230" s="12" t="s">
        <v>36</v>
      </c>
      <c r="R230" s="12" t="s">
        <v>48</v>
      </c>
      <c r="S230" s="10" t="n">
        <v>1130101</v>
      </c>
      <c r="T230" s="12" t="s">
        <v>49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77</v>
      </c>
      <c r="H231" s="10" t="n">
        <v>2110101</v>
      </c>
      <c r="I231" s="12" t="s">
        <v>33</v>
      </c>
      <c r="J231" s="10" t="n">
        <v>1236453</v>
      </c>
      <c r="L231" s="10" t="n">
        <v>18534</v>
      </c>
      <c r="M231" s="12" t="s">
        <v>83</v>
      </c>
      <c r="N231" s="12" t="s">
        <v>54</v>
      </c>
      <c r="P231" s="10" t="n">
        <v>113</v>
      </c>
      <c r="Q231" s="12" t="s">
        <v>36</v>
      </c>
      <c r="R231" s="12" t="s">
        <v>48</v>
      </c>
      <c r="S231" s="10" t="n">
        <v>1130101</v>
      </c>
      <c r="T231" s="12" t="s">
        <v>49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292</v>
      </c>
      <c r="F232" s="10" t="n">
        <v>24</v>
      </c>
      <c r="G232" s="12" t="s">
        <v>77</v>
      </c>
      <c r="H232" s="10" t="n">
        <v>2110101</v>
      </c>
      <c r="I232" s="12" t="s">
        <v>33</v>
      </c>
      <c r="J232" s="10" t="n">
        <v>1151538</v>
      </c>
      <c r="L232" s="10" t="n">
        <v>33745</v>
      </c>
      <c r="M232" s="12" t="s">
        <v>83</v>
      </c>
      <c r="N232" s="12" t="s">
        <v>54</v>
      </c>
      <c r="P232" s="10" t="n">
        <v>113</v>
      </c>
      <c r="Q232" s="12" t="s">
        <v>36</v>
      </c>
      <c r="R232" s="12" t="s">
        <v>48</v>
      </c>
      <c r="S232" s="10" t="n">
        <v>1130101</v>
      </c>
      <c r="T232" s="12" t="s">
        <v>49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119</v>
      </c>
      <c r="F233" s="10" t="n">
        <v>24</v>
      </c>
      <c r="G233" s="12" t="s">
        <v>77</v>
      </c>
      <c r="H233" s="10" t="n">
        <v>2110101</v>
      </c>
      <c r="I233" s="12" t="s">
        <v>33</v>
      </c>
      <c r="J233" s="10" t="n">
        <v>1188049</v>
      </c>
      <c r="L233" s="10" t="n">
        <v>1858412</v>
      </c>
      <c r="M233" s="12" t="s">
        <v>83</v>
      </c>
      <c r="N233" s="12" t="s">
        <v>54</v>
      </c>
      <c r="P233" s="10" t="n">
        <v>113</v>
      </c>
      <c r="Q233" s="12" t="s">
        <v>36</v>
      </c>
      <c r="R233" s="12" t="s">
        <v>48</v>
      </c>
      <c r="S233" s="10" t="n">
        <v>1130101</v>
      </c>
      <c r="T233" s="12" t="s">
        <v>49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119</v>
      </c>
      <c r="F234" s="10" t="n">
        <v>24</v>
      </c>
      <c r="G234" s="12" t="s">
        <v>77</v>
      </c>
      <c r="H234" s="10" t="n">
        <v>2110101</v>
      </c>
      <c r="I234" s="12" t="s">
        <v>33</v>
      </c>
      <c r="J234" s="10" t="n">
        <v>1188052</v>
      </c>
      <c r="L234" s="10" t="n">
        <v>1143885</v>
      </c>
      <c r="M234" s="12" t="s">
        <v>83</v>
      </c>
      <c r="N234" s="12" t="s">
        <v>54</v>
      </c>
      <c r="P234" s="10" t="n">
        <v>113</v>
      </c>
      <c r="Q234" s="12" t="s">
        <v>36</v>
      </c>
      <c r="R234" s="12" t="s">
        <v>48</v>
      </c>
      <c r="S234" s="10" t="n">
        <v>1130101</v>
      </c>
      <c r="T234" s="12" t="s">
        <v>49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119</v>
      </c>
      <c r="F235" s="10" t="n">
        <v>24</v>
      </c>
      <c r="G235" s="12" t="s">
        <v>77</v>
      </c>
      <c r="H235" s="10" t="n">
        <v>2110101</v>
      </c>
      <c r="I235" s="12" t="s">
        <v>33</v>
      </c>
      <c r="J235" s="10" t="n">
        <v>1188075</v>
      </c>
      <c r="L235" s="10" t="n">
        <v>158221</v>
      </c>
      <c r="M235" s="12" t="s">
        <v>83</v>
      </c>
      <c r="N235" s="12" t="s">
        <v>35</v>
      </c>
      <c r="P235" s="10" t="n">
        <v>113</v>
      </c>
      <c r="Q235" s="12" t="s">
        <v>36</v>
      </c>
      <c r="R235" s="12" t="s">
        <v>48</v>
      </c>
      <c r="S235" s="10" t="n">
        <v>1130101</v>
      </c>
      <c r="T235" s="12" t="s">
        <v>49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77</v>
      </c>
      <c r="H236" s="10" t="n">
        <v>2110101</v>
      </c>
      <c r="I236" s="12" t="s">
        <v>33</v>
      </c>
      <c r="J236" s="10" t="n">
        <v>1232234</v>
      </c>
      <c r="L236" s="10" t="n">
        <v>164071</v>
      </c>
      <c r="M236" s="12" t="s">
        <v>83</v>
      </c>
      <c r="N236" s="12" t="s">
        <v>35</v>
      </c>
      <c r="P236" s="10" t="n">
        <v>113</v>
      </c>
      <c r="Q236" s="12" t="s">
        <v>36</v>
      </c>
      <c r="R236" s="12" t="s">
        <v>48</v>
      </c>
      <c r="S236" s="10" t="n">
        <v>1130101</v>
      </c>
      <c r="T236" s="12" t="s">
        <v>49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77</v>
      </c>
      <c r="H237" s="10" t="n">
        <v>2110405</v>
      </c>
      <c r="I237" s="12" t="s">
        <v>41</v>
      </c>
      <c r="J237" s="10" t="n">
        <v>808550</v>
      </c>
      <c r="L237" s="10" t="n">
        <v>2026</v>
      </c>
      <c r="M237" s="12" t="s">
        <v>71</v>
      </c>
      <c r="N237" s="12" t="s">
        <v>35</v>
      </c>
      <c r="P237" s="10" t="n">
        <v>101</v>
      </c>
      <c r="Q237" s="12" t="s">
        <v>42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97</v>
      </c>
      <c r="H238" s="10" t="n">
        <v>2110405</v>
      </c>
      <c r="I238" s="12" t="s">
        <v>41</v>
      </c>
      <c r="J238" s="10" t="n">
        <v>954215</v>
      </c>
      <c r="L238" s="10" t="n">
        <v>126220</v>
      </c>
      <c r="M238" s="12" t="s">
        <v>62</v>
      </c>
      <c r="N238" s="12" t="s">
        <v>35</v>
      </c>
      <c r="P238" s="10" t="n">
        <v>101</v>
      </c>
      <c r="Q238" s="12" t="s">
        <v>42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88</v>
      </c>
      <c r="F239" s="10" t="n">
        <v>24</v>
      </c>
      <c r="G239" s="12" t="s">
        <v>77</v>
      </c>
      <c r="H239" s="10" t="n">
        <v>2110101</v>
      </c>
      <c r="I239" s="12" t="s">
        <v>33</v>
      </c>
      <c r="J239" s="10" t="n">
        <v>1131480</v>
      </c>
      <c r="L239" s="10" t="n">
        <v>569926</v>
      </c>
      <c r="M239" s="12" t="s">
        <v>74</v>
      </c>
      <c r="N239" s="12" t="s">
        <v>54</v>
      </c>
      <c r="P239" s="10" t="n">
        <v>113</v>
      </c>
      <c r="Q239" s="12" t="s">
        <v>36</v>
      </c>
      <c r="R239" s="12" t="s">
        <v>48</v>
      </c>
      <c r="S239" s="10" t="n">
        <v>1130101</v>
      </c>
      <c r="T239" s="12" t="s">
        <v>49</v>
      </c>
      <c r="U239" s="13" t="n">
        <v>680.53</v>
      </c>
      <c r="W239" s="13" t="n">
        <v>0</v>
      </c>
      <c r="X239" s="12" t="s">
        <v>259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85</v>
      </c>
      <c r="F240" s="10" t="n">
        <v>24</v>
      </c>
      <c r="G240" s="12" t="s">
        <v>77</v>
      </c>
      <c r="H240" s="10" t="n">
        <v>2110101</v>
      </c>
      <c r="I240" s="12" t="s">
        <v>33</v>
      </c>
      <c r="J240" s="10" t="n">
        <v>1131617</v>
      </c>
      <c r="L240" s="10" t="n">
        <v>150121</v>
      </c>
      <c r="M240" s="12" t="s">
        <v>83</v>
      </c>
      <c r="N240" s="12" t="s">
        <v>35</v>
      </c>
      <c r="P240" s="10" t="n">
        <v>113</v>
      </c>
      <c r="Q240" s="12" t="s">
        <v>36</v>
      </c>
      <c r="R240" s="12" t="s">
        <v>48</v>
      </c>
      <c r="S240" s="10" t="n">
        <v>1130101</v>
      </c>
      <c r="T240" s="12" t="s">
        <v>49</v>
      </c>
      <c r="U240" s="13" t="n">
        <v>391.4</v>
      </c>
      <c r="W240" s="13" t="n">
        <v>0</v>
      </c>
      <c r="X240" s="12" t="s">
        <v>86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85</v>
      </c>
      <c r="F241" s="10" t="n">
        <v>24</v>
      </c>
      <c r="G241" s="12" t="s">
        <v>77</v>
      </c>
      <c r="H241" s="10" t="n">
        <v>2110101</v>
      </c>
      <c r="I241" s="12" t="s">
        <v>33</v>
      </c>
      <c r="J241" s="10" t="n">
        <v>1131772</v>
      </c>
      <c r="L241" s="10" t="n">
        <v>150161</v>
      </c>
      <c r="M241" s="12" t="s">
        <v>83</v>
      </c>
      <c r="N241" s="12" t="s">
        <v>35</v>
      </c>
      <c r="P241" s="10" t="n">
        <v>113</v>
      </c>
      <c r="Q241" s="12" t="s">
        <v>36</v>
      </c>
      <c r="R241" s="12" t="s">
        <v>48</v>
      </c>
      <c r="S241" s="10" t="n">
        <v>1130101</v>
      </c>
      <c r="T241" s="12" t="s">
        <v>49</v>
      </c>
      <c r="U241" s="13" t="n">
        <v>1562.27</v>
      </c>
      <c r="W241" s="13" t="n">
        <v>0</v>
      </c>
      <c r="X241" s="12" t="s">
        <v>87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194</v>
      </c>
      <c r="F242" s="10" t="n">
        <v>24</v>
      </c>
      <c r="G242" s="12" t="s">
        <v>77</v>
      </c>
      <c r="H242" s="10" t="n">
        <v>2110101</v>
      </c>
      <c r="I242" s="12" t="s">
        <v>33</v>
      </c>
      <c r="J242" s="10" t="n">
        <v>1223311</v>
      </c>
      <c r="L242" s="10" t="n">
        <v>656</v>
      </c>
      <c r="M242" s="12" t="s">
        <v>83</v>
      </c>
      <c r="N242" s="12" t="s">
        <v>54</v>
      </c>
      <c r="P242" s="10" t="n">
        <v>113</v>
      </c>
      <c r="Q242" s="12" t="s">
        <v>36</v>
      </c>
      <c r="R242" s="12" t="s">
        <v>48</v>
      </c>
      <c r="S242" s="10" t="n">
        <v>1130101</v>
      </c>
      <c r="T242" s="12" t="s">
        <v>49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88</v>
      </c>
      <c r="F243" s="10" t="n">
        <v>24</v>
      </c>
      <c r="G243" s="12" t="s">
        <v>77</v>
      </c>
      <c r="H243" s="10" t="n">
        <v>2110101</v>
      </c>
      <c r="I243" s="12" t="s">
        <v>33</v>
      </c>
      <c r="J243" s="10" t="n">
        <v>1138291</v>
      </c>
      <c r="L243" s="10" t="n">
        <v>151112</v>
      </c>
      <c r="M243" s="12" t="s">
        <v>83</v>
      </c>
      <c r="N243" s="12" t="s">
        <v>35</v>
      </c>
      <c r="P243" s="10" t="n">
        <v>113</v>
      </c>
      <c r="Q243" s="12" t="s">
        <v>36</v>
      </c>
      <c r="R243" s="12" t="s">
        <v>48</v>
      </c>
      <c r="S243" s="10" t="n">
        <v>1130101</v>
      </c>
      <c r="T243" s="12" t="s">
        <v>49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263</v>
      </c>
      <c r="F244" s="10" t="n">
        <v>24</v>
      </c>
      <c r="G244" s="12" t="s">
        <v>77</v>
      </c>
      <c r="H244" s="10" t="n">
        <v>2110101</v>
      </c>
      <c r="I244" s="12" t="s">
        <v>33</v>
      </c>
      <c r="J244" s="10" t="n">
        <v>1157010</v>
      </c>
      <c r="L244" s="10" t="n">
        <v>491834</v>
      </c>
      <c r="M244" s="12" t="s">
        <v>74</v>
      </c>
      <c r="N244" s="12" t="s">
        <v>54</v>
      </c>
      <c r="P244" s="10" t="n">
        <v>113</v>
      </c>
      <c r="Q244" s="12" t="s">
        <v>36</v>
      </c>
      <c r="R244" s="12" t="s">
        <v>48</v>
      </c>
      <c r="S244" s="10" t="n">
        <v>1130101</v>
      </c>
      <c r="T244" s="12" t="s">
        <v>49</v>
      </c>
      <c r="U244" s="13" t="n">
        <v>1022.42</v>
      </c>
      <c r="W244" s="13" t="n">
        <v>0</v>
      </c>
      <c r="X244" s="12" t="s">
        <v>265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97</v>
      </c>
      <c r="H245" s="10" t="n">
        <v>2110101</v>
      </c>
      <c r="I245" s="12" t="s">
        <v>33</v>
      </c>
      <c r="J245" s="10" t="n">
        <v>1187101</v>
      </c>
      <c r="L245" s="10" t="n">
        <v>1624511</v>
      </c>
      <c r="M245" s="12" t="s">
        <v>83</v>
      </c>
      <c r="N245" s="12" t="s">
        <v>54</v>
      </c>
      <c r="P245" s="10" t="n">
        <v>113</v>
      </c>
      <c r="Q245" s="12" t="s">
        <v>36</v>
      </c>
      <c r="R245" s="12" t="s">
        <v>48</v>
      </c>
      <c r="S245" s="10" t="n">
        <v>1130101</v>
      </c>
      <c r="T245" s="12" t="s">
        <v>49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97</v>
      </c>
      <c r="H246" s="10" t="n">
        <v>2110101</v>
      </c>
      <c r="I246" s="12" t="s">
        <v>33</v>
      </c>
      <c r="J246" s="10" t="n">
        <v>1192343</v>
      </c>
      <c r="L246" s="10" t="n">
        <v>1624969</v>
      </c>
      <c r="M246" s="12" t="s">
        <v>83</v>
      </c>
      <c r="N246" s="12" t="s">
        <v>54</v>
      </c>
      <c r="P246" s="10" t="n">
        <v>113</v>
      </c>
      <c r="Q246" s="12" t="s">
        <v>36</v>
      </c>
      <c r="R246" s="12" t="s">
        <v>48</v>
      </c>
      <c r="S246" s="10" t="n">
        <v>1130101</v>
      </c>
      <c r="T246" s="12" t="s">
        <v>49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97</v>
      </c>
      <c r="H247" s="10" t="n">
        <v>2110101</v>
      </c>
      <c r="I247" s="12" t="s">
        <v>33</v>
      </c>
      <c r="J247" s="10" t="n">
        <v>1206599</v>
      </c>
      <c r="L247" s="10" t="n">
        <v>1626342</v>
      </c>
      <c r="M247" s="12" t="s">
        <v>83</v>
      </c>
      <c r="N247" s="12" t="s">
        <v>54</v>
      </c>
      <c r="P247" s="10" t="n">
        <v>113</v>
      </c>
      <c r="Q247" s="12" t="s">
        <v>36</v>
      </c>
      <c r="R247" s="12" t="s">
        <v>48</v>
      </c>
      <c r="S247" s="10" t="n">
        <v>1130101</v>
      </c>
      <c r="T247" s="12" t="s">
        <v>49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97</v>
      </c>
      <c r="H248" s="10" t="n">
        <v>2110101</v>
      </c>
      <c r="I248" s="12" t="s">
        <v>33</v>
      </c>
      <c r="J248" s="10" t="n">
        <v>1208226</v>
      </c>
      <c r="L248" s="10" t="n">
        <v>1627236</v>
      </c>
      <c r="M248" s="12" t="s">
        <v>83</v>
      </c>
      <c r="N248" s="12" t="s">
        <v>54</v>
      </c>
      <c r="P248" s="10" t="n">
        <v>113</v>
      </c>
      <c r="Q248" s="12" t="s">
        <v>36</v>
      </c>
      <c r="R248" s="12" t="s">
        <v>48</v>
      </c>
      <c r="S248" s="10" t="n">
        <v>1130101</v>
      </c>
      <c r="T248" s="12" t="s">
        <v>49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97</v>
      </c>
      <c r="H249" s="10" t="n">
        <v>2110101</v>
      </c>
      <c r="I249" s="12" t="s">
        <v>33</v>
      </c>
      <c r="J249" s="10" t="n">
        <v>1208237</v>
      </c>
      <c r="L249" s="10" t="n">
        <v>1627239</v>
      </c>
      <c r="M249" s="12" t="s">
        <v>83</v>
      </c>
      <c r="N249" s="12" t="s">
        <v>54</v>
      </c>
      <c r="P249" s="10" t="n">
        <v>113</v>
      </c>
      <c r="Q249" s="12" t="s">
        <v>36</v>
      </c>
      <c r="R249" s="12" t="s">
        <v>48</v>
      </c>
      <c r="S249" s="10" t="n">
        <v>1130101</v>
      </c>
      <c r="T249" s="12" t="s">
        <v>49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201</v>
      </c>
      <c r="F250" s="10" t="n">
        <v>24</v>
      </c>
      <c r="G250" s="12" t="s">
        <v>77</v>
      </c>
      <c r="H250" s="10" t="n">
        <v>2110101</v>
      </c>
      <c r="I250" s="12" t="s">
        <v>33</v>
      </c>
      <c r="J250" s="10" t="n">
        <v>1221613</v>
      </c>
      <c r="L250" s="10" t="n">
        <v>1668916</v>
      </c>
      <c r="M250" s="12" t="s">
        <v>83</v>
      </c>
      <c r="N250" s="12" t="s">
        <v>54</v>
      </c>
      <c r="P250" s="10" t="n">
        <v>113</v>
      </c>
      <c r="Q250" s="12" t="s">
        <v>36</v>
      </c>
      <c r="R250" s="12" t="s">
        <v>48</v>
      </c>
      <c r="S250" s="10" t="n">
        <v>1130101</v>
      </c>
      <c r="T250" s="12" t="s">
        <v>49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332</v>
      </c>
      <c r="F251" s="10" t="n">
        <v>24</v>
      </c>
      <c r="G251" s="12" t="s">
        <v>77</v>
      </c>
      <c r="H251" s="10" t="n">
        <v>2110101</v>
      </c>
      <c r="I251" s="12" t="s">
        <v>33</v>
      </c>
      <c r="J251" s="10" t="n">
        <v>1221695</v>
      </c>
      <c r="L251" s="10" t="n">
        <v>171066</v>
      </c>
      <c r="M251" s="12" t="s">
        <v>83</v>
      </c>
      <c r="N251" s="12" t="s">
        <v>54</v>
      </c>
      <c r="P251" s="10" t="n">
        <v>113</v>
      </c>
      <c r="Q251" s="12" t="s">
        <v>36</v>
      </c>
      <c r="R251" s="12" t="s">
        <v>48</v>
      </c>
      <c r="S251" s="10" t="n">
        <v>1130101</v>
      </c>
      <c r="T251" s="12" t="s">
        <v>49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208</v>
      </c>
      <c r="F252" s="10" t="n">
        <v>24</v>
      </c>
      <c r="G252" s="12" t="s">
        <v>77</v>
      </c>
      <c r="H252" s="10" t="n">
        <v>2110101</v>
      </c>
      <c r="I252" s="12" t="s">
        <v>33</v>
      </c>
      <c r="J252" s="10" t="n">
        <v>1222609</v>
      </c>
      <c r="L252" s="10" t="n">
        <v>303660</v>
      </c>
      <c r="M252" s="12" t="s">
        <v>83</v>
      </c>
      <c r="N252" s="12" t="s">
        <v>54</v>
      </c>
      <c r="P252" s="10" t="n">
        <v>113</v>
      </c>
      <c r="Q252" s="12" t="s">
        <v>36</v>
      </c>
      <c r="R252" s="12" t="s">
        <v>48</v>
      </c>
      <c r="S252" s="10" t="n">
        <v>1130101</v>
      </c>
      <c r="T252" s="12" t="s">
        <v>49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97</v>
      </c>
      <c r="H253" s="10" t="n">
        <v>2110101</v>
      </c>
      <c r="I253" s="12" t="s">
        <v>33</v>
      </c>
      <c r="J253" s="10" t="n">
        <v>1222859</v>
      </c>
      <c r="L253" s="10" t="n">
        <v>1628195</v>
      </c>
      <c r="M253" s="12" t="s">
        <v>83</v>
      </c>
      <c r="N253" s="12" t="s">
        <v>54</v>
      </c>
      <c r="P253" s="10" t="n">
        <v>113</v>
      </c>
      <c r="Q253" s="12" t="s">
        <v>36</v>
      </c>
      <c r="R253" s="12" t="s">
        <v>48</v>
      </c>
      <c r="S253" s="10" t="n">
        <v>1130101</v>
      </c>
      <c r="T253" s="12" t="s">
        <v>49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97</v>
      </c>
      <c r="H254" s="10" t="n">
        <v>2110101</v>
      </c>
      <c r="I254" s="12" t="s">
        <v>33</v>
      </c>
      <c r="J254" s="10" t="n">
        <v>1222861</v>
      </c>
      <c r="L254" s="10" t="n">
        <v>1628316</v>
      </c>
      <c r="M254" s="12" t="s">
        <v>83</v>
      </c>
      <c r="N254" s="12" t="s">
        <v>54</v>
      </c>
      <c r="P254" s="10" t="n">
        <v>113</v>
      </c>
      <c r="Q254" s="12" t="s">
        <v>36</v>
      </c>
      <c r="R254" s="12" t="s">
        <v>48</v>
      </c>
      <c r="S254" s="10" t="n">
        <v>1130101</v>
      </c>
      <c r="T254" s="12" t="s">
        <v>49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188</v>
      </c>
      <c r="F255" s="10" t="n">
        <v>24</v>
      </c>
      <c r="G255" s="12" t="s">
        <v>77</v>
      </c>
      <c r="H255" s="10" t="n">
        <v>2110101</v>
      </c>
      <c r="I255" s="12" t="s">
        <v>33</v>
      </c>
      <c r="J255" s="10" t="n">
        <v>1222883</v>
      </c>
      <c r="L255" s="10" t="n">
        <v>3362</v>
      </c>
      <c r="M255" s="12" t="s">
        <v>83</v>
      </c>
      <c r="N255" s="12" t="s">
        <v>54</v>
      </c>
      <c r="P255" s="10" t="n">
        <v>113</v>
      </c>
      <c r="Q255" s="12" t="s">
        <v>36</v>
      </c>
      <c r="R255" s="12" t="s">
        <v>48</v>
      </c>
      <c r="S255" s="10" t="n">
        <v>1130101</v>
      </c>
      <c r="T255" s="12" t="s">
        <v>49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90</v>
      </c>
      <c r="F256" s="10" t="n">
        <v>24</v>
      </c>
      <c r="G256" s="12" t="s">
        <v>77</v>
      </c>
      <c r="H256" s="10" t="n">
        <v>2110101</v>
      </c>
      <c r="I256" s="12" t="s">
        <v>33</v>
      </c>
      <c r="J256" s="10" t="n">
        <v>1223267</v>
      </c>
      <c r="L256" s="10" t="n">
        <v>5642</v>
      </c>
      <c r="M256" s="12" t="s">
        <v>83</v>
      </c>
      <c r="N256" s="12" t="s">
        <v>54</v>
      </c>
      <c r="P256" s="10" t="n">
        <v>113</v>
      </c>
      <c r="Q256" s="12" t="s">
        <v>36</v>
      </c>
      <c r="R256" s="12" t="s">
        <v>48</v>
      </c>
      <c r="S256" s="10" t="n">
        <v>1130101</v>
      </c>
      <c r="T256" s="12" t="s">
        <v>49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92</v>
      </c>
      <c r="F257" s="10" t="n">
        <v>24</v>
      </c>
      <c r="G257" s="12" t="s">
        <v>77</v>
      </c>
      <c r="H257" s="10" t="n">
        <v>2110101</v>
      </c>
      <c r="I257" s="12" t="s">
        <v>33</v>
      </c>
      <c r="J257" s="10" t="n">
        <v>1226545</v>
      </c>
      <c r="L257" s="10" t="n">
        <v>3699</v>
      </c>
      <c r="M257" s="12" t="s">
        <v>83</v>
      </c>
      <c r="N257" s="12" t="s">
        <v>54</v>
      </c>
      <c r="P257" s="10" t="n">
        <v>113</v>
      </c>
      <c r="Q257" s="12" t="s">
        <v>36</v>
      </c>
      <c r="R257" s="12" t="s">
        <v>48</v>
      </c>
      <c r="S257" s="10" t="n">
        <v>1130101</v>
      </c>
      <c r="T257" s="12" t="s">
        <v>49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206</v>
      </c>
      <c r="F258" s="10" t="n">
        <v>24</v>
      </c>
      <c r="G258" s="12" t="s">
        <v>77</v>
      </c>
      <c r="H258" s="10" t="n">
        <v>2110101</v>
      </c>
      <c r="I258" s="12" t="s">
        <v>33</v>
      </c>
      <c r="J258" s="10" t="n">
        <v>1231218</v>
      </c>
      <c r="L258" s="10" t="n">
        <v>163836</v>
      </c>
      <c r="M258" s="12" t="s">
        <v>83</v>
      </c>
      <c r="N258" s="12" t="s">
        <v>35</v>
      </c>
      <c r="P258" s="10" t="n">
        <v>113</v>
      </c>
      <c r="Q258" s="12" t="s">
        <v>36</v>
      </c>
      <c r="R258" s="12" t="s">
        <v>48</v>
      </c>
      <c r="S258" s="10" t="n">
        <v>1130101</v>
      </c>
      <c r="T258" s="12" t="s">
        <v>49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97</v>
      </c>
      <c r="H259" s="10" t="n">
        <v>2110101</v>
      </c>
      <c r="I259" s="12" t="s">
        <v>33</v>
      </c>
      <c r="J259" s="10" t="n">
        <v>1231783</v>
      </c>
      <c r="L259" s="10" t="n">
        <v>1629655</v>
      </c>
      <c r="M259" s="12" t="s">
        <v>83</v>
      </c>
      <c r="N259" s="12" t="s">
        <v>54</v>
      </c>
      <c r="P259" s="10" t="n">
        <v>113</v>
      </c>
      <c r="Q259" s="12" t="s">
        <v>36</v>
      </c>
      <c r="R259" s="12" t="s">
        <v>48</v>
      </c>
      <c r="S259" s="10" t="n">
        <v>1130101</v>
      </c>
      <c r="T259" s="12" t="s">
        <v>49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97</v>
      </c>
      <c r="H260" s="10" t="n">
        <v>2110101</v>
      </c>
      <c r="I260" s="12" t="s">
        <v>33</v>
      </c>
      <c r="J260" s="10" t="n">
        <v>1236975</v>
      </c>
      <c r="L260" s="10" t="n">
        <v>164826</v>
      </c>
      <c r="M260" s="12" t="s">
        <v>83</v>
      </c>
      <c r="N260" s="12" t="s">
        <v>35</v>
      </c>
      <c r="P260" s="10" t="n">
        <v>113</v>
      </c>
      <c r="Q260" s="12" t="s">
        <v>36</v>
      </c>
      <c r="R260" s="12" t="s">
        <v>48</v>
      </c>
      <c r="S260" s="10" t="n">
        <v>1130101</v>
      </c>
      <c r="T260" s="12" t="s">
        <v>49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77</v>
      </c>
      <c r="H261" s="10" t="n">
        <v>2110101</v>
      </c>
      <c r="I261" s="12" t="s">
        <v>33</v>
      </c>
      <c r="J261" s="10" t="n">
        <v>1241746</v>
      </c>
      <c r="L261" s="10" t="n">
        <v>165601</v>
      </c>
      <c r="M261" s="12" t="s">
        <v>83</v>
      </c>
      <c r="N261" s="12" t="s">
        <v>35</v>
      </c>
      <c r="P261" s="10" t="n">
        <v>113</v>
      </c>
      <c r="Q261" s="12" t="s">
        <v>36</v>
      </c>
      <c r="R261" s="12" t="s">
        <v>48</v>
      </c>
      <c r="S261" s="10" t="n">
        <v>1130101</v>
      </c>
      <c r="T261" s="12" t="s">
        <v>49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97</v>
      </c>
      <c r="H262" s="10" t="n">
        <v>2110101</v>
      </c>
      <c r="I262" s="12" t="s">
        <v>33</v>
      </c>
      <c r="J262" s="10" t="n">
        <v>1244024</v>
      </c>
      <c r="L262" s="10" t="n">
        <v>1631088</v>
      </c>
      <c r="M262" s="12" t="s">
        <v>83</v>
      </c>
      <c r="N262" s="12" t="s">
        <v>54</v>
      </c>
      <c r="P262" s="10" t="n">
        <v>113</v>
      </c>
      <c r="Q262" s="12" t="s">
        <v>36</v>
      </c>
      <c r="R262" s="12" t="s">
        <v>48</v>
      </c>
      <c r="S262" s="10" t="n">
        <v>1130101</v>
      </c>
      <c r="T262" s="12" t="s">
        <v>49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97</v>
      </c>
      <c r="H263" s="10" t="n">
        <v>2110101</v>
      </c>
      <c r="I263" s="12" t="s">
        <v>33</v>
      </c>
      <c r="J263" s="10" t="n">
        <v>1255081</v>
      </c>
      <c r="L263" s="10" t="n">
        <v>1631512</v>
      </c>
      <c r="M263" s="12" t="s">
        <v>83</v>
      </c>
      <c r="N263" s="12" t="s">
        <v>54</v>
      </c>
      <c r="P263" s="10" t="n">
        <v>113</v>
      </c>
      <c r="Q263" s="12" t="s">
        <v>36</v>
      </c>
      <c r="R263" s="12" t="s">
        <v>48</v>
      </c>
      <c r="S263" s="10" t="n">
        <v>1130101</v>
      </c>
      <c r="T263" s="12" t="s">
        <v>49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132</v>
      </c>
      <c r="F264" s="10" t="n">
        <v>13</v>
      </c>
      <c r="G264" s="12" t="s">
        <v>133</v>
      </c>
      <c r="H264" s="10" t="n">
        <v>2110101</v>
      </c>
      <c r="I264" s="12" t="s">
        <v>33</v>
      </c>
      <c r="J264" s="10" t="n">
        <v>1255540</v>
      </c>
      <c r="L264" s="10" t="n">
        <v>2496</v>
      </c>
      <c r="M264" s="12" t="s">
        <v>83</v>
      </c>
      <c r="N264" s="12" t="s">
        <v>54</v>
      </c>
      <c r="P264" s="10" t="n">
        <v>113</v>
      </c>
      <c r="Q264" s="12" t="s">
        <v>36</v>
      </c>
      <c r="R264" s="12" t="s">
        <v>48</v>
      </c>
      <c r="S264" s="10" t="n">
        <v>1130101</v>
      </c>
      <c r="T264" s="12" t="s">
        <v>49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99</v>
      </c>
      <c r="F265" s="10" t="n">
        <v>34</v>
      </c>
      <c r="G265" s="12" t="s">
        <v>97</v>
      </c>
      <c r="H265" s="10" t="n">
        <v>2110405</v>
      </c>
      <c r="I265" s="12" t="s">
        <v>41</v>
      </c>
      <c r="J265" s="10" t="n">
        <v>1257000</v>
      </c>
      <c r="L265" s="10" t="n">
        <v>167608</v>
      </c>
      <c r="M265" s="12" t="s">
        <v>83</v>
      </c>
      <c r="N265" s="12" t="s">
        <v>35</v>
      </c>
      <c r="P265" s="10" t="n">
        <v>113</v>
      </c>
      <c r="Q265" s="12" t="s">
        <v>36</v>
      </c>
      <c r="R265" s="12" t="s">
        <v>100</v>
      </c>
      <c r="S265" s="10" t="n">
        <v>4210301</v>
      </c>
      <c r="T265" s="12" t="s">
        <v>230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238</v>
      </c>
      <c r="F266" s="10" t="n">
        <v>34</v>
      </c>
      <c r="G266" s="12" t="s">
        <v>97</v>
      </c>
      <c r="H266" s="10" t="n">
        <v>2110405</v>
      </c>
      <c r="I266" s="12" t="s">
        <v>41</v>
      </c>
      <c r="J266" s="10" t="n">
        <v>1257003</v>
      </c>
      <c r="L266" s="10" t="n">
        <v>167612</v>
      </c>
      <c r="M266" s="12" t="s">
        <v>83</v>
      </c>
      <c r="N266" s="12" t="s">
        <v>35</v>
      </c>
      <c r="P266" s="10" t="n">
        <v>113</v>
      </c>
      <c r="Q266" s="12" t="s">
        <v>36</v>
      </c>
      <c r="R266" s="12" t="s">
        <v>100</v>
      </c>
      <c r="S266" s="10" t="n">
        <v>4210301</v>
      </c>
      <c r="T266" s="12" t="s">
        <v>230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229</v>
      </c>
      <c r="F267" s="10" t="n">
        <v>34</v>
      </c>
      <c r="G267" s="12" t="s">
        <v>97</v>
      </c>
      <c r="H267" s="10" t="n">
        <v>2110405</v>
      </c>
      <c r="I267" s="12" t="s">
        <v>41</v>
      </c>
      <c r="J267" s="10" t="n">
        <v>1257006</v>
      </c>
      <c r="L267" s="10" t="n">
        <v>167613</v>
      </c>
      <c r="M267" s="12" t="s">
        <v>83</v>
      </c>
      <c r="N267" s="12" t="s">
        <v>35</v>
      </c>
      <c r="P267" s="10" t="n">
        <v>113</v>
      </c>
      <c r="Q267" s="12" t="s">
        <v>36</v>
      </c>
      <c r="R267" s="12" t="s">
        <v>100</v>
      </c>
      <c r="S267" s="10" t="n">
        <v>4210301</v>
      </c>
      <c r="T267" s="12" t="s">
        <v>230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103</v>
      </c>
      <c r="F268" s="10" t="n">
        <v>34</v>
      </c>
      <c r="G268" s="12" t="s">
        <v>97</v>
      </c>
      <c r="H268" s="10" t="n">
        <v>2110405</v>
      </c>
      <c r="I268" s="12" t="s">
        <v>41</v>
      </c>
      <c r="J268" s="10" t="n">
        <v>1257009</v>
      </c>
      <c r="L268" s="10" t="n">
        <v>167614</v>
      </c>
      <c r="M268" s="12" t="s">
        <v>83</v>
      </c>
      <c r="N268" s="12" t="s">
        <v>35</v>
      </c>
      <c r="P268" s="10" t="n">
        <v>113</v>
      </c>
      <c r="Q268" s="12" t="s">
        <v>36</v>
      </c>
      <c r="R268" s="12" t="s">
        <v>100</v>
      </c>
      <c r="S268" s="10" t="n">
        <v>4210301</v>
      </c>
      <c r="T268" s="12" t="s">
        <v>230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105</v>
      </c>
      <c r="F269" s="10" t="n">
        <v>34</v>
      </c>
      <c r="G269" s="12" t="s">
        <v>97</v>
      </c>
      <c r="H269" s="10" t="n">
        <v>2110405</v>
      </c>
      <c r="I269" s="12" t="s">
        <v>41</v>
      </c>
      <c r="J269" s="10" t="n">
        <v>1257010</v>
      </c>
      <c r="L269" s="10" t="n">
        <v>167615</v>
      </c>
      <c r="M269" s="12" t="s">
        <v>83</v>
      </c>
      <c r="N269" s="12" t="s">
        <v>35</v>
      </c>
      <c r="P269" s="10" t="n">
        <v>113</v>
      </c>
      <c r="Q269" s="12" t="s">
        <v>36</v>
      </c>
      <c r="R269" s="12" t="s">
        <v>100</v>
      </c>
      <c r="S269" s="10" t="n">
        <v>4210301</v>
      </c>
      <c r="T269" s="12" t="s">
        <v>230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239</v>
      </c>
      <c r="F270" s="10" t="n">
        <v>34</v>
      </c>
      <c r="G270" s="12" t="s">
        <v>97</v>
      </c>
      <c r="H270" s="10" t="n">
        <v>2110405</v>
      </c>
      <c r="I270" s="12" t="s">
        <v>41</v>
      </c>
      <c r="J270" s="10" t="n">
        <v>1257011</v>
      </c>
      <c r="L270" s="10" t="n">
        <v>167616</v>
      </c>
      <c r="M270" s="12" t="s">
        <v>83</v>
      </c>
      <c r="N270" s="12" t="s">
        <v>35</v>
      </c>
      <c r="P270" s="10" t="n">
        <v>113</v>
      </c>
      <c r="Q270" s="12" t="s">
        <v>36</v>
      </c>
      <c r="R270" s="12" t="s">
        <v>100</v>
      </c>
      <c r="S270" s="10" t="n">
        <v>4210301</v>
      </c>
      <c r="T270" s="12" t="s">
        <v>230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236</v>
      </c>
      <c r="F271" s="10" t="n">
        <v>34</v>
      </c>
      <c r="G271" s="12" t="s">
        <v>97</v>
      </c>
      <c r="H271" s="10" t="n">
        <v>2110405</v>
      </c>
      <c r="I271" s="12" t="s">
        <v>41</v>
      </c>
      <c r="J271" s="10" t="n">
        <v>1257013</v>
      </c>
      <c r="L271" s="10" t="n">
        <v>167617</v>
      </c>
      <c r="M271" s="12" t="s">
        <v>83</v>
      </c>
      <c r="N271" s="12" t="s">
        <v>35</v>
      </c>
      <c r="P271" s="10" t="n">
        <v>113</v>
      </c>
      <c r="Q271" s="12" t="s">
        <v>36</v>
      </c>
      <c r="R271" s="12" t="s">
        <v>100</v>
      </c>
      <c r="S271" s="10" t="n">
        <v>4210301</v>
      </c>
      <c r="T271" s="12" t="s">
        <v>230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97</v>
      </c>
      <c r="H272" s="10" t="n">
        <v>2110101</v>
      </c>
      <c r="I272" s="12" t="s">
        <v>33</v>
      </c>
      <c r="J272" s="10" t="n">
        <v>1257021</v>
      </c>
      <c r="L272" s="10" t="n">
        <v>1631944</v>
      </c>
      <c r="M272" s="12" t="s">
        <v>83</v>
      </c>
      <c r="N272" s="12" t="s">
        <v>54</v>
      </c>
      <c r="P272" s="10" t="n">
        <v>113</v>
      </c>
      <c r="Q272" s="12" t="s">
        <v>36</v>
      </c>
      <c r="R272" s="12" t="s">
        <v>48</v>
      </c>
      <c r="S272" s="10" t="n">
        <v>1130101</v>
      </c>
      <c r="T272" s="12" t="s">
        <v>49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97</v>
      </c>
      <c r="H273" s="10" t="n">
        <v>1110203</v>
      </c>
      <c r="I273" s="12" t="s">
        <v>108</v>
      </c>
      <c r="J273" s="10" t="n">
        <v>1435971</v>
      </c>
      <c r="L273" s="10" t="n">
        <v>194023</v>
      </c>
      <c r="M273" s="12" t="s">
        <v>83</v>
      </c>
      <c r="N273" s="12" t="s">
        <v>35</v>
      </c>
      <c r="P273" s="10" t="n">
        <v>101</v>
      </c>
      <c r="Q273" s="12" t="s">
        <v>42</v>
      </c>
      <c r="R273" s="12" t="s">
        <v>144</v>
      </c>
      <c r="S273" s="10" t="n">
        <v>4210504</v>
      </c>
      <c r="T273" s="12" t="s">
        <v>149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77</v>
      </c>
      <c r="H274" s="10" t="n">
        <v>2110101</v>
      </c>
      <c r="I274" s="12" t="s">
        <v>33</v>
      </c>
      <c r="J274" s="10" t="n">
        <v>1228096</v>
      </c>
      <c r="L274" s="10" t="n">
        <v>40955</v>
      </c>
      <c r="M274" s="12" t="s">
        <v>83</v>
      </c>
      <c r="N274" s="12" t="s">
        <v>54</v>
      </c>
      <c r="P274" s="10" t="n">
        <v>113</v>
      </c>
      <c r="Q274" s="12" t="s">
        <v>36</v>
      </c>
      <c r="R274" s="12" t="s">
        <v>48</v>
      </c>
      <c r="S274" s="10" t="n">
        <v>1130101</v>
      </c>
      <c r="T274" s="12" t="s">
        <v>49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77</v>
      </c>
      <c r="H275" s="10" t="n">
        <v>2110101</v>
      </c>
      <c r="I275" s="12" t="s">
        <v>33</v>
      </c>
      <c r="J275" s="10" t="n">
        <v>1228116</v>
      </c>
      <c r="L275" s="10" t="n">
        <v>223109</v>
      </c>
      <c r="M275" s="12" t="s">
        <v>83</v>
      </c>
      <c r="N275" s="12" t="s">
        <v>54</v>
      </c>
      <c r="P275" s="10" t="n">
        <v>113</v>
      </c>
      <c r="Q275" s="12" t="s">
        <v>36</v>
      </c>
      <c r="R275" s="12" t="s">
        <v>48</v>
      </c>
      <c r="S275" s="10" t="n">
        <v>1130101</v>
      </c>
      <c r="T275" s="12" t="s">
        <v>49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132</v>
      </c>
      <c r="F276" s="10" t="n">
        <v>34</v>
      </c>
      <c r="G276" s="12" t="s">
        <v>97</v>
      </c>
      <c r="H276" s="10" t="n">
        <v>2110101</v>
      </c>
      <c r="I276" s="12" t="s">
        <v>33</v>
      </c>
      <c r="J276" s="10" t="n">
        <v>1231001</v>
      </c>
      <c r="L276" s="10" t="n">
        <v>2488</v>
      </c>
      <c r="M276" s="12" t="s">
        <v>83</v>
      </c>
      <c r="N276" s="12" t="s">
        <v>54</v>
      </c>
      <c r="P276" s="10" t="n">
        <v>113</v>
      </c>
      <c r="Q276" s="12" t="s">
        <v>36</v>
      </c>
      <c r="R276" s="12" t="s">
        <v>48</v>
      </c>
      <c r="S276" s="10" t="n">
        <v>1130101</v>
      </c>
      <c r="T276" s="12" t="s">
        <v>49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248</v>
      </c>
      <c r="F277" s="10" t="n">
        <v>24</v>
      </c>
      <c r="G277" s="12" t="s">
        <v>77</v>
      </c>
      <c r="H277" s="10" t="n">
        <v>2110101</v>
      </c>
      <c r="I277" s="12" t="s">
        <v>33</v>
      </c>
      <c r="J277" s="10" t="n">
        <v>1231585</v>
      </c>
      <c r="L277" s="10" t="n">
        <v>14437</v>
      </c>
      <c r="M277" s="12" t="s">
        <v>83</v>
      </c>
      <c r="N277" s="12" t="s">
        <v>54</v>
      </c>
      <c r="P277" s="10" t="n">
        <v>113</v>
      </c>
      <c r="Q277" s="12" t="s">
        <v>36</v>
      </c>
      <c r="R277" s="12" t="s">
        <v>48</v>
      </c>
      <c r="S277" s="10" t="n">
        <v>1130101</v>
      </c>
      <c r="T277" s="12" t="s">
        <v>49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130</v>
      </c>
      <c r="F278" s="10" t="n">
        <v>24</v>
      </c>
      <c r="G278" s="12" t="s">
        <v>77</v>
      </c>
      <c r="H278" s="10" t="n">
        <v>2110101</v>
      </c>
      <c r="I278" s="12" t="s">
        <v>33</v>
      </c>
      <c r="J278" s="10" t="n">
        <v>1244039</v>
      </c>
      <c r="L278" s="10" t="n">
        <v>496</v>
      </c>
      <c r="M278" s="12" t="s">
        <v>83</v>
      </c>
      <c r="N278" s="12" t="s">
        <v>54</v>
      </c>
      <c r="P278" s="10" t="n">
        <v>113</v>
      </c>
      <c r="Q278" s="12" t="s">
        <v>36</v>
      </c>
      <c r="R278" s="12" t="s">
        <v>48</v>
      </c>
      <c r="S278" s="10" t="n">
        <v>1130101</v>
      </c>
      <c r="T278" s="12" t="s">
        <v>49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132</v>
      </c>
      <c r="F279" s="10" t="n">
        <v>34</v>
      </c>
      <c r="G279" s="12" t="s">
        <v>97</v>
      </c>
      <c r="H279" s="10" t="n">
        <v>2110101</v>
      </c>
      <c r="I279" s="12" t="s">
        <v>33</v>
      </c>
      <c r="J279" s="10" t="n">
        <v>1261940</v>
      </c>
      <c r="L279" s="10" t="n">
        <v>2499</v>
      </c>
      <c r="M279" s="12" t="s">
        <v>83</v>
      </c>
      <c r="N279" s="12" t="s">
        <v>54</v>
      </c>
      <c r="P279" s="10" t="n">
        <v>113</v>
      </c>
      <c r="Q279" s="12" t="s">
        <v>36</v>
      </c>
      <c r="R279" s="12" t="s">
        <v>48</v>
      </c>
      <c r="S279" s="10" t="n">
        <v>1130101</v>
      </c>
      <c r="T279" s="12" t="s">
        <v>49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254</v>
      </c>
      <c r="F280" s="10" t="n">
        <v>24</v>
      </c>
      <c r="G280" s="12" t="s">
        <v>77</v>
      </c>
      <c r="H280" s="10" t="n">
        <v>2110101</v>
      </c>
      <c r="I280" s="12" t="s">
        <v>33</v>
      </c>
      <c r="J280" s="10" t="n">
        <v>1023193</v>
      </c>
      <c r="L280" s="10" t="n">
        <v>10245</v>
      </c>
      <c r="M280" s="12" t="s">
        <v>71</v>
      </c>
      <c r="N280" s="12" t="s">
        <v>54</v>
      </c>
      <c r="P280" s="10" t="n">
        <v>113</v>
      </c>
      <c r="Q280" s="12" t="s">
        <v>36</v>
      </c>
      <c r="R280" s="12" t="s">
        <v>48</v>
      </c>
      <c r="S280" s="10" t="n">
        <v>1130101</v>
      </c>
      <c r="T280" s="12" t="s">
        <v>49</v>
      </c>
      <c r="U280" s="13" t="n">
        <v>644.95</v>
      </c>
      <c r="W280" s="13" t="n">
        <v>0</v>
      </c>
      <c r="X280" s="12" t="s">
        <v>255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292</v>
      </c>
      <c r="F281" s="10" t="n">
        <v>24</v>
      </c>
      <c r="G281" s="12" t="s">
        <v>77</v>
      </c>
      <c r="H281" s="10" t="n">
        <v>2110101</v>
      </c>
      <c r="I281" s="12" t="s">
        <v>33</v>
      </c>
      <c r="J281" s="10" t="n">
        <v>1098316</v>
      </c>
      <c r="L281" s="10" t="n">
        <v>33662</v>
      </c>
      <c r="M281" s="12" t="s">
        <v>83</v>
      </c>
      <c r="N281" s="12" t="s">
        <v>54</v>
      </c>
      <c r="P281" s="10" t="n">
        <v>113</v>
      </c>
      <c r="Q281" s="12" t="s">
        <v>36</v>
      </c>
      <c r="R281" s="12" t="s">
        <v>48</v>
      </c>
      <c r="S281" s="10" t="n">
        <v>1130101</v>
      </c>
      <c r="T281" s="12" t="s">
        <v>49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160</v>
      </c>
      <c r="F282" s="10" t="n">
        <v>24</v>
      </c>
      <c r="G282" s="12" t="s">
        <v>77</v>
      </c>
      <c r="H282" s="10" t="n">
        <v>2110101</v>
      </c>
      <c r="I282" s="12" t="s">
        <v>33</v>
      </c>
      <c r="J282" s="10" t="n">
        <v>1106692</v>
      </c>
      <c r="L282" s="10" t="n">
        <v>1952417</v>
      </c>
      <c r="M282" s="12" t="s">
        <v>62</v>
      </c>
      <c r="N282" s="12" t="s">
        <v>54</v>
      </c>
      <c r="P282" s="10" t="n">
        <v>113</v>
      </c>
      <c r="Q282" s="12" t="s">
        <v>36</v>
      </c>
      <c r="R282" s="12" t="s">
        <v>48</v>
      </c>
      <c r="S282" s="10" t="n">
        <v>1130101</v>
      </c>
      <c r="T282" s="12" t="s">
        <v>49</v>
      </c>
      <c r="U282" s="13" t="n">
        <v>1262.32</v>
      </c>
      <c r="W282" s="13" t="n">
        <v>0</v>
      </c>
      <c r="X282" s="12" t="s">
        <v>161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298</v>
      </c>
      <c r="F283" s="10" t="n">
        <v>24</v>
      </c>
      <c r="G283" s="12" t="s">
        <v>77</v>
      </c>
      <c r="H283" s="10" t="n">
        <v>2110101</v>
      </c>
      <c r="I283" s="12" t="s">
        <v>33</v>
      </c>
      <c r="J283" s="10" t="n">
        <v>1131327</v>
      </c>
      <c r="L283" s="10" t="n">
        <v>2108</v>
      </c>
      <c r="M283" s="12" t="s">
        <v>74</v>
      </c>
      <c r="N283" s="12" t="s">
        <v>54</v>
      </c>
      <c r="P283" s="10" t="n">
        <v>113</v>
      </c>
      <c r="Q283" s="12" t="s">
        <v>36</v>
      </c>
      <c r="R283" s="12" t="s">
        <v>48</v>
      </c>
      <c r="S283" s="10" t="n">
        <v>1130101</v>
      </c>
      <c r="T283" s="12" t="s">
        <v>49</v>
      </c>
      <c r="U283" s="13" t="n">
        <v>504.51</v>
      </c>
      <c r="W283" s="13" t="n">
        <v>0</v>
      </c>
      <c r="X283" s="12" t="s">
        <v>299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300</v>
      </c>
      <c r="F284" s="10" t="n">
        <v>24</v>
      </c>
      <c r="G284" s="12" t="s">
        <v>77</v>
      </c>
      <c r="H284" s="10" t="n">
        <v>2110101</v>
      </c>
      <c r="I284" s="12" t="s">
        <v>33</v>
      </c>
      <c r="J284" s="10" t="n">
        <v>1133230</v>
      </c>
      <c r="L284" s="10" t="n">
        <v>654829</v>
      </c>
      <c r="M284" s="12" t="s">
        <v>74</v>
      </c>
      <c r="N284" s="12" t="s">
        <v>54</v>
      </c>
      <c r="P284" s="10" t="n">
        <v>113</v>
      </c>
      <c r="Q284" s="12" t="s">
        <v>36</v>
      </c>
      <c r="R284" s="12" t="s">
        <v>48</v>
      </c>
      <c r="S284" s="10" t="n">
        <v>1130101</v>
      </c>
      <c r="T284" s="12" t="s">
        <v>49</v>
      </c>
      <c r="U284" s="13" t="n">
        <v>650</v>
      </c>
      <c r="W284" s="13" t="n">
        <v>0</v>
      </c>
      <c r="X284" s="12" t="s">
        <v>301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88</v>
      </c>
      <c r="F285" s="10" t="n">
        <v>24</v>
      </c>
      <c r="G285" s="12" t="s">
        <v>77</v>
      </c>
      <c r="H285" s="10" t="n">
        <v>2110101</v>
      </c>
      <c r="I285" s="12" t="s">
        <v>33</v>
      </c>
      <c r="J285" s="10" t="n">
        <v>1157198</v>
      </c>
      <c r="L285" s="10" t="n">
        <v>153706</v>
      </c>
      <c r="M285" s="12" t="s">
        <v>83</v>
      </c>
      <c r="N285" s="12" t="s">
        <v>35</v>
      </c>
      <c r="P285" s="10" t="n">
        <v>113</v>
      </c>
      <c r="Q285" s="12" t="s">
        <v>36</v>
      </c>
      <c r="R285" s="12" t="s">
        <v>48</v>
      </c>
      <c r="S285" s="10" t="n">
        <v>1130101</v>
      </c>
      <c r="T285" s="12" t="s">
        <v>49</v>
      </c>
      <c r="U285" s="13" t="n">
        <v>635.45</v>
      </c>
      <c r="W285" s="13" t="n">
        <v>0</v>
      </c>
      <c r="X285" s="12" t="s">
        <v>304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305</v>
      </c>
      <c r="F286" s="10" t="n">
        <v>24</v>
      </c>
      <c r="G286" s="12" t="s">
        <v>77</v>
      </c>
      <c r="H286" s="10" t="n">
        <v>2110405</v>
      </c>
      <c r="I286" s="12" t="s">
        <v>41</v>
      </c>
      <c r="J286" s="10" t="n">
        <v>1165975</v>
      </c>
      <c r="L286" s="10" t="n">
        <v>155117</v>
      </c>
      <c r="M286" s="12" t="s">
        <v>83</v>
      </c>
      <c r="N286" s="12" t="s">
        <v>35</v>
      </c>
      <c r="P286" s="10" t="n">
        <v>113</v>
      </c>
      <c r="Q286" s="12" t="s">
        <v>36</v>
      </c>
      <c r="R286" s="12" t="s">
        <v>56</v>
      </c>
      <c r="S286" s="10" t="n">
        <v>4210299</v>
      </c>
      <c r="T286" s="12" t="s">
        <v>115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117</v>
      </c>
      <c r="F287" s="10" t="n">
        <v>24</v>
      </c>
      <c r="G287" s="12" t="s">
        <v>77</v>
      </c>
      <c r="H287" s="10" t="n">
        <v>2110101</v>
      </c>
      <c r="I287" s="12" t="s">
        <v>33</v>
      </c>
      <c r="J287" s="10" t="n">
        <v>1167024</v>
      </c>
      <c r="L287" s="10" t="n">
        <v>517177</v>
      </c>
      <c r="M287" s="12" t="s">
        <v>74</v>
      </c>
      <c r="N287" s="12" t="s">
        <v>54</v>
      </c>
      <c r="P287" s="10" t="n">
        <v>113</v>
      </c>
      <c r="Q287" s="12" t="s">
        <v>36</v>
      </c>
      <c r="R287" s="12" t="s">
        <v>48</v>
      </c>
      <c r="S287" s="10" t="n">
        <v>1130101</v>
      </c>
      <c r="T287" s="12" t="s">
        <v>49</v>
      </c>
      <c r="U287" s="13" t="n">
        <v>823.77</v>
      </c>
      <c r="W287" s="13" t="n">
        <v>0</v>
      </c>
      <c r="X287" s="12" t="s">
        <v>308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123</v>
      </c>
      <c r="F288" s="10" t="n">
        <v>24</v>
      </c>
      <c r="G288" s="12" t="s">
        <v>77</v>
      </c>
      <c r="H288" s="10" t="n">
        <v>2110101</v>
      </c>
      <c r="I288" s="12" t="s">
        <v>33</v>
      </c>
      <c r="J288" s="10" t="n">
        <v>1167108</v>
      </c>
      <c r="L288" s="10" t="n">
        <v>27273</v>
      </c>
      <c r="M288" s="12" t="s">
        <v>62</v>
      </c>
      <c r="N288" s="12" t="s">
        <v>54</v>
      </c>
      <c r="P288" s="10" t="n">
        <v>113</v>
      </c>
      <c r="Q288" s="12" t="s">
        <v>36</v>
      </c>
      <c r="R288" s="12" t="s">
        <v>48</v>
      </c>
      <c r="S288" s="10" t="n">
        <v>1130101</v>
      </c>
      <c r="T288" s="12" t="s">
        <v>49</v>
      </c>
      <c r="U288" s="13" t="n">
        <v>84.11</v>
      </c>
      <c r="W288" s="13" t="n">
        <v>0</v>
      </c>
      <c r="X288" s="12" t="s">
        <v>174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94</v>
      </c>
      <c r="F289" s="10" t="n">
        <v>24</v>
      </c>
      <c r="G289" s="12" t="s">
        <v>77</v>
      </c>
      <c r="H289" s="10" t="n">
        <v>2110101</v>
      </c>
      <c r="I289" s="12" t="s">
        <v>33</v>
      </c>
      <c r="J289" s="10" t="n">
        <v>1170890</v>
      </c>
      <c r="L289" s="10" t="n">
        <v>1591453</v>
      </c>
      <c r="M289" s="12" t="s">
        <v>74</v>
      </c>
      <c r="N289" s="12" t="s">
        <v>54</v>
      </c>
      <c r="P289" s="10" t="n">
        <v>113</v>
      </c>
      <c r="Q289" s="12" t="s">
        <v>36</v>
      </c>
      <c r="R289" s="12" t="s">
        <v>48</v>
      </c>
      <c r="S289" s="10" t="n">
        <v>1130101</v>
      </c>
      <c r="T289" s="12" t="s">
        <v>49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164</v>
      </c>
      <c r="F290" s="10" t="n">
        <v>24</v>
      </c>
      <c r="G290" s="12" t="s">
        <v>77</v>
      </c>
      <c r="H290" s="10" t="n">
        <v>2110101</v>
      </c>
      <c r="I290" s="12" t="s">
        <v>33</v>
      </c>
      <c r="J290" s="10" t="n">
        <v>1230947</v>
      </c>
      <c r="L290" s="10" t="n">
        <v>386175</v>
      </c>
      <c r="M290" s="12" t="s">
        <v>83</v>
      </c>
      <c r="N290" s="12" t="s">
        <v>54</v>
      </c>
      <c r="P290" s="10" t="n">
        <v>113</v>
      </c>
      <c r="Q290" s="12" t="s">
        <v>36</v>
      </c>
      <c r="R290" s="12" t="s">
        <v>48</v>
      </c>
      <c r="S290" s="10" t="n">
        <v>1130101</v>
      </c>
      <c r="T290" s="12" t="s">
        <v>49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132</v>
      </c>
      <c r="F291" s="10" t="n">
        <v>34</v>
      </c>
      <c r="G291" s="12" t="s">
        <v>97</v>
      </c>
      <c r="H291" s="10" t="n">
        <v>2110101</v>
      </c>
      <c r="I291" s="12" t="s">
        <v>33</v>
      </c>
      <c r="J291" s="10" t="n">
        <v>1231437</v>
      </c>
      <c r="L291" s="10" t="n">
        <v>2490</v>
      </c>
      <c r="M291" s="12" t="s">
        <v>83</v>
      </c>
      <c r="N291" s="12" t="s">
        <v>54</v>
      </c>
      <c r="P291" s="10" t="n">
        <v>113</v>
      </c>
      <c r="Q291" s="12" t="s">
        <v>36</v>
      </c>
      <c r="R291" s="12" t="s">
        <v>48</v>
      </c>
      <c r="S291" s="10" t="n">
        <v>1130101</v>
      </c>
      <c r="T291" s="12" t="s">
        <v>49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77</v>
      </c>
      <c r="H292" s="10" t="n">
        <v>2110101</v>
      </c>
      <c r="I292" s="12" t="s">
        <v>33</v>
      </c>
      <c r="J292" s="10" t="n">
        <v>1231978</v>
      </c>
      <c r="L292" s="10" t="n">
        <v>1616</v>
      </c>
      <c r="M292" s="12" t="s">
        <v>83</v>
      </c>
      <c r="N292" s="12" t="s">
        <v>54</v>
      </c>
      <c r="P292" s="10" t="n">
        <v>113</v>
      </c>
      <c r="Q292" s="12" t="s">
        <v>36</v>
      </c>
      <c r="R292" s="12" t="s">
        <v>48</v>
      </c>
      <c r="S292" s="10" t="n">
        <v>1130101</v>
      </c>
      <c r="T292" s="12" t="s">
        <v>49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220</v>
      </c>
      <c r="F293" s="10" t="n">
        <v>34</v>
      </c>
      <c r="G293" s="12" t="s">
        <v>97</v>
      </c>
      <c r="H293" s="10" t="n">
        <v>2110101</v>
      </c>
      <c r="I293" s="12" t="s">
        <v>33</v>
      </c>
      <c r="J293" s="10" t="n">
        <v>1244883</v>
      </c>
      <c r="L293" s="10" t="n">
        <v>299</v>
      </c>
      <c r="M293" s="12" t="s">
        <v>83</v>
      </c>
      <c r="N293" s="12" t="s">
        <v>54</v>
      </c>
      <c r="P293" s="10" t="n">
        <v>113</v>
      </c>
      <c r="Q293" s="12" t="s">
        <v>36</v>
      </c>
      <c r="R293" s="12" t="s">
        <v>48</v>
      </c>
      <c r="S293" s="10" t="n">
        <v>1130101</v>
      </c>
      <c r="T293" s="12" t="s">
        <v>49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132</v>
      </c>
      <c r="F294" s="10" t="n">
        <v>13</v>
      </c>
      <c r="G294" s="12" t="s">
        <v>133</v>
      </c>
      <c r="H294" s="10" t="n">
        <v>2110101</v>
      </c>
      <c r="I294" s="12" t="s">
        <v>33</v>
      </c>
      <c r="J294" s="10" t="n">
        <v>1266172</v>
      </c>
      <c r="L294" s="10" t="n">
        <v>2500</v>
      </c>
      <c r="M294" s="12" t="s">
        <v>83</v>
      </c>
      <c r="N294" s="12" t="s">
        <v>54</v>
      </c>
      <c r="P294" s="10" t="n">
        <v>113</v>
      </c>
      <c r="Q294" s="12" t="s">
        <v>36</v>
      </c>
      <c r="R294" s="12" t="s">
        <v>48</v>
      </c>
      <c r="S294" s="10" t="n">
        <v>1130101</v>
      </c>
      <c r="T294" s="12" t="s">
        <v>49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77</v>
      </c>
      <c r="H295" s="10" t="n">
        <v>1110202</v>
      </c>
      <c r="I295" s="12" t="s">
        <v>346</v>
      </c>
      <c r="J295" s="10" t="n">
        <v>1370167</v>
      </c>
      <c r="L295" s="10" t="n">
        <v>184241</v>
      </c>
      <c r="M295" s="12" t="s">
        <v>83</v>
      </c>
      <c r="N295" s="12" t="s">
        <v>35</v>
      </c>
      <c r="P295" s="10" t="n">
        <v>102</v>
      </c>
      <c r="Q295" s="12" t="s">
        <v>282</v>
      </c>
      <c r="R295" s="12" t="s">
        <v>100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175</v>
      </c>
      <c r="F296" s="10" t="n">
        <v>24</v>
      </c>
      <c r="G296" s="12" t="s">
        <v>77</v>
      </c>
      <c r="H296" s="10" t="n">
        <v>2110101</v>
      </c>
      <c r="I296" s="12" t="s">
        <v>33</v>
      </c>
      <c r="J296" s="10" t="n">
        <v>1136600</v>
      </c>
      <c r="L296" s="10" t="n">
        <v>836835</v>
      </c>
      <c r="M296" s="12" t="s">
        <v>62</v>
      </c>
      <c r="N296" s="12" t="s">
        <v>54</v>
      </c>
      <c r="P296" s="10" t="n">
        <v>113</v>
      </c>
      <c r="Q296" s="12" t="s">
        <v>36</v>
      </c>
      <c r="R296" s="12" t="s">
        <v>48</v>
      </c>
      <c r="S296" s="10" t="n">
        <v>1130101</v>
      </c>
      <c r="T296" s="12" t="s">
        <v>49</v>
      </c>
      <c r="U296" s="13" t="n">
        <v>560.43</v>
      </c>
      <c r="W296" s="13" t="n">
        <v>0</v>
      </c>
      <c r="X296" s="12" t="s">
        <v>184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208</v>
      </c>
      <c r="F297" s="10" t="n">
        <v>24</v>
      </c>
      <c r="G297" s="12" t="s">
        <v>77</v>
      </c>
      <c r="H297" s="10" t="n">
        <v>2110101</v>
      </c>
      <c r="I297" s="12" t="s">
        <v>33</v>
      </c>
      <c r="J297" s="10" t="n">
        <v>1166006</v>
      </c>
      <c r="L297" s="10" t="n">
        <v>302504</v>
      </c>
      <c r="M297" s="12" t="s">
        <v>62</v>
      </c>
      <c r="N297" s="12" t="s">
        <v>54</v>
      </c>
      <c r="P297" s="10" t="n">
        <v>113</v>
      </c>
      <c r="Q297" s="12" t="s">
        <v>36</v>
      </c>
      <c r="R297" s="12" t="s">
        <v>48</v>
      </c>
      <c r="S297" s="10" t="n">
        <v>1130101</v>
      </c>
      <c r="T297" s="12" t="s">
        <v>49</v>
      </c>
      <c r="U297" s="13" t="n">
        <v>290</v>
      </c>
      <c r="W297" s="13" t="n">
        <v>0</v>
      </c>
      <c r="X297" s="12" t="s">
        <v>209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119</v>
      </c>
      <c r="F298" s="10" t="n">
        <v>24</v>
      </c>
      <c r="G298" s="12" t="s">
        <v>77</v>
      </c>
      <c r="H298" s="10" t="n">
        <v>2110101</v>
      </c>
      <c r="I298" s="12" t="s">
        <v>33</v>
      </c>
      <c r="J298" s="10" t="n">
        <v>1197719</v>
      </c>
      <c r="L298" s="10" t="n">
        <v>1863917</v>
      </c>
      <c r="M298" s="12" t="s">
        <v>83</v>
      </c>
      <c r="N298" s="12" t="s">
        <v>54</v>
      </c>
      <c r="P298" s="10" t="n">
        <v>113</v>
      </c>
      <c r="Q298" s="12" t="s">
        <v>36</v>
      </c>
      <c r="R298" s="12" t="s">
        <v>48</v>
      </c>
      <c r="S298" s="10" t="n">
        <v>1130101</v>
      </c>
      <c r="T298" s="12" t="s">
        <v>49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119</v>
      </c>
      <c r="F299" s="10" t="n">
        <v>24</v>
      </c>
      <c r="G299" s="12" t="s">
        <v>77</v>
      </c>
      <c r="H299" s="10" t="n">
        <v>2110101</v>
      </c>
      <c r="I299" s="12" t="s">
        <v>33</v>
      </c>
      <c r="J299" s="10" t="n">
        <v>1197727</v>
      </c>
      <c r="L299" s="10" t="n">
        <v>1149104</v>
      </c>
      <c r="M299" s="12" t="s">
        <v>83</v>
      </c>
      <c r="N299" s="12" t="s">
        <v>54</v>
      </c>
      <c r="P299" s="10" t="n">
        <v>113</v>
      </c>
      <c r="Q299" s="12" t="s">
        <v>36</v>
      </c>
      <c r="R299" s="12" t="s">
        <v>48</v>
      </c>
      <c r="S299" s="10" t="n">
        <v>1130101</v>
      </c>
      <c r="T299" s="12" t="s">
        <v>49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119</v>
      </c>
      <c r="F300" s="10" t="n">
        <v>24</v>
      </c>
      <c r="G300" s="12" t="s">
        <v>77</v>
      </c>
      <c r="H300" s="10" t="n">
        <v>2110101</v>
      </c>
      <c r="I300" s="12" t="s">
        <v>33</v>
      </c>
      <c r="J300" s="10" t="n">
        <v>1197746</v>
      </c>
      <c r="L300" s="10" t="n">
        <v>159710</v>
      </c>
      <c r="M300" s="12" t="s">
        <v>83</v>
      </c>
      <c r="N300" s="12" t="s">
        <v>35</v>
      </c>
      <c r="P300" s="10" t="n">
        <v>113</v>
      </c>
      <c r="Q300" s="12" t="s">
        <v>36</v>
      </c>
      <c r="R300" s="12" t="s">
        <v>48</v>
      </c>
      <c r="S300" s="10" t="n">
        <v>1130101</v>
      </c>
      <c r="T300" s="12" t="s">
        <v>49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77</v>
      </c>
      <c r="H301" s="10" t="n">
        <v>2110101</v>
      </c>
      <c r="I301" s="12" t="s">
        <v>33</v>
      </c>
      <c r="J301" s="10" t="n">
        <v>1235244</v>
      </c>
      <c r="L301" s="10" t="n">
        <v>1235911</v>
      </c>
      <c r="M301" s="12" t="s">
        <v>83</v>
      </c>
      <c r="N301" s="12" t="s">
        <v>54</v>
      </c>
      <c r="P301" s="10" t="n">
        <v>113</v>
      </c>
      <c r="Q301" s="12" t="s">
        <v>36</v>
      </c>
      <c r="R301" s="12" t="s">
        <v>48</v>
      </c>
      <c r="S301" s="10" t="n">
        <v>1130101</v>
      </c>
      <c r="T301" s="12" t="s">
        <v>49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77</v>
      </c>
      <c r="H302" s="10" t="n">
        <v>2110101</v>
      </c>
      <c r="I302" s="12" t="s">
        <v>33</v>
      </c>
      <c r="J302" s="10" t="n">
        <v>1236954</v>
      </c>
      <c r="L302" s="10" t="n">
        <v>581432</v>
      </c>
      <c r="M302" s="12" t="s">
        <v>83</v>
      </c>
      <c r="N302" s="12" t="s">
        <v>54</v>
      </c>
      <c r="P302" s="10" t="n">
        <v>113</v>
      </c>
      <c r="Q302" s="12" t="s">
        <v>36</v>
      </c>
      <c r="R302" s="12" t="s">
        <v>48</v>
      </c>
      <c r="S302" s="10" t="n">
        <v>1130101</v>
      </c>
      <c r="T302" s="12" t="s">
        <v>49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194</v>
      </c>
      <c r="F303" s="10" t="n">
        <v>24</v>
      </c>
      <c r="G303" s="12" t="s">
        <v>77</v>
      </c>
      <c r="H303" s="10" t="n">
        <v>2110101</v>
      </c>
      <c r="I303" s="12" t="s">
        <v>33</v>
      </c>
      <c r="J303" s="10" t="n">
        <v>1241529</v>
      </c>
      <c r="L303" s="10" t="n">
        <v>664</v>
      </c>
      <c r="M303" s="12" t="s">
        <v>83</v>
      </c>
      <c r="N303" s="12" t="s">
        <v>54</v>
      </c>
      <c r="P303" s="10" t="n">
        <v>113</v>
      </c>
      <c r="Q303" s="12" t="s">
        <v>36</v>
      </c>
      <c r="R303" s="12" t="s">
        <v>48</v>
      </c>
      <c r="S303" s="10" t="n">
        <v>1130101</v>
      </c>
      <c r="T303" s="12" t="s">
        <v>49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92</v>
      </c>
      <c r="F304" s="10" t="n">
        <v>24</v>
      </c>
      <c r="G304" s="12" t="s">
        <v>77</v>
      </c>
      <c r="H304" s="10" t="n">
        <v>2110101</v>
      </c>
      <c r="I304" s="12" t="s">
        <v>33</v>
      </c>
      <c r="J304" s="10" t="n">
        <v>1241587</v>
      </c>
      <c r="L304" s="10" t="n">
        <v>3741</v>
      </c>
      <c r="M304" s="12" t="s">
        <v>83</v>
      </c>
      <c r="N304" s="12" t="s">
        <v>54</v>
      </c>
      <c r="P304" s="10" t="n">
        <v>113</v>
      </c>
      <c r="Q304" s="12" t="s">
        <v>36</v>
      </c>
      <c r="R304" s="12" t="s">
        <v>48</v>
      </c>
      <c r="S304" s="10" t="n">
        <v>1130101</v>
      </c>
      <c r="T304" s="12" t="s">
        <v>49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126</v>
      </c>
      <c r="F305" s="10" t="n">
        <v>24</v>
      </c>
      <c r="G305" s="12" t="s">
        <v>77</v>
      </c>
      <c r="H305" s="10" t="n">
        <v>2110101</v>
      </c>
      <c r="I305" s="12" t="s">
        <v>33</v>
      </c>
      <c r="J305" s="10" t="n">
        <v>1241605</v>
      </c>
      <c r="L305" s="10" t="n">
        <v>30896</v>
      </c>
      <c r="M305" s="12" t="s">
        <v>83</v>
      </c>
      <c r="N305" s="12" t="s">
        <v>54</v>
      </c>
      <c r="P305" s="10" t="n">
        <v>113</v>
      </c>
      <c r="Q305" s="12" t="s">
        <v>36</v>
      </c>
      <c r="R305" s="12" t="s">
        <v>48</v>
      </c>
      <c r="S305" s="10" t="n">
        <v>1130101</v>
      </c>
      <c r="T305" s="12" t="s">
        <v>49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77</v>
      </c>
      <c r="H306" s="10" t="n">
        <v>2110101</v>
      </c>
      <c r="I306" s="12" t="s">
        <v>33</v>
      </c>
      <c r="J306" s="10" t="n">
        <v>1244221</v>
      </c>
      <c r="L306" s="10" t="n">
        <v>1415530</v>
      </c>
      <c r="M306" s="12" t="s">
        <v>83</v>
      </c>
      <c r="N306" s="12" t="s">
        <v>54</v>
      </c>
      <c r="P306" s="10" t="n">
        <v>113</v>
      </c>
      <c r="Q306" s="12" t="s">
        <v>36</v>
      </c>
      <c r="R306" s="12" t="s">
        <v>48</v>
      </c>
      <c r="S306" s="10" t="n">
        <v>1130101</v>
      </c>
      <c r="T306" s="12" t="s">
        <v>49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77</v>
      </c>
      <c r="H307" s="10" t="n">
        <v>2110101</v>
      </c>
      <c r="I307" s="12" t="s">
        <v>33</v>
      </c>
      <c r="J307" s="10" t="n">
        <v>1255250</v>
      </c>
      <c r="L307" s="10" t="n">
        <v>1415529</v>
      </c>
      <c r="M307" s="12" t="s">
        <v>83</v>
      </c>
      <c r="N307" s="12" t="s">
        <v>54</v>
      </c>
      <c r="P307" s="10" t="n">
        <v>113</v>
      </c>
      <c r="Q307" s="12" t="s">
        <v>36</v>
      </c>
      <c r="R307" s="12" t="s">
        <v>48</v>
      </c>
      <c r="S307" s="10" t="n">
        <v>1130101</v>
      </c>
      <c r="T307" s="12" t="s">
        <v>49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201</v>
      </c>
      <c r="F308" s="10" t="n">
        <v>24</v>
      </c>
      <c r="G308" s="12" t="s">
        <v>77</v>
      </c>
      <c r="H308" s="10" t="n">
        <v>2110101</v>
      </c>
      <c r="I308" s="12" t="s">
        <v>33</v>
      </c>
      <c r="J308" s="10" t="n">
        <v>1136027</v>
      </c>
      <c r="L308" s="10" t="n">
        <v>1659538</v>
      </c>
      <c r="M308" s="12" t="s">
        <v>62</v>
      </c>
      <c r="N308" s="12" t="s">
        <v>54</v>
      </c>
      <c r="P308" s="10" t="n">
        <v>113</v>
      </c>
      <c r="Q308" s="12" t="s">
        <v>36</v>
      </c>
      <c r="R308" s="12" t="s">
        <v>48</v>
      </c>
      <c r="S308" s="10" t="n">
        <v>1130101</v>
      </c>
      <c r="T308" s="12" t="s">
        <v>49</v>
      </c>
      <c r="U308" s="13" t="n">
        <v>1041.87</v>
      </c>
      <c r="W308" s="13" t="n">
        <v>0</v>
      </c>
      <c r="X308" s="12" t="s">
        <v>202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204</v>
      </c>
      <c r="F309" s="10" t="n">
        <v>24</v>
      </c>
      <c r="G309" s="12" t="s">
        <v>77</v>
      </c>
      <c r="H309" s="10" t="n">
        <v>2110101</v>
      </c>
      <c r="I309" s="12" t="s">
        <v>33</v>
      </c>
      <c r="J309" s="10" t="n">
        <v>1137727</v>
      </c>
      <c r="L309" s="10" t="n">
        <v>407270</v>
      </c>
      <c r="M309" s="12" t="s">
        <v>62</v>
      </c>
      <c r="N309" s="12" t="s">
        <v>54</v>
      </c>
      <c r="P309" s="10" t="n">
        <v>113</v>
      </c>
      <c r="Q309" s="12" t="s">
        <v>36</v>
      </c>
      <c r="R309" s="12" t="s">
        <v>48</v>
      </c>
      <c r="S309" s="10" t="n">
        <v>1130101</v>
      </c>
      <c r="T309" s="12" t="s">
        <v>49</v>
      </c>
      <c r="U309" s="13" t="n">
        <v>639.85</v>
      </c>
      <c r="W309" s="13" t="n">
        <v>0</v>
      </c>
      <c r="X309" s="12" t="s">
        <v>205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82</v>
      </c>
      <c r="F310" s="10" t="n">
        <v>24</v>
      </c>
      <c r="G310" s="12" t="s">
        <v>77</v>
      </c>
      <c r="H310" s="10" t="n">
        <v>2110101</v>
      </c>
      <c r="I310" s="12" t="s">
        <v>33</v>
      </c>
      <c r="J310" s="10" t="n">
        <v>1206563</v>
      </c>
      <c r="L310" s="10" t="n">
        <v>160682</v>
      </c>
      <c r="M310" s="12" t="s">
        <v>83</v>
      </c>
      <c r="N310" s="12" t="s">
        <v>35</v>
      </c>
      <c r="P310" s="10" t="n">
        <v>113</v>
      </c>
      <c r="Q310" s="12" t="s">
        <v>36</v>
      </c>
      <c r="R310" s="12" t="s">
        <v>48</v>
      </c>
      <c r="S310" s="10" t="n">
        <v>1130101</v>
      </c>
      <c r="T310" s="12" t="s">
        <v>49</v>
      </c>
      <c r="U310" s="13" t="n">
        <v>392.24</v>
      </c>
      <c r="W310" s="13" t="n">
        <v>0</v>
      </c>
      <c r="X310" s="12" t="s">
        <v>334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179</v>
      </c>
      <c r="F311" s="10" t="n">
        <v>24</v>
      </c>
      <c r="G311" s="12" t="s">
        <v>77</v>
      </c>
      <c r="H311" s="10" t="n">
        <v>2110101</v>
      </c>
      <c r="I311" s="12" t="s">
        <v>33</v>
      </c>
      <c r="J311" s="10" t="n">
        <v>1206913</v>
      </c>
      <c r="L311" s="10" t="n">
        <v>195681</v>
      </c>
      <c r="M311" s="12" t="s">
        <v>83</v>
      </c>
      <c r="N311" s="12" t="s">
        <v>54</v>
      </c>
      <c r="P311" s="10" t="n">
        <v>113</v>
      </c>
      <c r="Q311" s="12" t="s">
        <v>36</v>
      </c>
      <c r="R311" s="12" t="s">
        <v>48</v>
      </c>
      <c r="S311" s="10" t="n">
        <v>1130101</v>
      </c>
      <c r="T311" s="12" t="s">
        <v>49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199</v>
      </c>
      <c r="F312" s="10" t="n">
        <v>24</v>
      </c>
      <c r="G312" s="12" t="s">
        <v>77</v>
      </c>
      <c r="H312" s="10" t="n">
        <v>2110101</v>
      </c>
      <c r="I312" s="12" t="s">
        <v>33</v>
      </c>
      <c r="J312" s="10" t="n">
        <v>1231901</v>
      </c>
      <c r="L312" s="10" t="n">
        <v>670477</v>
      </c>
      <c r="M312" s="12" t="s">
        <v>62</v>
      </c>
      <c r="N312" s="12" t="s">
        <v>54</v>
      </c>
      <c r="P312" s="10" t="n">
        <v>113</v>
      </c>
      <c r="Q312" s="12" t="s">
        <v>36</v>
      </c>
      <c r="R312" s="12" t="s">
        <v>48</v>
      </c>
      <c r="S312" s="10" t="n">
        <v>1130101</v>
      </c>
      <c r="T312" s="12" t="s">
        <v>49</v>
      </c>
      <c r="U312" s="13" t="n">
        <v>238.4</v>
      </c>
      <c r="W312" s="13" t="n">
        <v>0</v>
      </c>
      <c r="X312" s="12" t="s">
        <v>341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210</v>
      </c>
      <c r="F313" s="10" t="n">
        <v>24</v>
      </c>
      <c r="G313" s="12" t="s">
        <v>77</v>
      </c>
      <c r="H313" s="10" t="n">
        <v>2110101</v>
      </c>
      <c r="I313" s="12" t="s">
        <v>33</v>
      </c>
      <c r="J313" s="10" t="n">
        <v>1241572</v>
      </c>
      <c r="L313" s="10" t="n">
        <v>1026809</v>
      </c>
      <c r="M313" s="12" t="s">
        <v>83</v>
      </c>
      <c r="N313" s="12" t="s">
        <v>54</v>
      </c>
      <c r="P313" s="10" t="n">
        <v>113</v>
      </c>
      <c r="Q313" s="12" t="s">
        <v>36</v>
      </c>
      <c r="R313" s="12" t="s">
        <v>48</v>
      </c>
      <c r="S313" s="10" t="n">
        <v>1130101</v>
      </c>
      <c r="T313" s="12" t="s">
        <v>49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77</v>
      </c>
      <c r="H314" s="10" t="n">
        <v>2110101</v>
      </c>
      <c r="I314" s="12" t="s">
        <v>33</v>
      </c>
      <c r="J314" s="10" t="n">
        <v>1244029</v>
      </c>
      <c r="L314" s="10" t="n">
        <v>51542</v>
      </c>
      <c r="M314" s="12" t="s">
        <v>83</v>
      </c>
      <c r="N314" s="12" t="s">
        <v>54</v>
      </c>
      <c r="P314" s="10" t="n">
        <v>113</v>
      </c>
      <c r="Q314" s="12" t="s">
        <v>36</v>
      </c>
      <c r="R314" s="12" t="s">
        <v>48</v>
      </c>
      <c r="S314" s="10" t="n">
        <v>1130101</v>
      </c>
      <c r="T314" s="12" t="s">
        <v>49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212</v>
      </c>
      <c r="F315" s="10" t="n">
        <v>24</v>
      </c>
      <c r="G315" s="12" t="s">
        <v>77</v>
      </c>
      <c r="H315" s="10" t="n">
        <v>2110101</v>
      </c>
      <c r="I315" s="12" t="s">
        <v>33</v>
      </c>
      <c r="J315" s="10" t="n">
        <v>1257356</v>
      </c>
      <c r="L315" s="10" t="n">
        <v>854255</v>
      </c>
      <c r="M315" s="12" t="s">
        <v>83</v>
      </c>
      <c r="N315" s="12" t="s">
        <v>54</v>
      </c>
      <c r="P315" s="10" t="n">
        <v>113</v>
      </c>
      <c r="Q315" s="12" t="s">
        <v>36</v>
      </c>
      <c r="R315" s="12" t="s">
        <v>48</v>
      </c>
      <c r="S315" s="10" t="n">
        <v>1130101</v>
      </c>
      <c r="T315" s="12" t="s">
        <v>49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212</v>
      </c>
      <c r="F316" s="10" t="n">
        <v>24</v>
      </c>
      <c r="G316" s="12" t="s">
        <v>77</v>
      </c>
      <c r="H316" s="10" t="n">
        <v>2110101</v>
      </c>
      <c r="I316" s="12" t="s">
        <v>33</v>
      </c>
      <c r="J316" s="10" t="n">
        <v>1257380</v>
      </c>
      <c r="L316" s="10" t="n">
        <v>167674</v>
      </c>
      <c r="M316" s="12" t="s">
        <v>83</v>
      </c>
      <c r="N316" s="12" t="s">
        <v>35</v>
      </c>
      <c r="P316" s="10" t="n">
        <v>113</v>
      </c>
      <c r="Q316" s="12" t="s">
        <v>36</v>
      </c>
      <c r="R316" s="12" t="s">
        <v>48</v>
      </c>
      <c r="S316" s="10" t="n">
        <v>1130101</v>
      </c>
      <c r="T316" s="12" t="s">
        <v>49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97</v>
      </c>
      <c r="H317" s="10" t="n">
        <v>2110405</v>
      </c>
      <c r="I317" s="12" t="s">
        <v>41</v>
      </c>
      <c r="J317" s="10" t="n">
        <v>1261590</v>
      </c>
      <c r="L317" s="10" t="n">
        <v>526</v>
      </c>
      <c r="M317" s="12" t="s">
        <v>83</v>
      </c>
      <c r="N317" s="12" t="s">
        <v>35</v>
      </c>
      <c r="P317" s="10" t="n">
        <v>101</v>
      </c>
      <c r="Q317" s="12" t="s">
        <v>42</v>
      </c>
      <c r="R317" s="12" t="s">
        <v>100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97</v>
      </c>
      <c r="H318" s="10" t="n">
        <v>2110405</v>
      </c>
      <c r="I318" s="12" t="s">
        <v>41</v>
      </c>
      <c r="J318" s="10" t="n">
        <v>1261594</v>
      </c>
      <c r="L318" s="10" t="n">
        <v>168352</v>
      </c>
      <c r="M318" s="12" t="s">
        <v>83</v>
      </c>
      <c r="N318" s="12" t="s">
        <v>35</v>
      </c>
      <c r="P318" s="10" t="n">
        <v>101</v>
      </c>
      <c r="Q318" s="12" t="s">
        <v>42</v>
      </c>
      <c r="R318" s="12" t="s">
        <v>100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272</v>
      </c>
      <c r="F319" s="10" t="n">
        <v>34</v>
      </c>
      <c r="G319" s="12" t="s">
        <v>97</v>
      </c>
      <c r="H319" s="10" t="n">
        <v>2110405</v>
      </c>
      <c r="I319" s="12" t="s">
        <v>41</v>
      </c>
      <c r="J319" s="10" t="n">
        <v>1273759</v>
      </c>
      <c r="L319" s="10" t="n">
        <v>168794</v>
      </c>
      <c r="M319" s="12" t="s">
        <v>83</v>
      </c>
      <c r="N319" s="12" t="s">
        <v>35</v>
      </c>
      <c r="P319" s="10" t="n">
        <v>101</v>
      </c>
      <c r="Q319" s="12" t="s">
        <v>42</v>
      </c>
      <c r="R319" s="12" t="s">
        <v>109</v>
      </c>
      <c r="S319" s="10" t="n">
        <v>1240203</v>
      </c>
      <c r="T319" s="12" t="s">
        <v>110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97</v>
      </c>
      <c r="H320" s="10" t="n">
        <v>1110203</v>
      </c>
      <c r="I320" s="12" t="s">
        <v>108</v>
      </c>
      <c r="J320" s="10" t="n">
        <v>1441327</v>
      </c>
      <c r="L320" s="10" t="n">
        <v>194956</v>
      </c>
      <c r="M320" s="12" t="s">
        <v>83</v>
      </c>
      <c r="N320" s="12" t="s">
        <v>35</v>
      </c>
      <c r="P320" s="10" t="n">
        <v>101</v>
      </c>
      <c r="Q320" s="12" t="s">
        <v>42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77</v>
      </c>
      <c r="H321" s="10" t="n">
        <v>1110203</v>
      </c>
      <c r="I321" s="12" t="s">
        <v>108</v>
      </c>
      <c r="J321" s="10" t="n">
        <v>1441337</v>
      </c>
      <c r="L321" s="10" t="n">
        <v>194959</v>
      </c>
      <c r="M321" s="12" t="s">
        <v>83</v>
      </c>
      <c r="N321" s="12" t="s">
        <v>35</v>
      </c>
      <c r="P321" s="10" t="n">
        <v>101</v>
      </c>
      <c r="Q321" s="12" t="s">
        <v>42</v>
      </c>
      <c r="R321" s="12" t="s">
        <v>43</v>
      </c>
      <c r="S321" s="10" t="n">
        <v>4220199</v>
      </c>
      <c r="T321" s="12" t="s">
        <v>44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139</v>
      </c>
      <c r="F322" s="10" t="n">
        <v>34</v>
      </c>
      <c r="G322" s="12" t="s">
        <v>97</v>
      </c>
      <c r="H322" s="10" t="n">
        <v>1110203</v>
      </c>
      <c r="I322" s="12" t="s">
        <v>108</v>
      </c>
      <c r="J322" s="10" t="n">
        <v>1441360</v>
      </c>
      <c r="L322" s="10" t="n">
        <v>194966</v>
      </c>
      <c r="M322" s="12" t="s">
        <v>83</v>
      </c>
      <c r="N322" s="12" t="s">
        <v>35</v>
      </c>
      <c r="P322" s="10" t="n">
        <v>101</v>
      </c>
      <c r="Q322" s="12" t="s">
        <v>42</v>
      </c>
      <c r="R322" s="12" t="s">
        <v>43</v>
      </c>
      <c r="S322" s="10" t="n">
        <v>4220199</v>
      </c>
      <c r="T322" s="12" t="s">
        <v>44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240</v>
      </c>
      <c r="F323" s="10" t="n">
        <v>24</v>
      </c>
      <c r="G323" s="12" t="s">
        <v>77</v>
      </c>
      <c r="H323" s="10" t="n">
        <v>2110405</v>
      </c>
      <c r="I323" s="12" t="s">
        <v>41</v>
      </c>
      <c r="J323" s="10" t="n">
        <v>689660</v>
      </c>
      <c r="L323" s="10" t="n">
        <v>88110</v>
      </c>
      <c r="M323" s="12" t="s">
        <v>74</v>
      </c>
      <c r="N323" s="12" t="s">
        <v>35</v>
      </c>
      <c r="P323" s="10" t="n">
        <v>101</v>
      </c>
      <c r="Q323" s="12" t="s">
        <v>42</v>
      </c>
      <c r="R323" s="12" t="s">
        <v>43</v>
      </c>
      <c r="S323" s="10" t="n">
        <v>4220199</v>
      </c>
      <c r="T323" s="12" t="s">
        <v>44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164</v>
      </c>
      <c r="F324" s="10" t="n">
        <v>24</v>
      </c>
      <c r="G324" s="12" t="s">
        <v>77</v>
      </c>
      <c r="H324" s="10" t="n">
        <v>2110101</v>
      </c>
      <c r="I324" s="12" t="s">
        <v>33</v>
      </c>
      <c r="J324" s="10" t="n">
        <v>1221500</v>
      </c>
      <c r="L324" s="10" t="n">
        <v>385542</v>
      </c>
      <c r="M324" s="12" t="s">
        <v>74</v>
      </c>
      <c r="N324" s="12" t="s">
        <v>54</v>
      </c>
      <c r="P324" s="10" t="n">
        <v>113</v>
      </c>
      <c r="Q324" s="12" t="s">
        <v>36</v>
      </c>
      <c r="R324" s="12" t="s">
        <v>48</v>
      </c>
      <c r="S324" s="10" t="n">
        <v>1130101</v>
      </c>
      <c r="T324" s="12" t="s">
        <v>49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77</v>
      </c>
      <c r="H325" s="10" t="n">
        <v>2110405</v>
      </c>
      <c r="I325" s="12" t="s">
        <v>41</v>
      </c>
      <c r="J325" s="10" t="n">
        <v>1226755</v>
      </c>
      <c r="L325" s="10" t="n">
        <v>163134</v>
      </c>
      <c r="M325" s="12" t="s">
        <v>83</v>
      </c>
      <c r="N325" s="12" t="s">
        <v>35</v>
      </c>
      <c r="P325" s="10" t="n">
        <v>101</v>
      </c>
      <c r="Q325" s="12" t="s">
        <v>42</v>
      </c>
      <c r="R325" s="12" t="s">
        <v>100</v>
      </c>
      <c r="S325" s="10" t="n">
        <v>4210315</v>
      </c>
      <c r="T325" s="12" t="s">
        <v>257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77</v>
      </c>
      <c r="H326" s="10" t="n">
        <v>2110101</v>
      </c>
      <c r="I326" s="12" t="s">
        <v>33</v>
      </c>
      <c r="J326" s="10" t="n">
        <v>1236453</v>
      </c>
      <c r="L326" s="10" t="n">
        <v>18534</v>
      </c>
      <c r="M326" s="12" t="s">
        <v>74</v>
      </c>
      <c r="N326" s="12" t="s">
        <v>54</v>
      </c>
      <c r="P326" s="10" t="n">
        <v>113</v>
      </c>
      <c r="Q326" s="12" t="s">
        <v>36</v>
      </c>
      <c r="R326" s="12" t="s">
        <v>48</v>
      </c>
      <c r="S326" s="10" t="n">
        <v>1130101</v>
      </c>
      <c r="T326" s="12" t="s">
        <v>49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272</v>
      </c>
      <c r="F327" s="10" t="n">
        <v>34</v>
      </c>
      <c r="G327" s="12" t="s">
        <v>97</v>
      </c>
      <c r="H327" s="10" t="n">
        <v>1110203</v>
      </c>
      <c r="I327" s="12" t="s">
        <v>108</v>
      </c>
      <c r="J327" s="10" t="n">
        <v>1435885</v>
      </c>
      <c r="L327" s="10" t="n">
        <v>193998</v>
      </c>
      <c r="M327" s="12" t="s">
        <v>83</v>
      </c>
      <c r="N327" s="12" t="s">
        <v>35</v>
      </c>
      <c r="P327" s="10" t="n">
        <v>101</v>
      </c>
      <c r="Q327" s="12" t="s">
        <v>42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77</v>
      </c>
      <c r="H328" s="10" t="n">
        <v>2110405</v>
      </c>
      <c r="I328" s="12" t="s">
        <v>41</v>
      </c>
      <c r="J328" s="10" t="n">
        <v>998934</v>
      </c>
      <c r="L328" s="10" t="n">
        <v>132143</v>
      </c>
      <c r="M328" s="12" t="s">
        <v>74</v>
      </c>
      <c r="N328" s="12" t="s">
        <v>35</v>
      </c>
      <c r="P328" s="10" t="n">
        <v>101</v>
      </c>
      <c r="Q328" s="12" t="s">
        <v>42</v>
      </c>
      <c r="R328" s="12" t="s">
        <v>56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88</v>
      </c>
      <c r="F329" s="10" t="n">
        <v>24</v>
      </c>
      <c r="G329" s="12" t="s">
        <v>77</v>
      </c>
      <c r="H329" s="10" t="n">
        <v>2110101</v>
      </c>
      <c r="I329" s="12" t="s">
        <v>33</v>
      </c>
      <c r="J329" s="10" t="n">
        <v>1138305</v>
      </c>
      <c r="L329" s="10" t="n">
        <v>151113</v>
      </c>
      <c r="M329" s="12" t="s">
        <v>83</v>
      </c>
      <c r="N329" s="12" t="s">
        <v>35</v>
      </c>
      <c r="P329" s="10" t="n">
        <v>113</v>
      </c>
      <c r="Q329" s="12" t="s">
        <v>36</v>
      </c>
      <c r="R329" s="12" t="s">
        <v>48</v>
      </c>
      <c r="S329" s="10" t="n">
        <v>1130101</v>
      </c>
      <c r="T329" s="12" t="s">
        <v>49</v>
      </c>
      <c r="U329" s="13" t="n">
        <v>1095.36</v>
      </c>
      <c r="W329" s="13" t="n">
        <v>0</v>
      </c>
      <c r="X329" s="12" t="s">
        <v>89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201</v>
      </c>
      <c r="F330" s="10" t="n">
        <v>24</v>
      </c>
      <c r="G330" s="12" t="s">
        <v>77</v>
      </c>
      <c r="H330" s="10" t="n">
        <v>2110101</v>
      </c>
      <c r="I330" s="12" t="s">
        <v>33</v>
      </c>
      <c r="J330" s="10" t="n">
        <v>1138325</v>
      </c>
      <c r="L330" s="10" t="n">
        <v>1660317</v>
      </c>
      <c r="M330" s="12" t="s">
        <v>83</v>
      </c>
      <c r="N330" s="12" t="s">
        <v>54</v>
      </c>
      <c r="P330" s="10" t="n">
        <v>113</v>
      </c>
      <c r="Q330" s="12" t="s">
        <v>36</v>
      </c>
      <c r="R330" s="12" t="s">
        <v>48</v>
      </c>
      <c r="S330" s="10" t="n">
        <v>1130101</v>
      </c>
      <c r="T330" s="12" t="s">
        <v>49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208</v>
      </c>
      <c r="F331" s="10" t="n">
        <v>24</v>
      </c>
      <c r="G331" s="12" t="s">
        <v>77</v>
      </c>
      <c r="H331" s="10" t="n">
        <v>2110101</v>
      </c>
      <c r="I331" s="12" t="s">
        <v>33</v>
      </c>
      <c r="J331" s="10" t="n">
        <v>1222609</v>
      </c>
      <c r="L331" s="10" t="n">
        <v>303660</v>
      </c>
      <c r="M331" s="12" t="s">
        <v>74</v>
      </c>
      <c r="N331" s="12" t="s">
        <v>54</v>
      </c>
      <c r="P331" s="10" t="n">
        <v>113</v>
      </c>
      <c r="Q331" s="12" t="s">
        <v>36</v>
      </c>
      <c r="R331" s="12" t="s">
        <v>48</v>
      </c>
      <c r="S331" s="10" t="n">
        <v>1130101</v>
      </c>
      <c r="T331" s="12" t="s">
        <v>49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272</v>
      </c>
      <c r="F332" s="10" t="n">
        <v>34</v>
      </c>
      <c r="G332" s="12" t="s">
        <v>97</v>
      </c>
      <c r="H332" s="10" t="n">
        <v>2110405</v>
      </c>
      <c r="I332" s="12" t="s">
        <v>41</v>
      </c>
      <c r="J332" s="10" t="n">
        <v>1223649</v>
      </c>
      <c r="L332" s="10" t="n">
        <v>162751</v>
      </c>
      <c r="M332" s="12" t="s">
        <v>83</v>
      </c>
      <c r="N332" s="12" t="s">
        <v>35</v>
      </c>
      <c r="P332" s="10" t="n">
        <v>101</v>
      </c>
      <c r="Q332" s="12" t="s">
        <v>42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206</v>
      </c>
      <c r="F333" s="10" t="n">
        <v>24</v>
      </c>
      <c r="G333" s="12" t="s">
        <v>77</v>
      </c>
      <c r="H333" s="10" t="n">
        <v>2110101</v>
      </c>
      <c r="I333" s="12" t="s">
        <v>33</v>
      </c>
      <c r="J333" s="10" t="n">
        <v>1231220</v>
      </c>
      <c r="L333" s="10" t="n">
        <v>163837</v>
      </c>
      <c r="M333" s="12" t="s">
        <v>83</v>
      </c>
      <c r="N333" s="12" t="s">
        <v>35</v>
      </c>
      <c r="P333" s="10" t="n">
        <v>113</v>
      </c>
      <c r="Q333" s="12" t="s">
        <v>36</v>
      </c>
      <c r="R333" s="12" t="s">
        <v>48</v>
      </c>
      <c r="S333" s="10" t="n">
        <v>1130101</v>
      </c>
      <c r="T333" s="12" t="s">
        <v>49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201</v>
      </c>
      <c r="F334" s="10" t="n">
        <v>24</v>
      </c>
      <c r="G334" s="12" t="s">
        <v>77</v>
      </c>
      <c r="H334" s="10" t="n">
        <v>2110101</v>
      </c>
      <c r="I334" s="12" t="s">
        <v>33</v>
      </c>
      <c r="J334" s="10" t="n">
        <v>1240331</v>
      </c>
      <c r="L334" s="10" t="n">
        <v>1672321</v>
      </c>
      <c r="M334" s="12" t="s">
        <v>83</v>
      </c>
      <c r="N334" s="12" t="s">
        <v>54</v>
      </c>
      <c r="P334" s="10" t="n">
        <v>113</v>
      </c>
      <c r="Q334" s="12" t="s">
        <v>36</v>
      </c>
      <c r="R334" s="12" t="s">
        <v>48</v>
      </c>
      <c r="S334" s="10" t="n">
        <v>1130101</v>
      </c>
      <c r="T334" s="12" t="s">
        <v>49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77</v>
      </c>
      <c r="H335" s="10" t="n">
        <v>2110101</v>
      </c>
      <c r="I335" s="12" t="s">
        <v>33</v>
      </c>
      <c r="J335" s="10" t="n">
        <v>1241752</v>
      </c>
      <c r="L335" s="10" t="n">
        <v>165604</v>
      </c>
      <c r="M335" s="12" t="s">
        <v>83</v>
      </c>
      <c r="N335" s="12" t="s">
        <v>35</v>
      </c>
      <c r="P335" s="10" t="n">
        <v>113</v>
      </c>
      <c r="Q335" s="12" t="s">
        <v>36</v>
      </c>
      <c r="R335" s="12" t="s">
        <v>48</v>
      </c>
      <c r="S335" s="10" t="n">
        <v>1130101</v>
      </c>
      <c r="T335" s="12" t="s">
        <v>49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77</v>
      </c>
      <c r="H336" s="10" t="n">
        <v>2110405</v>
      </c>
      <c r="I336" s="12" t="s">
        <v>41</v>
      </c>
      <c r="J336" s="10" t="n">
        <v>1256786</v>
      </c>
      <c r="L336" s="10" t="n">
        <v>892</v>
      </c>
      <c r="M336" s="12" t="s">
        <v>83</v>
      </c>
      <c r="N336" s="12" t="s">
        <v>35</v>
      </c>
      <c r="P336" s="10" t="n">
        <v>101</v>
      </c>
      <c r="Q336" s="12" t="s">
        <v>42</v>
      </c>
      <c r="R336" s="12" t="s">
        <v>100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92</v>
      </c>
      <c r="F337" s="10" t="n">
        <v>24</v>
      </c>
      <c r="G337" s="12" t="s">
        <v>77</v>
      </c>
      <c r="H337" s="10" t="n">
        <v>2110101</v>
      </c>
      <c r="I337" s="12" t="s">
        <v>33</v>
      </c>
      <c r="J337" s="10" t="n">
        <v>1261465</v>
      </c>
      <c r="L337" s="10" t="n">
        <v>3777</v>
      </c>
      <c r="M337" s="12" t="s">
        <v>83</v>
      </c>
      <c r="N337" s="12" t="s">
        <v>54</v>
      </c>
      <c r="P337" s="10" t="n">
        <v>113</v>
      </c>
      <c r="Q337" s="12" t="s">
        <v>36</v>
      </c>
      <c r="R337" s="12" t="s">
        <v>48</v>
      </c>
      <c r="S337" s="10" t="n">
        <v>1130101</v>
      </c>
      <c r="T337" s="12" t="s">
        <v>49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220</v>
      </c>
      <c r="F338" s="10" t="n">
        <v>34</v>
      </c>
      <c r="G338" s="12" t="s">
        <v>97</v>
      </c>
      <c r="H338" s="10" t="n">
        <v>2110101</v>
      </c>
      <c r="I338" s="12" t="s">
        <v>33</v>
      </c>
      <c r="J338" s="10" t="n">
        <v>1266335</v>
      </c>
      <c r="L338" s="10" t="n">
        <v>304</v>
      </c>
      <c r="M338" s="12" t="s">
        <v>83</v>
      </c>
      <c r="N338" s="12" t="s">
        <v>54</v>
      </c>
      <c r="P338" s="10" t="n">
        <v>113</v>
      </c>
      <c r="Q338" s="12" t="s">
        <v>36</v>
      </c>
      <c r="R338" s="12" t="s">
        <v>48</v>
      </c>
      <c r="S338" s="10" t="n">
        <v>1130101</v>
      </c>
      <c r="T338" s="12" t="s">
        <v>49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97</v>
      </c>
      <c r="H339" s="10" t="n">
        <v>2110405</v>
      </c>
      <c r="I339" s="12" t="s">
        <v>41</v>
      </c>
      <c r="J339" s="10" t="n">
        <v>1289674</v>
      </c>
      <c r="L339" s="10" t="n">
        <v>172324</v>
      </c>
      <c r="M339" s="12" t="s">
        <v>83</v>
      </c>
      <c r="N339" s="12" t="s">
        <v>35</v>
      </c>
      <c r="P339" s="10" t="n">
        <v>102</v>
      </c>
      <c r="Q339" s="12" t="s">
        <v>282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132</v>
      </c>
      <c r="F340" s="10" t="n">
        <v>13</v>
      </c>
      <c r="G340" s="12" t="s">
        <v>133</v>
      </c>
      <c r="H340" s="10" t="n">
        <v>2110101</v>
      </c>
      <c r="I340" s="12" t="s">
        <v>33</v>
      </c>
      <c r="J340" s="10" t="n">
        <v>1289851</v>
      </c>
      <c r="L340" s="10" t="n">
        <v>2503</v>
      </c>
      <c r="M340" s="12" t="s">
        <v>83</v>
      </c>
      <c r="N340" s="12" t="s">
        <v>54</v>
      </c>
      <c r="P340" s="10" t="n">
        <v>113</v>
      </c>
      <c r="Q340" s="12" t="s">
        <v>36</v>
      </c>
      <c r="R340" s="12" t="s">
        <v>48</v>
      </c>
      <c r="S340" s="10" t="n">
        <v>1130101</v>
      </c>
      <c r="T340" s="12" t="s">
        <v>49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132</v>
      </c>
      <c r="F341" s="10" t="n">
        <v>13</v>
      </c>
      <c r="G341" s="12" t="s">
        <v>133</v>
      </c>
      <c r="H341" s="10" t="n">
        <v>2110101</v>
      </c>
      <c r="I341" s="12" t="s">
        <v>33</v>
      </c>
      <c r="J341" s="10" t="n">
        <v>1289925</v>
      </c>
      <c r="L341" s="10" t="n">
        <v>2504</v>
      </c>
      <c r="M341" s="12" t="s">
        <v>83</v>
      </c>
      <c r="N341" s="12" t="s">
        <v>54</v>
      </c>
      <c r="P341" s="10" t="n">
        <v>113</v>
      </c>
      <c r="Q341" s="12" t="s">
        <v>36</v>
      </c>
      <c r="R341" s="12" t="s">
        <v>48</v>
      </c>
      <c r="S341" s="10" t="n">
        <v>1130101</v>
      </c>
      <c r="T341" s="12" t="s">
        <v>49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139</v>
      </c>
      <c r="F342" s="10" t="n">
        <v>13</v>
      </c>
      <c r="G342" s="12" t="s">
        <v>133</v>
      </c>
      <c r="H342" s="10" t="n">
        <v>2110101</v>
      </c>
      <c r="I342" s="12" t="s">
        <v>33</v>
      </c>
      <c r="J342" s="10" t="n">
        <v>1289935</v>
      </c>
      <c r="L342" s="10" t="n">
        <v>172325</v>
      </c>
      <c r="M342" s="12" t="s">
        <v>83</v>
      </c>
      <c r="N342" s="12" t="s">
        <v>35</v>
      </c>
      <c r="P342" s="10" t="n">
        <v>113</v>
      </c>
      <c r="Q342" s="12" t="s">
        <v>36</v>
      </c>
      <c r="R342" s="12" t="s">
        <v>48</v>
      </c>
      <c r="S342" s="10" t="n">
        <v>1130101</v>
      </c>
      <c r="T342" s="12" t="s">
        <v>49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185</v>
      </c>
      <c r="F343" s="10" t="n">
        <v>34</v>
      </c>
      <c r="G343" s="12" t="s">
        <v>97</v>
      </c>
      <c r="H343" s="10" t="n">
        <v>4210227</v>
      </c>
      <c r="I343" s="12" t="s">
        <v>63</v>
      </c>
      <c r="J343" s="10" t="n">
        <v>1290710</v>
      </c>
      <c r="L343" s="10" t="n">
        <v>172606</v>
      </c>
      <c r="M343" s="12" t="s">
        <v>83</v>
      </c>
      <c r="N343" s="12" t="s">
        <v>35</v>
      </c>
      <c r="P343" s="10" t="n">
        <v>101</v>
      </c>
      <c r="Q343" s="12" t="s">
        <v>42</v>
      </c>
      <c r="R343" s="12" t="s">
        <v>56</v>
      </c>
      <c r="S343" s="10" t="n">
        <v>4210232</v>
      </c>
      <c r="T343" s="12" t="s">
        <v>286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97</v>
      </c>
      <c r="H344" s="10" t="n">
        <v>2110101</v>
      </c>
      <c r="I344" s="12" t="s">
        <v>33</v>
      </c>
      <c r="J344" s="10" t="n">
        <v>1299376</v>
      </c>
      <c r="L344" s="10" t="n">
        <v>173992</v>
      </c>
      <c r="M344" s="12" t="s">
        <v>83</v>
      </c>
      <c r="N344" s="12" t="s">
        <v>35</v>
      </c>
      <c r="P344" s="10" t="n">
        <v>113</v>
      </c>
      <c r="Q344" s="12" t="s">
        <v>36</v>
      </c>
      <c r="R344" s="12" t="s">
        <v>48</v>
      </c>
      <c r="S344" s="10" t="n">
        <v>1130101</v>
      </c>
      <c r="T344" s="12" t="s">
        <v>49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133</v>
      </c>
      <c r="H345" s="10" t="n">
        <v>2110101</v>
      </c>
      <c r="I345" s="12" t="s">
        <v>33</v>
      </c>
      <c r="J345" s="10" t="n">
        <v>1300830</v>
      </c>
      <c r="L345" s="10" t="n">
        <v>10</v>
      </c>
      <c r="M345" s="12" t="s">
        <v>83</v>
      </c>
      <c r="N345" s="12" t="s">
        <v>54</v>
      </c>
      <c r="P345" s="10" t="n">
        <v>113</v>
      </c>
      <c r="Q345" s="12" t="s">
        <v>36</v>
      </c>
      <c r="R345" s="12" t="s">
        <v>48</v>
      </c>
      <c r="S345" s="10" t="n">
        <v>1130101</v>
      </c>
      <c r="T345" s="12" t="s">
        <v>49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133</v>
      </c>
      <c r="H346" s="10" t="n">
        <v>2110101</v>
      </c>
      <c r="I346" s="12" t="s">
        <v>33</v>
      </c>
      <c r="J346" s="10" t="n">
        <v>1300844</v>
      </c>
      <c r="L346" s="10" t="n">
        <v>11</v>
      </c>
      <c r="M346" s="12" t="s">
        <v>83</v>
      </c>
      <c r="N346" s="12" t="s">
        <v>54</v>
      </c>
      <c r="P346" s="10" t="n">
        <v>113</v>
      </c>
      <c r="Q346" s="12" t="s">
        <v>36</v>
      </c>
      <c r="R346" s="12" t="s">
        <v>48</v>
      </c>
      <c r="S346" s="10" t="n">
        <v>1130101</v>
      </c>
      <c r="T346" s="12" t="s">
        <v>49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133</v>
      </c>
      <c r="H347" s="10" t="n">
        <v>2110101</v>
      </c>
      <c r="I347" s="12" t="s">
        <v>33</v>
      </c>
      <c r="J347" s="10" t="n">
        <v>1300868</v>
      </c>
      <c r="L347" s="10" t="n">
        <v>12</v>
      </c>
      <c r="M347" s="12" t="s">
        <v>83</v>
      </c>
      <c r="N347" s="12" t="s">
        <v>54</v>
      </c>
      <c r="P347" s="10" t="n">
        <v>113</v>
      </c>
      <c r="Q347" s="12" t="s">
        <v>36</v>
      </c>
      <c r="R347" s="12" t="s">
        <v>48</v>
      </c>
      <c r="S347" s="10" t="n">
        <v>1130101</v>
      </c>
      <c r="T347" s="12" t="s">
        <v>49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143</v>
      </c>
      <c r="F348" s="10" t="n">
        <v>34</v>
      </c>
      <c r="G348" s="12" t="s">
        <v>97</v>
      </c>
      <c r="H348" s="10" t="n">
        <v>1110202</v>
      </c>
      <c r="I348" s="12" t="s">
        <v>346</v>
      </c>
      <c r="J348" s="10" t="n">
        <v>1340445</v>
      </c>
      <c r="L348" s="10" t="n">
        <v>179892</v>
      </c>
      <c r="M348" s="12" t="s">
        <v>83</v>
      </c>
      <c r="N348" s="12" t="s">
        <v>35</v>
      </c>
      <c r="P348" s="10" t="n">
        <v>102</v>
      </c>
      <c r="Q348" s="12" t="s">
        <v>282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185</v>
      </c>
      <c r="F349" s="10" t="n">
        <v>34</v>
      </c>
      <c r="G349" s="12" t="s">
        <v>97</v>
      </c>
      <c r="H349" s="10" t="n">
        <v>4210227</v>
      </c>
      <c r="I349" s="12" t="s">
        <v>63</v>
      </c>
      <c r="J349" s="10" t="n">
        <v>1290710</v>
      </c>
      <c r="L349" s="10" t="n">
        <v>172606</v>
      </c>
      <c r="M349" s="12" t="s">
        <v>74</v>
      </c>
      <c r="N349" s="12" t="s">
        <v>35</v>
      </c>
      <c r="P349" s="10" t="n">
        <v>102</v>
      </c>
      <c r="Q349" s="12" t="s">
        <v>282</v>
      </c>
      <c r="R349" s="12" t="s">
        <v>56</v>
      </c>
      <c r="S349" s="10" t="n">
        <v>4210232</v>
      </c>
      <c r="T349" s="12" t="s">
        <v>286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117</v>
      </c>
      <c r="F350" s="10" t="n">
        <v>24</v>
      </c>
      <c r="G350" s="12" t="s">
        <v>77</v>
      </c>
      <c r="H350" s="10" t="n">
        <v>2110101</v>
      </c>
      <c r="I350" s="12" t="s">
        <v>33</v>
      </c>
      <c r="J350" s="10" t="n">
        <v>1197279</v>
      </c>
      <c r="L350" s="10" t="n">
        <v>517670</v>
      </c>
      <c r="M350" s="12" t="s">
        <v>83</v>
      </c>
      <c r="N350" s="12" t="s">
        <v>54</v>
      </c>
      <c r="P350" s="10" t="n">
        <v>113</v>
      </c>
      <c r="Q350" s="12" t="s">
        <v>36</v>
      </c>
      <c r="R350" s="12" t="s">
        <v>48</v>
      </c>
      <c r="S350" s="10" t="n">
        <v>1130101</v>
      </c>
      <c r="T350" s="12" t="s">
        <v>49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119</v>
      </c>
      <c r="F351" s="10" t="n">
        <v>24</v>
      </c>
      <c r="G351" s="12" t="s">
        <v>77</v>
      </c>
      <c r="H351" s="10" t="n">
        <v>2110101</v>
      </c>
      <c r="I351" s="12" t="s">
        <v>33</v>
      </c>
      <c r="J351" s="10" t="n">
        <v>1222933</v>
      </c>
      <c r="L351" s="10" t="n">
        <v>162649</v>
      </c>
      <c r="M351" s="12" t="s">
        <v>83</v>
      </c>
      <c r="N351" s="12" t="s">
        <v>35</v>
      </c>
      <c r="P351" s="10" t="n">
        <v>113</v>
      </c>
      <c r="Q351" s="12" t="s">
        <v>36</v>
      </c>
      <c r="R351" s="12" t="s">
        <v>48</v>
      </c>
      <c r="S351" s="10" t="n">
        <v>1130101</v>
      </c>
      <c r="T351" s="12" t="s">
        <v>49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119</v>
      </c>
      <c r="F352" s="10" t="n">
        <v>24</v>
      </c>
      <c r="G352" s="12" t="s">
        <v>77</v>
      </c>
      <c r="H352" s="10" t="n">
        <v>2110101</v>
      </c>
      <c r="I352" s="12" t="s">
        <v>33</v>
      </c>
      <c r="J352" s="10" t="n">
        <v>1222988</v>
      </c>
      <c r="L352" s="10" t="n">
        <v>1868653</v>
      </c>
      <c r="M352" s="12" t="s">
        <v>83</v>
      </c>
      <c r="N352" s="12" t="s">
        <v>54</v>
      </c>
      <c r="P352" s="10" t="n">
        <v>113</v>
      </c>
      <c r="Q352" s="12" t="s">
        <v>36</v>
      </c>
      <c r="R352" s="12" t="s">
        <v>48</v>
      </c>
      <c r="S352" s="10" t="n">
        <v>1130101</v>
      </c>
      <c r="T352" s="12" t="s">
        <v>49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166</v>
      </c>
      <c r="F353" s="10" t="n">
        <v>24</v>
      </c>
      <c r="G353" s="12" t="s">
        <v>77</v>
      </c>
      <c r="H353" s="10" t="n">
        <v>2110101</v>
      </c>
      <c r="I353" s="12" t="s">
        <v>33</v>
      </c>
      <c r="J353" s="10" t="n">
        <v>1227446</v>
      </c>
      <c r="L353" s="10" t="n">
        <v>20868</v>
      </c>
      <c r="M353" s="12" t="s">
        <v>83</v>
      </c>
      <c r="N353" s="12" t="s">
        <v>54</v>
      </c>
      <c r="P353" s="10" t="n">
        <v>113</v>
      </c>
      <c r="Q353" s="12" t="s">
        <v>36</v>
      </c>
      <c r="R353" s="12" t="s">
        <v>48</v>
      </c>
      <c r="S353" s="10" t="n">
        <v>1130101</v>
      </c>
      <c r="T353" s="12" t="s">
        <v>49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117</v>
      </c>
      <c r="F354" s="10" t="n">
        <v>24</v>
      </c>
      <c r="G354" s="12" t="s">
        <v>77</v>
      </c>
      <c r="H354" s="10" t="n">
        <v>2110101</v>
      </c>
      <c r="I354" s="12" t="s">
        <v>33</v>
      </c>
      <c r="J354" s="10" t="n">
        <v>1231128</v>
      </c>
      <c r="L354" s="10" t="n">
        <v>518105</v>
      </c>
      <c r="M354" s="12" t="s">
        <v>83</v>
      </c>
      <c r="N354" s="12" t="s">
        <v>54</v>
      </c>
      <c r="P354" s="10" t="n">
        <v>113</v>
      </c>
      <c r="Q354" s="12" t="s">
        <v>36</v>
      </c>
      <c r="R354" s="12" t="s">
        <v>48</v>
      </c>
      <c r="S354" s="10" t="n">
        <v>1130101</v>
      </c>
      <c r="T354" s="12" t="s">
        <v>49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332</v>
      </c>
      <c r="F355" s="10" t="n">
        <v>24</v>
      </c>
      <c r="G355" s="12" t="s">
        <v>77</v>
      </c>
      <c r="H355" s="10" t="n">
        <v>2110101</v>
      </c>
      <c r="I355" s="12" t="s">
        <v>33</v>
      </c>
      <c r="J355" s="10" t="n">
        <v>1257108</v>
      </c>
      <c r="L355" s="10" t="n">
        <v>171507</v>
      </c>
      <c r="M355" s="12" t="s">
        <v>83</v>
      </c>
      <c r="N355" s="12" t="s">
        <v>54</v>
      </c>
      <c r="P355" s="10" t="n">
        <v>113</v>
      </c>
      <c r="Q355" s="12" t="s">
        <v>36</v>
      </c>
      <c r="R355" s="12" t="s">
        <v>48</v>
      </c>
      <c r="S355" s="10" t="n">
        <v>1130101</v>
      </c>
      <c r="T355" s="12" t="s">
        <v>49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194</v>
      </c>
      <c r="F356" s="10" t="n">
        <v>24</v>
      </c>
      <c r="G356" s="12" t="s">
        <v>77</v>
      </c>
      <c r="H356" s="10" t="n">
        <v>2110101</v>
      </c>
      <c r="I356" s="12" t="s">
        <v>33</v>
      </c>
      <c r="J356" s="10" t="n">
        <v>1264871</v>
      </c>
      <c r="L356" s="10" t="n">
        <v>669</v>
      </c>
      <c r="M356" s="12" t="s">
        <v>83</v>
      </c>
      <c r="N356" s="12" t="s">
        <v>54</v>
      </c>
      <c r="P356" s="10" t="n">
        <v>113</v>
      </c>
      <c r="Q356" s="12" t="s">
        <v>36</v>
      </c>
      <c r="R356" s="12" t="s">
        <v>48</v>
      </c>
      <c r="S356" s="10" t="n">
        <v>1130101</v>
      </c>
      <c r="T356" s="12" t="s">
        <v>49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123</v>
      </c>
      <c r="F357" s="10" t="n">
        <v>24</v>
      </c>
      <c r="G357" s="12" t="s">
        <v>77</v>
      </c>
      <c r="H357" s="10" t="n">
        <v>2110101</v>
      </c>
      <c r="I357" s="12" t="s">
        <v>33</v>
      </c>
      <c r="J357" s="10" t="n">
        <v>1269061</v>
      </c>
      <c r="L357" s="10" t="n">
        <v>729265</v>
      </c>
      <c r="M357" s="12" t="s">
        <v>83</v>
      </c>
      <c r="N357" s="12" t="s">
        <v>54</v>
      </c>
      <c r="P357" s="10" t="n">
        <v>113</v>
      </c>
      <c r="Q357" s="12" t="s">
        <v>36</v>
      </c>
      <c r="R357" s="12" t="s">
        <v>48</v>
      </c>
      <c r="S357" s="10" t="n">
        <v>1130101</v>
      </c>
      <c r="T357" s="12" t="s">
        <v>49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130</v>
      </c>
      <c r="F358" s="10" t="n">
        <v>24</v>
      </c>
      <c r="G358" s="12" t="s">
        <v>77</v>
      </c>
      <c r="H358" s="10" t="n">
        <v>2110101</v>
      </c>
      <c r="I358" s="12" t="s">
        <v>33</v>
      </c>
      <c r="J358" s="10" t="n">
        <v>1289127</v>
      </c>
      <c r="L358" s="10" t="n">
        <v>504</v>
      </c>
      <c r="M358" s="12" t="s">
        <v>83</v>
      </c>
      <c r="N358" s="12" t="s">
        <v>54</v>
      </c>
      <c r="P358" s="10" t="n">
        <v>113</v>
      </c>
      <c r="Q358" s="12" t="s">
        <v>36</v>
      </c>
      <c r="R358" s="12" t="s">
        <v>48</v>
      </c>
      <c r="S358" s="10" t="n">
        <v>1130101</v>
      </c>
      <c r="T358" s="12" t="s">
        <v>49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96</v>
      </c>
      <c r="F359" s="10" t="n">
        <v>34</v>
      </c>
      <c r="G359" s="12" t="s">
        <v>97</v>
      </c>
      <c r="H359" s="10" t="n">
        <v>2110101</v>
      </c>
      <c r="I359" s="12" t="s">
        <v>33</v>
      </c>
      <c r="J359" s="10" t="n">
        <v>1289205</v>
      </c>
      <c r="L359" s="10" t="n">
        <v>315</v>
      </c>
      <c r="M359" s="12" t="s">
        <v>83</v>
      </c>
      <c r="N359" s="12" t="s">
        <v>54</v>
      </c>
      <c r="P359" s="10" t="n">
        <v>113</v>
      </c>
      <c r="Q359" s="12" t="s">
        <v>36</v>
      </c>
      <c r="R359" s="12" t="s">
        <v>48</v>
      </c>
      <c r="S359" s="10" t="n">
        <v>1130101</v>
      </c>
      <c r="T359" s="12" t="s">
        <v>49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143</v>
      </c>
      <c r="F360" s="10" t="n">
        <v>34</v>
      </c>
      <c r="G360" s="12" t="s">
        <v>97</v>
      </c>
      <c r="H360" s="10" t="n">
        <v>2110405</v>
      </c>
      <c r="I360" s="12" t="s">
        <v>41</v>
      </c>
      <c r="J360" s="10" t="n">
        <v>1295567</v>
      </c>
      <c r="L360" s="10" t="n">
        <v>173441</v>
      </c>
      <c r="M360" s="12" t="s">
        <v>83</v>
      </c>
      <c r="N360" s="12" t="s">
        <v>35</v>
      </c>
      <c r="P360" s="10" t="n">
        <v>101</v>
      </c>
      <c r="Q360" s="12" t="s">
        <v>42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132</v>
      </c>
      <c r="F361" s="10" t="n">
        <v>34</v>
      </c>
      <c r="G361" s="12" t="s">
        <v>97</v>
      </c>
      <c r="H361" s="10" t="n">
        <v>2110101</v>
      </c>
      <c r="I361" s="12" t="s">
        <v>33</v>
      </c>
      <c r="J361" s="10" t="n">
        <v>1295652</v>
      </c>
      <c r="L361" s="10" t="n">
        <v>2507</v>
      </c>
      <c r="M361" s="12" t="s">
        <v>83</v>
      </c>
      <c r="N361" s="12" t="s">
        <v>54</v>
      </c>
      <c r="P361" s="10" t="n">
        <v>113</v>
      </c>
      <c r="Q361" s="12" t="s">
        <v>36</v>
      </c>
      <c r="R361" s="12" t="s">
        <v>48</v>
      </c>
      <c r="S361" s="10" t="n">
        <v>1130101</v>
      </c>
      <c r="T361" s="12" t="s">
        <v>49</v>
      </c>
      <c r="U361" s="13" t="n">
        <v>2140.44</v>
      </c>
      <c r="W361" s="13" t="n">
        <v>0</v>
      </c>
      <c r="X361" s="12" t="s">
        <v>221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139</v>
      </c>
      <c r="F362" s="10" t="n">
        <v>34</v>
      </c>
      <c r="G362" s="12" t="s">
        <v>97</v>
      </c>
      <c r="H362" s="10" t="n">
        <v>2110101</v>
      </c>
      <c r="I362" s="12" t="s">
        <v>33</v>
      </c>
      <c r="J362" s="10" t="n">
        <v>1295656</v>
      </c>
      <c r="L362" s="10" t="n">
        <v>173461</v>
      </c>
      <c r="M362" s="12" t="s">
        <v>83</v>
      </c>
      <c r="N362" s="12" t="s">
        <v>35</v>
      </c>
      <c r="P362" s="10" t="n">
        <v>113</v>
      </c>
      <c r="Q362" s="12" t="s">
        <v>36</v>
      </c>
      <c r="R362" s="12" t="s">
        <v>48</v>
      </c>
      <c r="S362" s="10" t="n">
        <v>1130101</v>
      </c>
      <c r="T362" s="12" t="s">
        <v>49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160</v>
      </c>
      <c r="F363" s="10" t="n">
        <v>24</v>
      </c>
      <c r="G363" s="12" t="s">
        <v>77</v>
      </c>
      <c r="H363" s="10" t="n">
        <v>2110101</v>
      </c>
      <c r="I363" s="12" t="s">
        <v>33</v>
      </c>
      <c r="J363" s="10" t="n">
        <v>1106692</v>
      </c>
      <c r="L363" s="10" t="n">
        <v>1952417</v>
      </c>
      <c r="M363" s="12" t="s">
        <v>71</v>
      </c>
      <c r="N363" s="12" t="s">
        <v>54</v>
      </c>
      <c r="P363" s="10" t="n">
        <v>113</v>
      </c>
      <c r="Q363" s="12" t="s">
        <v>36</v>
      </c>
      <c r="R363" s="12" t="s">
        <v>48</v>
      </c>
      <c r="S363" s="10" t="n">
        <v>1130101</v>
      </c>
      <c r="T363" s="12" t="s">
        <v>49</v>
      </c>
      <c r="U363" s="13" t="n">
        <v>1262.31</v>
      </c>
      <c r="W363" s="13" t="n">
        <v>0</v>
      </c>
      <c r="X363" s="12" t="s">
        <v>161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300</v>
      </c>
      <c r="F364" s="10" t="n">
        <v>24</v>
      </c>
      <c r="G364" s="12" t="s">
        <v>77</v>
      </c>
      <c r="H364" s="10" t="n">
        <v>2110101</v>
      </c>
      <c r="I364" s="12" t="s">
        <v>33</v>
      </c>
      <c r="J364" s="10" t="n">
        <v>1133230</v>
      </c>
      <c r="L364" s="10" t="n">
        <v>654829</v>
      </c>
      <c r="M364" s="12" t="s">
        <v>62</v>
      </c>
      <c r="N364" s="12" t="s">
        <v>54</v>
      </c>
      <c r="P364" s="10" t="n">
        <v>113</v>
      </c>
      <c r="Q364" s="12" t="s">
        <v>36</v>
      </c>
      <c r="R364" s="12" t="s">
        <v>48</v>
      </c>
      <c r="S364" s="10" t="n">
        <v>1130101</v>
      </c>
      <c r="T364" s="12" t="s">
        <v>49</v>
      </c>
      <c r="U364" s="13" t="n">
        <v>650</v>
      </c>
      <c r="W364" s="13" t="n">
        <v>0</v>
      </c>
      <c r="X364" s="12" t="s">
        <v>301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292</v>
      </c>
      <c r="F365" s="10" t="n">
        <v>24</v>
      </c>
      <c r="G365" s="12" t="s">
        <v>77</v>
      </c>
      <c r="H365" s="10" t="n">
        <v>2110101</v>
      </c>
      <c r="I365" s="12" t="s">
        <v>33</v>
      </c>
      <c r="J365" s="10" t="n">
        <v>1151538</v>
      </c>
      <c r="L365" s="10" t="n">
        <v>33745</v>
      </c>
      <c r="M365" s="12" t="s">
        <v>74</v>
      </c>
      <c r="N365" s="12" t="s">
        <v>54</v>
      </c>
      <c r="P365" s="10" t="n">
        <v>113</v>
      </c>
      <c r="Q365" s="12" t="s">
        <v>36</v>
      </c>
      <c r="R365" s="12" t="s">
        <v>48</v>
      </c>
      <c r="S365" s="10" t="n">
        <v>1130101</v>
      </c>
      <c r="T365" s="12" t="s">
        <v>49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88</v>
      </c>
      <c r="F366" s="10" t="n">
        <v>24</v>
      </c>
      <c r="G366" s="12" t="s">
        <v>77</v>
      </c>
      <c r="H366" s="10" t="n">
        <v>2110101</v>
      </c>
      <c r="I366" s="12" t="s">
        <v>33</v>
      </c>
      <c r="J366" s="10" t="n">
        <v>1157205</v>
      </c>
      <c r="L366" s="10" t="n">
        <v>153709</v>
      </c>
      <c r="M366" s="12" t="s">
        <v>83</v>
      </c>
      <c r="N366" s="12" t="s">
        <v>35</v>
      </c>
      <c r="P366" s="10" t="n">
        <v>113</v>
      </c>
      <c r="Q366" s="12" t="s">
        <v>36</v>
      </c>
      <c r="R366" s="12" t="s">
        <v>48</v>
      </c>
      <c r="S366" s="10" t="n">
        <v>1130101</v>
      </c>
      <c r="T366" s="12" t="s">
        <v>49</v>
      </c>
      <c r="U366" s="13" t="n">
        <v>635.45</v>
      </c>
      <c r="W366" s="13" t="n">
        <v>0</v>
      </c>
      <c r="X366" s="12" t="s">
        <v>304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292</v>
      </c>
      <c r="F367" s="10" t="n">
        <v>24</v>
      </c>
      <c r="G367" s="12" t="s">
        <v>77</v>
      </c>
      <c r="H367" s="10" t="n">
        <v>2110101</v>
      </c>
      <c r="I367" s="12" t="s">
        <v>33</v>
      </c>
      <c r="J367" s="10" t="n">
        <v>1157286</v>
      </c>
      <c r="L367" s="10" t="n">
        <v>153717</v>
      </c>
      <c r="M367" s="12" t="s">
        <v>83</v>
      </c>
      <c r="N367" s="12" t="s">
        <v>35</v>
      </c>
      <c r="P367" s="10" t="n">
        <v>113</v>
      </c>
      <c r="Q367" s="12" t="s">
        <v>36</v>
      </c>
      <c r="R367" s="12" t="s">
        <v>48</v>
      </c>
      <c r="S367" s="10" t="n">
        <v>1130101</v>
      </c>
      <c r="T367" s="12" t="s">
        <v>49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117</v>
      </c>
      <c r="F368" s="10" t="n">
        <v>24</v>
      </c>
      <c r="G368" s="12" t="s">
        <v>77</v>
      </c>
      <c r="H368" s="10" t="n">
        <v>2110101</v>
      </c>
      <c r="I368" s="12" t="s">
        <v>33</v>
      </c>
      <c r="J368" s="10" t="n">
        <v>1167024</v>
      </c>
      <c r="L368" s="10" t="n">
        <v>517177</v>
      </c>
      <c r="M368" s="12" t="s">
        <v>62</v>
      </c>
      <c r="N368" s="12" t="s">
        <v>54</v>
      </c>
      <c r="P368" s="10" t="n">
        <v>113</v>
      </c>
      <c r="Q368" s="12" t="s">
        <v>36</v>
      </c>
      <c r="R368" s="12" t="s">
        <v>48</v>
      </c>
      <c r="S368" s="10" t="n">
        <v>1130101</v>
      </c>
      <c r="T368" s="12" t="s">
        <v>49</v>
      </c>
      <c r="U368" s="13" t="n">
        <v>823.76</v>
      </c>
      <c r="W368" s="13" t="n">
        <v>0</v>
      </c>
      <c r="X368" s="12" t="s">
        <v>308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164</v>
      </c>
      <c r="F369" s="10" t="n">
        <v>24</v>
      </c>
      <c r="G369" s="12" t="s">
        <v>77</v>
      </c>
      <c r="H369" s="10" t="n">
        <v>2110101</v>
      </c>
      <c r="I369" s="12" t="s">
        <v>33</v>
      </c>
      <c r="J369" s="10" t="n">
        <v>1230947</v>
      </c>
      <c r="L369" s="10" t="n">
        <v>386175</v>
      </c>
      <c r="M369" s="12" t="s">
        <v>74</v>
      </c>
      <c r="N369" s="12" t="s">
        <v>54</v>
      </c>
      <c r="P369" s="10" t="n">
        <v>113</v>
      </c>
      <c r="Q369" s="12" t="s">
        <v>36</v>
      </c>
      <c r="R369" s="12" t="s">
        <v>48</v>
      </c>
      <c r="S369" s="10" t="n">
        <v>1130101</v>
      </c>
      <c r="T369" s="12" t="s">
        <v>49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250</v>
      </c>
      <c r="F370" s="10" t="n">
        <v>24</v>
      </c>
      <c r="G370" s="12" t="s">
        <v>77</v>
      </c>
      <c r="H370" s="10" t="n">
        <v>2110101</v>
      </c>
      <c r="I370" s="12" t="s">
        <v>33</v>
      </c>
      <c r="J370" s="10" t="n">
        <v>1231766</v>
      </c>
      <c r="L370" s="10" t="n">
        <v>34450</v>
      </c>
      <c r="M370" s="12" t="s">
        <v>83</v>
      </c>
      <c r="N370" s="12" t="s">
        <v>54</v>
      </c>
      <c r="P370" s="10" t="n">
        <v>113</v>
      </c>
      <c r="Q370" s="12" t="s">
        <v>36</v>
      </c>
      <c r="R370" s="12" t="s">
        <v>48</v>
      </c>
      <c r="S370" s="10" t="n">
        <v>1130101</v>
      </c>
      <c r="T370" s="12" t="s">
        <v>49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250</v>
      </c>
      <c r="F371" s="10" t="n">
        <v>24</v>
      </c>
      <c r="G371" s="12" t="s">
        <v>77</v>
      </c>
      <c r="H371" s="10" t="n">
        <v>2110101</v>
      </c>
      <c r="I371" s="12" t="s">
        <v>33</v>
      </c>
      <c r="J371" s="10" t="n">
        <v>1231774</v>
      </c>
      <c r="L371" s="10" t="n">
        <v>30199</v>
      </c>
      <c r="M371" s="12" t="s">
        <v>83</v>
      </c>
      <c r="N371" s="12" t="s">
        <v>54</v>
      </c>
      <c r="P371" s="10" t="n">
        <v>113</v>
      </c>
      <c r="Q371" s="12" t="s">
        <v>36</v>
      </c>
      <c r="R371" s="12" t="s">
        <v>48</v>
      </c>
      <c r="S371" s="10" t="n">
        <v>1130101</v>
      </c>
      <c r="T371" s="12" t="s">
        <v>49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77</v>
      </c>
      <c r="H372" s="10" t="n">
        <v>2110405</v>
      </c>
      <c r="I372" s="12" t="s">
        <v>41</v>
      </c>
      <c r="J372" s="10" t="n">
        <v>1232302</v>
      </c>
      <c r="L372" s="10" t="n">
        <v>164086</v>
      </c>
      <c r="M372" s="12" t="s">
        <v>83</v>
      </c>
      <c r="N372" s="12" t="s">
        <v>35</v>
      </c>
      <c r="P372" s="10" t="n">
        <v>113</v>
      </c>
      <c r="Q372" s="12" t="s">
        <v>36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77</v>
      </c>
      <c r="H373" s="10" t="n">
        <v>2110405</v>
      </c>
      <c r="I373" s="12" t="s">
        <v>41</v>
      </c>
      <c r="J373" s="10" t="n">
        <v>1232306</v>
      </c>
      <c r="L373" s="10" t="n">
        <v>164088</v>
      </c>
      <c r="M373" s="12" t="s">
        <v>83</v>
      </c>
      <c r="N373" s="12" t="s">
        <v>35</v>
      </c>
      <c r="P373" s="10" t="n">
        <v>113</v>
      </c>
      <c r="Q373" s="12" t="s">
        <v>36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77</v>
      </c>
      <c r="H374" s="10" t="n">
        <v>2110101</v>
      </c>
      <c r="I374" s="12" t="s">
        <v>33</v>
      </c>
      <c r="J374" s="10" t="n">
        <v>1236653</v>
      </c>
      <c r="L374" s="10" t="n">
        <v>253249</v>
      </c>
      <c r="M374" s="12" t="s">
        <v>83</v>
      </c>
      <c r="N374" s="12" t="s">
        <v>54</v>
      </c>
      <c r="P374" s="10" t="n">
        <v>113</v>
      </c>
      <c r="Q374" s="12" t="s">
        <v>36</v>
      </c>
      <c r="R374" s="12" t="s">
        <v>48</v>
      </c>
      <c r="S374" s="10" t="n">
        <v>1130101</v>
      </c>
      <c r="T374" s="12" t="s">
        <v>49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94</v>
      </c>
      <c r="F375" s="10" t="n">
        <v>24</v>
      </c>
      <c r="G375" s="12" t="s">
        <v>77</v>
      </c>
      <c r="H375" s="10" t="n">
        <v>2110101</v>
      </c>
      <c r="I375" s="12" t="s">
        <v>33</v>
      </c>
      <c r="J375" s="10" t="n">
        <v>1239822</v>
      </c>
      <c r="L375" s="10" t="n">
        <v>1595886</v>
      </c>
      <c r="M375" s="12" t="s">
        <v>83</v>
      </c>
      <c r="N375" s="12" t="s">
        <v>54</v>
      </c>
      <c r="P375" s="10" t="n">
        <v>113</v>
      </c>
      <c r="Q375" s="12" t="s">
        <v>36</v>
      </c>
      <c r="R375" s="12" t="s">
        <v>48</v>
      </c>
      <c r="S375" s="10" t="n">
        <v>1130101</v>
      </c>
      <c r="T375" s="12" t="s">
        <v>49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77</v>
      </c>
      <c r="H376" s="10" t="n">
        <v>2110101</v>
      </c>
      <c r="I376" s="12" t="s">
        <v>33</v>
      </c>
      <c r="J376" s="10" t="n">
        <v>1264865</v>
      </c>
      <c r="L376" s="10" t="n">
        <v>132836</v>
      </c>
      <c r="M376" s="12" t="s">
        <v>83</v>
      </c>
      <c r="N376" s="12" t="s">
        <v>54</v>
      </c>
      <c r="P376" s="10" t="n">
        <v>113</v>
      </c>
      <c r="Q376" s="12" t="s">
        <v>36</v>
      </c>
      <c r="R376" s="12" t="s">
        <v>48</v>
      </c>
      <c r="S376" s="10" t="n">
        <v>1130101</v>
      </c>
      <c r="T376" s="12" t="s">
        <v>49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188</v>
      </c>
      <c r="F377" s="10" t="n">
        <v>24</v>
      </c>
      <c r="G377" s="12" t="s">
        <v>77</v>
      </c>
      <c r="H377" s="10" t="n">
        <v>2110101</v>
      </c>
      <c r="I377" s="12" t="s">
        <v>33</v>
      </c>
      <c r="J377" s="10" t="n">
        <v>1265699</v>
      </c>
      <c r="L377" s="10" t="n">
        <v>3415</v>
      </c>
      <c r="M377" s="12" t="s">
        <v>83</v>
      </c>
      <c r="N377" s="12" t="s">
        <v>54</v>
      </c>
      <c r="P377" s="10" t="n">
        <v>113</v>
      </c>
      <c r="Q377" s="12" t="s">
        <v>36</v>
      </c>
      <c r="R377" s="12" t="s">
        <v>48</v>
      </c>
      <c r="S377" s="10" t="n">
        <v>1130101</v>
      </c>
      <c r="T377" s="12" t="s">
        <v>49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212</v>
      </c>
      <c r="F378" s="10" t="n">
        <v>24</v>
      </c>
      <c r="G378" s="12" t="s">
        <v>77</v>
      </c>
      <c r="H378" s="10" t="n">
        <v>2110101</v>
      </c>
      <c r="I378" s="12" t="s">
        <v>33</v>
      </c>
      <c r="J378" s="10" t="n">
        <v>1265880</v>
      </c>
      <c r="L378" s="10" t="n">
        <v>860219</v>
      </c>
      <c r="M378" s="12" t="s">
        <v>83</v>
      </c>
      <c r="N378" s="12" t="s">
        <v>54</v>
      </c>
      <c r="P378" s="10" t="n">
        <v>113</v>
      </c>
      <c r="Q378" s="12" t="s">
        <v>36</v>
      </c>
      <c r="R378" s="12" t="s">
        <v>48</v>
      </c>
      <c r="S378" s="10" t="n">
        <v>1130101</v>
      </c>
      <c r="T378" s="12" t="s">
        <v>49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212</v>
      </c>
      <c r="F379" s="10" t="n">
        <v>24</v>
      </c>
      <c r="G379" s="12" t="s">
        <v>77</v>
      </c>
      <c r="H379" s="10" t="n">
        <v>2110101</v>
      </c>
      <c r="I379" s="12" t="s">
        <v>33</v>
      </c>
      <c r="J379" s="10" t="n">
        <v>1265894</v>
      </c>
      <c r="L379" s="10" t="n">
        <v>168786</v>
      </c>
      <c r="M379" s="12" t="s">
        <v>83</v>
      </c>
      <c r="N379" s="12" t="s">
        <v>35</v>
      </c>
      <c r="P379" s="10" t="n">
        <v>113</v>
      </c>
      <c r="Q379" s="12" t="s">
        <v>36</v>
      </c>
      <c r="R379" s="12" t="s">
        <v>48</v>
      </c>
      <c r="S379" s="10" t="n">
        <v>1130101</v>
      </c>
      <c r="T379" s="12" t="s">
        <v>49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250</v>
      </c>
      <c r="F380" s="10" t="n">
        <v>24</v>
      </c>
      <c r="G380" s="12" t="s">
        <v>77</v>
      </c>
      <c r="H380" s="10" t="n">
        <v>2110101</v>
      </c>
      <c r="I380" s="12" t="s">
        <v>33</v>
      </c>
      <c r="J380" s="10" t="n">
        <v>1265917</v>
      </c>
      <c r="L380" s="10" t="n">
        <v>168787</v>
      </c>
      <c r="M380" s="12" t="s">
        <v>83</v>
      </c>
      <c r="N380" s="12" t="s">
        <v>35</v>
      </c>
      <c r="P380" s="10" t="n">
        <v>113</v>
      </c>
      <c r="Q380" s="12" t="s">
        <v>36</v>
      </c>
      <c r="R380" s="12" t="s">
        <v>48</v>
      </c>
      <c r="S380" s="10" t="n">
        <v>1130101</v>
      </c>
      <c r="T380" s="12" t="s">
        <v>49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154</v>
      </c>
      <c r="F381" s="10" t="n">
        <v>24</v>
      </c>
      <c r="G381" s="12" t="s">
        <v>77</v>
      </c>
      <c r="H381" s="10" t="n">
        <v>2110101</v>
      </c>
      <c r="I381" s="12" t="s">
        <v>33</v>
      </c>
      <c r="J381" s="10" t="n">
        <v>1266289</v>
      </c>
      <c r="L381" s="10" t="n">
        <v>346452</v>
      </c>
      <c r="M381" s="12" t="s">
        <v>83</v>
      </c>
      <c r="N381" s="12" t="s">
        <v>54</v>
      </c>
      <c r="P381" s="10" t="n">
        <v>113</v>
      </c>
      <c r="Q381" s="12" t="s">
        <v>36</v>
      </c>
      <c r="R381" s="12" t="s">
        <v>48</v>
      </c>
      <c r="S381" s="10" t="n">
        <v>1130101</v>
      </c>
      <c r="T381" s="12" t="s">
        <v>49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133</v>
      </c>
      <c r="H382" s="10" t="n">
        <v>2110101</v>
      </c>
      <c r="I382" s="12" t="s">
        <v>33</v>
      </c>
      <c r="J382" s="10" t="n">
        <v>1300876</v>
      </c>
      <c r="L382" s="10" t="n">
        <v>37</v>
      </c>
      <c r="M382" s="12" t="s">
        <v>83</v>
      </c>
      <c r="N382" s="12" t="s">
        <v>54</v>
      </c>
      <c r="P382" s="10" t="n">
        <v>113</v>
      </c>
      <c r="Q382" s="12" t="s">
        <v>36</v>
      </c>
      <c r="R382" s="12" t="s">
        <v>48</v>
      </c>
      <c r="S382" s="10" t="n">
        <v>1130101</v>
      </c>
      <c r="T382" s="12" t="s">
        <v>49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143</v>
      </c>
      <c r="F383" s="10" t="n">
        <v>34</v>
      </c>
      <c r="G383" s="12" t="s">
        <v>97</v>
      </c>
      <c r="H383" s="10" t="n">
        <v>2110405</v>
      </c>
      <c r="I383" s="12" t="s">
        <v>41</v>
      </c>
      <c r="J383" s="10" t="n">
        <v>1306305</v>
      </c>
      <c r="L383" s="10" t="n">
        <v>175071</v>
      </c>
      <c r="M383" s="12" t="s">
        <v>83</v>
      </c>
      <c r="N383" s="12" t="s">
        <v>35</v>
      </c>
      <c r="P383" s="10" t="n">
        <v>102</v>
      </c>
      <c r="Q383" s="12" t="s">
        <v>282</v>
      </c>
      <c r="R383" s="12" t="s">
        <v>144</v>
      </c>
      <c r="S383" s="10" t="n">
        <v>4210502</v>
      </c>
      <c r="T383" s="12" t="s">
        <v>243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Empréstimo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238</v>
      </c>
      <c r="F384" s="10" t="n">
        <v>11</v>
      </c>
      <c r="G384" s="12" t="s">
        <v>501</v>
      </c>
      <c r="H384" s="10" t="n">
        <v>2110405</v>
      </c>
      <c r="I384" s="12" t="s">
        <v>41</v>
      </c>
      <c r="J384" s="10" t="n">
        <v>1370536</v>
      </c>
      <c r="L384" s="10" t="n">
        <v>184296</v>
      </c>
      <c r="M384" s="12" t="s">
        <v>83</v>
      </c>
      <c r="N384" s="12" t="s">
        <v>35</v>
      </c>
      <c r="P384" s="10" t="n">
        <v>113</v>
      </c>
      <c r="Q384" s="12" t="s">
        <v>36</v>
      </c>
      <c r="R384" s="12" t="s">
        <v>100</v>
      </c>
      <c r="S384" s="10" t="n">
        <v>4210301</v>
      </c>
      <c r="T384" s="12" t="s">
        <v>230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41</v>
      </c>
      <c r="J385" s="10" t="n">
        <v>660305</v>
      </c>
      <c r="L385" s="10" t="n">
        <v>86116</v>
      </c>
      <c r="M385" s="12" t="s">
        <v>47</v>
      </c>
      <c r="N385" s="12" t="s">
        <v>35</v>
      </c>
      <c r="P385" s="10" t="n">
        <v>101</v>
      </c>
      <c r="Q385" s="12" t="s">
        <v>42</v>
      </c>
      <c r="R385" s="12" t="s">
        <v>43</v>
      </c>
      <c r="S385" s="10" t="n">
        <v>4220199</v>
      </c>
      <c r="T385" s="12" t="s">
        <v>44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41</v>
      </c>
      <c r="J386" s="10" t="n">
        <v>660421</v>
      </c>
      <c r="L386" s="10" t="n">
        <v>86128</v>
      </c>
      <c r="M386" s="12" t="s">
        <v>47</v>
      </c>
      <c r="N386" s="12" t="s">
        <v>35</v>
      </c>
      <c r="P386" s="10" t="n">
        <v>101</v>
      </c>
      <c r="Q386" s="12" t="s">
        <v>42</v>
      </c>
      <c r="R386" s="12" t="s">
        <v>43</v>
      </c>
      <c r="S386" s="10" t="n">
        <v>4220199</v>
      </c>
      <c r="T386" s="12" t="s">
        <v>44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201</v>
      </c>
      <c r="F387" s="10" t="n">
        <v>24</v>
      </c>
      <c r="G387" s="12" t="s">
        <v>77</v>
      </c>
      <c r="H387" s="10" t="n">
        <v>2110101</v>
      </c>
      <c r="I387" s="12" t="s">
        <v>33</v>
      </c>
      <c r="J387" s="10" t="n">
        <v>1167416</v>
      </c>
      <c r="L387" s="10" t="n">
        <v>1663000</v>
      </c>
      <c r="M387" s="12" t="s">
        <v>83</v>
      </c>
      <c r="N387" s="12" t="s">
        <v>54</v>
      </c>
      <c r="P387" s="10" t="n">
        <v>113</v>
      </c>
      <c r="Q387" s="12" t="s">
        <v>36</v>
      </c>
      <c r="R387" s="12" t="s">
        <v>48</v>
      </c>
      <c r="S387" s="10" t="n">
        <v>1130101</v>
      </c>
      <c r="T387" s="12" t="s">
        <v>49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175</v>
      </c>
      <c r="F388" s="10" t="n">
        <v>24</v>
      </c>
      <c r="G388" s="12" t="s">
        <v>77</v>
      </c>
      <c r="H388" s="10" t="n">
        <v>2110101</v>
      </c>
      <c r="I388" s="12" t="s">
        <v>33</v>
      </c>
      <c r="J388" s="10" t="n">
        <v>1236541</v>
      </c>
      <c r="L388" s="10" t="n">
        <v>843146</v>
      </c>
      <c r="M388" s="12" t="s">
        <v>83</v>
      </c>
      <c r="N388" s="12" t="s">
        <v>54</v>
      </c>
      <c r="P388" s="10" t="n">
        <v>113</v>
      </c>
      <c r="Q388" s="12" t="s">
        <v>36</v>
      </c>
      <c r="R388" s="12" t="s">
        <v>48</v>
      </c>
      <c r="S388" s="10" t="n">
        <v>1130101</v>
      </c>
      <c r="T388" s="12" t="s">
        <v>49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175</v>
      </c>
      <c r="F389" s="10" t="n">
        <v>24</v>
      </c>
      <c r="G389" s="12" t="s">
        <v>77</v>
      </c>
      <c r="H389" s="10" t="n">
        <v>2110101</v>
      </c>
      <c r="I389" s="12" t="s">
        <v>33</v>
      </c>
      <c r="J389" s="10" t="n">
        <v>1236598</v>
      </c>
      <c r="L389" s="10" t="n">
        <v>843147</v>
      </c>
      <c r="M389" s="12" t="s">
        <v>83</v>
      </c>
      <c r="N389" s="12" t="s">
        <v>54</v>
      </c>
      <c r="P389" s="10" t="n">
        <v>113</v>
      </c>
      <c r="Q389" s="12" t="s">
        <v>36</v>
      </c>
      <c r="R389" s="12" t="s">
        <v>48</v>
      </c>
      <c r="S389" s="10" t="n">
        <v>1130101</v>
      </c>
      <c r="T389" s="12" t="s">
        <v>49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85</v>
      </c>
      <c r="F390" s="10" t="n">
        <v>24</v>
      </c>
      <c r="G390" s="12" t="s">
        <v>77</v>
      </c>
      <c r="H390" s="10" t="n">
        <v>2110101</v>
      </c>
      <c r="I390" s="12" t="s">
        <v>33</v>
      </c>
      <c r="J390" s="10" t="n">
        <v>1236922</v>
      </c>
      <c r="L390" s="10" t="n">
        <v>164792</v>
      </c>
      <c r="M390" s="12" t="s">
        <v>83</v>
      </c>
      <c r="N390" s="12" t="s">
        <v>35</v>
      </c>
      <c r="P390" s="10" t="n">
        <v>113</v>
      </c>
      <c r="Q390" s="12" t="s">
        <v>36</v>
      </c>
      <c r="R390" s="12" t="s">
        <v>48</v>
      </c>
      <c r="S390" s="10" t="n">
        <v>1130101</v>
      </c>
      <c r="T390" s="12" t="s">
        <v>49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41</v>
      </c>
      <c r="J391" s="10" t="n">
        <v>1241390</v>
      </c>
      <c r="L391" s="10" t="n">
        <v>165525</v>
      </c>
      <c r="M391" s="12" t="s">
        <v>83</v>
      </c>
      <c r="N391" s="12" t="s">
        <v>35</v>
      </c>
      <c r="P391" s="10" t="n">
        <v>101</v>
      </c>
      <c r="Q391" s="12" t="s">
        <v>42</v>
      </c>
      <c r="R391" s="12" t="s">
        <v>43</v>
      </c>
      <c r="S391" s="10" t="n">
        <v>4220199</v>
      </c>
      <c r="T391" s="12" t="s">
        <v>44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80</v>
      </c>
      <c r="F392" s="10" t="n">
        <v>24</v>
      </c>
      <c r="G392" s="12" t="s">
        <v>77</v>
      </c>
      <c r="H392" s="10" t="n">
        <v>2110101</v>
      </c>
      <c r="I392" s="12" t="s">
        <v>33</v>
      </c>
      <c r="J392" s="10" t="n">
        <v>1241897</v>
      </c>
      <c r="L392" s="10" t="n">
        <v>645628</v>
      </c>
      <c r="M392" s="12" t="s">
        <v>83</v>
      </c>
      <c r="N392" s="12" t="s">
        <v>54</v>
      </c>
      <c r="P392" s="10" t="n">
        <v>113</v>
      </c>
      <c r="Q392" s="12" t="s">
        <v>36</v>
      </c>
      <c r="R392" s="12" t="s">
        <v>48</v>
      </c>
      <c r="S392" s="10" t="n">
        <v>1130101</v>
      </c>
      <c r="T392" s="12" t="s">
        <v>49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77</v>
      </c>
      <c r="H393" s="10" t="n">
        <v>2110101</v>
      </c>
      <c r="I393" s="12" t="s">
        <v>33</v>
      </c>
      <c r="J393" s="10" t="n">
        <v>1244221</v>
      </c>
      <c r="L393" s="10" t="n">
        <v>1415530</v>
      </c>
      <c r="M393" s="12" t="s">
        <v>74</v>
      </c>
      <c r="N393" s="12" t="s">
        <v>54</v>
      </c>
      <c r="P393" s="10" t="n">
        <v>113</v>
      </c>
      <c r="Q393" s="12" t="s">
        <v>36</v>
      </c>
      <c r="R393" s="12" t="s">
        <v>48</v>
      </c>
      <c r="S393" s="10" t="n">
        <v>1130101</v>
      </c>
      <c r="T393" s="12" t="s">
        <v>49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77</v>
      </c>
      <c r="H394" s="10" t="n">
        <v>2110101</v>
      </c>
      <c r="I394" s="12" t="s">
        <v>33</v>
      </c>
      <c r="J394" s="10" t="n">
        <v>1244274</v>
      </c>
      <c r="L394" s="10" t="n">
        <v>1601</v>
      </c>
      <c r="M394" s="12" t="s">
        <v>83</v>
      </c>
      <c r="N394" s="12" t="s">
        <v>54</v>
      </c>
      <c r="P394" s="10" t="n">
        <v>113</v>
      </c>
      <c r="Q394" s="12" t="s">
        <v>36</v>
      </c>
      <c r="R394" s="12" t="s">
        <v>48</v>
      </c>
      <c r="S394" s="10" t="n">
        <v>1130101</v>
      </c>
      <c r="T394" s="12" t="s">
        <v>49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77</v>
      </c>
      <c r="H395" s="10" t="n">
        <v>2110101</v>
      </c>
      <c r="I395" s="12" t="s">
        <v>33</v>
      </c>
      <c r="J395" s="10" t="n">
        <v>1255250</v>
      </c>
      <c r="L395" s="10" t="n">
        <v>1415529</v>
      </c>
      <c r="M395" s="12" t="s">
        <v>74</v>
      </c>
      <c r="N395" s="12" t="s">
        <v>54</v>
      </c>
      <c r="P395" s="10" t="n">
        <v>113</v>
      </c>
      <c r="Q395" s="12" t="s">
        <v>36</v>
      </c>
      <c r="R395" s="12" t="s">
        <v>48</v>
      </c>
      <c r="S395" s="10" t="n">
        <v>1130101</v>
      </c>
      <c r="T395" s="12" t="s">
        <v>49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156</v>
      </c>
      <c r="F396" s="10" t="n">
        <v>24</v>
      </c>
      <c r="G396" s="12" t="s">
        <v>77</v>
      </c>
      <c r="H396" s="10" t="n">
        <v>2110101</v>
      </c>
      <c r="I396" s="12" t="s">
        <v>33</v>
      </c>
      <c r="J396" s="10" t="n">
        <v>1255460</v>
      </c>
      <c r="L396" s="10" t="n">
        <v>1771887</v>
      </c>
      <c r="M396" s="12" t="s">
        <v>83</v>
      </c>
      <c r="N396" s="12" t="s">
        <v>54</v>
      </c>
      <c r="P396" s="10" t="n">
        <v>113</v>
      </c>
      <c r="Q396" s="12" t="s">
        <v>36</v>
      </c>
      <c r="R396" s="12" t="s">
        <v>48</v>
      </c>
      <c r="S396" s="10" t="n">
        <v>1130101</v>
      </c>
      <c r="T396" s="12" t="s">
        <v>49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164</v>
      </c>
      <c r="F397" s="10" t="n">
        <v>24</v>
      </c>
      <c r="G397" s="12" t="s">
        <v>77</v>
      </c>
      <c r="H397" s="10" t="n">
        <v>2110101</v>
      </c>
      <c r="I397" s="12" t="s">
        <v>33</v>
      </c>
      <c r="J397" s="10" t="n">
        <v>1269162</v>
      </c>
      <c r="L397" s="10" t="n">
        <v>387833</v>
      </c>
      <c r="M397" s="12" t="s">
        <v>83</v>
      </c>
      <c r="N397" s="12" t="s">
        <v>54</v>
      </c>
      <c r="P397" s="10" t="n">
        <v>113</v>
      </c>
      <c r="Q397" s="12" t="s">
        <v>36</v>
      </c>
      <c r="R397" s="12" t="s">
        <v>48</v>
      </c>
      <c r="S397" s="10" t="n">
        <v>1130101</v>
      </c>
      <c r="T397" s="12" t="s">
        <v>49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126</v>
      </c>
      <c r="F398" s="10" t="n">
        <v>24</v>
      </c>
      <c r="G398" s="12" t="s">
        <v>77</v>
      </c>
      <c r="H398" s="10" t="n">
        <v>2110101</v>
      </c>
      <c r="I398" s="12" t="s">
        <v>33</v>
      </c>
      <c r="J398" s="10" t="n">
        <v>1269843</v>
      </c>
      <c r="L398" s="10" t="n">
        <v>31025</v>
      </c>
      <c r="M398" s="12" t="s">
        <v>83</v>
      </c>
      <c r="N398" s="12" t="s">
        <v>54</v>
      </c>
      <c r="P398" s="10" t="n">
        <v>113</v>
      </c>
      <c r="Q398" s="12" t="s">
        <v>36</v>
      </c>
      <c r="R398" s="12" t="s">
        <v>48</v>
      </c>
      <c r="S398" s="10" t="n">
        <v>1130101</v>
      </c>
      <c r="T398" s="12" t="s">
        <v>49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248</v>
      </c>
      <c r="F399" s="10" t="n">
        <v>24</v>
      </c>
      <c r="G399" s="12" t="s">
        <v>77</v>
      </c>
      <c r="H399" s="10" t="n">
        <v>2110101</v>
      </c>
      <c r="I399" s="12" t="s">
        <v>33</v>
      </c>
      <c r="J399" s="10" t="n">
        <v>1270055</v>
      </c>
      <c r="L399" s="10" t="n">
        <v>14505</v>
      </c>
      <c r="M399" s="12" t="s">
        <v>83</v>
      </c>
      <c r="N399" s="12" t="s">
        <v>54</v>
      </c>
      <c r="P399" s="10" t="n">
        <v>113</v>
      </c>
      <c r="Q399" s="12" t="s">
        <v>36</v>
      </c>
      <c r="R399" s="12" t="s">
        <v>48</v>
      </c>
      <c r="S399" s="10" t="n">
        <v>1130101</v>
      </c>
      <c r="T399" s="12" t="s">
        <v>49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77</v>
      </c>
      <c r="H400" s="10" t="n">
        <v>2110101</v>
      </c>
      <c r="I400" s="12" t="s">
        <v>33</v>
      </c>
      <c r="J400" s="10" t="n">
        <v>1289354</v>
      </c>
      <c r="L400" s="10" t="n">
        <v>721</v>
      </c>
      <c r="M400" s="12" t="s">
        <v>83</v>
      </c>
      <c r="N400" s="12" t="s">
        <v>54</v>
      </c>
      <c r="P400" s="10" t="n">
        <v>113</v>
      </c>
      <c r="Q400" s="12" t="s">
        <v>36</v>
      </c>
      <c r="R400" s="12" t="s">
        <v>48</v>
      </c>
      <c r="S400" s="10" t="n">
        <v>1130101</v>
      </c>
      <c r="T400" s="12" t="s">
        <v>49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130</v>
      </c>
      <c r="F401" s="10" t="n">
        <v>24</v>
      </c>
      <c r="G401" s="12" t="s">
        <v>77</v>
      </c>
      <c r="H401" s="10" t="n">
        <v>2110101</v>
      </c>
      <c r="I401" s="12" t="s">
        <v>33</v>
      </c>
      <c r="J401" s="10" t="n">
        <v>1294252</v>
      </c>
      <c r="L401" s="10" t="n">
        <v>509</v>
      </c>
      <c r="M401" s="12" t="s">
        <v>83</v>
      </c>
      <c r="N401" s="12" t="s">
        <v>54</v>
      </c>
      <c r="P401" s="10" t="n">
        <v>113</v>
      </c>
      <c r="Q401" s="12" t="s">
        <v>36</v>
      </c>
      <c r="R401" s="12" t="s">
        <v>48</v>
      </c>
      <c r="S401" s="10" t="n">
        <v>1130101</v>
      </c>
      <c r="T401" s="12" t="s">
        <v>49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194</v>
      </c>
      <c r="F402" s="10" t="n">
        <v>24</v>
      </c>
      <c r="G402" s="12" t="s">
        <v>77</v>
      </c>
      <c r="H402" s="10" t="n">
        <v>2110101</v>
      </c>
      <c r="I402" s="12" t="s">
        <v>33</v>
      </c>
      <c r="J402" s="10" t="n">
        <v>1299215</v>
      </c>
      <c r="L402" s="10" t="n">
        <v>678</v>
      </c>
      <c r="M402" s="12" t="s">
        <v>83</v>
      </c>
      <c r="N402" s="12" t="s">
        <v>54</v>
      </c>
      <c r="P402" s="10" t="n">
        <v>113</v>
      </c>
      <c r="Q402" s="12" t="s">
        <v>36</v>
      </c>
      <c r="R402" s="12" t="s">
        <v>48</v>
      </c>
      <c r="S402" s="10" t="n">
        <v>1130101</v>
      </c>
      <c r="T402" s="12" t="s">
        <v>49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133</v>
      </c>
      <c r="H403" s="10" t="n">
        <v>2110101</v>
      </c>
      <c r="I403" s="12" t="s">
        <v>33</v>
      </c>
      <c r="J403" s="10" t="n">
        <v>1309637</v>
      </c>
      <c r="L403" s="10" t="n">
        <v>44</v>
      </c>
      <c r="M403" s="12" t="s">
        <v>83</v>
      </c>
      <c r="N403" s="12" t="s">
        <v>54</v>
      </c>
      <c r="P403" s="10" t="n">
        <v>113</v>
      </c>
      <c r="Q403" s="12" t="s">
        <v>36</v>
      </c>
      <c r="R403" s="12" t="s">
        <v>48</v>
      </c>
      <c r="S403" s="10" t="n">
        <v>1130101</v>
      </c>
      <c r="T403" s="12" t="s">
        <v>49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143</v>
      </c>
      <c r="F404" s="10" t="n">
        <v>34</v>
      </c>
      <c r="G404" s="12" t="s">
        <v>97</v>
      </c>
      <c r="H404" s="10" t="n">
        <v>1110203</v>
      </c>
      <c r="I404" s="12" t="s">
        <v>108</v>
      </c>
      <c r="J404" s="10" t="n">
        <v>1449408</v>
      </c>
      <c r="L404" s="10" t="n">
        <v>196231</v>
      </c>
      <c r="M404" s="12" t="s">
        <v>83</v>
      </c>
      <c r="N404" s="12" t="s">
        <v>35</v>
      </c>
      <c r="P404" s="10" t="n">
        <v>102</v>
      </c>
      <c r="Q404" s="12" t="s">
        <v>282</v>
      </c>
      <c r="R404" s="12" t="s">
        <v>144</v>
      </c>
      <c r="S404" s="10" t="n">
        <v>4210504</v>
      </c>
      <c r="T404" s="12" t="s">
        <v>149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143</v>
      </c>
      <c r="F405" s="10" t="n">
        <v>34</v>
      </c>
      <c r="G405" s="12" t="s">
        <v>97</v>
      </c>
      <c r="H405" s="10" t="n">
        <v>2110405</v>
      </c>
      <c r="I405" s="12" t="s">
        <v>41</v>
      </c>
      <c r="J405" s="10" t="n">
        <v>1012266</v>
      </c>
      <c r="L405" s="10" t="n">
        <v>133812</v>
      </c>
      <c r="M405" s="12" t="s">
        <v>47</v>
      </c>
      <c r="N405" s="12" t="s">
        <v>35</v>
      </c>
      <c r="P405" s="10" t="n">
        <v>101</v>
      </c>
      <c r="Q405" s="12" t="s">
        <v>42</v>
      </c>
      <c r="R405" s="12" t="s">
        <v>295</v>
      </c>
      <c r="S405" s="10" t="n">
        <v>2110901</v>
      </c>
      <c r="T405" s="12" t="s">
        <v>296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82</v>
      </c>
      <c r="F406" s="10" t="n">
        <v>24</v>
      </c>
      <c r="G406" s="12" t="s">
        <v>77</v>
      </c>
      <c r="H406" s="10" t="n">
        <v>2110101</v>
      </c>
      <c r="I406" s="12" t="s">
        <v>33</v>
      </c>
      <c r="J406" s="10" t="n">
        <v>1206566</v>
      </c>
      <c r="L406" s="10" t="n">
        <v>160684</v>
      </c>
      <c r="M406" s="12" t="s">
        <v>83</v>
      </c>
      <c r="N406" s="12" t="s">
        <v>35</v>
      </c>
      <c r="P406" s="10" t="n">
        <v>113</v>
      </c>
      <c r="Q406" s="12" t="s">
        <v>36</v>
      </c>
      <c r="R406" s="12" t="s">
        <v>48</v>
      </c>
      <c r="S406" s="10" t="n">
        <v>1130101</v>
      </c>
      <c r="T406" s="12" t="s">
        <v>49</v>
      </c>
      <c r="U406" s="13" t="n">
        <v>392.24</v>
      </c>
      <c r="W406" s="13" t="n">
        <v>0</v>
      </c>
      <c r="X406" s="12" t="s">
        <v>334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82</v>
      </c>
      <c r="F407" s="10" t="n">
        <v>24</v>
      </c>
      <c r="G407" s="12" t="s">
        <v>77</v>
      </c>
      <c r="H407" s="10" t="n">
        <v>2110101</v>
      </c>
      <c r="I407" s="12" t="s">
        <v>33</v>
      </c>
      <c r="J407" s="10" t="n">
        <v>1240606</v>
      </c>
      <c r="L407" s="10" t="n">
        <v>165330</v>
      </c>
      <c r="M407" s="12" t="s">
        <v>83</v>
      </c>
      <c r="N407" s="12" t="s">
        <v>35</v>
      </c>
      <c r="P407" s="10" t="n">
        <v>113</v>
      </c>
      <c r="Q407" s="12" t="s">
        <v>36</v>
      </c>
      <c r="R407" s="12" t="s">
        <v>48</v>
      </c>
      <c r="S407" s="10" t="n">
        <v>1130101</v>
      </c>
      <c r="T407" s="12" t="s">
        <v>49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168</v>
      </c>
      <c r="F408" s="10" t="n">
        <v>24</v>
      </c>
      <c r="G408" s="12" t="s">
        <v>77</v>
      </c>
      <c r="H408" s="10" t="n">
        <v>2110101</v>
      </c>
      <c r="I408" s="12" t="s">
        <v>33</v>
      </c>
      <c r="J408" s="10" t="n">
        <v>1244256</v>
      </c>
      <c r="L408" s="10" t="n">
        <v>193355</v>
      </c>
      <c r="M408" s="12" t="s">
        <v>83</v>
      </c>
      <c r="N408" s="12" t="s">
        <v>54</v>
      </c>
      <c r="P408" s="10" t="n">
        <v>113</v>
      </c>
      <c r="Q408" s="12" t="s">
        <v>36</v>
      </c>
      <c r="R408" s="12" t="s">
        <v>48</v>
      </c>
      <c r="S408" s="10" t="n">
        <v>1130101</v>
      </c>
      <c r="T408" s="12" t="s">
        <v>49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206</v>
      </c>
      <c r="F409" s="10" t="n">
        <v>24</v>
      </c>
      <c r="G409" s="12" t="s">
        <v>77</v>
      </c>
      <c r="H409" s="10" t="n">
        <v>2110101</v>
      </c>
      <c r="I409" s="12" t="s">
        <v>33</v>
      </c>
      <c r="J409" s="10" t="n">
        <v>1244689</v>
      </c>
      <c r="L409" s="10" t="n">
        <v>563269</v>
      </c>
      <c r="M409" s="12" t="s">
        <v>83</v>
      </c>
      <c r="N409" s="12" t="s">
        <v>54</v>
      </c>
      <c r="P409" s="10" t="n">
        <v>113</v>
      </c>
      <c r="Q409" s="12" t="s">
        <v>36</v>
      </c>
      <c r="R409" s="12" t="s">
        <v>48</v>
      </c>
      <c r="S409" s="10" t="n">
        <v>1130101</v>
      </c>
      <c r="T409" s="12" t="s">
        <v>49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245</v>
      </c>
      <c r="F410" s="10" t="n">
        <v>24</v>
      </c>
      <c r="G410" s="12" t="s">
        <v>77</v>
      </c>
      <c r="H410" s="10" t="n">
        <v>2110101</v>
      </c>
      <c r="I410" s="12" t="s">
        <v>33</v>
      </c>
      <c r="J410" s="10" t="n">
        <v>1260710</v>
      </c>
      <c r="L410" s="10" t="n">
        <v>260896</v>
      </c>
      <c r="M410" s="12" t="s">
        <v>83</v>
      </c>
      <c r="N410" s="12" t="s">
        <v>54</v>
      </c>
      <c r="P410" s="10" t="n">
        <v>113</v>
      </c>
      <c r="Q410" s="12" t="s">
        <v>36</v>
      </c>
      <c r="R410" s="12" t="s">
        <v>48</v>
      </c>
      <c r="S410" s="10" t="n">
        <v>1130101</v>
      </c>
      <c r="T410" s="12" t="s">
        <v>49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97</v>
      </c>
      <c r="H411" s="10" t="n">
        <v>2110101</v>
      </c>
      <c r="I411" s="12" t="s">
        <v>33</v>
      </c>
      <c r="J411" s="10" t="n">
        <v>1295585</v>
      </c>
      <c r="L411" s="10" t="n">
        <v>173443</v>
      </c>
      <c r="M411" s="12" t="s">
        <v>83</v>
      </c>
      <c r="N411" s="12" t="s">
        <v>35</v>
      </c>
      <c r="P411" s="10" t="n">
        <v>113</v>
      </c>
      <c r="Q411" s="12" t="s">
        <v>36</v>
      </c>
      <c r="R411" s="12" t="s">
        <v>48</v>
      </c>
      <c r="S411" s="10" t="n">
        <v>1130101</v>
      </c>
      <c r="T411" s="12" t="s">
        <v>49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210</v>
      </c>
      <c r="F412" s="10" t="n">
        <v>24</v>
      </c>
      <c r="G412" s="12" t="s">
        <v>77</v>
      </c>
      <c r="H412" s="10" t="n">
        <v>2110101</v>
      </c>
      <c r="I412" s="12" t="s">
        <v>33</v>
      </c>
      <c r="J412" s="10" t="n">
        <v>1289139</v>
      </c>
      <c r="L412" s="10" t="n">
        <v>1027913</v>
      </c>
      <c r="M412" s="12" t="s">
        <v>83</v>
      </c>
      <c r="N412" s="12" t="s">
        <v>54</v>
      </c>
      <c r="P412" s="10" t="n">
        <v>113</v>
      </c>
      <c r="Q412" s="12" t="s">
        <v>36</v>
      </c>
      <c r="R412" s="12" t="s">
        <v>48</v>
      </c>
      <c r="S412" s="10" t="n">
        <v>1130101</v>
      </c>
      <c r="T412" s="12" t="s">
        <v>49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90</v>
      </c>
      <c r="F413" s="10" t="n">
        <v>24</v>
      </c>
      <c r="G413" s="12" t="s">
        <v>77</v>
      </c>
      <c r="H413" s="10" t="n">
        <v>2110101</v>
      </c>
      <c r="I413" s="12" t="s">
        <v>33</v>
      </c>
      <c r="J413" s="10" t="n">
        <v>1289146</v>
      </c>
      <c r="L413" s="10" t="n">
        <v>5679</v>
      </c>
      <c r="M413" s="12" t="s">
        <v>83</v>
      </c>
      <c r="N413" s="12" t="s">
        <v>54</v>
      </c>
      <c r="P413" s="10" t="n">
        <v>113</v>
      </c>
      <c r="Q413" s="12" t="s">
        <v>36</v>
      </c>
      <c r="R413" s="12" t="s">
        <v>48</v>
      </c>
      <c r="S413" s="10" t="n">
        <v>1130101</v>
      </c>
      <c r="T413" s="12" t="s">
        <v>49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201</v>
      </c>
      <c r="F414" s="10" t="n">
        <v>24</v>
      </c>
      <c r="G414" s="12" t="s">
        <v>77</v>
      </c>
      <c r="H414" s="10" t="n">
        <v>2110101</v>
      </c>
      <c r="I414" s="12" t="s">
        <v>33</v>
      </c>
      <c r="J414" s="10" t="n">
        <v>1289156</v>
      </c>
      <c r="L414" s="10" t="n">
        <v>1676964</v>
      </c>
      <c r="M414" s="12" t="s">
        <v>83</v>
      </c>
      <c r="N414" s="12" t="s">
        <v>54</v>
      </c>
      <c r="P414" s="10" t="n">
        <v>113</v>
      </c>
      <c r="Q414" s="12" t="s">
        <v>36</v>
      </c>
      <c r="R414" s="12" t="s">
        <v>48</v>
      </c>
      <c r="S414" s="10" t="n">
        <v>1130101</v>
      </c>
      <c r="T414" s="12" t="s">
        <v>49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171</v>
      </c>
      <c r="F415" s="10" t="n">
        <v>24</v>
      </c>
      <c r="G415" s="12" t="s">
        <v>77</v>
      </c>
      <c r="H415" s="10" t="n">
        <v>2110101</v>
      </c>
      <c r="I415" s="12" t="s">
        <v>33</v>
      </c>
      <c r="J415" s="10" t="n">
        <v>1289327</v>
      </c>
      <c r="L415" s="10" t="n">
        <v>3407</v>
      </c>
      <c r="M415" s="12" t="s">
        <v>83</v>
      </c>
      <c r="N415" s="12" t="s">
        <v>54</v>
      </c>
      <c r="P415" s="10" t="n">
        <v>113</v>
      </c>
      <c r="Q415" s="12" t="s">
        <v>36</v>
      </c>
      <c r="R415" s="12" t="s">
        <v>48</v>
      </c>
      <c r="S415" s="10" t="n">
        <v>1130101</v>
      </c>
      <c r="T415" s="12" t="s">
        <v>49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77</v>
      </c>
      <c r="H416" s="10" t="n">
        <v>2110101</v>
      </c>
      <c r="I416" s="12" t="s">
        <v>33</v>
      </c>
      <c r="J416" s="10" t="n">
        <v>1289973</v>
      </c>
      <c r="L416" s="10" t="n">
        <v>18762</v>
      </c>
      <c r="M416" s="12" t="s">
        <v>83</v>
      </c>
      <c r="N416" s="12" t="s">
        <v>54</v>
      </c>
      <c r="P416" s="10" t="n">
        <v>113</v>
      </c>
      <c r="Q416" s="12" t="s">
        <v>36</v>
      </c>
      <c r="R416" s="12" t="s">
        <v>48</v>
      </c>
      <c r="S416" s="10" t="n">
        <v>1130101</v>
      </c>
      <c r="T416" s="12" t="s">
        <v>49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272</v>
      </c>
      <c r="F417" s="10" t="n">
        <v>34</v>
      </c>
      <c r="G417" s="12" t="s">
        <v>97</v>
      </c>
      <c r="H417" s="10" t="n">
        <v>2110405</v>
      </c>
      <c r="I417" s="12" t="s">
        <v>41</v>
      </c>
      <c r="J417" s="10" t="n">
        <v>1306081</v>
      </c>
      <c r="L417" s="10" t="n">
        <v>175037</v>
      </c>
      <c r="M417" s="12" t="s">
        <v>83</v>
      </c>
      <c r="N417" s="12" t="s">
        <v>35</v>
      </c>
      <c r="P417" s="10" t="n">
        <v>101</v>
      </c>
      <c r="Q417" s="12" t="s">
        <v>42</v>
      </c>
      <c r="R417" s="12" t="s">
        <v>56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272</v>
      </c>
      <c r="F418" s="10" t="n">
        <v>34</v>
      </c>
      <c r="G418" s="12" t="s">
        <v>97</v>
      </c>
      <c r="H418" s="10" t="n">
        <v>2110405</v>
      </c>
      <c r="I418" s="12" t="s">
        <v>41</v>
      </c>
      <c r="J418" s="10" t="n">
        <v>1309386</v>
      </c>
      <c r="L418" s="10" t="n">
        <v>175245</v>
      </c>
      <c r="M418" s="12" t="s">
        <v>83</v>
      </c>
      <c r="N418" s="12" t="s">
        <v>35</v>
      </c>
      <c r="P418" s="10" t="n">
        <v>102</v>
      </c>
      <c r="Q418" s="12" t="s">
        <v>282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132</v>
      </c>
      <c r="F419" s="10" t="n">
        <v>13</v>
      </c>
      <c r="G419" s="12" t="s">
        <v>133</v>
      </c>
      <c r="H419" s="10" t="n">
        <v>2110101</v>
      </c>
      <c r="I419" s="12" t="s">
        <v>33</v>
      </c>
      <c r="J419" s="10" t="n">
        <v>1310128</v>
      </c>
      <c r="L419" s="10" t="n">
        <v>2510</v>
      </c>
      <c r="M419" s="12" t="s">
        <v>83</v>
      </c>
      <c r="N419" s="12" t="s">
        <v>54</v>
      </c>
      <c r="P419" s="10" t="n">
        <v>113</v>
      </c>
      <c r="Q419" s="12" t="s">
        <v>36</v>
      </c>
      <c r="R419" s="12" t="s">
        <v>48</v>
      </c>
      <c r="S419" s="10" t="n">
        <v>1130101</v>
      </c>
      <c r="T419" s="12" t="s">
        <v>49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132</v>
      </c>
      <c r="F420" s="10" t="n">
        <v>13</v>
      </c>
      <c r="G420" s="12" t="s">
        <v>133</v>
      </c>
      <c r="H420" s="10" t="n">
        <v>2110101</v>
      </c>
      <c r="I420" s="12" t="s">
        <v>33</v>
      </c>
      <c r="J420" s="10" t="n">
        <v>1310262</v>
      </c>
      <c r="L420" s="10" t="n">
        <v>2511</v>
      </c>
      <c r="M420" s="12" t="s">
        <v>83</v>
      </c>
      <c r="N420" s="12" t="s">
        <v>54</v>
      </c>
      <c r="P420" s="10" t="n">
        <v>113</v>
      </c>
      <c r="Q420" s="12" t="s">
        <v>36</v>
      </c>
      <c r="R420" s="12" t="s">
        <v>48</v>
      </c>
      <c r="S420" s="10" t="n">
        <v>1130101</v>
      </c>
      <c r="T420" s="12" t="s">
        <v>49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139</v>
      </c>
      <c r="F421" s="10" t="n">
        <v>34</v>
      </c>
      <c r="G421" s="12" t="s">
        <v>97</v>
      </c>
      <c r="H421" s="10" t="n">
        <v>1110203</v>
      </c>
      <c r="I421" s="12" t="s">
        <v>108</v>
      </c>
      <c r="J421" s="10" t="n">
        <v>1441434</v>
      </c>
      <c r="L421" s="10" t="n">
        <v>194981</v>
      </c>
      <c r="M421" s="12" t="s">
        <v>83</v>
      </c>
      <c r="N421" s="12" t="s">
        <v>35</v>
      </c>
      <c r="P421" s="10" t="n">
        <v>101</v>
      </c>
      <c r="Q421" s="12" t="s">
        <v>42</v>
      </c>
      <c r="R421" s="12" t="s">
        <v>43</v>
      </c>
      <c r="S421" s="10" t="n">
        <v>4220199</v>
      </c>
      <c r="T421" s="12" t="s">
        <v>44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143</v>
      </c>
      <c r="F422" s="10" t="n">
        <v>34</v>
      </c>
      <c r="G422" s="12" t="s">
        <v>97</v>
      </c>
      <c r="H422" s="10" t="n">
        <v>1110203</v>
      </c>
      <c r="I422" s="12" t="s">
        <v>108</v>
      </c>
      <c r="J422" s="10" t="n">
        <v>1444171</v>
      </c>
      <c r="L422" s="10" t="n">
        <v>195337</v>
      </c>
      <c r="M422" s="12" t="s">
        <v>83</v>
      </c>
      <c r="N422" s="12" t="s">
        <v>35</v>
      </c>
      <c r="P422" s="10" t="n">
        <v>104</v>
      </c>
      <c r="Q422" s="12" t="s">
        <v>55</v>
      </c>
      <c r="R422" s="12" t="s">
        <v>144</v>
      </c>
      <c r="S422" s="10" t="n">
        <v>4210502</v>
      </c>
      <c r="T422" s="12" t="s">
        <v>243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302</v>
      </c>
      <c r="F423" s="10" t="n">
        <v>24</v>
      </c>
      <c r="G423" s="12" t="s">
        <v>77</v>
      </c>
      <c r="H423" s="10" t="n">
        <v>2110101</v>
      </c>
      <c r="I423" s="12" t="s">
        <v>33</v>
      </c>
      <c r="J423" s="10" t="n">
        <v>1232476</v>
      </c>
      <c r="L423" s="10" t="n">
        <v>1366479</v>
      </c>
      <c r="M423" s="12" t="s">
        <v>83</v>
      </c>
      <c r="N423" s="12" t="s">
        <v>54</v>
      </c>
      <c r="P423" s="10" t="n">
        <v>113</v>
      </c>
      <c r="Q423" s="12" t="s">
        <v>36</v>
      </c>
      <c r="R423" s="12" t="s">
        <v>48</v>
      </c>
      <c r="S423" s="10" t="n">
        <v>1130101</v>
      </c>
      <c r="T423" s="12" t="s">
        <v>49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77</v>
      </c>
      <c r="H424" s="10" t="n">
        <v>2110101</v>
      </c>
      <c r="I424" s="12" t="s">
        <v>33</v>
      </c>
      <c r="J424" s="10" t="n">
        <v>1236453</v>
      </c>
      <c r="L424" s="10" t="n">
        <v>18534</v>
      </c>
      <c r="M424" s="12" t="s">
        <v>62</v>
      </c>
      <c r="N424" s="12" t="s">
        <v>54</v>
      </c>
      <c r="P424" s="10" t="n">
        <v>113</v>
      </c>
      <c r="Q424" s="12" t="s">
        <v>36</v>
      </c>
      <c r="R424" s="12" t="s">
        <v>48</v>
      </c>
      <c r="S424" s="10" t="n">
        <v>1130101</v>
      </c>
      <c r="T424" s="12" t="s">
        <v>49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119</v>
      </c>
      <c r="F425" s="10" t="n">
        <v>24</v>
      </c>
      <c r="G425" s="12" t="s">
        <v>77</v>
      </c>
      <c r="H425" s="10" t="n">
        <v>2110101</v>
      </c>
      <c r="I425" s="12" t="s">
        <v>33</v>
      </c>
      <c r="J425" s="10" t="n">
        <v>1241783</v>
      </c>
      <c r="L425" s="10" t="n">
        <v>1877756</v>
      </c>
      <c r="M425" s="12" t="s">
        <v>83</v>
      </c>
      <c r="N425" s="12" t="s">
        <v>54</v>
      </c>
      <c r="P425" s="10" t="n">
        <v>113</v>
      </c>
      <c r="Q425" s="12" t="s">
        <v>36</v>
      </c>
      <c r="R425" s="12" t="s">
        <v>48</v>
      </c>
      <c r="S425" s="10" t="n">
        <v>1130101</v>
      </c>
      <c r="T425" s="12" t="s">
        <v>49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119</v>
      </c>
      <c r="F426" s="10" t="n">
        <v>24</v>
      </c>
      <c r="G426" s="12" t="s">
        <v>77</v>
      </c>
      <c r="H426" s="10" t="n">
        <v>2110101</v>
      </c>
      <c r="I426" s="12" t="s">
        <v>33</v>
      </c>
      <c r="J426" s="10" t="n">
        <v>1241797</v>
      </c>
      <c r="L426" s="10" t="n">
        <v>1159468</v>
      </c>
      <c r="M426" s="12" t="s">
        <v>83</v>
      </c>
      <c r="N426" s="12" t="s">
        <v>54</v>
      </c>
      <c r="P426" s="10" t="n">
        <v>113</v>
      </c>
      <c r="Q426" s="12" t="s">
        <v>36</v>
      </c>
      <c r="R426" s="12" t="s">
        <v>48</v>
      </c>
      <c r="S426" s="10" t="n">
        <v>1130101</v>
      </c>
      <c r="T426" s="12" t="s">
        <v>49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119</v>
      </c>
      <c r="F427" s="10" t="n">
        <v>24</v>
      </c>
      <c r="G427" s="12" t="s">
        <v>77</v>
      </c>
      <c r="H427" s="10" t="n">
        <v>2110101</v>
      </c>
      <c r="I427" s="12" t="s">
        <v>33</v>
      </c>
      <c r="J427" s="10" t="n">
        <v>1241801</v>
      </c>
      <c r="L427" s="10" t="n">
        <v>1159469</v>
      </c>
      <c r="M427" s="12" t="s">
        <v>83</v>
      </c>
      <c r="N427" s="12" t="s">
        <v>54</v>
      </c>
      <c r="P427" s="10" t="n">
        <v>113</v>
      </c>
      <c r="Q427" s="12" t="s">
        <v>36</v>
      </c>
      <c r="R427" s="12" t="s">
        <v>48</v>
      </c>
      <c r="S427" s="10" t="n">
        <v>1130101</v>
      </c>
      <c r="T427" s="12" t="s">
        <v>49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119</v>
      </c>
      <c r="F428" s="10" t="n">
        <v>24</v>
      </c>
      <c r="G428" s="12" t="s">
        <v>77</v>
      </c>
      <c r="H428" s="10" t="n">
        <v>2110101</v>
      </c>
      <c r="I428" s="12" t="s">
        <v>33</v>
      </c>
      <c r="J428" s="10" t="n">
        <v>1241857</v>
      </c>
      <c r="L428" s="10" t="n">
        <v>1877757</v>
      </c>
      <c r="M428" s="12" t="s">
        <v>83</v>
      </c>
      <c r="N428" s="12" t="s">
        <v>54</v>
      </c>
      <c r="P428" s="10" t="n">
        <v>113</v>
      </c>
      <c r="Q428" s="12" t="s">
        <v>36</v>
      </c>
      <c r="R428" s="12" t="s">
        <v>48</v>
      </c>
      <c r="S428" s="10" t="n">
        <v>1130101</v>
      </c>
      <c r="T428" s="12" t="s">
        <v>49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128</v>
      </c>
      <c r="F429" s="10" t="n">
        <v>24</v>
      </c>
      <c r="G429" s="12" t="s">
        <v>77</v>
      </c>
      <c r="H429" s="10" t="n">
        <v>2110101</v>
      </c>
      <c r="I429" s="12" t="s">
        <v>33</v>
      </c>
      <c r="J429" s="10" t="n">
        <v>1289585</v>
      </c>
      <c r="L429" s="10" t="n">
        <v>31246</v>
      </c>
      <c r="M429" s="12" t="s">
        <v>83</v>
      </c>
      <c r="N429" s="12" t="s">
        <v>54</v>
      </c>
      <c r="P429" s="10" t="n">
        <v>113</v>
      </c>
      <c r="Q429" s="12" t="s">
        <v>36</v>
      </c>
      <c r="R429" s="12" t="s">
        <v>48</v>
      </c>
      <c r="S429" s="10" t="n">
        <v>1130101</v>
      </c>
      <c r="T429" s="12" t="s">
        <v>49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220</v>
      </c>
      <c r="F430" s="10" t="n">
        <v>34</v>
      </c>
      <c r="G430" s="12" t="s">
        <v>97</v>
      </c>
      <c r="H430" s="10" t="n">
        <v>2110101</v>
      </c>
      <c r="I430" s="12" t="s">
        <v>33</v>
      </c>
      <c r="J430" s="10" t="n">
        <v>1289610</v>
      </c>
      <c r="L430" s="10" t="n">
        <v>313</v>
      </c>
      <c r="M430" s="12" t="s">
        <v>83</v>
      </c>
      <c r="N430" s="12" t="s">
        <v>54</v>
      </c>
      <c r="P430" s="10" t="n">
        <v>113</v>
      </c>
      <c r="Q430" s="12" t="s">
        <v>36</v>
      </c>
      <c r="R430" s="12" t="s">
        <v>48</v>
      </c>
      <c r="S430" s="10" t="n">
        <v>1130101</v>
      </c>
      <c r="T430" s="12" t="s">
        <v>49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128</v>
      </c>
      <c r="F431" s="10" t="n">
        <v>24</v>
      </c>
      <c r="G431" s="12" t="s">
        <v>77</v>
      </c>
      <c r="H431" s="10" t="n">
        <v>2110101</v>
      </c>
      <c r="I431" s="12" t="s">
        <v>33</v>
      </c>
      <c r="J431" s="10" t="n">
        <v>1290342</v>
      </c>
      <c r="L431" s="10" t="n">
        <v>31247</v>
      </c>
      <c r="M431" s="12" t="s">
        <v>83</v>
      </c>
      <c r="N431" s="12" t="s">
        <v>54</v>
      </c>
      <c r="P431" s="10" t="n">
        <v>113</v>
      </c>
      <c r="Q431" s="12" t="s">
        <v>36</v>
      </c>
      <c r="R431" s="12" t="s">
        <v>48</v>
      </c>
      <c r="S431" s="10" t="n">
        <v>1130101</v>
      </c>
      <c r="T431" s="12" t="s">
        <v>49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133</v>
      </c>
      <c r="H432" s="10" t="n">
        <v>1110203</v>
      </c>
      <c r="I432" s="12" t="s">
        <v>108</v>
      </c>
      <c r="J432" s="10" t="n">
        <v>1428671</v>
      </c>
      <c r="L432" s="10" t="n">
        <v>191272</v>
      </c>
      <c r="M432" s="12" t="s">
        <v>83</v>
      </c>
      <c r="N432" s="12" t="s">
        <v>35</v>
      </c>
      <c r="P432" s="10" t="n">
        <v>113</v>
      </c>
      <c r="Q432" s="12" t="s">
        <v>36</v>
      </c>
      <c r="R432" s="12" t="s">
        <v>48</v>
      </c>
      <c r="S432" s="10" t="n">
        <v>1130101</v>
      </c>
      <c r="T432" s="12" t="s">
        <v>49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77</v>
      </c>
      <c r="H433" s="10" t="n">
        <v>2110101</v>
      </c>
      <c r="I433" s="12" t="s">
        <v>33</v>
      </c>
      <c r="J433" s="10" t="n">
        <v>1261052</v>
      </c>
      <c r="L433" s="10" t="n">
        <v>20499</v>
      </c>
      <c r="M433" s="12" t="s">
        <v>83</v>
      </c>
      <c r="N433" s="12" t="s">
        <v>54</v>
      </c>
      <c r="P433" s="10" t="n">
        <v>113</v>
      </c>
      <c r="Q433" s="12" t="s">
        <v>36</v>
      </c>
      <c r="R433" s="12" t="s">
        <v>48</v>
      </c>
      <c r="S433" s="10" t="n">
        <v>1130101</v>
      </c>
      <c r="T433" s="12" t="s">
        <v>49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208</v>
      </c>
      <c r="F434" s="10" t="n">
        <v>24</v>
      </c>
      <c r="G434" s="12" t="s">
        <v>77</v>
      </c>
      <c r="H434" s="10" t="n">
        <v>2110101</v>
      </c>
      <c r="I434" s="12" t="s">
        <v>33</v>
      </c>
      <c r="J434" s="10" t="n">
        <v>1222609</v>
      </c>
      <c r="L434" s="10" t="n">
        <v>303660</v>
      </c>
      <c r="M434" s="12" t="s">
        <v>62</v>
      </c>
      <c r="N434" s="12" t="s">
        <v>54</v>
      </c>
      <c r="P434" s="10" t="n">
        <v>113</v>
      </c>
      <c r="Q434" s="12" t="s">
        <v>36</v>
      </c>
      <c r="R434" s="12" t="s">
        <v>48</v>
      </c>
      <c r="S434" s="10" t="n">
        <v>1130101</v>
      </c>
      <c r="T434" s="12" t="s">
        <v>49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206</v>
      </c>
      <c r="F435" s="10" t="n">
        <v>24</v>
      </c>
      <c r="G435" s="12" t="s">
        <v>77</v>
      </c>
      <c r="H435" s="10" t="n">
        <v>2110101</v>
      </c>
      <c r="I435" s="12" t="s">
        <v>33</v>
      </c>
      <c r="J435" s="10" t="n">
        <v>1231221</v>
      </c>
      <c r="L435" s="10" t="n">
        <v>163838</v>
      </c>
      <c r="M435" s="12" t="s">
        <v>83</v>
      </c>
      <c r="N435" s="12" t="s">
        <v>35</v>
      </c>
      <c r="P435" s="10" t="n">
        <v>113</v>
      </c>
      <c r="Q435" s="12" t="s">
        <v>36</v>
      </c>
      <c r="R435" s="12" t="s">
        <v>48</v>
      </c>
      <c r="S435" s="10" t="n">
        <v>1130101</v>
      </c>
      <c r="T435" s="12" t="s">
        <v>49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77</v>
      </c>
      <c r="H436" s="10" t="n">
        <v>2110101</v>
      </c>
      <c r="I436" s="12" t="s">
        <v>33</v>
      </c>
      <c r="J436" s="10" t="n">
        <v>1241755</v>
      </c>
      <c r="L436" s="10" t="n">
        <v>165605</v>
      </c>
      <c r="M436" s="12" t="s">
        <v>83</v>
      </c>
      <c r="N436" s="12" t="s">
        <v>35</v>
      </c>
      <c r="P436" s="10" t="n">
        <v>113</v>
      </c>
      <c r="Q436" s="12" t="s">
        <v>36</v>
      </c>
      <c r="R436" s="12" t="s">
        <v>48</v>
      </c>
      <c r="S436" s="10" t="n">
        <v>1130101</v>
      </c>
      <c r="T436" s="12" t="s">
        <v>49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197</v>
      </c>
      <c r="F437" s="10" t="n">
        <v>24</v>
      </c>
      <c r="G437" s="12" t="s">
        <v>77</v>
      </c>
      <c r="H437" s="10" t="n">
        <v>2110101</v>
      </c>
      <c r="I437" s="12" t="s">
        <v>33</v>
      </c>
      <c r="J437" s="10" t="n">
        <v>1255113</v>
      </c>
      <c r="L437" s="10" t="n">
        <v>878392</v>
      </c>
      <c r="M437" s="12" t="s">
        <v>83</v>
      </c>
      <c r="N437" s="12" t="s">
        <v>54</v>
      </c>
      <c r="P437" s="10" t="n">
        <v>113</v>
      </c>
      <c r="Q437" s="12" t="s">
        <v>36</v>
      </c>
      <c r="R437" s="12" t="s">
        <v>48</v>
      </c>
      <c r="S437" s="10" t="n">
        <v>1130101</v>
      </c>
      <c r="T437" s="12" t="s">
        <v>49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77</v>
      </c>
      <c r="H438" s="10" t="n">
        <v>2110101</v>
      </c>
      <c r="I438" s="12" t="s">
        <v>33</v>
      </c>
      <c r="J438" s="10" t="n">
        <v>1257189</v>
      </c>
      <c r="L438" s="10" t="n">
        <v>1416973</v>
      </c>
      <c r="M438" s="12" t="s">
        <v>83</v>
      </c>
      <c r="N438" s="12" t="s">
        <v>54</v>
      </c>
      <c r="P438" s="10" t="n">
        <v>113</v>
      </c>
      <c r="Q438" s="12" t="s">
        <v>36</v>
      </c>
      <c r="R438" s="12" t="s">
        <v>48</v>
      </c>
      <c r="S438" s="10" t="n">
        <v>1130101</v>
      </c>
      <c r="T438" s="12" t="s">
        <v>49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85</v>
      </c>
      <c r="F439" s="10" t="n">
        <v>24</v>
      </c>
      <c r="G439" s="12" t="s">
        <v>77</v>
      </c>
      <c r="H439" s="10" t="n">
        <v>2110101</v>
      </c>
      <c r="I439" s="12" t="s">
        <v>33</v>
      </c>
      <c r="J439" s="10" t="n">
        <v>1260899</v>
      </c>
      <c r="L439" s="10" t="n">
        <v>168208</v>
      </c>
      <c r="M439" s="12" t="s">
        <v>83</v>
      </c>
      <c r="N439" s="12" t="s">
        <v>35</v>
      </c>
      <c r="P439" s="10" t="n">
        <v>113</v>
      </c>
      <c r="Q439" s="12" t="s">
        <v>36</v>
      </c>
      <c r="R439" s="12" t="s">
        <v>48</v>
      </c>
      <c r="S439" s="10" t="n">
        <v>1130101</v>
      </c>
      <c r="T439" s="12" t="s">
        <v>49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266</v>
      </c>
      <c r="F440" s="10" t="n">
        <v>24</v>
      </c>
      <c r="G440" s="12" t="s">
        <v>77</v>
      </c>
      <c r="H440" s="10" t="n">
        <v>2110101</v>
      </c>
      <c r="I440" s="12" t="s">
        <v>33</v>
      </c>
      <c r="J440" s="10" t="n">
        <v>1289836</v>
      </c>
      <c r="L440" s="10" t="n">
        <v>15043</v>
      </c>
      <c r="M440" s="12" t="s">
        <v>83</v>
      </c>
      <c r="N440" s="12" t="s">
        <v>54</v>
      </c>
      <c r="P440" s="10" t="n">
        <v>113</v>
      </c>
      <c r="Q440" s="12" t="s">
        <v>36</v>
      </c>
      <c r="R440" s="12" t="s">
        <v>48</v>
      </c>
      <c r="S440" s="10" t="n">
        <v>1130101</v>
      </c>
      <c r="T440" s="12" t="s">
        <v>49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82</v>
      </c>
      <c r="F441" s="10" t="n">
        <v>24</v>
      </c>
      <c r="G441" s="12" t="s">
        <v>77</v>
      </c>
      <c r="H441" s="10" t="n">
        <v>2110101</v>
      </c>
      <c r="I441" s="12" t="s">
        <v>33</v>
      </c>
      <c r="J441" s="10" t="n">
        <v>1290919</v>
      </c>
      <c r="L441" s="10" t="n">
        <v>172705</v>
      </c>
      <c r="M441" s="12" t="s">
        <v>83</v>
      </c>
      <c r="N441" s="12" t="s">
        <v>35</v>
      </c>
      <c r="P441" s="10" t="n">
        <v>113</v>
      </c>
      <c r="Q441" s="12" t="s">
        <v>36</v>
      </c>
      <c r="R441" s="12" t="s">
        <v>48</v>
      </c>
      <c r="S441" s="10" t="n">
        <v>1130101</v>
      </c>
      <c r="T441" s="12" t="s">
        <v>49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188</v>
      </c>
      <c r="F442" s="10" t="n">
        <v>24</v>
      </c>
      <c r="G442" s="12" t="s">
        <v>77</v>
      </c>
      <c r="H442" s="10" t="n">
        <v>2110101</v>
      </c>
      <c r="I442" s="12" t="s">
        <v>33</v>
      </c>
      <c r="J442" s="10" t="n">
        <v>1291003</v>
      </c>
      <c r="L442" s="10" t="n">
        <v>3457</v>
      </c>
      <c r="M442" s="12" t="s">
        <v>83</v>
      </c>
      <c r="N442" s="12" t="s">
        <v>54</v>
      </c>
      <c r="P442" s="10" t="n">
        <v>113</v>
      </c>
      <c r="Q442" s="12" t="s">
        <v>36</v>
      </c>
      <c r="R442" s="12" t="s">
        <v>48</v>
      </c>
      <c r="S442" s="10" t="n">
        <v>1130101</v>
      </c>
      <c r="T442" s="12" t="s">
        <v>49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212</v>
      </c>
      <c r="F443" s="10" t="n">
        <v>24</v>
      </c>
      <c r="G443" s="12" t="s">
        <v>77</v>
      </c>
      <c r="H443" s="10" t="n">
        <v>2110101</v>
      </c>
      <c r="I443" s="12" t="s">
        <v>33</v>
      </c>
      <c r="J443" s="10" t="n">
        <v>1294209</v>
      </c>
      <c r="L443" s="10" t="n">
        <v>869753</v>
      </c>
      <c r="M443" s="12" t="s">
        <v>83</v>
      </c>
      <c r="N443" s="12" t="s">
        <v>54</v>
      </c>
      <c r="P443" s="10" t="n">
        <v>113</v>
      </c>
      <c r="Q443" s="12" t="s">
        <v>36</v>
      </c>
      <c r="R443" s="12" t="s">
        <v>48</v>
      </c>
      <c r="S443" s="10" t="n">
        <v>1130101</v>
      </c>
      <c r="T443" s="12" t="s">
        <v>49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212</v>
      </c>
      <c r="F444" s="10" t="n">
        <v>24</v>
      </c>
      <c r="G444" s="12" t="s">
        <v>77</v>
      </c>
      <c r="H444" s="10" t="n">
        <v>2110101</v>
      </c>
      <c r="I444" s="12" t="s">
        <v>33</v>
      </c>
      <c r="J444" s="10" t="n">
        <v>1294219</v>
      </c>
      <c r="L444" s="10" t="n">
        <v>173106</v>
      </c>
      <c r="M444" s="12" t="s">
        <v>83</v>
      </c>
      <c r="N444" s="12" t="s">
        <v>35</v>
      </c>
      <c r="P444" s="10" t="n">
        <v>113</v>
      </c>
      <c r="Q444" s="12" t="s">
        <v>36</v>
      </c>
      <c r="R444" s="12" t="s">
        <v>48</v>
      </c>
      <c r="S444" s="10" t="n">
        <v>1130101</v>
      </c>
      <c r="T444" s="12" t="s">
        <v>49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92</v>
      </c>
      <c r="F445" s="10" t="n">
        <v>24</v>
      </c>
      <c r="G445" s="12" t="s">
        <v>77</v>
      </c>
      <c r="H445" s="10" t="n">
        <v>2110101</v>
      </c>
      <c r="I445" s="12" t="s">
        <v>33</v>
      </c>
      <c r="J445" s="10" t="n">
        <v>1295747</v>
      </c>
      <c r="L445" s="10" t="n">
        <v>3858</v>
      </c>
      <c r="M445" s="12" t="s">
        <v>83</v>
      </c>
      <c r="N445" s="12" t="s">
        <v>54</v>
      </c>
      <c r="P445" s="10" t="n">
        <v>113</v>
      </c>
      <c r="Q445" s="12" t="s">
        <v>36</v>
      </c>
      <c r="R445" s="12" t="s">
        <v>48</v>
      </c>
      <c r="S445" s="10" t="n">
        <v>1130101</v>
      </c>
      <c r="T445" s="12" t="s">
        <v>49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194</v>
      </c>
      <c r="F446" s="10" t="n">
        <v>24</v>
      </c>
      <c r="G446" s="12" t="s">
        <v>77</v>
      </c>
      <c r="H446" s="10" t="n">
        <v>2110101</v>
      </c>
      <c r="I446" s="12" t="s">
        <v>33</v>
      </c>
      <c r="J446" s="10" t="n">
        <v>1299227</v>
      </c>
      <c r="L446" s="10" t="n">
        <v>679</v>
      </c>
      <c r="M446" s="12" t="s">
        <v>83</v>
      </c>
      <c r="N446" s="12" t="s">
        <v>54</v>
      </c>
      <c r="P446" s="10" t="n">
        <v>113</v>
      </c>
      <c r="Q446" s="12" t="s">
        <v>36</v>
      </c>
      <c r="R446" s="12" t="s">
        <v>48</v>
      </c>
      <c r="S446" s="10" t="n">
        <v>1130101</v>
      </c>
      <c r="T446" s="12" t="s">
        <v>49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96</v>
      </c>
      <c r="F447" s="10" t="n">
        <v>34</v>
      </c>
      <c r="G447" s="12" t="s">
        <v>97</v>
      </c>
      <c r="H447" s="10" t="n">
        <v>2110101</v>
      </c>
      <c r="I447" s="12" t="s">
        <v>33</v>
      </c>
      <c r="J447" s="10" t="n">
        <v>1312808</v>
      </c>
      <c r="L447" s="10" t="n">
        <v>305</v>
      </c>
      <c r="M447" s="12" t="s">
        <v>83</v>
      </c>
      <c r="N447" s="12" t="s">
        <v>54</v>
      </c>
      <c r="P447" s="10" t="n">
        <v>113</v>
      </c>
      <c r="Q447" s="12" t="s">
        <v>36</v>
      </c>
      <c r="R447" s="12" t="s">
        <v>48</v>
      </c>
      <c r="S447" s="10" t="n">
        <v>1130101</v>
      </c>
      <c r="T447" s="12" t="s">
        <v>49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132</v>
      </c>
      <c r="F448" s="10" t="n">
        <v>13</v>
      </c>
      <c r="G448" s="12" t="s">
        <v>133</v>
      </c>
      <c r="H448" s="10" t="n">
        <v>2110101</v>
      </c>
      <c r="I448" s="12" t="s">
        <v>33</v>
      </c>
      <c r="J448" s="10" t="n">
        <v>1324941</v>
      </c>
      <c r="L448" s="10" t="n">
        <v>2516</v>
      </c>
      <c r="M448" s="12" t="s">
        <v>83</v>
      </c>
      <c r="N448" s="12" t="s">
        <v>54</v>
      </c>
      <c r="P448" s="10" t="n">
        <v>113</v>
      </c>
      <c r="Q448" s="12" t="s">
        <v>36</v>
      </c>
      <c r="R448" s="12" t="s">
        <v>48</v>
      </c>
      <c r="S448" s="10" t="n">
        <v>1130101</v>
      </c>
      <c r="T448" s="12" t="s">
        <v>49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185</v>
      </c>
      <c r="F449" s="10" t="n">
        <v>34</v>
      </c>
      <c r="G449" s="12" t="s">
        <v>97</v>
      </c>
      <c r="H449" s="10" t="n">
        <v>2110405</v>
      </c>
      <c r="I449" s="12" t="s">
        <v>41</v>
      </c>
      <c r="J449" s="10" t="n">
        <v>1325465</v>
      </c>
      <c r="L449" s="10" t="n">
        <v>176833</v>
      </c>
      <c r="M449" s="12" t="s">
        <v>83</v>
      </c>
      <c r="N449" s="12" t="s">
        <v>35</v>
      </c>
      <c r="P449" s="10" t="n">
        <v>101</v>
      </c>
      <c r="Q449" s="12" t="s">
        <v>42</v>
      </c>
      <c r="R449" s="12" t="s">
        <v>56</v>
      </c>
      <c r="S449" s="10" t="n">
        <v>4210232</v>
      </c>
      <c r="T449" s="12" t="s">
        <v>286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143</v>
      </c>
      <c r="F450" s="10" t="n">
        <v>34</v>
      </c>
      <c r="G450" s="12" t="s">
        <v>97</v>
      </c>
      <c r="H450" s="10" t="n">
        <v>1110203</v>
      </c>
      <c r="I450" s="12" t="s">
        <v>108</v>
      </c>
      <c r="J450" s="10" t="n">
        <v>1435949</v>
      </c>
      <c r="L450" s="10" t="n">
        <v>194015</v>
      </c>
      <c r="M450" s="12" t="s">
        <v>83</v>
      </c>
      <c r="N450" s="12" t="s">
        <v>35</v>
      </c>
      <c r="P450" s="10" t="n">
        <v>101</v>
      </c>
      <c r="Q450" s="12" t="s">
        <v>42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166</v>
      </c>
      <c r="F451" s="10" t="n">
        <v>24</v>
      </c>
      <c r="G451" s="12" t="s">
        <v>77</v>
      </c>
      <c r="H451" s="10" t="n">
        <v>2110101</v>
      </c>
      <c r="I451" s="12" t="s">
        <v>33</v>
      </c>
      <c r="J451" s="10" t="n">
        <v>1227446</v>
      </c>
      <c r="L451" s="10" t="n">
        <v>20868</v>
      </c>
      <c r="M451" s="12" t="s">
        <v>74</v>
      </c>
      <c r="N451" s="12" t="s">
        <v>54</v>
      </c>
      <c r="P451" s="10" t="n">
        <v>113</v>
      </c>
      <c r="Q451" s="12" t="s">
        <v>36</v>
      </c>
      <c r="R451" s="12" t="s">
        <v>48</v>
      </c>
      <c r="S451" s="10" t="n">
        <v>1130101</v>
      </c>
      <c r="T451" s="12" t="s">
        <v>49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117</v>
      </c>
      <c r="F452" s="10" t="n">
        <v>24</v>
      </c>
      <c r="G452" s="12" t="s">
        <v>77</v>
      </c>
      <c r="H452" s="10" t="n">
        <v>2110101</v>
      </c>
      <c r="I452" s="12" t="s">
        <v>33</v>
      </c>
      <c r="J452" s="10" t="n">
        <v>1231128</v>
      </c>
      <c r="L452" s="10" t="n">
        <v>518105</v>
      </c>
      <c r="M452" s="12" t="s">
        <v>74</v>
      </c>
      <c r="N452" s="12" t="s">
        <v>54</v>
      </c>
      <c r="P452" s="10" t="n">
        <v>113</v>
      </c>
      <c r="Q452" s="12" t="s">
        <v>36</v>
      </c>
      <c r="R452" s="12" t="s">
        <v>48</v>
      </c>
      <c r="S452" s="10" t="n">
        <v>1130101</v>
      </c>
      <c r="T452" s="12" t="s">
        <v>49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77</v>
      </c>
      <c r="H453" s="10" t="n">
        <v>2110101</v>
      </c>
      <c r="I453" s="12" t="s">
        <v>33</v>
      </c>
      <c r="J453" s="10" t="n">
        <v>1260463</v>
      </c>
      <c r="L453" s="10" t="n">
        <v>102727</v>
      </c>
      <c r="M453" s="12" t="s">
        <v>83</v>
      </c>
      <c r="N453" s="12" t="s">
        <v>54</v>
      </c>
      <c r="P453" s="10" t="n">
        <v>113</v>
      </c>
      <c r="Q453" s="12" t="s">
        <v>36</v>
      </c>
      <c r="R453" s="12" t="s">
        <v>48</v>
      </c>
      <c r="S453" s="10" t="n">
        <v>1130101</v>
      </c>
      <c r="T453" s="12" t="s">
        <v>49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119</v>
      </c>
      <c r="F454" s="10" t="n">
        <v>24</v>
      </c>
      <c r="G454" s="12" t="s">
        <v>77</v>
      </c>
      <c r="H454" s="10" t="n">
        <v>2110101</v>
      </c>
      <c r="I454" s="12" t="s">
        <v>33</v>
      </c>
      <c r="J454" s="10" t="n">
        <v>1261488</v>
      </c>
      <c r="L454" s="10" t="n">
        <v>1161723</v>
      </c>
      <c r="M454" s="12" t="s">
        <v>83</v>
      </c>
      <c r="N454" s="12" t="s">
        <v>54</v>
      </c>
      <c r="P454" s="10" t="n">
        <v>113</v>
      </c>
      <c r="Q454" s="12" t="s">
        <v>36</v>
      </c>
      <c r="R454" s="12" t="s">
        <v>48</v>
      </c>
      <c r="S454" s="10" t="n">
        <v>1130101</v>
      </c>
      <c r="T454" s="12" t="s">
        <v>49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119</v>
      </c>
      <c r="F455" s="10" t="n">
        <v>24</v>
      </c>
      <c r="G455" s="12" t="s">
        <v>77</v>
      </c>
      <c r="H455" s="10" t="n">
        <v>2110101</v>
      </c>
      <c r="I455" s="12" t="s">
        <v>33</v>
      </c>
      <c r="J455" s="10" t="n">
        <v>1261495</v>
      </c>
      <c r="L455" s="10" t="n">
        <v>1162362</v>
      </c>
      <c r="M455" s="12" t="s">
        <v>83</v>
      </c>
      <c r="N455" s="12" t="s">
        <v>54</v>
      </c>
      <c r="P455" s="10" t="n">
        <v>113</v>
      </c>
      <c r="Q455" s="12" t="s">
        <v>36</v>
      </c>
      <c r="R455" s="12" t="s">
        <v>48</v>
      </c>
      <c r="S455" s="10" t="n">
        <v>1130101</v>
      </c>
      <c r="T455" s="12" t="s">
        <v>49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119</v>
      </c>
      <c r="F456" s="10" t="n">
        <v>24</v>
      </c>
      <c r="G456" s="12" t="s">
        <v>77</v>
      </c>
      <c r="H456" s="10" t="n">
        <v>2110101</v>
      </c>
      <c r="I456" s="12" t="s">
        <v>33</v>
      </c>
      <c r="J456" s="10" t="n">
        <v>1261504</v>
      </c>
      <c r="L456" s="10" t="n">
        <v>1880950</v>
      </c>
      <c r="M456" s="12" t="s">
        <v>83</v>
      </c>
      <c r="N456" s="12" t="s">
        <v>54</v>
      </c>
      <c r="P456" s="10" t="n">
        <v>113</v>
      </c>
      <c r="Q456" s="12" t="s">
        <v>36</v>
      </c>
      <c r="R456" s="12" t="s">
        <v>48</v>
      </c>
      <c r="S456" s="10" t="n">
        <v>1130101</v>
      </c>
      <c r="T456" s="12" t="s">
        <v>49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119</v>
      </c>
      <c r="F457" s="10" t="n">
        <v>24</v>
      </c>
      <c r="G457" s="12" t="s">
        <v>77</v>
      </c>
      <c r="H457" s="10" t="n">
        <v>2110101</v>
      </c>
      <c r="I457" s="12" t="s">
        <v>33</v>
      </c>
      <c r="J457" s="10" t="n">
        <v>1261524</v>
      </c>
      <c r="L457" s="10" t="n">
        <v>168342</v>
      </c>
      <c r="M457" s="12" t="s">
        <v>83</v>
      </c>
      <c r="N457" s="12" t="s">
        <v>35</v>
      </c>
      <c r="P457" s="10" t="n">
        <v>113</v>
      </c>
      <c r="Q457" s="12" t="s">
        <v>36</v>
      </c>
      <c r="R457" s="12" t="s">
        <v>48</v>
      </c>
      <c r="S457" s="10" t="n">
        <v>1130101</v>
      </c>
      <c r="T457" s="12" t="s">
        <v>49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77</v>
      </c>
      <c r="H458" s="10" t="n">
        <v>2110101</v>
      </c>
      <c r="I458" s="12" t="s">
        <v>33</v>
      </c>
      <c r="J458" s="10" t="n">
        <v>1264875</v>
      </c>
      <c r="L458" s="10" t="n">
        <v>1773</v>
      </c>
      <c r="M458" s="12" t="s">
        <v>83</v>
      </c>
      <c r="N458" s="12" t="s">
        <v>54</v>
      </c>
      <c r="P458" s="10" t="n">
        <v>113</v>
      </c>
      <c r="Q458" s="12" t="s">
        <v>36</v>
      </c>
      <c r="R458" s="12" t="s">
        <v>48</v>
      </c>
      <c r="S458" s="10" t="n">
        <v>1130101</v>
      </c>
      <c r="T458" s="12" t="s">
        <v>49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123</v>
      </c>
      <c r="F459" s="10" t="n">
        <v>24</v>
      </c>
      <c r="G459" s="12" t="s">
        <v>77</v>
      </c>
      <c r="H459" s="10" t="n">
        <v>2110101</v>
      </c>
      <c r="I459" s="12" t="s">
        <v>33</v>
      </c>
      <c r="J459" s="10" t="n">
        <v>1265426</v>
      </c>
      <c r="L459" s="10" t="n">
        <v>27994</v>
      </c>
      <c r="M459" s="12" t="s">
        <v>83</v>
      </c>
      <c r="N459" s="12" t="s">
        <v>54</v>
      </c>
      <c r="P459" s="10" t="n">
        <v>113</v>
      </c>
      <c r="Q459" s="12" t="s">
        <v>36</v>
      </c>
      <c r="R459" s="12" t="s">
        <v>48</v>
      </c>
      <c r="S459" s="10" t="n">
        <v>1130101</v>
      </c>
      <c r="T459" s="12" t="s">
        <v>49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97</v>
      </c>
      <c r="H460" s="10" t="n">
        <v>2110101</v>
      </c>
      <c r="I460" s="12" t="s">
        <v>33</v>
      </c>
      <c r="J460" s="10" t="n">
        <v>1265907</v>
      </c>
      <c r="L460" s="10" t="n">
        <v>1633308</v>
      </c>
      <c r="M460" s="12" t="s">
        <v>83</v>
      </c>
      <c r="N460" s="12" t="s">
        <v>54</v>
      </c>
      <c r="P460" s="10" t="n">
        <v>113</v>
      </c>
      <c r="Q460" s="12" t="s">
        <v>36</v>
      </c>
      <c r="R460" s="12" t="s">
        <v>48</v>
      </c>
      <c r="S460" s="10" t="n">
        <v>1130101</v>
      </c>
      <c r="T460" s="12" t="s">
        <v>49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123</v>
      </c>
      <c r="F461" s="10" t="n">
        <v>24</v>
      </c>
      <c r="G461" s="12" t="s">
        <v>77</v>
      </c>
      <c r="H461" s="10" t="n">
        <v>2110101</v>
      </c>
      <c r="I461" s="12" t="s">
        <v>33</v>
      </c>
      <c r="J461" s="10" t="n">
        <v>1269061</v>
      </c>
      <c r="L461" s="10" t="n">
        <v>729265</v>
      </c>
      <c r="M461" s="12" t="s">
        <v>74</v>
      </c>
      <c r="N461" s="12" t="s">
        <v>54</v>
      </c>
      <c r="P461" s="10" t="n">
        <v>113</v>
      </c>
      <c r="Q461" s="12" t="s">
        <v>36</v>
      </c>
      <c r="R461" s="12" t="s">
        <v>48</v>
      </c>
      <c r="S461" s="10" t="n">
        <v>1130101</v>
      </c>
      <c r="T461" s="12" t="s">
        <v>49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97</v>
      </c>
      <c r="H462" s="10" t="n">
        <v>2110101</v>
      </c>
      <c r="I462" s="12" t="s">
        <v>33</v>
      </c>
      <c r="J462" s="10" t="n">
        <v>1293925</v>
      </c>
      <c r="L462" s="10" t="n">
        <v>1635978</v>
      </c>
      <c r="M462" s="12" t="s">
        <v>83</v>
      </c>
      <c r="N462" s="12" t="s">
        <v>54</v>
      </c>
      <c r="P462" s="10" t="n">
        <v>113</v>
      </c>
      <c r="Q462" s="12" t="s">
        <v>36</v>
      </c>
      <c r="R462" s="12" t="s">
        <v>48</v>
      </c>
      <c r="S462" s="10" t="n">
        <v>1130101</v>
      </c>
      <c r="T462" s="12" t="s">
        <v>49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97</v>
      </c>
      <c r="H463" s="10" t="n">
        <v>2110101</v>
      </c>
      <c r="I463" s="12" t="s">
        <v>33</v>
      </c>
      <c r="J463" s="10" t="n">
        <v>1293930</v>
      </c>
      <c r="L463" s="10" t="n">
        <v>1635976</v>
      </c>
      <c r="M463" s="12" t="s">
        <v>83</v>
      </c>
      <c r="N463" s="12" t="s">
        <v>54</v>
      </c>
      <c r="P463" s="10" t="n">
        <v>113</v>
      </c>
      <c r="Q463" s="12" t="s">
        <v>36</v>
      </c>
      <c r="R463" s="12" t="s">
        <v>48</v>
      </c>
      <c r="S463" s="10" t="n">
        <v>1130101</v>
      </c>
      <c r="T463" s="12" t="s">
        <v>49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97</v>
      </c>
      <c r="H464" s="10" t="n">
        <v>2110101</v>
      </c>
      <c r="I464" s="12" t="s">
        <v>33</v>
      </c>
      <c r="J464" s="10" t="n">
        <v>1293939</v>
      </c>
      <c r="L464" s="10" t="n">
        <v>1635973</v>
      </c>
      <c r="M464" s="12" t="s">
        <v>83</v>
      </c>
      <c r="N464" s="12" t="s">
        <v>54</v>
      </c>
      <c r="P464" s="10" t="n">
        <v>113</v>
      </c>
      <c r="Q464" s="12" t="s">
        <v>36</v>
      </c>
      <c r="R464" s="12" t="s">
        <v>48</v>
      </c>
      <c r="S464" s="10" t="n">
        <v>1130101</v>
      </c>
      <c r="T464" s="12" t="s">
        <v>49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97</v>
      </c>
      <c r="H465" s="10" t="n">
        <v>2110101</v>
      </c>
      <c r="I465" s="12" t="s">
        <v>33</v>
      </c>
      <c r="J465" s="10" t="n">
        <v>1304633</v>
      </c>
      <c r="L465" s="10" t="n">
        <v>1637144</v>
      </c>
      <c r="M465" s="12" t="s">
        <v>83</v>
      </c>
      <c r="N465" s="12" t="s">
        <v>54</v>
      </c>
      <c r="P465" s="10" t="n">
        <v>113</v>
      </c>
      <c r="Q465" s="12" t="s">
        <v>36</v>
      </c>
      <c r="R465" s="12" t="s">
        <v>48</v>
      </c>
      <c r="S465" s="10" t="n">
        <v>1130101</v>
      </c>
      <c r="T465" s="12" t="s">
        <v>49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77</v>
      </c>
      <c r="H466" s="10" t="n">
        <v>2110101</v>
      </c>
      <c r="I466" s="12" t="s">
        <v>33</v>
      </c>
      <c r="J466" s="10" t="n">
        <v>1304773</v>
      </c>
      <c r="L466" s="10" t="n">
        <v>847</v>
      </c>
      <c r="M466" s="12" t="s">
        <v>83</v>
      </c>
      <c r="N466" s="12" t="s">
        <v>54</v>
      </c>
      <c r="P466" s="10" t="n">
        <v>113</v>
      </c>
      <c r="Q466" s="12" t="s">
        <v>36</v>
      </c>
      <c r="R466" s="12" t="s">
        <v>48</v>
      </c>
      <c r="S466" s="10" t="n">
        <v>1130101</v>
      </c>
      <c r="T466" s="12" t="s">
        <v>49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77</v>
      </c>
      <c r="H467" s="10" t="n">
        <v>2110101</v>
      </c>
      <c r="I467" s="12" t="s">
        <v>33</v>
      </c>
      <c r="J467" s="10" t="n">
        <v>1305945</v>
      </c>
      <c r="L467" s="10" t="n">
        <v>9495</v>
      </c>
      <c r="M467" s="12" t="s">
        <v>83</v>
      </c>
      <c r="N467" s="12" t="s">
        <v>54</v>
      </c>
      <c r="P467" s="10" t="n">
        <v>113</v>
      </c>
      <c r="Q467" s="12" t="s">
        <v>36</v>
      </c>
      <c r="R467" s="12" t="s">
        <v>48</v>
      </c>
      <c r="S467" s="10" t="n">
        <v>1130101</v>
      </c>
      <c r="T467" s="12" t="s">
        <v>49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97</v>
      </c>
      <c r="H468" s="10" t="n">
        <v>2110101</v>
      </c>
      <c r="I468" s="12" t="s">
        <v>33</v>
      </c>
      <c r="J468" s="10" t="n">
        <v>1312567</v>
      </c>
      <c r="L468" s="10" t="n">
        <v>1638704</v>
      </c>
      <c r="M468" s="12" t="s">
        <v>83</v>
      </c>
      <c r="N468" s="12" t="s">
        <v>54</v>
      </c>
      <c r="P468" s="10" t="n">
        <v>113</v>
      </c>
      <c r="Q468" s="12" t="s">
        <v>36</v>
      </c>
      <c r="R468" s="12" t="s">
        <v>48</v>
      </c>
      <c r="S468" s="10" t="n">
        <v>1130101</v>
      </c>
      <c r="T468" s="12" t="s">
        <v>49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220</v>
      </c>
      <c r="F469" s="10" t="n">
        <v>34</v>
      </c>
      <c r="G469" s="12" t="s">
        <v>97</v>
      </c>
      <c r="H469" s="10" t="n">
        <v>2110101</v>
      </c>
      <c r="I469" s="12" t="s">
        <v>33</v>
      </c>
      <c r="J469" s="10" t="n">
        <v>1312574</v>
      </c>
      <c r="L469" s="10" t="n">
        <v>316</v>
      </c>
      <c r="M469" s="12" t="s">
        <v>83</v>
      </c>
      <c r="N469" s="12" t="s">
        <v>54</v>
      </c>
      <c r="P469" s="10" t="n">
        <v>113</v>
      </c>
      <c r="Q469" s="12" t="s">
        <v>36</v>
      </c>
      <c r="R469" s="12" t="s">
        <v>48</v>
      </c>
      <c r="S469" s="10" t="n">
        <v>1130101</v>
      </c>
      <c r="T469" s="12" t="s">
        <v>49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130</v>
      </c>
      <c r="F470" s="10" t="n">
        <v>24</v>
      </c>
      <c r="G470" s="12" t="s">
        <v>77</v>
      </c>
      <c r="H470" s="10" t="n">
        <v>2110101</v>
      </c>
      <c r="I470" s="12" t="s">
        <v>33</v>
      </c>
      <c r="J470" s="10" t="n">
        <v>1321674</v>
      </c>
      <c r="L470" s="10" t="n">
        <v>513</v>
      </c>
      <c r="M470" s="12" t="s">
        <v>83</v>
      </c>
      <c r="N470" s="12" t="s">
        <v>54</v>
      </c>
      <c r="P470" s="10" t="n">
        <v>113</v>
      </c>
      <c r="Q470" s="12" t="s">
        <v>36</v>
      </c>
      <c r="R470" s="12" t="s">
        <v>48</v>
      </c>
      <c r="S470" s="10" t="n">
        <v>1130101</v>
      </c>
      <c r="T470" s="12" t="s">
        <v>49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97</v>
      </c>
      <c r="H471" s="10" t="n">
        <v>2110101</v>
      </c>
      <c r="I471" s="12" t="s">
        <v>33</v>
      </c>
      <c r="J471" s="10" t="n">
        <v>1321679</v>
      </c>
      <c r="L471" s="10" t="n">
        <v>1638958</v>
      </c>
      <c r="M471" s="12" t="s">
        <v>83</v>
      </c>
      <c r="N471" s="12" t="s">
        <v>54</v>
      </c>
      <c r="P471" s="10" t="n">
        <v>113</v>
      </c>
      <c r="Q471" s="12" t="s">
        <v>36</v>
      </c>
      <c r="R471" s="12" t="s">
        <v>48</v>
      </c>
      <c r="S471" s="10" t="n">
        <v>1130101</v>
      </c>
      <c r="T471" s="12" t="s">
        <v>49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97</v>
      </c>
      <c r="H472" s="10" t="n">
        <v>2110101</v>
      </c>
      <c r="I472" s="12" t="s">
        <v>33</v>
      </c>
      <c r="J472" s="10" t="n">
        <v>1329534</v>
      </c>
      <c r="L472" s="10" t="n">
        <v>1639400</v>
      </c>
      <c r="M472" s="12" t="s">
        <v>83</v>
      </c>
      <c r="N472" s="12" t="s">
        <v>54</v>
      </c>
      <c r="P472" s="10" t="n">
        <v>113</v>
      </c>
      <c r="Q472" s="12" t="s">
        <v>36</v>
      </c>
      <c r="R472" s="12" t="s">
        <v>48</v>
      </c>
      <c r="S472" s="10" t="n">
        <v>1130101</v>
      </c>
      <c r="T472" s="12" t="s">
        <v>49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132</v>
      </c>
      <c r="F473" s="10" t="n">
        <v>34</v>
      </c>
      <c r="G473" s="12" t="s">
        <v>97</v>
      </c>
      <c r="H473" s="10" t="n">
        <v>2110101</v>
      </c>
      <c r="I473" s="12" t="s">
        <v>33</v>
      </c>
      <c r="J473" s="10" t="n">
        <v>1330477</v>
      </c>
      <c r="L473" s="10" t="n">
        <v>2517</v>
      </c>
      <c r="M473" s="12" t="s">
        <v>83</v>
      </c>
      <c r="N473" s="12" t="s">
        <v>54</v>
      </c>
      <c r="P473" s="10" t="n">
        <v>113</v>
      </c>
      <c r="Q473" s="12" t="s">
        <v>36</v>
      </c>
      <c r="R473" s="12" t="s">
        <v>48</v>
      </c>
      <c r="S473" s="10" t="n">
        <v>1130101</v>
      </c>
      <c r="T473" s="12" t="s">
        <v>49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139</v>
      </c>
      <c r="F474" s="10" t="n">
        <v>34</v>
      </c>
      <c r="G474" s="12" t="s">
        <v>97</v>
      </c>
      <c r="H474" s="10" t="n">
        <v>2110101</v>
      </c>
      <c r="I474" s="12" t="s">
        <v>33</v>
      </c>
      <c r="J474" s="10" t="n">
        <v>1330491</v>
      </c>
      <c r="L474" s="10" t="n">
        <v>178178</v>
      </c>
      <c r="M474" s="12" t="s">
        <v>83</v>
      </c>
      <c r="N474" s="12" t="s">
        <v>35</v>
      </c>
      <c r="P474" s="10" t="n">
        <v>113</v>
      </c>
      <c r="Q474" s="12" t="s">
        <v>36</v>
      </c>
      <c r="R474" s="12" t="s">
        <v>48</v>
      </c>
      <c r="S474" s="10" t="n">
        <v>1130101</v>
      </c>
      <c r="T474" s="12" t="s">
        <v>49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40</v>
      </c>
      <c r="F475" s="10" t="n">
        <v>34</v>
      </c>
      <c r="G475" s="12" t="s">
        <v>97</v>
      </c>
      <c r="H475" s="10" t="n">
        <v>1110203</v>
      </c>
      <c r="I475" s="12" t="s">
        <v>108</v>
      </c>
      <c r="J475" s="10" t="n">
        <v>1341297</v>
      </c>
      <c r="L475" s="10" t="n">
        <v>180039</v>
      </c>
      <c r="M475" s="12" t="s">
        <v>83</v>
      </c>
      <c r="N475" s="12" t="s">
        <v>35</v>
      </c>
      <c r="P475" s="10" t="n">
        <v>102</v>
      </c>
      <c r="Q475" s="12" t="s">
        <v>282</v>
      </c>
      <c r="R475" s="12" t="s">
        <v>100</v>
      </c>
      <c r="S475" s="10" t="n">
        <v>4210301</v>
      </c>
      <c r="T475" s="12" t="s">
        <v>230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135</v>
      </c>
      <c r="F476" s="10" t="n">
        <v>34</v>
      </c>
      <c r="G476" s="12" t="s">
        <v>97</v>
      </c>
      <c r="H476" s="10" t="n">
        <v>1110203</v>
      </c>
      <c r="I476" s="12" t="s">
        <v>108</v>
      </c>
      <c r="J476" s="10" t="n">
        <v>1341331</v>
      </c>
      <c r="L476" s="10" t="n">
        <v>180044</v>
      </c>
      <c r="M476" s="12" t="s">
        <v>83</v>
      </c>
      <c r="N476" s="12" t="s">
        <v>35</v>
      </c>
      <c r="P476" s="10" t="n">
        <v>102</v>
      </c>
      <c r="Q476" s="12" t="s">
        <v>282</v>
      </c>
      <c r="R476" s="12" t="s">
        <v>100</v>
      </c>
      <c r="S476" s="10" t="n">
        <v>4210310</v>
      </c>
      <c r="T476" s="12" t="s">
        <v>136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133</v>
      </c>
      <c r="H477" s="10" t="n">
        <v>1110203</v>
      </c>
      <c r="I477" s="12" t="s">
        <v>108</v>
      </c>
      <c r="J477" s="10" t="n">
        <v>1428680</v>
      </c>
      <c r="L477" s="10" t="n">
        <v>191295</v>
      </c>
      <c r="M477" s="12" t="s">
        <v>83</v>
      </c>
      <c r="N477" s="12" t="s">
        <v>35</v>
      </c>
      <c r="P477" s="10" t="n">
        <v>113</v>
      </c>
      <c r="Q477" s="12" t="s">
        <v>36</v>
      </c>
      <c r="R477" s="12" t="s">
        <v>48</v>
      </c>
      <c r="S477" s="10" t="n">
        <v>1130101</v>
      </c>
      <c r="T477" s="12" t="s">
        <v>49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133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83</v>
      </c>
      <c r="N478" s="12" t="s">
        <v>35</v>
      </c>
      <c r="P478" s="10" t="n">
        <v>101</v>
      </c>
      <c r="Q478" s="12" t="s">
        <v>42</v>
      </c>
      <c r="R478" s="12" t="s">
        <v>100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133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83</v>
      </c>
      <c r="N479" s="12" t="s">
        <v>35</v>
      </c>
      <c r="P479" s="10" t="n">
        <v>101</v>
      </c>
      <c r="Q479" s="12" t="s">
        <v>42</v>
      </c>
      <c r="R479" s="12" t="s">
        <v>56</v>
      </c>
      <c r="S479" s="10" t="n">
        <v>4210227</v>
      </c>
      <c r="T479" s="12" t="s">
        <v>63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135</v>
      </c>
      <c r="F480" s="10" t="n">
        <v>13</v>
      </c>
      <c r="G480" s="12" t="s">
        <v>133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83</v>
      </c>
      <c r="N480" s="12" t="s">
        <v>35</v>
      </c>
      <c r="P480" s="10" t="n">
        <v>101</v>
      </c>
      <c r="Q480" s="12" t="s">
        <v>42</v>
      </c>
      <c r="R480" s="12" t="s">
        <v>100</v>
      </c>
      <c r="S480" s="10" t="n">
        <v>4210310</v>
      </c>
      <c r="T480" s="12" t="s">
        <v>136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133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83</v>
      </c>
      <c r="N481" s="12" t="s">
        <v>35</v>
      </c>
      <c r="P481" s="10" t="n">
        <v>101</v>
      </c>
      <c r="Q481" s="12" t="s">
        <v>42</v>
      </c>
      <c r="R481" s="12" t="s">
        <v>48</v>
      </c>
      <c r="S481" s="10" t="n">
        <v>1130101</v>
      </c>
      <c r="T481" s="12" t="s">
        <v>49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31</v>
      </c>
      <c r="F482" s="10" t="n">
        <v>47</v>
      </c>
      <c r="G482" s="12" t="s">
        <v>32</v>
      </c>
      <c r="H482" s="10" t="n">
        <v>2110101</v>
      </c>
      <c r="I482" s="12" t="s">
        <v>33</v>
      </c>
      <c r="J482" s="10" t="n">
        <v>361903</v>
      </c>
      <c r="L482" s="10" t="n">
        <v>47174</v>
      </c>
      <c r="M482" s="12" t="s">
        <v>596</v>
      </c>
      <c r="N482" s="12" t="s">
        <v>35</v>
      </c>
      <c r="P482" s="10" t="n">
        <v>113</v>
      </c>
      <c r="Q482" s="12" t="s">
        <v>36</v>
      </c>
      <c r="R482" s="12" t="s">
        <v>37</v>
      </c>
      <c r="S482" s="10" t="n">
        <v>1240103</v>
      </c>
      <c r="T482" s="12" t="s">
        <v>38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51</v>
      </c>
      <c r="F483" s="10" t="n">
        <v>47</v>
      </c>
      <c r="G483" s="12" t="s">
        <v>32</v>
      </c>
      <c r="H483" s="10" t="n">
        <v>2110102</v>
      </c>
      <c r="I483" s="12" t="s">
        <v>52</v>
      </c>
      <c r="J483" s="10" t="n">
        <v>584704</v>
      </c>
      <c r="L483" s="10" t="n">
        <v>6278</v>
      </c>
      <c r="M483" s="12" t="s">
        <v>47</v>
      </c>
      <c r="N483" s="12" t="s">
        <v>54</v>
      </c>
      <c r="P483" s="10" t="n">
        <v>104</v>
      </c>
      <c r="Q483" s="12" t="s">
        <v>55</v>
      </c>
      <c r="R483" s="12" t="s">
        <v>56</v>
      </c>
      <c r="S483" s="10" t="n">
        <v>4210204</v>
      </c>
      <c r="T483" s="12" t="s">
        <v>57</v>
      </c>
      <c r="U483" s="13" t="n">
        <v>666.65</v>
      </c>
      <c r="W483" s="13" t="n">
        <v>0</v>
      </c>
      <c r="X483" s="12" t="s">
        <v>58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59</v>
      </c>
      <c r="F484" s="10" t="n">
        <v>47</v>
      </c>
      <c r="G484" s="12" t="s">
        <v>32</v>
      </c>
      <c r="H484" s="10" t="n">
        <v>2110102</v>
      </c>
      <c r="I484" s="12" t="s">
        <v>52</v>
      </c>
      <c r="J484" s="10" t="n">
        <v>584985</v>
      </c>
      <c r="L484" s="10" t="n">
        <v>7267</v>
      </c>
      <c r="M484" s="12" t="s">
        <v>47</v>
      </c>
      <c r="N484" s="12" t="s">
        <v>54</v>
      </c>
      <c r="P484" s="10" t="n">
        <v>104</v>
      </c>
      <c r="Q484" s="12" t="s">
        <v>55</v>
      </c>
      <c r="R484" s="12" t="s">
        <v>56</v>
      </c>
      <c r="S484" s="10" t="n">
        <v>4210204</v>
      </c>
      <c r="T484" s="12" t="s">
        <v>57</v>
      </c>
      <c r="U484" s="13" t="n">
        <v>165</v>
      </c>
      <c r="W484" s="13" t="n">
        <v>0</v>
      </c>
      <c r="X484" s="12" t="s">
        <v>60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68</v>
      </c>
      <c r="F485" s="10" t="n">
        <v>47</v>
      </c>
      <c r="G485" s="12" t="s">
        <v>32</v>
      </c>
      <c r="H485" s="10" t="n">
        <v>2110405</v>
      </c>
      <c r="I485" s="12" t="s">
        <v>41</v>
      </c>
      <c r="J485" s="10" t="n">
        <v>846762</v>
      </c>
      <c r="L485" s="10" t="n">
        <v>111500</v>
      </c>
      <c r="M485" s="12" t="s">
        <v>71</v>
      </c>
      <c r="N485" s="12" t="s">
        <v>35</v>
      </c>
      <c r="P485" s="10" t="n">
        <v>113</v>
      </c>
      <c r="Q485" s="12" t="s">
        <v>36</v>
      </c>
      <c r="R485" s="12" t="s">
        <v>56</v>
      </c>
      <c r="S485" s="10" t="n">
        <v>4210227</v>
      </c>
      <c r="T485" s="12" t="s">
        <v>63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70</v>
      </c>
      <c r="F486" s="10" t="n">
        <v>47</v>
      </c>
      <c r="G486" s="12" t="s">
        <v>32</v>
      </c>
      <c r="H486" s="10" t="n">
        <v>2110405</v>
      </c>
      <c r="I486" s="12" t="s">
        <v>41</v>
      </c>
      <c r="J486" s="10" t="n">
        <v>846832</v>
      </c>
      <c r="L486" s="10" t="n">
        <v>111506</v>
      </c>
      <c r="M486" s="12" t="s">
        <v>53</v>
      </c>
      <c r="N486" s="12" t="s">
        <v>35</v>
      </c>
      <c r="P486" s="10" t="n">
        <v>113</v>
      </c>
      <c r="Q486" s="12" t="s">
        <v>36</v>
      </c>
      <c r="R486" s="12" t="s">
        <v>56</v>
      </c>
      <c r="S486" s="10" t="n">
        <v>4210227</v>
      </c>
      <c r="T486" s="12" t="s">
        <v>63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250</v>
      </c>
      <c r="F487" s="10" t="n">
        <v>24</v>
      </c>
      <c r="G487" s="12" t="s">
        <v>77</v>
      </c>
      <c r="H487" s="10" t="n">
        <v>2110101</v>
      </c>
      <c r="I487" s="12" t="s">
        <v>33</v>
      </c>
      <c r="J487" s="10" t="n">
        <v>1231766</v>
      </c>
      <c r="L487" s="10" t="n">
        <v>34450</v>
      </c>
      <c r="M487" s="12" t="s">
        <v>74</v>
      </c>
      <c r="N487" s="12" t="s">
        <v>54</v>
      </c>
      <c r="P487" s="10" t="n">
        <v>113</v>
      </c>
      <c r="Q487" s="12" t="s">
        <v>36</v>
      </c>
      <c r="R487" s="12" t="s">
        <v>48</v>
      </c>
      <c r="S487" s="10" t="n">
        <v>1130101</v>
      </c>
      <c r="T487" s="12" t="s">
        <v>49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250</v>
      </c>
      <c r="F488" s="10" t="n">
        <v>24</v>
      </c>
      <c r="G488" s="12" t="s">
        <v>77</v>
      </c>
      <c r="H488" s="10" t="n">
        <v>2110101</v>
      </c>
      <c r="I488" s="12" t="s">
        <v>33</v>
      </c>
      <c r="J488" s="10" t="n">
        <v>1231774</v>
      </c>
      <c r="L488" s="10" t="n">
        <v>30199</v>
      </c>
      <c r="M488" s="12" t="s">
        <v>74</v>
      </c>
      <c r="N488" s="12" t="s">
        <v>54</v>
      </c>
      <c r="P488" s="10" t="n">
        <v>113</v>
      </c>
      <c r="Q488" s="12" t="s">
        <v>36</v>
      </c>
      <c r="R488" s="12" t="s">
        <v>48</v>
      </c>
      <c r="S488" s="10" t="n">
        <v>1130101</v>
      </c>
      <c r="T488" s="12" t="s">
        <v>49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94</v>
      </c>
      <c r="F489" s="10" t="n">
        <v>24</v>
      </c>
      <c r="G489" s="12" t="s">
        <v>77</v>
      </c>
      <c r="H489" s="10" t="n">
        <v>2110101</v>
      </c>
      <c r="I489" s="12" t="s">
        <v>33</v>
      </c>
      <c r="J489" s="10" t="n">
        <v>1239822</v>
      </c>
      <c r="L489" s="10" t="n">
        <v>1595886</v>
      </c>
      <c r="M489" s="12" t="s">
        <v>74</v>
      </c>
      <c r="N489" s="12" t="s">
        <v>54</v>
      </c>
      <c r="P489" s="10" t="n">
        <v>113</v>
      </c>
      <c r="Q489" s="12" t="s">
        <v>36</v>
      </c>
      <c r="R489" s="12" t="s">
        <v>48</v>
      </c>
      <c r="S489" s="10" t="n">
        <v>1130101</v>
      </c>
      <c r="T489" s="12" t="s">
        <v>49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197</v>
      </c>
      <c r="F490" s="10" t="n">
        <v>24</v>
      </c>
      <c r="G490" s="12" t="s">
        <v>77</v>
      </c>
      <c r="H490" s="10" t="n">
        <v>2110101</v>
      </c>
      <c r="I490" s="12" t="s">
        <v>33</v>
      </c>
      <c r="J490" s="10" t="n">
        <v>1257254</v>
      </c>
      <c r="L490" s="10" t="n">
        <v>878758</v>
      </c>
      <c r="M490" s="12" t="s">
        <v>83</v>
      </c>
      <c r="N490" s="12" t="s">
        <v>54</v>
      </c>
      <c r="P490" s="10" t="n">
        <v>113</v>
      </c>
      <c r="Q490" s="12" t="s">
        <v>36</v>
      </c>
      <c r="R490" s="12" t="s">
        <v>48</v>
      </c>
      <c r="S490" s="10" t="n">
        <v>1130101</v>
      </c>
      <c r="T490" s="12" t="s">
        <v>49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204</v>
      </c>
      <c r="F491" s="10" t="n">
        <v>24</v>
      </c>
      <c r="G491" s="12" t="s">
        <v>77</v>
      </c>
      <c r="H491" s="10" t="n">
        <v>2110101</v>
      </c>
      <c r="I491" s="12" t="s">
        <v>33</v>
      </c>
      <c r="J491" s="10" t="n">
        <v>1265709</v>
      </c>
      <c r="L491" s="10" t="n">
        <v>416678</v>
      </c>
      <c r="M491" s="12" t="s">
        <v>83</v>
      </c>
      <c r="N491" s="12" t="s">
        <v>54</v>
      </c>
      <c r="P491" s="10" t="n">
        <v>113</v>
      </c>
      <c r="Q491" s="12" t="s">
        <v>36</v>
      </c>
      <c r="R491" s="12" t="s">
        <v>48</v>
      </c>
      <c r="S491" s="10" t="n">
        <v>1130101</v>
      </c>
      <c r="T491" s="12" t="s">
        <v>49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250</v>
      </c>
      <c r="F492" s="10" t="n">
        <v>24</v>
      </c>
      <c r="G492" s="12" t="s">
        <v>77</v>
      </c>
      <c r="H492" s="10" t="n">
        <v>2110101</v>
      </c>
      <c r="I492" s="12" t="s">
        <v>33</v>
      </c>
      <c r="J492" s="10" t="n">
        <v>1265922</v>
      </c>
      <c r="L492" s="10" t="n">
        <v>168788</v>
      </c>
      <c r="M492" s="12" t="s">
        <v>83</v>
      </c>
      <c r="N492" s="12" t="s">
        <v>35</v>
      </c>
      <c r="P492" s="10" t="n">
        <v>113</v>
      </c>
      <c r="Q492" s="12" t="s">
        <v>36</v>
      </c>
      <c r="R492" s="12" t="s">
        <v>48</v>
      </c>
      <c r="S492" s="10" t="n">
        <v>1130101</v>
      </c>
      <c r="T492" s="12" t="s">
        <v>49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154</v>
      </c>
      <c r="F493" s="10" t="n">
        <v>24</v>
      </c>
      <c r="G493" s="12" t="s">
        <v>77</v>
      </c>
      <c r="H493" s="10" t="n">
        <v>2110101</v>
      </c>
      <c r="I493" s="12" t="s">
        <v>33</v>
      </c>
      <c r="J493" s="10" t="n">
        <v>1266289</v>
      </c>
      <c r="L493" s="10" t="n">
        <v>346452</v>
      </c>
      <c r="M493" s="12" t="s">
        <v>74</v>
      </c>
      <c r="N493" s="12" t="s">
        <v>54</v>
      </c>
      <c r="P493" s="10" t="n">
        <v>113</v>
      </c>
      <c r="Q493" s="12" t="s">
        <v>36</v>
      </c>
      <c r="R493" s="12" t="s">
        <v>48</v>
      </c>
      <c r="S493" s="10" t="n">
        <v>1130101</v>
      </c>
      <c r="T493" s="12" t="s">
        <v>49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77</v>
      </c>
      <c r="H494" s="10" t="n">
        <v>2110405</v>
      </c>
      <c r="I494" s="12" t="s">
        <v>41</v>
      </c>
      <c r="J494" s="10" t="n">
        <v>1268812</v>
      </c>
      <c r="L494" s="10" t="n">
        <v>168790</v>
      </c>
      <c r="M494" s="12" t="s">
        <v>83</v>
      </c>
      <c r="N494" s="12" t="s">
        <v>35</v>
      </c>
      <c r="P494" s="10" t="n">
        <v>113</v>
      </c>
      <c r="Q494" s="12" t="s">
        <v>36</v>
      </c>
      <c r="R494" s="12" t="s">
        <v>56</v>
      </c>
      <c r="S494" s="10" t="n">
        <v>4210227</v>
      </c>
      <c r="T494" s="12" t="s">
        <v>63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32</v>
      </c>
      <c r="H495" s="10" t="n">
        <v>2110405</v>
      </c>
      <c r="I495" s="12" t="s">
        <v>41</v>
      </c>
      <c r="J495" s="10" t="n">
        <v>1273147</v>
      </c>
      <c r="L495" s="10" t="n">
        <v>168792</v>
      </c>
      <c r="M495" s="12" t="s">
        <v>83</v>
      </c>
      <c r="N495" s="12" t="s">
        <v>35</v>
      </c>
      <c r="P495" s="10" t="n">
        <v>101</v>
      </c>
      <c r="Q495" s="12" t="s">
        <v>42</v>
      </c>
      <c r="R495" s="12" t="s">
        <v>56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32</v>
      </c>
      <c r="H496" s="10" t="n">
        <v>2110405</v>
      </c>
      <c r="I496" s="12" t="s">
        <v>41</v>
      </c>
      <c r="J496" s="10" t="n">
        <v>1273154</v>
      </c>
      <c r="L496" s="10" t="n">
        <v>168793</v>
      </c>
      <c r="M496" s="12" t="s">
        <v>83</v>
      </c>
      <c r="N496" s="12" t="s">
        <v>35</v>
      </c>
      <c r="P496" s="10" t="n">
        <v>101</v>
      </c>
      <c r="Q496" s="12" t="s">
        <v>42</v>
      </c>
      <c r="R496" s="12" t="s">
        <v>56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94</v>
      </c>
      <c r="F497" s="10" t="n">
        <v>24</v>
      </c>
      <c r="G497" s="12" t="s">
        <v>77</v>
      </c>
      <c r="H497" s="10" t="n">
        <v>2110101</v>
      </c>
      <c r="I497" s="12" t="s">
        <v>33</v>
      </c>
      <c r="J497" s="10" t="n">
        <v>1289535</v>
      </c>
      <c r="L497" s="10" t="n">
        <v>1598763</v>
      </c>
      <c r="M497" s="12" t="s">
        <v>83</v>
      </c>
      <c r="N497" s="12" t="s">
        <v>54</v>
      </c>
      <c r="P497" s="10" t="n">
        <v>113</v>
      </c>
      <c r="Q497" s="12" t="s">
        <v>36</v>
      </c>
      <c r="R497" s="12" t="s">
        <v>48</v>
      </c>
      <c r="S497" s="10" t="n">
        <v>1130101</v>
      </c>
      <c r="T497" s="12" t="s">
        <v>49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107</v>
      </c>
      <c r="F498" s="10" t="n">
        <v>24</v>
      </c>
      <c r="G498" s="12" t="s">
        <v>77</v>
      </c>
      <c r="H498" s="10" t="n">
        <v>2110405</v>
      </c>
      <c r="I498" s="12" t="s">
        <v>41</v>
      </c>
      <c r="J498" s="10" t="n">
        <v>1290183</v>
      </c>
      <c r="L498" s="10" t="n">
        <v>172328</v>
      </c>
      <c r="M498" s="12" t="s">
        <v>83</v>
      </c>
      <c r="N498" s="12" t="s">
        <v>35</v>
      </c>
      <c r="P498" s="10" t="n">
        <v>101</v>
      </c>
      <c r="Q498" s="12" t="s">
        <v>42</v>
      </c>
      <c r="R498" s="12" t="s">
        <v>109</v>
      </c>
      <c r="S498" s="10" t="n">
        <v>1240203</v>
      </c>
      <c r="T498" s="12" t="s">
        <v>110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32</v>
      </c>
      <c r="H499" s="10" t="n">
        <v>2110101</v>
      </c>
      <c r="I499" s="12" t="s">
        <v>33</v>
      </c>
      <c r="J499" s="10" t="n">
        <v>1295052</v>
      </c>
      <c r="L499" s="10" t="n">
        <v>173314</v>
      </c>
      <c r="M499" s="12" t="s">
        <v>83</v>
      </c>
      <c r="N499" s="12" t="s">
        <v>35</v>
      </c>
      <c r="P499" s="10" t="n">
        <v>113</v>
      </c>
      <c r="Q499" s="12" t="s">
        <v>36</v>
      </c>
      <c r="R499" s="12" t="s">
        <v>48</v>
      </c>
      <c r="S499" s="10" t="n">
        <v>1130101</v>
      </c>
      <c r="T499" s="12" t="s">
        <v>49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73</v>
      </c>
      <c r="F500" s="10" t="n">
        <v>47</v>
      </c>
      <c r="G500" s="12" t="s">
        <v>32</v>
      </c>
      <c r="H500" s="10" t="n">
        <v>2110101</v>
      </c>
      <c r="I500" s="12" t="s">
        <v>33</v>
      </c>
      <c r="J500" s="10" t="n">
        <v>1295066</v>
      </c>
      <c r="L500" s="10" t="n">
        <v>173322</v>
      </c>
      <c r="M500" s="12" t="s">
        <v>83</v>
      </c>
      <c r="N500" s="12" t="s">
        <v>35</v>
      </c>
      <c r="P500" s="10" t="n">
        <v>113</v>
      </c>
      <c r="Q500" s="12" t="s">
        <v>36</v>
      </c>
      <c r="R500" s="12" t="s">
        <v>48</v>
      </c>
      <c r="S500" s="10" t="n">
        <v>1130101</v>
      </c>
      <c r="T500" s="12" t="s">
        <v>49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32</v>
      </c>
      <c r="H501" s="10" t="n">
        <v>2110101</v>
      </c>
      <c r="I501" s="12" t="s">
        <v>33</v>
      </c>
      <c r="J501" s="10" t="n">
        <v>1295068</v>
      </c>
      <c r="L501" s="10" t="n">
        <v>173326</v>
      </c>
      <c r="M501" s="12" t="s">
        <v>83</v>
      </c>
      <c r="N501" s="12" t="s">
        <v>35</v>
      </c>
      <c r="P501" s="10" t="n">
        <v>113</v>
      </c>
      <c r="Q501" s="12" t="s">
        <v>36</v>
      </c>
      <c r="R501" s="12" t="s">
        <v>48</v>
      </c>
      <c r="S501" s="10" t="n">
        <v>1130101</v>
      </c>
      <c r="T501" s="12" t="s">
        <v>49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32</v>
      </c>
      <c r="H502" s="10" t="n">
        <v>2110101</v>
      </c>
      <c r="I502" s="12" t="s">
        <v>33</v>
      </c>
      <c r="J502" s="10" t="n">
        <v>1295074</v>
      </c>
      <c r="L502" s="10" t="n">
        <v>173327</v>
      </c>
      <c r="M502" s="12" t="s">
        <v>83</v>
      </c>
      <c r="N502" s="12" t="s">
        <v>35</v>
      </c>
      <c r="P502" s="10" t="n">
        <v>113</v>
      </c>
      <c r="Q502" s="12" t="s">
        <v>36</v>
      </c>
      <c r="R502" s="12" t="s">
        <v>48</v>
      </c>
      <c r="S502" s="10" t="n">
        <v>1130101</v>
      </c>
      <c r="T502" s="12" t="s">
        <v>49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32</v>
      </c>
      <c r="H503" s="10" t="n">
        <v>2110101</v>
      </c>
      <c r="I503" s="12" t="s">
        <v>33</v>
      </c>
      <c r="J503" s="10" t="n">
        <v>1295077</v>
      </c>
      <c r="L503" s="10" t="n">
        <v>173329</v>
      </c>
      <c r="M503" s="12" t="s">
        <v>83</v>
      </c>
      <c r="N503" s="12" t="s">
        <v>35</v>
      </c>
      <c r="P503" s="10" t="n">
        <v>113</v>
      </c>
      <c r="Q503" s="12" t="s">
        <v>36</v>
      </c>
      <c r="R503" s="12" t="s">
        <v>48</v>
      </c>
      <c r="S503" s="10" t="n">
        <v>1130101</v>
      </c>
      <c r="T503" s="12" t="s">
        <v>49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32</v>
      </c>
      <c r="H504" s="10" t="n">
        <v>2110101</v>
      </c>
      <c r="I504" s="12" t="s">
        <v>33</v>
      </c>
      <c r="J504" s="10" t="n">
        <v>1295126</v>
      </c>
      <c r="L504" s="10" t="n">
        <v>173344</v>
      </c>
      <c r="M504" s="12" t="s">
        <v>83</v>
      </c>
      <c r="N504" s="12" t="s">
        <v>35</v>
      </c>
      <c r="P504" s="10" t="n">
        <v>113</v>
      </c>
      <c r="Q504" s="12" t="s">
        <v>36</v>
      </c>
      <c r="R504" s="12" t="s">
        <v>48</v>
      </c>
      <c r="S504" s="10" t="n">
        <v>1130101</v>
      </c>
      <c r="T504" s="12" t="s">
        <v>49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164</v>
      </c>
      <c r="F505" s="10" t="n">
        <v>24</v>
      </c>
      <c r="G505" s="12" t="s">
        <v>77</v>
      </c>
      <c r="H505" s="10" t="n">
        <v>2110101</v>
      </c>
      <c r="I505" s="12" t="s">
        <v>33</v>
      </c>
      <c r="J505" s="10" t="n">
        <v>1300169</v>
      </c>
      <c r="L505" s="10" t="n">
        <v>388857</v>
      </c>
      <c r="M505" s="12" t="s">
        <v>83</v>
      </c>
      <c r="N505" s="12" t="s">
        <v>54</v>
      </c>
      <c r="P505" s="10" t="n">
        <v>113</v>
      </c>
      <c r="Q505" s="12" t="s">
        <v>36</v>
      </c>
      <c r="R505" s="12" t="s">
        <v>48</v>
      </c>
      <c r="S505" s="10" t="n">
        <v>1130101</v>
      </c>
      <c r="T505" s="12" t="s">
        <v>49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194</v>
      </c>
      <c r="F506" s="10" t="n">
        <v>24</v>
      </c>
      <c r="G506" s="12" t="s">
        <v>77</v>
      </c>
      <c r="H506" s="10" t="n">
        <v>2110101</v>
      </c>
      <c r="I506" s="12" t="s">
        <v>33</v>
      </c>
      <c r="J506" s="10" t="n">
        <v>1310299</v>
      </c>
      <c r="L506" s="10" t="n">
        <v>685</v>
      </c>
      <c r="M506" s="12" t="s">
        <v>83</v>
      </c>
      <c r="N506" s="12" t="s">
        <v>54</v>
      </c>
      <c r="P506" s="10" t="n">
        <v>113</v>
      </c>
      <c r="Q506" s="12" t="s">
        <v>36</v>
      </c>
      <c r="R506" s="12" t="s">
        <v>48</v>
      </c>
      <c r="S506" s="10" t="n">
        <v>1130101</v>
      </c>
      <c r="T506" s="12" t="s">
        <v>49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96</v>
      </c>
      <c r="F507" s="10" t="n">
        <v>34</v>
      </c>
      <c r="G507" s="12" t="s">
        <v>97</v>
      </c>
      <c r="H507" s="10" t="n">
        <v>2110101</v>
      </c>
      <c r="I507" s="12" t="s">
        <v>33</v>
      </c>
      <c r="J507" s="10" t="n">
        <v>1312818</v>
      </c>
      <c r="L507" s="10" t="n">
        <v>325</v>
      </c>
      <c r="M507" s="12" t="s">
        <v>83</v>
      </c>
      <c r="N507" s="12" t="s">
        <v>54</v>
      </c>
      <c r="P507" s="10" t="n">
        <v>113</v>
      </c>
      <c r="Q507" s="12" t="s">
        <v>36</v>
      </c>
      <c r="R507" s="12" t="s">
        <v>48</v>
      </c>
      <c r="S507" s="10" t="n">
        <v>1130101</v>
      </c>
      <c r="T507" s="12" t="s">
        <v>49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132</v>
      </c>
      <c r="F508" s="10" t="n">
        <v>13</v>
      </c>
      <c r="G508" s="12" t="s">
        <v>133</v>
      </c>
      <c r="H508" s="10" t="n">
        <v>2110101</v>
      </c>
      <c r="I508" s="12" t="s">
        <v>33</v>
      </c>
      <c r="J508" s="10" t="n">
        <v>1334970</v>
      </c>
      <c r="L508" s="10" t="n">
        <v>2520</v>
      </c>
      <c r="M508" s="12" t="s">
        <v>83</v>
      </c>
      <c r="N508" s="12" t="s">
        <v>54</v>
      </c>
      <c r="P508" s="10" t="n">
        <v>113</v>
      </c>
      <c r="Q508" s="12" t="s">
        <v>36</v>
      </c>
      <c r="R508" s="12" t="s">
        <v>48</v>
      </c>
      <c r="S508" s="10" t="n">
        <v>1130101</v>
      </c>
      <c r="T508" s="12" t="s">
        <v>49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99</v>
      </c>
      <c r="F509" s="10" t="n">
        <v>34</v>
      </c>
      <c r="G509" s="12" t="s">
        <v>97</v>
      </c>
      <c r="H509" s="10" t="n">
        <v>2110405</v>
      </c>
      <c r="I509" s="12" t="s">
        <v>41</v>
      </c>
      <c r="J509" s="10" t="n">
        <v>1340183</v>
      </c>
      <c r="L509" s="10" t="n">
        <v>179826</v>
      </c>
      <c r="M509" s="12" t="s">
        <v>83</v>
      </c>
      <c r="N509" s="12" t="s">
        <v>35</v>
      </c>
      <c r="P509" s="10" t="n">
        <v>113</v>
      </c>
      <c r="Q509" s="12" t="s">
        <v>36</v>
      </c>
      <c r="R509" s="12" t="s">
        <v>100</v>
      </c>
      <c r="S509" s="10" t="n">
        <v>4210309</v>
      </c>
      <c r="T509" s="12" t="s">
        <v>101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103</v>
      </c>
      <c r="F510" s="10" t="n">
        <v>34</v>
      </c>
      <c r="G510" s="12" t="s">
        <v>97</v>
      </c>
      <c r="H510" s="10" t="n">
        <v>2110405</v>
      </c>
      <c r="I510" s="12" t="s">
        <v>41</v>
      </c>
      <c r="J510" s="10" t="n">
        <v>1340186</v>
      </c>
      <c r="L510" s="10" t="n">
        <v>179827</v>
      </c>
      <c r="M510" s="12" t="s">
        <v>83</v>
      </c>
      <c r="N510" s="12" t="s">
        <v>35</v>
      </c>
      <c r="P510" s="10" t="n">
        <v>113</v>
      </c>
      <c r="Q510" s="12" t="s">
        <v>36</v>
      </c>
      <c r="R510" s="12" t="s">
        <v>100</v>
      </c>
      <c r="S510" s="10" t="n">
        <v>4210309</v>
      </c>
      <c r="T510" s="12" t="s">
        <v>101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105</v>
      </c>
      <c r="F511" s="10" t="n">
        <v>34</v>
      </c>
      <c r="G511" s="12" t="s">
        <v>97</v>
      </c>
      <c r="H511" s="10" t="n">
        <v>2110405</v>
      </c>
      <c r="I511" s="12" t="s">
        <v>41</v>
      </c>
      <c r="J511" s="10" t="n">
        <v>1340190</v>
      </c>
      <c r="L511" s="10" t="n">
        <v>179828</v>
      </c>
      <c r="M511" s="12" t="s">
        <v>83</v>
      </c>
      <c r="N511" s="12" t="s">
        <v>35</v>
      </c>
      <c r="P511" s="10" t="n">
        <v>113</v>
      </c>
      <c r="Q511" s="12" t="s">
        <v>36</v>
      </c>
      <c r="R511" s="12" t="s">
        <v>100</v>
      </c>
      <c r="S511" s="10" t="n">
        <v>4210309</v>
      </c>
      <c r="T511" s="12" t="s">
        <v>101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77</v>
      </c>
      <c r="H512" s="10" t="n">
        <v>1110202</v>
      </c>
      <c r="I512" s="12" t="s">
        <v>346</v>
      </c>
      <c r="J512" s="10" t="n">
        <v>1345064</v>
      </c>
      <c r="L512" s="10" t="n">
        <v>180636</v>
      </c>
      <c r="M512" s="12" t="s">
        <v>83</v>
      </c>
      <c r="N512" s="12" t="s">
        <v>35</v>
      </c>
      <c r="P512" s="10" t="n">
        <v>102</v>
      </c>
      <c r="Q512" s="12" t="s">
        <v>282</v>
      </c>
      <c r="R512" s="12" t="s">
        <v>48</v>
      </c>
      <c r="S512" s="10" t="n">
        <v>1130101</v>
      </c>
      <c r="T512" s="12" t="s">
        <v>49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175</v>
      </c>
      <c r="F513" s="10" t="n">
        <v>24</v>
      </c>
      <c r="G513" s="12" t="s">
        <v>77</v>
      </c>
      <c r="H513" s="10" t="n">
        <v>2110101</v>
      </c>
      <c r="I513" s="12" t="s">
        <v>33</v>
      </c>
      <c r="J513" s="10" t="n">
        <v>1236598</v>
      </c>
      <c r="L513" s="10" t="n">
        <v>843147</v>
      </c>
      <c r="M513" s="12" t="s">
        <v>74</v>
      </c>
      <c r="N513" s="12" t="s">
        <v>54</v>
      </c>
      <c r="P513" s="10" t="n">
        <v>113</v>
      </c>
      <c r="Q513" s="12" t="s">
        <v>36</v>
      </c>
      <c r="R513" s="12" t="s">
        <v>48</v>
      </c>
      <c r="S513" s="10" t="n">
        <v>1130101</v>
      </c>
      <c r="T513" s="12" t="s">
        <v>49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85</v>
      </c>
      <c r="F514" s="10" t="n">
        <v>24</v>
      </c>
      <c r="G514" s="12" t="s">
        <v>77</v>
      </c>
      <c r="H514" s="10" t="n">
        <v>2110101</v>
      </c>
      <c r="I514" s="12" t="s">
        <v>33</v>
      </c>
      <c r="J514" s="10" t="n">
        <v>1236926</v>
      </c>
      <c r="L514" s="10" t="n">
        <v>164815</v>
      </c>
      <c r="M514" s="12" t="s">
        <v>83</v>
      </c>
      <c r="N514" s="12" t="s">
        <v>35</v>
      </c>
      <c r="P514" s="10" t="n">
        <v>113</v>
      </c>
      <c r="Q514" s="12" t="s">
        <v>36</v>
      </c>
      <c r="R514" s="12" t="s">
        <v>48</v>
      </c>
      <c r="S514" s="10" t="n">
        <v>1130101</v>
      </c>
      <c r="T514" s="12" t="s">
        <v>49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80</v>
      </c>
      <c r="F515" s="10" t="n">
        <v>24</v>
      </c>
      <c r="G515" s="12" t="s">
        <v>77</v>
      </c>
      <c r="H515" s="10" t="n">
        <v>2110101</v>
      </c>
      <c r="I515" s="12" t="s">
        <v>33</v>
      </c>
      <c r="J515" s="10" t="n">
        <v>1241897</v>
      </c>
      <c r="L515" s="10" t="n">
        <v>645628</v>
      </c>
      <c r="M515" s="12" t="s">
        <v>74</v>
      </c>
      <c r="N515" s="12" t="s">
        <v>54</v>
      </c>
      <c r="P515" s="10" t="n">
        <v>113</v>
      </c>
      <c r="Q515" s="12" t="s">
        <v>36</v>
      </c>
      <c r="R515" s="12" t="s">
        <v>48</v>
      </c>
      <c r="S515" s="10" t="n">
        <v>1130101</v>
      </c>
      <c r="T515" s="12" t="s">
        <v>49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77</v>
      </c>
      <c r="H516" s="10" t="n">
        <v>2110101</v>
      </c>
      <c r="I516" s="12" t="s">
        <v>33</v>
      </c>
      <c r="J516" s="10" t="n">
        <v>1244221</v>
      </c>
      <c r="L516" s="10" t="n">
        <v>1415530</v>
      </c>
      <c r="M516" s="12" t="s">
        <v>62</v>
      </c>
      <c r="N516" s="12" t="s">
        <v>54</v>
      </c>
      <c r="P516" s="10" t="n">
        <v>113</v>
      </c>
      <c r="Q516" s="12" t="s">
        <v>36</v>
      </c>
      <c r="R516" s="12" t="s">
        <v>48</v>
      </c>
      <c r="S516" s="10" t="n">
        <v>1130101</v>
      </c>
      <c r="T516" s="12" t="s">
        <v>49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77</v>
      </c>
      <c r="H517" s="10" t="n">
        <v>2110101</v>
      </c>
      <c r="I517" s="12" t="s">
        <v>33</v>
      </c>
      <c r="J517" s="10" t="n">
        <v>1255250</v>
      </c>
      <c r="L517" s="10" t="n">
        <v>1415529</v>
      </c>
      <c r="M517" s="12" t="s">
        <v>62</v>
      </c>
      <c r="N517" s="12" t="s">
        <v>54</v>
      </c>
      <c r="P517" s="10" t="n">
        <v>113</v>
      </c>
      <c r="Q517" s="12" t="s">
        <v>36</v>
      </c>
      <c r="R517" s="12" t="s">
        <v>48</v>
      </c>
      <c r="S517" s="10" t="n">
        <v>1130101</v>
      </c>
      <c r="T517" s="12" t="s">
        <v>49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156</v>
      </c>
      <c r="F518" s="10" t="n">
        <v>24</v>
      </c>
      <c r="G518" s="12" t="s">
        <v>77</v>
      </c>
      <c r="H518" s="10" t="n">
        <v>2110101</v>
      </c>
      <c r="I518" s="12" t="s">
        <v>33</v>
      </c>
      <c r="J518" s="10" t="n">
        <v>1255460</v>
      </c>
      <c r="L518" s="10" t="n">
        <v>1771887</v>
      </c>
      <c r="M518" s="12" t="s">
        <v>74</v>
      </c>
      <c r="N518" s="12" t="s">
        <v>54</v>
      </c>
      <c r="P518" s="10" t="n">
        <v>113</v>
      </c>
      <c r="Q518" s="12" t="s">
        <v>36</v>
      </c>
      <c r="R518" s="12" t="s">
        <v>48</v>
      </c>
      <c r="S518" s="10" t="n">
        <v>1130101</v>
      </c>
      <c r="T518" s="12" t="s">
        <v>49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300</v>
      </c>
      <c r="F519" s="10" t="n">
        <v>24</v>
      </c>
      <c r="G519" s="12" t="s">
        <v>77</v>
      </c>
      <c r="H519" s="10" t="n">
        <v>2110101</v>
      </c>
      <c r="I519" s="12" t="s">
        <v>33</v>
      </c>
      <c r="J519" s="10" t="n">
        <v>1261007</v>
      </c>
      <c r="L519" s="10" t="n">
        <v>658429</v>
      </c>
      <c r="M519" s="12" t="s">
        <v>83</v>
      </c>
      <c r="N519" s="12" t="s">
        <v>54</v>
      </c>
      <c r="P519" s="10" t="n">
        <v>113</v>
      </c>
      <c r="Q519" s="12" t="s">
        <v>36</v>
      </c>
      <c r="R519" s="12" t="s">
        <v>48</v>
      </c>
      <c r="S519" s="10" t="n">
        <v>1130101</v>
      </c>
      <c r="T519" s="12" t="s">
        <v>49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119</v>
      </c>
      <c r="F520" s="10" t="n">
        <v>24</v>
      </c>
      <c r="G520" s="12" t="s">
        <v>77</v>
      </c>
      <c r="H520" s="10" t="n">
        <v>2110101</v>
      </c>
      <c r="I520" s="12" t="s">
        <v>33</v>
      </c>
      <c r="J520" s="10" t="n">
        <v>1268754</v>
      </c>
      <c r="L520" s="10" t="n">
        <v>1887053</v>
      </c>
      <c r="M520" s="12" t="s">
        <v>83</v>
      </c>
      <c r="N520" s="12" t="s">
        <v>54</v>
      </c>
      <c r="P520" s="10" t="n">
        <v>113</v>
      </c>
      <c r="Q520" s="12" t="s">
        <v>36</v>
      </c>
      <c r="R520" s="12" t="s">
        <v>48</v>
      </c>
      <c r="S520" s="10" t="n">
        <v>1130101</v>
      </c>
      <c r="T520" s="12" t="s">
        <v>49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119</v>
      </c>
      <c r="F521" s="10" t="n">
        <v>24</v>
      </c>
      <c r="G521" s="12" t="s">
        <v>77</v>
      </c>
      <c r="H521" s="10" t="n">
        <v>2110101</v>
      </c>
      <c r="I521" s="12" t="s">
        <v>33</v>
      </c>
      <c r="J521" s="10" t="n">
        <v>1268786</v>
      </c>
      <c r="L521" s="10" t="n">
        <v>168789</v>
      </c>
      <c r="M521" s="12" t="s">
        <v>83</v>
      </c>
      <c r="N521" s="12" t="s">
        <v>35</v>
      </c>
      <c r="P521" s="10" t="n">
        <v>113</v>
      </c>
      <c r="Q521" s="12" t="s">
        <v>36</v>
      </c>
      <c r="R521" s="12" t="s">
        <v>48</v>
      </c>
      <c r="S521" s="10" t="n">
        <v>1130101</v>
      </c>
      <c r="T521" s="12" t="s">
        <v>49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261</v>
      </c>
      <c r="F522" s="10" t="n">
        <v>24</v>
      </c>
      <c r="G522" s="12" t="s">
        <v>77</v>
      </c>
      <c r="H522" s="10" t="n">
        <v>2110101</v>
      </c>
      <c r="I522" s="12" t="s">
        <v>33</v>
      </c>
      <c r="J522" s="10" t="n">
        <v>1268848</v>
      </c>
      <c r="L522" s="10" t="n">
        <v>326863</v>
      </c>
      <c r="M522" s="12" t="s">
        <v>83</v>
      </c>
      <c r="N522" s="12" t="s">
        <v>54</v>
      </c>
      <c r="P522" s="10" t="n">
        <v>113</v>
      </c>
      <c r="Q522" s="12" t="s">
        <v>36</v>
      </c>
      <c r="R522" s="12" t="s">
        <v>48</v>
      </c>
      <c r="S522" s="10" t="n">
        <v>1130101</v>
      </c>
      <c r="T522" s="12" t="s">
        <v>49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164</v>
      </c>
      <c r="F523" s="10" t="n">
        <v>24</v>
      </c>
      <c r="G523" s="12" t="s">
        <v>77</v>
      </c>
      <c r="H523" s="10" t="n">
        <v>2110101</v>
      </c>
      <c r="I523" s="12" t="s">
        <v>33</v>
      </c>
      <c r="J523" s="10" t="n">
        <v>1269162</v>
      </c>
      <c r="L523" s="10" t="n">
        <v>387833</v>
      </c>
      <c r="M523" s="12" t="s">
        <v>74</v>
      </c>
      <c r="N523" s="12" t="s">
        <v>54</v>
      </c>
      <c r="P523" s="10" t="n">
        <v>113</v>
      </c>
      <c r="Q523" s="12" t="s">
        <v>36</v>
      </c>
      <c r="R523" s="12" t="s">
        <v>48</v>
      </c>
      <c r="S523" s="10" t="n">
        <v>1130101</v>
      </c>
      <c r="T523" s="12" t="s">
        <v>49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77</v>
      </c>
      <c r="H524" s="10" t="n">
        <v>2110101</v>
      </c>
      <c r="I524" s="12" t="s">
        <v>33</v>
      </c>
      <c r="J524" s="10" t="n">
        <v>1270149</v>
      </c>
      <c r="L524" s="10" t="n">
        <v>10423</v>
      </c>
      <c r="M524" s="12" t="s">
        <v>83</v>
      </c>
      <c r="N524" s="12" t="s">
        <v>54</v>
      </c>
      <c r="P524" s="10" t="n">
        <v>113</v>
      </c>
      <c r="Q524" s="12" t="s">
        <v>36</v>
      </c>
      <c r="R524" s="12" t="s">
        <v>48</v>
      </c>
      <c r="S524" s="10" t="n">
        <v>1130101</v>
      </c>
      <c r="T524" s="12" t="s">
        <v>49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181</v>
      </c>
      <c r="F525" s="10" t="n">
        <v>24</v>
      </c>
      <c r="G525" s="12" t="s">
        <v>77</v>
      </c>
      <c r="H525" s="10" t="n">
        <v>2110101</v>
      </c>
      <c r="I525" s="12" t="s">
        <v>33</v>
      </c>
      <c r="J525" s="10" t="n">
        <v>1289129</v>
      </c>
      <c r="L525" s="10" t="n">
        <v>10605</v>
      </c>
      <c r="M525" s="12" t="s">
        <v>83</v>
      </c>
      <c r="N525" s="12" t="s">
        <v>54</v>
      </c>
      <c r="P525" s="10" t="n">
        <v>113</v>
      </c>
      <c r="Q525" s="12" t="s">
        <v>36</v>
      </c>
      <c r="R525" s="12" t="s">
        <v>48</v>
      </c>
      <c r="S525" s="10" t="n">
        <v>1130101</v>
      </c>
      <c r="T525" s="12" t="s">
        <v>49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77</v>
      </c>
      <c r="H526" s="10" t="n">
        <v>2110101</v>
      </c>
      <c r="I526" s="12" t="s">
        <v>33</v>
      </c>
      <c r="J526" s="10" t="n">
        <v>1306154</v>
      </c>
      <c r="L526" s="10" t="n">
        <v>590547</v>
      </c>
      <c r="M526" s="12" t="s">
        <v>83</v>
      </c>
      <c r="N526" s="12" t="s">
        <v>54</v>
      </c>
      <c r="P526" s="10" t="n">
        <v>113</v>
      </c>
      <c r="Q526" s="12" t="s">
        <v>36</v>
      </c>
      <c r="R526" s="12" t="s">
        <v>48</v>
      </c>
      <c r="S526" s="10" t="n">
        <v>1130101</v>
      </c>
      <c r="T526" s="12" t="s">
        <v>49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126</v>
      </c>
      <c r="F527" s="10" t="n">
        <v>24</v>
      </c>
      <c r="G527" s="12" t="s">
        <v>77</v>
      </c>
      <c r="H527" s="10" t="n">
        <v>2110101</v>
      </c>
      <c r="I527" s="12" t="s">
        <v>33</v>
      </c>
      <c r="J527" s="10" t="n">
        <v>1309632</v>
      </c>
      <c r="L527" s="10" t="n">
        <v>31144</v>
      </c>
      <c r="M527" s="12" t="s">
        <v>83</v>
      </c>
      <c r="N527" s="12" t="s">
        <v>54</v>
      </c>
      <c r="P527" s="10" t="n">
        <v>113</v>
      </c>
      <c r="Q527" s="12" t="s">
        <v>36</v>
      </c>
      <c r="R527" s="12" t="s">
        <v>48</v>
      </c>
      <c r="S527" s="10" t="n">
        <v>1130101</v>
      </c>
      <c r="T527" s="12" t="s">
        <v>49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130</v>
      </c>
      <c r="F528" s="10" t="n">
        <v>24</v>
      </c>
      <c r="G528" s="12" t="s">
        <v>77</v>
      </c>
      <c r="H528" s="10" t="n">
        <v>2110101</v>
      </c>
      <c r="I528" s="12" t="s">
        <v>33</v>
      </c>
      <c r="J528" s="10" t="n">
        <v>1330382</v>
      </c>
      <c r="L528" s="10" t="n">
        <v>515</v>
      </c>
      <c r="M528" s="12" t="s">
        <v>83</v>
      </c>
      <c r="N528" s="12" t="s">
        <v>54</v>
      </c>
      <c r="P528" s="10" t="n">
        <v>113</v>
      </c>
      <c r="Q528" s="12" t="s">
        <v>36</v>
      </c>
      <c r="R528" s="12" t="s">
        <v>48</v>
      </c>
      <c r="S528" s="10" t="n">
        <v>1130101</v>
      </c>
      <c r="T528" s="12" t="s">
        <v>49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143</v>
      </c>
      <c r="F529" s="10" t="n">
        <v>34</v>
      </c>
      <c r="G529" s="12" t="s">
        <v>97</v>
      </c>
      <c r="H529" s="10" t="n">
        <v>1110203</v>
      </c>
      <c r="I529" s="12" t="s">
        <v>108</v>
      </c>
      <c r="J529" s="10" t="n">
        <v>1345207</v>
      </c>
      <c r="L529" s="10" t="n">
        <v>180658</v>
      </c>
      <c r="M529" s="12" t="s">
        <v>83</v>
      </c>
      <c r="N529" s="12" t="s">
        <v>35</v>
      </c>
      <c r="P529" s="10" t="n">
        <v>102</v>
      </c>
      <c r="Q529" s="12" t="s">
        <v>282</v>
      </c>
      <c r="R529" s="12" t="s">
        <v>144</v>
      </c>
      <c r="S529" s="10" t="n">
        <v>4210504</v>
      </c>
      <c r="T529" s="12" t="s">
        <v>149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143</v>
      </c>
      <c r="F530" s="10" t="n">
        <v>34</v>
      </c>
      <c r="G530" s="12" t="s">
        <v>97</v>
      </c>
      <c r="H530" s="10" t="n">
        <v>1110203</v>
      </c>
      <c r="I530" s="12" t="s">
        <v>108</v>
      </c>
      <c r="J530" s="10" t="n">
        <v>1345224</v>
      </c>
      <c r="L530" s="10" t="n">
        <v>180661</v>
      </c>
      <c r="M530" s="12" t="s">
        <v>83</v>
      </c>
      <c r="N530" s="12" t="s">
        <v>35</v>
      </c>
      <c r="P530" s="10" t="n">
        <v>102</v>
      </c>
      <c r="Q530" s="12" t="s">
        <v>282</v>
      </c>
      <c r="R530" s="12" t="s">
        <v>144</v>
      </c>
      <c r="S530" s="10" t="n">
        <v>4210505</v>
      </c>
      <c r="T530" s="12" t="s">
        <v>145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143</v>
      </c>
      <c r="F531" s="10" t="n">
        <v>34</v>
      </c>
      <c r="G531" s="12" t="s">
        <v>97</v>
      </c>
      <c r="H531" s="10" t="n">
        <v>1110203</v>
      </c>
      <c r="I531" s="12" t="s">
        <v>108</v>
      </c>
      <c r="J531" s="10" t="n">
        <v>1345255</v>
      </c>
      <c r="L531" s="10" t="n">
        <v>180668</v>
      </c>
      <c r="M531" s="12" t="s">
        <v>83</v>
      </c>
      <c r="N531" s="12" t="s">
        <v>35</v>
      </c>
      <c r="P531" s="10" t="n">
        <v>102</v>
      </c>
      <c r="Q531" s="12" t="s">
        <v>282</v>
      </c>
      <c r="R531" s="12" t="s">
        <v>144</v>
      </c>
      <c r="S531" s="10" t="n">
        <v>4210505</v>
      </c>
      <c r="T531" s="12" t="s">
        <v>145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143</v>
      </c>
      <c r="F532" s="10" t="n">
        <v>34</v>
      </c>
      <c r="G532" s="12" t="s">
        <v>97</v>
      </c>
      <c r="H532" s="10" t="n">
        <v>1110203</v>
      </c>
      <c r="I532" s="12" t="s">
        <v>108</v>
      </c>
      <c r="J532" s="10" t="n">
        <v>1345267</v>
      </c>
      <c r="L532" s="10" t="n">
        <v>180674</v>
      </c>
      <c r="M532" s="12" t="s">
        <v>83</v>
      </c>
      <c r="N532" s="12" t="s">
        <v>35</v>
      </c>
      <c r="P532" s="10" t="n">
        <v>102</v>
      </c>
      <c r="Q532" s="12" t="s">
        <v>282</v>
      </c>
      <c r="R532" s="12" t="s">
        <v>144</v>
      </c>
      <c r="S532" s="10" t="n">
        <v>4210504</v>
      </c>
      <c r="T532" s="12" t="s">
        <v>149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143</v>
      </c>
      <c r="F533" s="10" t="n">
        <v>34</v>
      </c>
      <c r="G533" s="12" t="s">
        <v>97</v>
      </c>
      <c r="H533" s="10" t="n">
        <v>1110203</v>
      </c>
      <c r="I533" s="12" t="s">
        <v>108</v>
      </c>
      <c r="J533" s="10" t="n">
        <v>1345425</v>
      </c>
      <c r="L533" s="10" t="n">
        <v>180715</v>
      </c>
      <c r="M533" s="12" t="s">
        <v>83</v>
      </c>
      <c r="N533" s="12" t="s">
        <v>35</v>
      </c>
      <c r="P533" s="10" t="n">
        <v>102</v>
      </c>
      <c r="Q533" s="12" t="s">
        <v>282</v>
      </c>
      <c r="R533" s="12" t="s">
        <v>144</v>
      </c>
      <c r="S533" s="10" t="n">
        <v>4210504</v>
      </c>
      <c r="T533" s="12" t="s">
        <v>149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143</v>
      </c>
      <c r="F534" s="10" t="n">
        <v>34</v>
      </c>
      <c r="G534" s="12" t="s">
        <v>97</v>
      </c>
      <c r="H534" s="10" t="n">
        <v>1110203</v>
      </c>
      <c r="I534" s="12" t="s">
        <v>108</v>
      </c>
      <c r="J534" s="10" t="n">
        <v>1345429</v>
      </c>
      <c r="L534" s="10" t="n">
        <v>180716</v>
      </c>
      <c r="M534" s="12" t="s">
        <v>83</v>
      </c>
      <c r="N534" s="12" t="s">
        <v>35</v>
      </c>
      <c r="P534" s="10" t="n">
        <v>102</v>
      </c>
      <c r="Q534" s="12" t="s">
        <v>282</v>
      </c>
      <c r="R534" s="12" t="s">
        <v>144</v>
      </c>
      <c r="S534" s="10" t="n">
        <v>4210504</v>
      </c>
      <c r="T534" s="12" t="s">
        <v>149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133</v>
      </c>
      <c r="H535" s="10" t="n">
        <v>1110203</v>
      </c>
      <c r="I535" s="12" t="s">
        <v>108</v>
      </c>
      <c r="J535" s="10" t="n">
        <v>1439468</v>
      </c>
      <c r="L535" s="10" t="n">
        <v>194564</v>
      </c>
      <c r="M535" s="12" t="s">
        <v>83</v>
      </c>
      <c r="N535" s="12" t="s">
        <v>35</v>
      </c>
      <c r="P535" s="10" t="n">
        <v>113</v>
      </c>
      <c r="Q535" s="12" t="s">
        <v>36</v>
      </c>
      <c r="R535" s="12" t="s">
        <v>48</v>
      </c>
      <c r="S535" s="10" t="n">
        <v>1130101</v>
      </c>
      <c r="T535" s="12" t="s">
        <v>49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82</v>
      </c>
      <c r="F536" s="10" t="n">
        <v>24</v>
      </c>
      <c r="G536" s="12" t="s">
        <v>77</v>
      </c>
      <c r="H536" s="10" t="n">
        <v>2110101</v>
      </c>
      <c r="I536" s="12" t="s">
        <v>33</v>
      </c>
      <c r="J536" s="10" t="n">
        <v>1240610</v>
      </c>
      <c r="L536" s="10" t="n">
        <v>165331</v>
      </c>
      <c r="M536" s="12" t="s">
        <v>83</v>
      </c>
      <c r="N536" s="12" t="s">
        <v>35</v>
      </c>
      <c r="P536" s="10" t="n">
        <v>113</v>
      </c>
      <c r="Q536" s="12" t="s">
        <v>36</v>
      </c>
      <c r="R536" s="12" t="s">
        <v>48</v>
      </c>
      <c r="S536" s="10" t="n">
        <v>1130101</v>
      </c>
      <c r="T536" s="12" t="s">
        <v>49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85</v>
      </c>
      <c r="F537" s="10" t="n">
        <v>24</v>
      </c>
      <c r="G537" s="12" t="s">
        <v>77</v>
      </c>
      <c r="H537" s="10" t="n">
        <v>2110101</v>
      </c>
      <c r="I537" s="12" t="s">
        <v>33</v>
      </c>
      <c r="J537" s="10" t="n">
        <v>1244627</v>
      </c>
      <c r="L537" s="10" t="n">
        <v>3201857</v>
      </c>
      <c r="M537" s="12" t="s">
        <v>83</v>
      </c>
      <c r="N537" s="12" t="s">
        <v>54</v>
      </c>
      <c r="P537" s="10" t="n">
        <v>113</v>
      </c>
      <c r="Q537" s="12" t="s">
        <v>36</v>
      </c>
      <c r="R537" s="12" t="s">
        <v>48</v>
      </c>
      <c r="S537" s="10" t="n">
        <v>1130101</v>
      </c>
      <c r="T537" s="12" t="s">
        <v>49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199</v>
      </c>
      <c r="F538" s="10" t="n">
        <v>24</v>
      </c>
      <c r="G538" s="12" t="s">
        <v>77</v>
      </c>
      <c r="H538" s="10" t="n">
        <v>2110101</v>
      </c>
      <c r="I538" s="12" t="s">
        <v>33</v>
      </c>
      <c r="J538" s="10" t="n">
        <v>1269265</v>
      </c>
      <c r="L538" s="10" t="n">
        <v>674938</v>
      </c>
      <c r="M538" s="12" t="s">
        <v>83</v>
      </c>
      <c r="N538" s="12" t="s">
        <v>54</v>
      </c>
      <c r="P538" s="10" t="n">
        <v>113</v>
      </c>
      <c r="Q538" s="12" t="s">
        <v>36</v>
      </c>
      <c r="R538" s="12" t="s">
        <v>48</v>
      </c>
      <c r="S538" s="10" t="n">
        <v>1130101</v>
      </c>
      <c r="T538" s="12" t="s">
        <v>49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199</v>
      </c>
      <c r="F539" s="10" t="n">
        <v>24</v>
      </c>
      <c r="G539" s="12" t="s">
        <v>77</v>
      </c>
      <c r="H539" s="10" t="n">
        <v>2110101</v>
      </c>
      <c r="I539" s="12" t="s">
        <v>33</v>
      </c>
      <c r="J539" s="10" t="n">
        <v>1269305</v>
      </c>
      <c r="L539" s="10" t="n">
        <v>674937</v>
      </c>
      <c r="M539" s="12" t="s">
        <v>83</v>
      </c>
      <c r="N539" s="12" t="s">
        <v>54</v>
      </c>
      <c r="P539" s="10" t="n">
        <v>113</v>
      </c>
      <c r="Q539" s="12" t="s">
        <v>36</v>
      </c>
      <c r="R539" s="12" t="s">
        <v>48</v>
      </c>
      <c r="S539" s="10" t="n">
        <v>1130101</v>
      </c>
      <c r="T539" s="12" t="s">
        <v>49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204</v>
      </c>
      <c r="F540" s="10" t="n">
        <v>24</v>
      </c>
      <c r="G540" s="12" t="s">
        <v>77</v>
      </c>
      <c r="H540" s="10" t="n">
        <v>2110101</v>
      </c>
      <c r="I540" s="12" t="s">
        <v>33</v>
      </c>
      <c r="J540" s="10" t="n">
        <v>1289284</v>
      </c>
      <c r="L540" s="10" t="n">
        <v>419092</v>
      </c>
      <c r="M540" s="12" t="s">
        <v>83</v>
      </c>
      <c r="N540" s="12" t="s">
        <v>54</v>
      </c>
      <c r="P540" s="10" t="n">
        <v>113</v>
      </c>
      <c r="Q540" s="12" t="s">
        <v>36</v>
      </c>
      <c r="R540" s="12" t="s">
        <v>48</v>
      </c>
      <c r="S540" s="10" t="n">
        <v>1130101</v>
      </c>
      <c r="T540" s="12" t="s">
        <v>49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201</v>
      </c>
      <c r="F541" s="10" t="n">
        <v>24</v>
      </c>
      <c r="G541" s="12" t="s">
        <v>77</v>
      </c>
      <c r="H541" s="10" t="n">
        <v>2110101</v>
      </c>
      <c r="I541" s="12" t="s">
        <v>33</v>
      </c>
      <c r="J541" s="10" t="n">
        <v>1289449</v>
      </c>
      <c r="L541" s="10" t="n">
        <v>1676804</v>
      </c>
      <c r="M541" s="12" t="s">
        <v>83</v>
      </c>
      <c r="N541" s="12" t="s">
        <v>54</v>
      </c>
      <c r="P541" s="10" t="n">
        <v>113</v>
      </c>
      <c r="Q541" s="12" t="s">
        <v>36</v>
      </c>
      <c r="R541" s="12" t="s">
        <v>48</v>
      </c>
      <c r="S541" s="10" t="n">
        <v>1130101</v>
      </c>
      <c r="T541" s="12" t="s">
        <v>49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77</v>
      </c>
      <c r="H542" s="10" t="n">
        <v>2110101</v>
      </c>
      <c r="I542" s="12" t="s">
        <v>33</v>
      </c>
      <c r="J542" s="10" t="n">
        <v>1289973</v>
      </c>
      <c r="L542" s="10" t="n">
        <v>18762</v>
      </c>
      <c r="M542" s="12" t="s">
        <v>74</v>
      </c>
      <c r="N542" s="12" t="s">
        <v>54</v>
      </c>
      <c r="P542" s="10" t="n">
        <v>113</v>
      </c>
      <c r="Q542" s="12" t="s">
        <v>36</v>
      </c>
      <c r="R542" s="12" t="s">
        <v>48</v>
      </c>
      <c r="S542" s="10" t="n">
        <v>1130101</v>
      </c>
      <c r="T542" s="12" t="s">
        <v>49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241</v>
      </c>
      <c r="F543" s="10" t="n">
        <v>11</v>
      </c>
      <c r="G543" s="12" t="s">
        <v>501</v>
      </c>
      <c r="H543" s="10" t="n">
        <v>2110405</v>
      </c>
      <c r="I543" s="12" t="s">
        <v>41</v>
      </c>
      <c r="J543" s="10" t="n">
        <v>1344469</v>
      </c>
      <c r="L543" s="10" t="n">
        <v>180481</v>
      </c>
      <c r="M543" s="12" t="s">
        <v>83</v>
      </c>
      <c r="N543" s="12" t="s">
        <v>35</v>
      </c>
      <c r="P543" s="10" t="n">
        <v>101</v>
      </c>
      <c r="Q543" s="12" t="s">
        <v>42</v>
      </c>
      <c r="R543" s="12" t="s">
        <v>56</v>
      </c>
      <c r="S543" s="10" t="n">
        <v>4210231</v>
      </c>
      <c r="T543" s="12" t="s">
        <v>651</v>
      </c>
      <c r="U543" s="13" t="n">
        <v>1217.33</v>
      </c>
      <c r="W543" s="13" t="n">
        <v>0</v>
      </c>
      <c r="X543" s="12" t="s">
        <v>652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1642</v>
      </c>
      <c r="E544" s="12" t="s">
        <v>210</v>
      </c>
      <c r="F544" s="10" t="n">
        <v>24</v>
      </c>
      <c r="G544" s="12" t="s">
        <v>77</v>
      </c>
      <c r="H544" s="10" t="n">
        <v>2110101</v>
      </c>
      <c r="I544" s="12" t="s">
        <v>33</v>
      </c>
      <c r="J544" s="10" t="n">
        <v>1309652</v>
      </c>
      <c r="L544" s="10" t="n">
        <v>1029069</v>
      </c>
      <c r="M544" s="12" t="s">
        <v>83</v>
      </c>
      <c r="N544" s="12" t="s">
        <v>54</v>
      </c>
      <c r="P544" s="10" t="n">
        <v>113</v>
      </c>
      <c r="Q544" s="12" t="s">
        <v>36</v>
      </c>
      <c r="R544" s="12" t="s">
        <v>48</v>
      </c>
      <c r="S544" s="10" t="n">
        <v>1130101</v>
      </c>
      <c r="T544" s="12" t="s">
        <v>49</v>
      </c>
      <c r="U544" s="13" t="n">
        <v>305.38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46199</v>
      </c>
      <c r="C545" s="11" t="n">
        <v>46206</v>
      </c>
      <c r="D545" s="10" t="n">
        <v>1699</v>
      </c>
      <c r="E545" s="12" t="s">
        <v>208</v>
      </c>
      <c r="F545" s="10" t="n">
        <v>24</v>
      </c>
      <c r="G545" s="12" t="s">
        <v>77</v>
      </c>
      <c r="H545" s="10" t="n">
        <v>2110101</v>
      </c>
      <c r="I545" s="12" t="s">
        <v>33</v>
      </c>
      <c r="J545" s="10" t="n">
        <v>1310401</v>
      </c>
      <c r="L545" s="10" t="n">
        <v>305929</v>
      </c>
      <c r="M545" s="12" t="s">
        <v>83</v>
      </c>
      <c r="N545" s="12" t="s">
        <v>54</v>
      </c>
      <c r="P545" s="10" t="n">
        <v>113</v>
      </c>
      <c r="Q545" s="12" t="s">
        <v>36</v>
      </c>
      <c r="R545" s="12" t="s">
        <v>48</v>
      </c>
      <c r="S545" s="10" t="n">
        <v>1130101</v>
      </c>
      <c r="T545" s="12" t="s">
        <v>49</v>
      </c>
      <c r="U545" s="13" t="n">
        <v>1184.07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1666</v>
      </c>
      <c r="E546" s="12" t="s">
        <v>206</v>
      </c>
      <c r="F546" s="10" t="n">
        <v>24</v>
      </c>
      <c r="G546" s="12" t="s">
        <v>77</v>
      </c>
      <c r="H546" s="10" t="n">
        <v>2110101</v>
      </c>
      <c r="I546" s="12" t="s">
        <v>33</v>
      </c>
      <c r="J546" s="10" t="n">
        <v>1312641</v>
      </c>
      <c r="L546" s="10" t="n">
        <v>175251</v>
      </c>
      <c r="M546" s="12" t="s">
        <v>83</v>
      </c>
      <c r="N546" s="12" t="s">
        <v>35</v>
      </c>
      <c r="P546" s="10" t="n">
        <v>113</v>
      </c>
      <c r="Q546" s="12" t="s">
        <v>36</v>
      </c>
      <c r="R546" s="12" t="s">
        <v>48</v>
      </c>
      <c r="S546" s="10" t="n">
        <v>1130101</v>
      </c>
      <c r="T546" s="12" t="s">
        <v>49</v>
      </c>
      <c r="U546" s="13" t="n">
        <v>5761.35</v>
      </c>
      <c r="W546" s="13" t="n">
        <v>0</v>
      </c>
      <c r="X546" s="12" t="s">
        <v>655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1695</v>
      </c>
      <c r="E547" s="12" t="s">
        <v>351</v>
      </c>
      <c r="F547" s="10" t="n">
        <v>24</v>
      </c>
      <c r="G547" s="12" t="s">
        <v>77</v>
      </c>
      <c r="H547" s="10" t="n">
        <v>2110101</v>
      </c>
      <c r="I547" s="12" t="s">
        <v>33</v>
      </c>
      <c r="J547" s="10" t="n">
        <v>1312835</v>
      </c>
      <c r="L547" s="10" t="n">
        <v>18889</v>
      </c>
      <c r="M547" s="12" t="s">
        <v>83</v>
      </c>
      <c r="N547" s="12" t="s">
        <v>54</v>
      </c>
      <c r="P547" s="10" t="n">
        <v>113</v>
      </c>
      <c r="Q547" s="12" t="s">
        <v>36</v>
      </c>
      <c r="R547" s="12" t="s">
        <v>48</v>
      </c>
      <c r="S547" s="10" t="n">
        <v>1130101</v>
      </c>
      <c r="T547" s="12" t="s">
        <v>49</v>
      </c>
      <c r="U547" s="13" t="n">
        <v>796.74</v>
      </c>
      <c r="W547" s="13" t="n">
        <v>0</v>
      </c>
      <c r="X547" s="12" t="s">
        <v>656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46200</v>
      </c>
      <c r="C548" s="11" t="n">
        <v>46206</v>
      </c>
      <c r="D548" s="10" t="n">
        <v>1625</v>
      </c>
      <c r="E548" s="12" t="s">
        <v>248</v>
      </c>
      <c r="F548" s="10" t="n">
        <v>24</v>
      </c>
      <c r="G548" s="12" t="s">
        <v>77</v>
      </c>
      <c r="H548" s="10" t="n">
        <v>2110101</v>
      </c>
      <c r="I548" s="12" t="s">
        <v>33</v>
      </c>
      <c r="J548" s="10" t="n">
        <v>1313051</v>
      </c>
      <c r="L548" s="10" t="n">
        <v>14560</v>
      </c>
      <c r="M548" s="12" t="s">
        <v>83</v>
      </c>
      <c r="N548" s="12" t="s">
        <v>54</v>
      </c>
      <c r="P548" s="10" t="n">
        <v>113</v>
      </c>
      <c r="Q548" s="12" t="s">
        <v>36</v>
      </c>
      <c r="R548" s="12" t="s">
        <v>48</v>
      </c>
      <c r="S548" s="10" t="n">
        <v>1130101</v>
      </c>
      <c r="T548" s="12" t="s">
        <v>49</v>
      </c>
      <c r="U548" s="13" t="n">
        <v>1997.03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1815</v>
      </c>
      <c r="E549" s="12" t="s">
        <v>164</v>
      </c>
      <c r="F549" s="10" t="n">
        <v>24</v>
      </c>
      <c r="G549" s="12" t="s">
        <v>77</v>
      </c>
      <c r="H549" s="10" t="n">
        <v>2110101</v>
      </c>
      <c r="I549" s="12" t="s">
        <v>33</v>
      </c>
      <c r="J549" s="10" t="n">
        <v>1321695</v>
      </c>
      <c r="L549" s="10" t="n">
        <v>175255</v>
      </c>
      <c r="M549" s="12" t="s">
        <v>83</v>
      </c>
      <c r="N549" s="12" t="s">
        <v>35</v>
      </c>
      <c r="P549" s="10" t="n">
        <v>113</v>
      </c>
      <c r="Q549" s="12" t="s">
        <v>36</v>
      </c>
      <c r="R549" s="12" t="s">
        <v>48</v>
      </c>
      <c r="S549" s="10" t="n">
        <v>1130101</v>
      </c>
      <c r="T549" s="12" t="s">
        <v>49</v>
      </c>
      <c r="U549" s="13" t="n">
        <v>371.88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212</v>
      </c>
      <c r="F550" s="10" t="n">
        <v>24</v>
      </c>
      <c r="G550" s="12" t="s">
        <v>77</v>
      </c>
      <c r="H550" s="10" t="n">
        <v>2110101</v>
      </c>
      <c r="I550" s="12" t="s">
        <v>33</v>
      </c>
      <c r="J550" s="10" t="n">
        <v>1321849</v>
      </c>
      <c r="L550" s="10" t="n">
        <v>877177</v>
      </c>
      <c r="M550" s="12" t="s">
        <v>83</v>
      </c>
      <c r="N550" s="12" t="s">
        <v>54</v>
      </c>
      <c r="P550" s="10" t="n">
        <v>113</v>
      </c>
      <c r="Q550" s="12" t="s">
        <v>36</v>
      </c>
      <c r="R550" s="12" t="s">
        <v>48</v>
      </c>
      <c r="S550" s="10" t="n">
        <v>1130101</v>
      </c>
      <c r="T550" s="12" t="s">
        <v>49</v>
      </c>
      <c r="U550" s="13" t="n">
        <v>2177.83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46206</v>
      </c>
      <c r="D551" s="10" t="n">
        <v>1621</v>
      </c>
      <c r="E551" s="12" t="s">
        <v>212</v>
      </c>
      <c r="F551" s="10" t="n">
        <v>24</v>
      </c>
      <c r="G551" s="12" t="s">
        <v>77</v>
      </c>
      <c r="H551" s="10" t="n">
        <v>2110101</v>
      </c>
      <c r="I551" s="12" t="s">
        <v>33</v>
      </c>
      <c r="J551" s="10" t="n">
        <v>1321861</v>
      </c>
      <c r="L551" s="10" t="n">
        <v>175257</v>
      </c>
      <c r="M551" s="12" t="s">
        <v>83</v>
      </c>
      <c r="N551" s="12" t="s">
        <v>35</v>
      </c>
      <c r="P551" s="10" t="n">
        <v>113</v>
      </c>
      <c r="Q551" s="12" t="s">
        <v>36</v>
      </c>
      <c r="R551" s="12" t="s">
        <v>48</v>
      </c>
      <c r="S551" s="10" t="n">
        <v>1130101</v>
      </c>
      <c r="T551" s="12" t="s">
        <v>49</v>
      </c>
      <c r="U551" s="13" t="n">
        <v>1.55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46203</v>
      </c>
      <c r="C552" s="11" t="n">
        <v>46206</v>
      </c>
      <c r="D552" s="10" t="n">
        <v>1695</v>
      </c>
      <c r="E552" s="12" t="s">
        <v>351</v>
      </c>
      <c r="F552" s="10" t="n">
        <v>34</v>
      </c>
      <c r="G552" s="12" t="s">
        <v>97</v>
      </c>
      <c r="H552" s="10" t="n">
        <v>2110101</v>
      </c>
      <c r="I552" s="12" t="s">
        <v>33</v>
      </c>
      <c r="J552" s="10" t="n">
        <v>1330221</v>
      </c>
      <c r="L552" s="10" t="n">
        <v>178148</v>
      </c>
      <c r="M552" s="12" t="s">
        <v>83</v>
      </c>
      <c r="N552" s="12" t="s">
        <v>35</v>
      </c>
      <c r="P552" s="10" t="n">
        <v>113</v>
      </c>
      <c r="Q552" s="12" t="s">
        <v>36</v>
      </c>
      <c r="R552" s="12" t="s">
        <v>48</v>
      </c>
      <c r="S552" s="10" t="n">
        <v>1130101</v>
      </c>
      <c r="T552" s="12" t="s">
        <v>49</v>
      </c>
      <c r="U552" s="13" t="n">
        <v>534.44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132</v>
      </c>
      <c r="F553" s="10" t="n">
        <v>13</v>
      </c>
      <c r="G553" s="12" t="s">
        <v>133</v>
      </c>
      <c r="H553" s="10" t="n">
        <v>2110101</v>
      </c>
      <c r="I553" s="12" t="s">
        <v>33</v>
      </c>
      <c r="J553" s="10" t="n">
        <v>1344644</v>
      </c>
      <c r="L553" s="10" t="n">
        <v>2521</v>
      </c>
      <c r="M553" s="12" t="s">
        <v>83</v>
      </c>
      <c r="N553" s="12" t="s">
        <v>54</v>
      </c>
      <c r="P553" s="10" t="n">
        <v>113</v>
      </c>
      <c r="Q553" s="12" t="s">
        <v>36</v>
      </c>
      <c r="R553" s="12" t="s">
        <v>48</v>
      </c>
      <c r="S553" s="10" t="n">
        <v>1130101</v>
      </c>
      <c r="T553" s="12" t="s">
        <v>49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139</v>
      </c>
      <c r="F554" s="10" t="n">
        <v>34</v>
      </c>
      <c r="G554" s="12" t="s">
        <v>97</v>
      </c>
      <c r="H554" s="10" t="n">
        <v>1110203</v>
      </c>
      <c r="I554" s="12" t="s">
        <v>108</v>
      </c>
      <c r="J554" s="10" t="n">
        <v>1345240</v>
      </c>
      <c r="L554" s="10" t="n">
        <v>180664</v>
      </c>
      <c r="M554" s="12" t="s">
        <v>83</v>
      </c>
      <c r="N554" s="12" t="s">
        <v>35</v>
      </c>
      <c r="P554" s="10" t="n">
        <v>102</v>
      </c>
      <c r="Q554" s="12" t="s">
        <v>282</v>
      </c>
      <c r="R554" s="12" t="s">
        <v>43</v>
      </c>
      <c r="S554" s="10" t="n">
        <v>4220199</v>
      </c>
      <c r="T554" s="12" t="s">
        <v>44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272</v>
      </c>
      <c r="F555" s="10" t="n">
        <v>34</v>
      </c>
      <c r="G555" s="12" t="s">
        <v>97</v>
      </c>
      <c r="H555" s="10" t="n">
        <v>1110203</v>
      </c>
      <c r="I555" s="12" t="s">
        <v>108</v>
      </c>
      <c r="J555" s="10" t="n">
        <v>1345306</v>
      </c>
      <c r="L555" s="10" t="n">
        <v>180688</v>
      </c>
      <c r="M555" s="12" t="s">
        <v>83</v>
      </c>
      <c r="N555" s="12" t="s">
        <v>35</v>
      </c>
      <c r="P555" s="10" t="n">
        <v>101</v>
      </c>
      <c r="Q555" s="12" t="s">
        <v>42</v>
      </c>
      <c r="R555" s="12" t="s">
        <v>56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132</v>
      </c>
      <c r="F556" s="10" t="n">
        <v>13</v>
      </c>
      <c r="G556" s="12" t="s">
        <v>133</v>
      </c>
      <c r="H556" s="10" t="n">
        <v>2110101</v>
      </c>
      <c r="I556" s="12" t="s">
        <v>33</v>
      </c>
      <c r="J556" s="10" t="n">
        <v>1345376</v>
      </c>
      <c r="L556" s="10" t="n">
        <v>2522</v>
      </c>
      <c r="M556" s="12" t="s">
        <v>83</v>
      </c>
      <c r="N556" s="12" t="s">
        <v>54</v>
      </c>
      <c r="P556" s="10" t="n">
        <v>113</v>
      </c>
      <c r="Q556" s="12" t="s">
        <v>36</v>
      </c>
      <c r="R556" s="12" t="s">
        <v>48</v>
      </c>
      <c r="S556" s="10" t="n">
        <v>1130101</v>
      </c>
      <c r="T556" s="12" t="s">
        <v>49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139</v>
      </c>
      <c r="F557" s="10" t="n">
        <v>13</v>
      </c>
      <c r="G557" s="12" t="s">
        <v>133</v>
      </c>
      <c r="H557" s="10" t="n">
        <v>2110101</v>
      </c>
      <c r="I557" s="12" t="s">
        <v>33</v>
      </c>
      <c r="J557" s="10" t="n">
        <v>1345399</v>
      </c>
      <c r="L557" s="10" t="n">
        <v>180710</v>
      </c>
      <c r="M557" s="12" t="s">
        <v>83</v>
      </c>
      <c r="N557" s="12" t="s">
        <v>35</v>
      </c>
      <c r="P557" s="10" t="n">
        <v>113</v>
      </c>
      <c r="Q557" s="12" t="s">
        <v>36</v>
      </c>
      <c r="R557" s="12" t="s">
        <v>48</v>
      </c>
      <c r="S557" s="10" t="n">
        <v>1130101</v>
      </c>
      <c r="T557" s="12" t="s">
        <v>49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229</v>
      </c>
      <c r="F558" s="10" t="n">
        <v>34</v>
      </c>
      <c r="G558" s="12" t="s">
        <v>97</v>
      </c>
      <c r="H558" s="10" t="n">
        <v>2110405</v>
      </c>
      <c r="I558" s="12" t="s">
        <v>41</v>
      </c>
      <c r="J558" s="10" t="n">
        <v>1370446</v>
      </c>
      <c r="L558" s="10" t="n">
        <v>184273</v>
      </c>
      <c r="M558" s="12" t="s">
        <v>83</v>
      </c>
      <c r="N558" s="12" t="s">
        <v>35</v>
      </c>
      <c r="P558" s="10" t="n">
        <v>113</v>
      </c>
      <c r="Q558" s="12" t="s">
        <v>36</v>
      </c>
      <c r="R558" s="12" t="s">
        <v>100</v>
      </c>
      <c r="S558" s="10" t="n">
        <v>4210301</v>
      </c>
      <c r="T558" s="12" t="s">
        <v>230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229</v>
      </c>
      <c r="F559" s="10" t="n">
        <v>7</v>
      </c>
      <c r="G559" s="12" t="s">
        <v>232</v>
      </c>
      <c r="H559" s="10" t="n">
        <v>2110405</v>
      </c>
      <c r="I559" s="12" t="s">
        <v>41</v>
      </c>
      <c r="J559" s="10" t="n">
        <v>1370448</v>
      </c>
      <c r="L559" s="10" t="n">
        <v>184274</v>
      </c>
      <c r="M559" s="12" t="s">
        <v>83</v>
      </c>
      <c r="N559" s="12" t="s">
        <v>35</v>
      </c>
      <c r="P559" s="10" t="n">
        <v>113</v>
      </c>
      <c r="Q559" s="12" t="s">
        <v>36</v>
      </c>
      <c r="R559" s="12" t="s">
        <v>100</v>
      </c>
      <c r="S559" s="10" t="n">
        <v>4210301</v>
      </c>
      <c r="T559" s="12" t="s">
        <v>230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235</v>
      </c>
      <c r="F560" s="10" t="n">
        <v>34</v>
      </c>
      <c r="G560" s="12" t="s">
        <v>97</v>
      </c>
      <c r="H560" s="10" t="n">
        <v>2110405</v>
      </c>
      <c r="I560" s="12" t="s">
        <v>41</v>
      </c>
      <c r="J560" s="10" t="n">
        <v>1370455</v>
      </c>
      <c r="L560" s="10" t="n">
        <v>184276</v>
      </c>
      <c r="M560" s="12" t="s">
        <v>83</v>
      </c>
      <c r="N560" s="12" t="s">
        <v>35</v>
      </c>
      <c r="P560" s="10" t="n">
        <v>113</v>
      </c>
      <c r="Q560" s="12" t="s">
        <v>36</v>
      </c>
      <c r="R560" s="12" t="s">
        <v>100</v>
      </c>
      <c r="S560" s="10" t="n">
        <v>4210301</v>
      </c>
      <c r="T560" s="12" t="s">
        <v>230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235</v>
      </c>
      <c r="F561" s="10" t="n">
        <v>7</v>
      </c>
      <c r="G561" s="12" t="s">
        <v>232</v>
      </c>
      <c r="H561" s="10" t="n">
        <v>2110405</v>
      </c>
      <c r="I561" s="12" t="s">
        <v>41</v>
      </c>
      <c r="J561" s="10" t="n">
        <v>1370456</v>
      </c>
      <c r="L561" s="10" t="n">
        <v>184277</v>
      </c>
      <c r="M561" s="12" t="s">
        <v>83</v>
      </c>
      <c r="N561" s="12" t="s">
        <v>35</v>
      </c>
      <c r="P561" s="10" t="n">
        <v>113</v>
      </c>
      <c r="Q561" s="12" t="s">
        <v>36</v>
      </c>
      <c r="R561" s="12" t="s">
        <v>100</v>
      </c>
      <c r="S561" s="10" t="n">
        <v>4210301</v>
      </c>
      <c r="T561" s="12" t="s">
        <v>230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236</v>
      </c>
      <c r="F562" s="10" t="n">
        <v>7</v>
      </c>
      <c r="G562" s="12" t="s">
        <v>232</v>
      </c>
      <c r="H562" s="10" t="n">
        <v>2110405</v>
      </c>
      <c r="I562" s="12" t="s">
        <v>41</v>
      </c>
      <c r="J562" s="10" t="n">
        <v>1370463</v>
      </c>
      <c r="L562" s="10" t="n">
        <v>184279</v>
      </c>
      <c r="M562" s="12" t="s">
        <v>83</v>
      </c>
      <c r="N562" s="12" t="s">
        <v>35</v>
      </c>
      <c r="P562" s="10" t="n">
        <v>113</v>
      </c>
      <c r="Q562" s="12" t="s">
        <v>36</v>
      </c>
      <c r="R562" s="12" t="s">
        <v>100</v>
      </c>
      <c r="S562" s="10" t="n">
        <v>4210301</v>
      </c>
      <c r="T562" s="12" t="s">
        <v>230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236</v>
      </c>
      <c r="F563" s="10" t="n">
        <v>34</v>
      </c>
      <c r="G563" s="12" t="s">
        <v>97</v>
      </c>
      <c r="H563" s="10" t="n">
        <v>2110405</v>
      </c>
      <c r="I563" s="12" t="s">
        <v>41</v>
      </c>
      <c r="J563" s="10" t="n">
        <v>1370482</v>
      </c>
      <c r="L563" s="10" t="n">
        <v>184280</v>
      </c>
      <c r="M563" s="12" t="s">
        <v>83</v>
      </c>
      <c r="N563" s="12" t="s">
        <v>35</v>
      </c>
      <c r="P563" s="10" t="n">
        <v>113</v>
      </c>
      <c r="Q563" s="12" t="s">
        <v>36</v>
      </c>
      <c r="R563" s="12" t="s">
        <v>100</v>
      </c>
      <c r="S563" s="10" t="n">
        <v>4210301</v>
      </c>
      <c r="T563" s="12" t="s">
        <v>230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99</v>
      </c>
      <c r="F564" s="10" t="n">
        <v>34</v>
      </c>
      <c r="G564" s="12" t="s">
        <v>97</v>
      </c>
      <c r="H564" s="10" t="n">
        <v>2110405</v>
      </c>
      <c r="I564" s="12" t="s">
        <v>41</v>
      </c>
      <c r="J564" s="10" t="n">
        <v>1370496</v>
      </c>
      <c r="L564" s="10" t="n">
        <v>184281</v>
      </c>
      <c r="M564" s="12" t="s">
        <v>83</v>
      </c>
      <c r="N564" s="12" t="s">
        <v>35</v>
      </c>
      <c r="P564" s="10" t="n">
        <v>113</v>
      </c>
      <c r="Q564" s="12" t="s">
        <v>36</v>
      </c>
      <c r="R564" s="12" t="s">
        <v>100</v>
      </c>
      <c r="S564" s="10" t="n">
        <v>4210301</v>
      </c>
      <c r="T564" s="12" t="s">
        <v>230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99</v>
      </c>
      <c r="F565" s="10" t="n">
        <v>7</v>
      </c>
      <c r="G565" s="12" t="s">
        <v>232</v>
      </c>
      <c r="H565" s="10" t="n">
        <v>2110405</v>
      </c>
      <c r="I565" s="12" t="s">
        <v>41</v>
      </c>
      <c r="J565" s="10" t="n">
        <v>1370502</v>
      </c>
      <c r="L565" s="10" t="n">
        <v>184282</v>
      </c>
      <c r="M565" s="12" t="s">
        <v>83</v>
      </c>
      <c r="N565" s="12" t="s">
        <v>35</v>
      </c>
      <c r="P565" s="10" t="n">
        <v>113</v>
      </c>
      <c r="Q565" s="12" t="s">
        <v>36</v>
      </c>
      <c r="R565" s="12" t="s">
        <v>100</v>
      </c>
      <c r="S565" s="10" t="n">
        <v>4210301</v>
      </c>
      <c r="T565" s="12" t="s">
        <v>230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40</v>
      </c>
      <c r="F566" s="10" t="n">
        <v>34</v>
      </c>
      <c r="G566" s="12" t="s">
        <v>97</v>
      </c>
      <c r="H566" s="10" t="n">
        <v>2110405</v>
      </c>
      <c r="I566" s="12" t="s">
        <v>41</v>
      </c>
      <c r="J566" s="10" t="n">
        <v>1370507</v>
      </c>
      <c r="L566" s="10" t="n">
        <v>184284</v>
      </c>
      <c r="M566" s="12" t="s">
        <v>83</v>
      </c>
      <c r="N566" s="12" t="s">
        <v>35</v>
      </c>
      <c r="P566" s="10" t="n">
        <v>113</v>
      </c>
      <c r="Q566" s="12" t="s">
        <v>36</v>
      </c>
      <c r="R566" s="12" t="s">
        <v>100</v>
      </c>
      <c r="S566" s="10" t="n">
        <v>4210301</v>
      </c>
      <c r="T566" s="12" t="s">
        <v>230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40</v>
      </c>
      <c r="F567" s="10" t="n">
        <v>7</v>
      </c>
      <c r="G567" s="12" t="s">
        <v>232</v>
      </c>
      <c r="H567" s="10" t="n">
        <v>2110405</v>
      </c>
      <c r="I567" s="12" t="s">
        <v>41</v>
      </c>
      <c r="J567" s="10" t="n">
        <v>1370511</v>
      </c>
      <c r="L567" s="10" t="n">
        <v>184286</v>
      </c>
      <c r="M567" s="12" t="s">
        <v>83</v>
      </c>
      <c r="N567" s="12" t="s">
        <v>35</v>
      </c>
      <c r="P567" s="10" t="n">
        <v>113</v>
      </c>
      <c r="Q567" s="12" t="s">
        <v>36</v>
      </c>
      <c r="R567" s="12" t="s">
        <v>100</v>
      </c>
      <c r="S567" s="10" t="n">
        <v>4210301</v>
      </c>
      <c r="T567" s="12" t="s">
        <v>230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238</v>
      </c>
      <c r="F568" s="10" t="n">
        <v>34</v>
      </c>
      <c r="G568" s="12" t="s">
        <v>97</v>
      </c>
      <c r="H568" s="10" t="n">
        <v>2110405</v>
      </c>
      <c r="I568" s="12" t="s">
        <v>41</v>
      </c>
      <c r="J568" s="10" t="n">
        <v>1370526</v>
      </c>
      <c r="L568" s="10" t="n">
        <v>184292</v>
      </c>
      <c r="M568" s="12" t="s">
        <v>83</v>
      </c>
      <c r="N568" s="12" t="s">
        <v>35</v>
      </c>
      <c r="P568" s="10" t="n">
        <v>113</v>
      </c>
      <c r="Q568" s="12" t="s">
        <v>36</v>
      </c>
      <c r="R568" s="12" t="s">
        <v>100</v>
      </c>
      <c r="S568" s="10" t="n">
        <v>4210301</v>
      </c>
      <c r="T568" s="12" t="s">
        <v>230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238</v>
      </c>
      <c r="F569" s="10" t="n">
        <v>7</v>
      </c>
      <c r="G569" s="12" t="s">
        <v>232</v>
      </c>
      <c r="H569" s="10" t="n">
        <v>2110405</v>
      </c>
      <c r="I569" s="12" t="s">
        <v>41</v>
      </c>
      <c r="J569" s="10" t="n">
        <v>1370530</v>
      </c>
      <c r="L569" s="10" t="n">
        <v>184295</v>
      </c>
      <c r="M569" s="12" t="s">
        <v>83</v>
      </c>
      <c r="N569" s="12" t="s">
        <v>35</v>
      </c>
      <c r="P569" s="10" t="n">
        <v>113</v>
      </c>
      <c r="Q569" s="12" t="s">
        <v>36</v>
      </c>
      <c r="R569" s="12" t="s">
        <v>100</v>
      </c>
      <c r="S569" s="10" t="n">
        <v>4210301</v>
      </c>
      <c r="T569" s="12" t="s">
        <v>230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239</v>
      </c>
      <c r="F570" s="10" t="n">
        <v>34</v>
      </c>
      <c r="G570" s="12" t="s">
        <v>97</v>
      </c>
      <c r="H570" s="10" t="n">
        <v>2110405</v>
      </c>
      <c r="I570" s="12" t="s">
        <v>41</v>
      </c>
      <c r="J570" s="10" t="n">
        <v>1370543</v>
      </c>
      <c r="L570" s="10" t="n">
        <v>184299</v>
      </c>
      <c r="M570" s="12" t="s">
        <v>83</v>
      </c>
      <c r="N570" s="12" t="s">
        <v>35</v>
      </c>
      <c r="P570" s="10" t="n">
        <v>113</v>
      </c>
      <c r="Q570" s="12" t="s">
        <v>36</v>
      </c>
      <c r="R570" s="12" t="s">
        <v>100</v>
      </c>
      <c r="S570" s="10" t="n">
        <v>4210301</v>
      </c>
      <c r="T570" s="12" t="s">
        <v>230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239</v>
      </c>
      <c r="F571" s="10" t="n">
        <v>7</v>
      </c>
      <c r="G571" s="12" t="s">
        <v>232</v>
      </c>
      <c r="H571" s="10" t="n">
        <v>2110405</v>
      </c>
      <c r="I571" s="12" t="s">
        <v>41</v>
      </c>
      <c r="J571" s="10" t="n">
        <v>1370547</v>
      </c>
      <c r="L571" s="10" t="n">
        <v>184300</v>
      </c>
      <c r="M571" s="12" t="s">
        <v>83</v>
      </c>
      <c r="N571" s="12" t="s">
        <v>35</v>
      </c>
      <c r="P571" s="10" t="n">
        <v>113</v>
      </c>
      <c r="Q571" s="12" t="s">
        <v>36</v>
      </c>
      <c r="R571" s="12" t="s">
        <v>100</v>
      </c>
      <c r="S571" s="10" t="n">
        <v>4210301</v>
      </c>
      <c r="T571" s="12" t="s">
        <v>230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103</v>
      </c>
      <c r="F572" s="10" t="n">
        <v>34</v>
      </c>
      <c r="G572" s="12" t="s">
        <v>97</v>
      </c>
      <c r="H572" s="10" t="n">
        <v>2110405</v>
      </c>
      <c r="I572" s="12" t="s">
        <v>41</v>
      </c>
      <c r="J572" s="10" t="n">
        <v>1370552</v>
      </c>
      <c r="L572" s="10" t="n">
        <v>184302</v>
      </c>
      <c r="M572" s="12" t="s">
        <v>83</v>
      </c>
      <c r="N572" s="12" t="s">
        <v>35</v>
      </c>
      <c r="P572" s="10" t="n">
        <v>113</v>
      </c>
      <c r="Q572" s="12" t="s">
        <v>36</v>
      </c>
      <c r="R572" s="12" t="s">
        <v>100</v>
      </c>
      <c r="S572" s="10" t="n">
        <v>4210301</v>
      </c>
      <c r="T572" s="12" t="s">
        <v>230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103</v>
      </c>
      <c r="F573" s="10" t="n">
        <v>7</v>
      </c>
      <c r="G573" s="12" t="s">
        <v>232</v>
      </c>
      <c r="H573" s="10" t="n">
        <v>2110405</v>
      </c>
      <c r="I573" s="12" t="s">
        <v>41</v>
      </c>
      <c r="J573" s="10" t="n">
        <v>1370555</v>
      </c>
      <c r="L573" s="10" t="n">
        <v>184304</v>
      </c>
      <c r="M573" s="12" t="s">
        <v>83</v>
      </c>
      <c r="N573" s="12" t="s">
        <v>35</v>
      </c>
      <c r="P573" s="10" t="n">
        <v>113</v>
      </c>
      <c r="Q573" s="12" t="s">
        <v>36</v>
      </c>
      <c r="R573" s="12" t="s">
        <v>100</v>
      </c>
      <c r="S573" s="10" t="n">
        <v>4210301</v>
      </c>
      <c r="T573" s="12" t="s">
        <v>230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105</v>
      </c>
      <c r="F574" s="10" t="n">
        <v>34</v>
      </c>
      <c r="G574" s="12" t="s">
        <v>97</v>
      </c>
      <c r="H574" s="10" t="n">
        <v>2110405</v>
      </c>
      <c r="I574" s="12" t="s">
        <v>41</v>
      </c>
      <c r="J574" s="10" t="n">
        <v>1370560</v>
      </c>
      <c r="L574" s="10" t="n">
        <v>184306</v>
      </c>
      <c r="M574" s="12" t="s">
        <v>83</v>
      </c>
      <c r="N574" s="12" t="s">
        <v>35</v>
      </c>
      <c r="P574" s="10" t="n">
        <v>113</v>
      </c>
      <c r="Q574" s="12" t="s">
        <v>36</v>
      </c>
      <c r="R574" s="12" t="s">
        <v>100</v>
      </c>
      <c r="S574" s="10" t="n">
        <v>4210301</v>
      </c>
      <c r="T574" s="12" t="s">
        <v>230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105</v>
      </c>
      <c r="F575" s="10" t="n">
        <v>7</v>
      </c>
      <c r="G575" s="12" t="s">
        <v>232</v>
      </c>
      <c r="H575" s="10" t="n">
        <v>2110405</v>
      </c>
      <c r="I575" s="12" t="s">
        <v>41</v>
      </c>
      <c r="J575" s="10" t="n">
        <v>1370570</v>
      </c>
      <c r="L575" s="10" t="n">
        <v>184307</v>
      </c>
      <c r="M575" s="12" t="s">
        <v>83</v>
      </c>
      <c r="N575" s="12" t="s">
        <v>35</v>
      </c>
      <c r="P575" s="10" t="n">
        <v>113</v>
      </c>
      <c r="Q575" s="12" t="s">
        <v>36</v>
      </c>
      <c r="R575" s="12" t="s">
        <v>100</v>
      </c>
      <c r="S575" s="10" t="n">
        <v>4210301</v>
      </c>
      <c r="T575" s="12" t="s">
        <v>230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240</v>
      </c>
      <c r="F576" s="10" t="n">
        <v>7</v>
      </c>
      <c r="G576" s="12" t="s">
        <v>232</v>
      </c>
      <c r="H576" s="10" t="n">
        <v>2110405</v>
      </c>
      <c r="I576" s="12" t="s">
        <v>41</v>
      </c>
      <c r="J576" s="10" t="n">
        <v>1370572</v>
      </c>
      <c r="L576" s="10" t="n">
        <v>184311</v>
      </c>
      <c r="M576" s="12" t="s">
        <v>83</v>
      </c>
      <c r="N576" s="12" t="s">
        <v>35</v>
      </c>
      <c r="P576" s="10" t="n">
        <v>113</v>
      </c>
      <c r="Q576" s="12" t="s">
        <v>36</v>
      </c>
      <c r="R576" s="12" t="s">
        <v>100</v>
      </c>
      <c r="S576" s="10" t="n">
        <v>4210301</v>
      </c>
      <c r="T576" s="12" t="s">
        <v>230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232</v>
      </c>
      <c r="H577" s="10" t="n">
        <v>2110405</v>
      </c>
      <c r="I577" s="12" t="s">
        <v>41</v>
      </c>
      <c r="J577" s="10" t="n">
        <v>1370574</v>
      </c>
      <c r="L577" s="10" t="n">
        <v>184312</v>
      </c>
      <c r="M577" s="12" t="s">
        <v>83</v>
      </c>
      <c r="N577" s="12" t="s">
        <v>35</v>
      </c>
      <c r="P577" s="10" t="n">
        <v>113</v>
      </c>
      <c r="Q577" s="12" t="s">
        <v>36</v>
      </c>
      <c r="R577" s="12" t="s">
        <v>100</v>
      </c>
      <c r="S577" s="10" t="n">
        <v>4210301</v>
      </c>
      <c r="T577" s="12" t="s">
        <v>230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241</v>
      </c>
      <c r="F578" s="10" t="n">
        <v>7</v>
      </c>
      <c r="G578" s="12" t="s">
        <v>232</v>
      </c>
      <c r="H578" s="10" t="n">
        <v>2110405</v>
      </c>
      <c r="I578" s="12" t="s">
        <v>41</v>
      </c>
      <c r="J578" s="10" t="n">
        <v>1370577</v>
      </c>
      <c r="L578" s="10" t="n">
        <v>184313</v>
      </c>
      <c r="M578" s="12" t="s">
        <v>83</v>
      </c>
      <c r="N578" s="12" t="s">
        <v>35</v>
      </c>
      <c r="P578" s="10" t="n">
        <v>113</v>
      </c>
      <c r="Q578" s="12" t="s">
        <v>36</v>
      </c>
      <c r="R578" s="12" t="s">
        <v>100</v>
      </c>
      <c r="S578" s="10" t="n">
        <v>4210301</v>
      </c>
      <c r="T578" s="12" t="s">
        <v>230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97</v>
      </c>
      <c r="H579" s="10" t="n">
        <v>1110202</v>
      </c>
      <c r="I579" s="12" t="s">
        <v>346</v>
      </c>
      <c r="J579" s="10" t="n">
        <v>1374654</v>
      </c>
      <c r="L579" s="10" t="n">
        <v>184904</v>
      </c>
      <c r="M579" s="12" t="s">
        <v>83</v>
      </c>
      <c r="N579" s="12" t="s">
        <v>35</v>
      </c>
      <c r="P579" s="10" t="n">
        <v>102</v>
      </c>
      <c r="Q579" s="12" t="s">
        <v>282</v>
      </c>
      <c r="R579" s="12" t="s">
        <v>43</v>
      </c>
      <c r="S579" s="10" t="n">
        <v>4220199</v>
      </c>
      <c r="T579" s="12" t="s">
        <v>44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133</v>
      </c>
      <c r="H580" s="10" t="n">
        <v>1110203</v>
      </c>
      <c r="I580" s="12" t="s">
        <v>108</v>
      </c>
      <c r="J580" s="10" t="n">
        <v>1428689</v>
      </c>
      <c r="L580" s="10" t="n">
        <v>191305</v>
      </c>
      <c r="M580" s="12" t="s">
        <v>83</v>
      </c>
      <c r="N580" s="12" t="s">
        <v>35</v>
      </c>
      <c r="P580" s="10" t="n">
        <v>113</v>
      </c>
      <c r="Q580" s="12" t="s">
        <v>36</v>
      </c>
      <c r="R580" s="12" t="s">
        <v>48</v>
      </c>
      <c r="S580" s="10" t="n">
        <v>1130101</v>
      </c>
      <c r="T580" s="12" t="s">
        <v>49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292</v>
      </c>
      <c r="F581" s="10" t="n">
        <v>24</v>
      </c>
      <c r="G581" s="12" t="s">
        <v>77</v>
      </c>
      <c r="H581" s="10" t="n">
        <v>2110101</v>
      </c>
      <c r="I581" s="12" t="s">
        <v>33</v>
      </c>
      <c r="J581" s="10" t="n">
        <v>1151538</v>
      </c>
      <c r="L581" s="10" t="n">
        <v>33745</v>
      </c>
      <c r="M581" s="12" t="s">
        <v>62</v>
      </c>
      <c r="N581" s="12" t="s">
        <v>54</v>
      </c>
      <c r="P581" s="10" t="n">
        <v>113</v>
      </c>
      <c r="Q581" s="12" t="s">
        <v>36</v>
      </c>
      <c r="R581" s="12" t="s">
        <v>48</v>
      </c>
      <c r="S581" s="10" t="n">
        <v>1130101</v>
      </c>
      <c r="T581" s="12" t="s">
        <v>49</v>
      </c>
      <c r="U581" s="13" t="n">
        <v>938.27</v>
      </c>
      <c r="W581" s="13" t="n">
        <v>0</v>
      </c>
      <c r="X581" s="12" t="s">
        <v>353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119</v>
      </c>
      <c r="F582" s="10" t="n">
        <v>24</v>
      </c>
      <c r="G582" s="12" t="s">
        <v>77</v>
      </c>
      <c r="H582" s="10" t="n">
        <v>2110101</v>
      </c>
      <c r="I582" s="12" t="s">
        <v>33</v>
      </c>
      <c r="J582" s="10" t="n">
        <v>1290006</v>
      </c>
      <c r="L582" s="10" t="n">
        <v>1169404</v>
      </c>
      <c r="M582" s="12" t="s">
        <v>83</v>
      </c>
      <c r="N582" s="12" t="s">
        <v>54</v>
      </c>
      <c r="P582" s="10" t="n">
        <v>113</v>
      </c>
      <c r="Q582" s="12" t="s">
        <v>36</v>
      </c>
      <c r="R582" s="12" t="s">
        <v>48</v>
      </c>
      <c r="S582" s="10" t="n">
        <v>1130101</v>
      </c>
      <c r="T582" s="12" t="s">
        <v>49</v>
      </c>
      <c r="U582" s="13" t="n">
        <v>50.85</v>
      </c>
      <c r="W582" s="13" t="n">
        <v>0</v>
      </c>
      <c r="X582" s="12" t="s">
        <v>676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119</v>
      </c>
      <c r="F583" s="10" t="n">
        <v>24</v>
      </c>
      <c r="G583" s="12" t="s">
        <v>77</v>
      </c>
      <c r="H583" s="10" t="n">
        <v>2110101</v>
      </c>
      <c r="I583" s="12" t="s">
        <v>33</v>
      </c>
      <c r="J583" s="10" t="n">
        <v>1290023</v>
      </c>
      <c r="L583" s="10" t="n">
        <v>172326</v>
      </c>
      <c r="M583" s="12" t="s">
        <v>83</v>
      </c>
      <c r="N583" s="12" t="s">
        <v>35</v>
      </c>
      <c r="P583" s="10" t="n">
        <v>113</v>
      </c>
      <c r="Q583" s="12" t="s">
        <v>36</v>
      </c>
      <c r="R583" s="12" t="s">
        <v>48</v>
      </c>
      <c r="S583" s="10" t="n">
        <v>1130101</v>
      </c>
      <c r="T583" s="12" t="s">
        <v>49</v>
      </c>
      <c r="U583" s="13" t="n">
        <v>467.76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332</v>
      </c>
      <c r="F584" s="10" t="n">
        <v>24</v>
      </c>
      <c r="G584" s="12" t="s">
        <v>77</v>
      </c>
      <c r="H584" s="10" t="n">
        <v>2110101</v>
      </c>
      <c r="I584" s="12" t="s">
        <v>33</v>
      </c>
      <c r="J584" s="10" t="n">
        <v>1305206</v>
      </c>
      <c r="L584" s="10" t="n">
        <v>172089</v>
      </c>
      <c r="M584" s="12" t="s">
        <v>83</v>
      </c>
      <c r="N584" s="12" t="s">
        <v>54</v>
      </c>
      <c r="P584" s="10" t="n">
        <v>113</v>
      </c>
      <c r="Q584" s="12" t="s">
        <v>36</v>
      </c>
      <c r="R584" s="12" t="s">
        <v>48</v>
      </c>
      <c r="S584" s="10" t="n">
        <v>1130101</v>
      </c>
      <c r="T584" s="12" t="s">
        <v>49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185</v>
      </c>
      <c r="F585" s="10" t="n">
        <v>24</v>
      </c>
      <c r="G585" s="12" t="s">
        <v>77</v>
      </c>
      <c r="H585" s="10" t="n">
        <v>2110405</v>
      </c>
      <c r="I585" s="12" t="s">
        <v>41</v>
      </c>
      <c r="J585" s="10" t="n">
        <v>1312832</v>
      </c>
      <c r="L585" s="10" t="n">
        <v>175254</v>
      </c>
      <c r="M585" s="12" t="s">
        <v>83</v>
      </c>
      <c r="N585" s="12" t="s">
        <v>35</v>
      </c>
      <c r="P585" s="10" t="n">
        <v>101</v>
      </c>
      <c r="Q585" s="12" t="s">
        <v>42</v>
      </c>
      <c r="R585" s="12" t="s">
        <v>56</v>
      </c>
      <c r="S585" s="10" t="n">
        <v>4210233</v>
      </c>
      <c r="T585" s="12" t="s">
        <v>186</v>
      </c>
      <c r="U585" s="13" t="n">
        <v>258</v>
      </c>
      <c r="W585" s="13" t="n">
        <v>0</v>
      </c>
      <c r="X585" s="12" t="s">
        <v>187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248</v>
      </c>
      <c r="F586" s="10" t="n">
        <v>24</v>
      </c>
      <c r="G586" s="12" t="s">
        <v>77</v>
      </c>
      <c r="H586" s="10" t="n">
        <v>2110101</v>
      </c>
      <c r="I586" s="12" t="s">
        <v>33</v>
      </c>
      <c r="J586" s="10" t="n">
        <v>1322010</v>
      </c>
      <c r="L586" s="10" t="n">
        <v>14569</v>
      </c>
      <c r="M586" s="12" t="s">
        <v>83</v>
      </c>
      <c r="N586" s="12" t="s">
        <v>54</v>
      </c>
      <c r="P586" s="10" t="n">
        <v>113</v>
      </c>
      <c r="Q586" s="12" t="s">
        <v>36</v>
      </c>
      <c r="R586" s="12" t="s">
        <v>48</v>
      </c>
      <c r="S586" s="10" t="n">
        <v>1130101</v>
      </c>
      <c r="T586" s="12" t="s">
        <v>49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133</v>
      </c>
      <c r="H587" s="10" t="n">
        <v>1110203</v>
      </c>
      <c r="I587" s="12" t="s">
        <v>108</v>
      </c>
      <c r="J587" s="10" t="n">
        <v>1439471</v>
      </c>
      <c r="L587" s="10" t="n">
        <v>194566</v>
      </c>
      <c r="M587" s="12" t="s">
        <v>83</v>
      </c>
      <c r="N587" s="12" t="s">
        <v>35</v>
      </c>
      <c r="P587" s="10" t="n">
        <v>113</v>
      </c>
      <c r="Q587" s="12" t="s">
        <v>36</v>
      </c>
      <c r="R587" s="12" t="s">
        <v>48</v>
      </c>
      <c r="S587" s="10" t="n">
        <v>1130101</v>
      </c>
      <c r="T587" s="12" t="s">
        <v>49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77</v>
      </c>
      <c r="H588" s="10" t="n">
        <v>2110405</v>
      </c>
      <c r="I588" s="12" t="s">
        <v>41</v>
      </c>
      <c r="J588" s="10" t="n">
        <v>1260994</v>
      </c>
      <c r="L588" s="10" t="n">
        <v>168220</v>
      </c>
      <c r="M588" s="12" t="s">
        <v>83</v>
      </c>
      <c r="N588" s="12" t="s">
        <v>35</v>
      </c>
      <c r="P588" s="10" t="n">
        <v>113</v>
      </c>
      <c r="Q588" s="12" t="s">
        <v>36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197</v>
      </c>
      <c r="F589" s="10" t="n">
        <v>24</v>
      </c>
      <c r="G589" s="12" t="s">
        <v>77</v>
      </c>
      <c r="H589" s="10" t="n">
        <v>2110101</v>
      </c>
      <c r="I589" s="12" t="s">
        <v>33</v>
      </c>
      <c r="J589" s="10" t="n">
        <v>1255113</v>
      </c>
      <c r="L589" s="10" t="n">
        <v>878392</v>
      </c>
      <c r="M589" s="12" t="s">
        <v>74</v>
      </c>
      <c r="N589" s="12" t="s">
        <v>54</v>
      </c>
      <c r="P589" s="10" t="n">
        <v>113</v>
      </c>
      <c r="Q589" s="12" t="s">
        <v>36</v>
      </c>
      <c r="R589" s="12" t="s">
        <v>48</v>
      </c>
      <c r="S589" s="10" t="n">
        <v>1130101</v>
      </c>
      <c r="T589" s="12" t="s">
        <v>49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85</v>
      </c>
      <c r="F590" s="10" t="n">
        <v>24</v>
      </c>
      <c r="G590" s="12" t="s">
        <v>77</v>
      </c>
      <c r="H590" s="10" t="n">
        <v>2110101</v>
      </c>
      <c r="I590" s="12" t="s">
        <v>33</v>
      </c>
      <c r="J590" s="10" t="n">
        <v>1260909</v>
      </c>
      <c r="L590" s="10" t="n">
        <v>168210</v>
      </c>
      <c r="M590" s="12" t="s">
        <v>83</v>
      </c>
      <c r="N590" s="12" t="s">
        <v>35</v>
      </c>
      <c r="P590" s="10" t="n">
        <v>113</v>
      </c>
      <c r="Q590" s="12" t="s">
        <v>36</v>
      </c>
      <c r="R590" s="12" t="s">
        <v>48</v>
      </c>
      <c r="S590" s="10" t="n">
        <v>1130101</v>
      </c>
      <c r="T590" s="12" t="s">
        <v>49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77</v>
      </c>
      <c r="H591" s="10" t="n">
        <v>2110101</v>
      </c>
      <c r="I591" s="12" t="s">
        <v>33</v>
      </c>
      <c r="J591" s="10" t="n">
        <v>1289570</v>
      </c>
      <c r="L591" s="10" t="n">
        <v>207912</v>
      </c>
      <c r="M591" s="12" t="s">
        <v>83</v>
      </c>
      <c r="N591" s="12" t="s">
        <v>54</v>
      </c>
      <c r="P591" s="10" t="n">
        <v>113</v>
      </c>
      <c r="Q591" s="12" t="s">
        <v>36</v>
      </c>
      <c r="R591" s="12" t="s">
        <v>48</v>
      </c>
      <c r="S591" s="10" t="n">
        <v>1130101</v>
      </c>
      <c r="T591" s="12" t="s">
        <v>49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82</v>
      </c>
      <c r="F592" s="10" t="n">
        <v>24</v>
      </c>
      <c r="G592" s="12" t="s">
        <v>77</v>
      </c>
      <c r="H592" s="10" t="n">
        <v>2110101</v>
      </c>
      <c r="I592" s="12" t="s">
        <v>33</v>
      </c>
      <c r="J592" s="10" t="n">
        <v>1290923</v>
      </c>
      <c r="L592" s="10" t="n">
        <v>172706</v>
      </c>
      <c r="M592" s="12" t="s">
        <v>83</v>
      </c>
      <c r="N592" s="12" t="s">
        <v>35</v>
      </c>
      <c r="P592" s="10" t="n">
        <v>113</v>
      </c>
      <c r="Q592" s="12" t="s">
        <v>36</v>
      </c>
      <c r="R592" s="12" t="s">
        <v>48</v>
      </c>
      <c r="S592" s="10" t="n">
        <v>1130101</v>
      </c>
      <c r="T592" s="12" t="s">
        <v>49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80</v>
      </c>
      <c r="F593" s="10" t="n">
        <v>24</v>
      </c>
      <c r="G593" s="12" t="s">
        <v>77</v>
      </c>
      <c r="H593" s="10" t="n">
        <v>2110101</v>
      </c>
      <c r="I593" s="12" t="s">
        <v>33</v>
      </c>
      <c r="J593" s="10" t="n">
        <v>1293976</v>
      </c>
      <c r="L593" s="10" t="n">
        <v>646732</v>
      </c>
      <c r="M593" s="12" t="s">
        <v>83</v>
      </c>
      <c r="N593" s="12" t="s">
        <v>54</v>
      </c>
      <c r="P593" s="10" t="n">
        <v>113</v>
      </c>
      <c r="Q593" s="12" t="s">
        <v>36</v>
      </c>
      <c r="R593" s="12" t="s">
        <v>48</v>
      </c>
      <c r="S593" s="10" t="n">
        <v>1130101</v>
      </c>
      <c r="T593" s="12" t="s">
        <v>49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305</v>
      </c>
      <c r="F594" s="10" t="n">
        <v>24</v>
      </c>
      <c r="G594" s="12" t="s">
        <v>77</v>
      </c>
      <c r="H594" s="10" t="n">
        <v>2110405</v>
      </c>
      <c r="I594" s="12" t="s">
        <v>41</v>
      </c>
      <c r="J594" s="10" t="n">
        <v>1294326</v>
      </c>
      <c r="L594" s="10" t="n">
        <v>173122</v>
      </c>
      <c r="M594" s="12" t="s">
        <v>83</v>
      </c>
      <c r="N594" s="12" t="s">
        <v>35</v>
      </c>
      <c r="P594" s="10" t="n">
        <v>113</v>
      </c>
      <c r="Q594" s="12" t="s">
        <v>36</v>
      </c>
      <c r="R594" s="12" t="s">
        <v>56</v>
      </c>
      <c r="S594" s="10" t="n">
        <v>4210299</v>
      </c>
      <c r="T594" s="12" t="s">
        <v>115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194</v>
      </c>
      <c r="F595" s="10" t="n">
        <v>24</v>
      </c>
      <c r="G595" s="12" t="s">
        <v>77</v>
      </c>
      <c r="H595" s="10" t="n">
        <v>2110101</v>
      </c>
      <c r="I595" s="12" t="s">
        <v>33</v>
      </c>
      <c r="J595" s="10" t="n">
        <v>1333879</v>
      </c>
      <c r="L595" s="10" t="n">
        <v>690</v>
      </c>
      <c r="M595" s="12" t="s">
        <v>83</v>
      </c>
      <c r="N595" s="12" t="s">
        <v>54</v>
      </c>
      <c r="P595" s="10" t="n">
        <v>113</v>
      </c>
      <c r="Q595" s="12" t="s">
        <v>36</v>
      </c>
      <c r="R595" s="12" t="s">
        <v>48</v>
      </c>
      <c r="S595" s="10" t="n">
        <v>1130101</v>
      </c>
      <c r="T595" s="12" t="s">
        <v>49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77</v>
      </c>
      <c r="H596" s="10" t="n">
        <v>2110101</v>
      </c>
      <c r="I596" s="12" t="s">
        <v>33</v>
      </c>
      <c r="J596" s="10" t="n">
        <v>1339965</v>
      </c>
      <c r="L596" s="10" t="n">
        <v>4467</v>
      </c>
      <c r="M596" s="12" t="s">
        <v>83</v>
      </c>
      <c r="N596" s="12" t="s">
        <v>54</v>
      </c>
      <c r="P596" s="10" t="n">
        <v>113</v>
      </c>
      <c r="Q596" s="12" t="s">
        <v>36</v>
      </c>
      <c r="R596" s="12" t="s">
        <v>48</v>
      </c>
      <c r="S596" s="10" t="n">
        <v>1130101</v>
      </c>
      <c r="T596" s="12" t="s">
        <v>49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96</v>
      </c>
      <c r="F597" s="10" t="n">
        <v>34</v>
      </c>
      <c r="G597" s="12" t="s">
        <v>97</v>
      </c>
      <c r="H597" s="10" t="n">
        <v>2110101</v>
      </c>
      <c r="I597" s="12" t="s">
        <v>33</v>
      </c>
      <c r="J597" s="10" t="n">
        <v>1344684</v>
      </c>
      <c r="L597" s="10" t="n">
        <v>337</v>
      </c>
      <c r="M597" s="12" t="s">
        <v>83</v>
      </c>
      <c r="N597" s="12" t="s">
        <v>54</v>
      </c>
      <c r="P597" s="10" t="n">
        <v>113</v>
      </c>
      <c r="Q597" s="12" t="s">
        <v>36</v>
      </c>
      <c r="R597" s="12" t="s">
        <v>48</v>
      </c>
      <c r="S597" s="10" t="n">
        <v>1130101</v>
      </c>
      <c r="T597" s="12" t="s">
        <v>49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345</v>
      </c>
      <c r="F598" s="10" t="n">
        <v>34</v>
      </c>
      <c r="G598" s="12" t="s">
        <v>97</v>
      </c>
      <c r="H598" s="10" t="n">
        <v>1110202</v>
      </c>
      <c r="I598" s="12" t="s">
        <v>346</v>
      </c>
      <c r="J598" s="10" t="n">
        <v>628286</v>
      </c>
      <c r="L598" s="10" t="n">
        <v>81552</v>
      </c>
      <c r="M598" s="12" t="s">
        <v>53</v>
      </c>
      <c r="N598" s="12" t="s">
        <v>35</v>
      </c>
      <c r="P598" s="10" t="n">
        <v>102</v>
      </c>
      <c r="Q598" s="12" t="s">
        <v>282</v>
      </c>
      <c r="R598" s="12" t="s">
        <v>56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132</v>
      </c>
      <c r="F599" s="10" t="n">
        <v>13</v>
      </c>
      <c r="G599" s="12" t="s">
        <v>133</v>
      </c>
      <c r="H599" s="10" t="n">
        <v>2110101</v>
      </c>
      <c r="I599" s="12" t="s">
        <v>33</v>
      </c>
      <c r="J599" s="10" t="n">
        <v>1361277</v>
      </c>
      <c r="L599" s="10" t="n">
        <v>2527</v>
      </c>
      <c r="M599" s="12" t="s">
        <v>83</v>
      </c>
      <c r="N599" s="12" t="s">
        <v>54</v>
      </c>
      <c r="P599" s="10" t="n">
        <v>113</v>
      </c>
      <c r="Q599" s="12" t="s">
        <v>36</v>
      </c>
      <c r="R599" s="12" t="s">
        <v>48</v>
      </c>
      <c r="S599" s="10" t="n">
        <v>1130101</v>
      </c>
      <c r="T599" s="12" t="s">
        <v>49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320</v>
      </c>
      <c r="F600" s="10" t="n">
        <v>13</v>
      </c>
      <c r="G600" s="12" t="s">
        <v>133</v>
      </c>
      <c r="H600" s="10" t="n">
        <v>2110101</v>
      </c>
      <c r="I600" s="12" t="s">
        <v>33</v>
      </c>
      <c r="J600" s="10" t="n">
        <v>1365085</v>
      </c>
      <c r="L600" s="10" t="n">
        <v>512</v>
      </c>
      <c r="M600" s="12" t="s">
        <v>83</v>
      </c>
      <c r="N600" s="12" t="s">
        <v>54</v>
      </c>
      <c r="P600" s="10" t="n">
        <v>113</v>
      </c>
      <c r="Q600" s="12" t="s">
        <v>36</v>
      </c>
      <c r="R600" s="12" t="s">
        <v>48</v>
      </c>
      <c r="S600" s="10" t="n">
        <v>1130101</v>
      </c>
      <c r="T600" s="12" t="s">
        <v>49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143</v>
      </c>
      <c r="F601" s="10" t="n">
        <v>34</v>
      </c>
      <c r="G601" s="12" t="s">
        <v>97</v>
      </c>
      <c r="H601" s="10" t="n">
        <v>1110203</v>
      </c>
      <c r="I601" s="12" t="s">
        <v>108</v>
      </c>
      <c r="J601" s="10" t="n">
        <v>1374828</v>
      </c>
      <c r="L601" s="10" t="n">
        <v>184926</v>
      </c>
      <c r="M601" s="12" t="s">
        <v>83</v>
      </c>
      <c r="N601" s="12" t="s">
        <v>35</v>
      </c>
      <c r="P601" s="10" t="n">
        <v>102</v>
      </c>
      <c r="Q601" s="12" t="s">
        <v>282</v>
      </c>
      <c r="R601" s="12" t="s">
        <v>144</v>
      </c>
      <c r="S601" s="10" t="n">
        <v>4210504</v>
      </c>
      <c r="T601" s="12" t="s">
        <v>149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240</v>
      </c>
      <c r="F602" s="10" t="n">
        <v>34</v>
      </c>
      <c r="G602" s="12" t="s">
        <v>97</v>
      </c>
      <c r="H602" s="10" t="n">
        <v>1110203</v>
      </c>
      <c r="I602" s="12" t="s">
        <v>108</v>
      </c>
      <c r="J602" s="10" t="n">
        <v>1374894</v>
      </c>
      <c r="L602" s="10" t="n">
        <v>184938</v>
      </c>
      <c r="M602" s="12" t="s">
        <v>83</v>
      </c>
      <c r="N602" s="12" t="s">
        <v>35</v>
      </c>
      <c r="P602" s="10" t="n">
        <v>102</v>
      </c>
      <c r="Q602" s="12" t="s">
        <v>282</v>
      </c>
      <c r="R602" s="12" t="s">
        <v>100</v>
      </c>
      <c r="S602" s="10" t="n">
        <v>4210301</v>
      </c>
      <c r="T602" s="12" t="s">
        <v>230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272</v>
      </c>
      <c r="F603" s="10" t="n">
        <v>34</v>
      </c>
      <c r="G603" s="12" t="s">
        <v>97</v>
      </c>
      <c r="H603" s="10" t="n">
        <v>2110405</v>
      </c>
      <c r="I603" s="12" t="s">
        <v>41</v>
      </c>
      <c r="J603" s="10" t="n">
        <v>910921</v>
      </c>
      <c r="L603" s="10" t="n">
        <v>120198</v>
      </c>
      <c r="M603" s="12" t="s">
        <v>62</v>
      </c>
      <c r="N603" s="12" t="s">
        <v>35</v>
      </c>
      <c r="P603" s="10" t="n">
        <v>102</v>
      </c>
      <c r="Q603" s="12" t="s">
        <v>282</v>
      </c>
      <c r="R603" s="12" t="s">
        <v>100</v>
      </c>
      <c r="S603" s="10" t="n">
        <v>4210301</v>
      </c>
      <c r="T603" s="12" t="s">
        <v>230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40</v>
      </c>
      <c r="F604" s="10" t="n">
        <v>34</v>
      </c>
      <c r="G604" s="12" t="s">
        <v>97</v>
      </c>
      <c r="H604" s="10" t="n">
        <v>2110405</v>
      </c>
      <c r="I604" s="12" t="s">
        <v>41</v>
      </c>
      <c r="J604" s="10" t="n">
        <v>1402874</v>
      </c>
      <c r="L604" s="10" t="n">
        <v>188827</v>
      </c>
      <c r="M604" s="12" t="s">
        <v>83</v>
      </c>
      <c r="N604" s="12" t="s">
        <v>35</v>
      </c>
      <c r="P604" s="10" t="n">
        <v>113</v>
      </c>
      <c r="Q604" s="12" t="s">
        <v>36</v>
      </c>
      <c r="R604" s="12" t="s">
        <v>100</v>
      </c>
      <c r="S604" s="10" t="n">
        <v>4210301</v>
      </c>
      <c r="T604" s="12" t="s">
        <v>230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166</v>
      </c>
      <c r="F605" s="10" t="n">
        <v>24</v>
      </c>
      <c r="G605" s="12" t="s">
        <v>77</v>
      </c>
      <c r="H605" s="10" t="n">
        <v>2110101</v>
      </c>
      <c r="I605" s="12" t="s">
        <v>33</v>
      </c>
      <c r="J605" s="10" t="n">
        <v>1227446</v>
      </c>
      <c r="L605" s="10" t="n">
        <v>20868</v>
      </c>
      <c r="M605" s="12" t="s">
        <v>62</v>
      </c>
      <c r="N605" s="12" t="s">
        <v>54</v>
      </c>
      <c r="P605" s="10" t="n">
        <v>113</v>
      </c>
      <c r="Q605" s="12" t="s">
        <v>36</v>
      </c>
      <c r="R605" s="12" t="s">
        <v>48</v>
      </c>
      <c r="S605" s="10" t="n">
        <v>1130101</v>
      </c>
      <c r="T605" s="12" t="s">
        <v>49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117</v>
      </c>
      <c r="F606" s="10" t="n">
        <v>24</v>
      </c>
      <c r="G606" s="12" t="s">
        <v>77</v>
      </c>
      <c r="H606" s="10" t="n">
        <v>2110101</v>
      </c>
      <c r="I606" s="12" t="s">
        <v>33</v>
      </c>
      <c r="J606" s="10" t="n">
        <v>1231128</v>
      </c>
      <c r="L606" s="10" t="n">
        <v>518105</v>
      </c>
      <c r="M606" s="12" t="s">
        <v>62</v>
      </c>
      <c r="N606" s="12" t="s">
        <v>54</v>
      </c>
      <c r="P606" s="10" t="n">
        <v>113</v>
      </c>
      <c r="Q606" s="12" t="s">
        <v>36</v>
      </c>
      <c r="R606" s="12" t="s">
        <v>48</v>
      </c>
      <c r="S606" s="10" t="n">
        <v>1130101</v>
      </c>
      <c r="T606" s="12" t="s">
        <v>49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77</v>
      </c>
      <c r="H607" s="10" t="n">
        <v>2110101</v>
      </c>
      <c r="I607" s="12" t="s">
        <v>33</v>
      </c>
      <c r="J607" s="10" t="n">
        <v>1260463</v>
      </c>
      <c r="L607" s="10" t="n">
        <v>102727</v>
      </c>
      <c r="M607" s="12" t="s">
        <v>74</v>
      </c>
      <c r="N607" s="12" t="s">
        <v>54</v>
      </c>
      <c r="P607" s="10" t="n">
        <v>113</v>
      </c>
      <c r="Q607" s="12" t="s">
        <v>36</v>
      </c>
      <c r="R607" s="12" t="s">
        <v>48</v>
      </c>
      <c r="S607" s="10" t="n">
        <v>1130101</v>
      </c>
      <c r="T607" s="12" t="s">
        <v>49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117</v>
      </c>
      <c r="F608" s="10" t="n">
        <v>24</v>
      </c>
      <c r="G608" s="12" t="s">
        <v>77</v>
      </c>
      <c r="H608" s="10" t="n">
        <v>2110101</v>
      </c>
      <c r="I608" s="12" t="s">
        <v>33</v>
      </c>
      <c r="J608" s="10" t="n">
        <v>1264969</v>
      </c>
      <c r="L608" s="10" t="n">
        <v>518753</v>
      </c>
      <c r="M608" s="12" t="s">
        <v>83</v>
      </c>
      <c r="N608" s="12" t="s">
        <v>54</v>
      </c>
      <c r="P608" s="10" t="n">
        <v>113</v>
      </c>
      <c r="Q608" s="12" t="s">
        <v>36</v>
      </c>
      <c r="R608" s="12" t="s">
        <v>48</v>
      </c>
      <c r="S608" s="10" t="n">
        <v>1130101</v>
      </c>
      <c r="T608" s="12" t="s">
        <v>49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123</v>
      </c>
      <c r="F609" s="10" t="n">
        <v>24</v>
      </c>
      <c r="G609" s="12" t="s">
        <v>77</v>
      </c>
      <c r="H609" s="10" t="n">
        <v>2110101</v>
      </c>
      <c r="I609" s="12" t="s">
        <v>33</v>
      </c>
      <c r="J609" s="10" t="n">
        <v>1269061</v>
      </c>
      <c r="L609" s="10" t="n">
        <v>729265</v>
      </c>
      <c r="M609" s="12" t="s">
        <v>62</v>
      </c>
      <c r="N609" s="12" t="s">
        <v>54</v>
      </c>
      <c r="P609" s="10" t="n">
        <v>113</v>
      </c>
      <c r="Q609" s="12" t="s">
        <v>36</v>
      </c>
      <c r="R609" s="12" t="s">
        <v>48</v>
      </c>
      <c r="S609" s="10" t="n">
        <v>1130101</v>
      </c>
      <c r="T609" s="12" t="s">
        <v>49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119</v>
      </c>
      <c r="F610" s="10" t="n">
        <v>24</v>
      </c>
      <c r="G610" s="12" t="s">
        <v>77</v>
      </c>
      <c r="H610" s="10" t="n">
        <v>2110101</v>
      </c>
      <c r="I610" s="12" t="s">
        <v>33</v>
      </c>
      <c r="J610" s="10" t="n">
        <v>1290071</v>
      </c>
      <c r="L610" s="10" t="n">
        <v>1170564</v>
      </c>
      <c r="M610" s="12" t="s">
        <v>83</v>
      </c>
      <c r="N610" s="12" t="s">
        <v>54</v>
      </c>
      <c r="P610" s="10" t="n">
        <v>113</v>
      </c>
      <c r="Q610" s="12" t="s">
        <v>36</v>
      </c>
      <c r="R610" s="12" t="s">
        <v>48</v>
      </c>
      <c r="S610" s="10" t="n">
        <v>1130101</v>
      </c>
      <c r="T610" s="12" t="s">
        <v>49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119</v>
      </c>
      <c r="F611" s="10" t="n">
        <v>24</v>
      </c>
      <c r="G611" s="12" t="s">
        <v>77</v>
      </c>
      <c r="H611" s="10" t="n">
        <v>2110101</v>
      </c>
      <c r="I611" s="12" t="s">
        <v>33</v>
      </c>
      <c r="J611" s="10" t="n">
        <v>1290089</v>
      </c>
      <c r="L611" s="10" t="n">
        <v>1893322</v>
      </c>
      <c r="M611" s="12" t="s">
        <v>83</v>
      </c>
      <c r="N611" s="12" t="s">
        <v>54</v>
      </c>
      <c r="P611" s="10" t="n">
        <v>113</v>
      </c>
      <c r="Q611" s="12" t="s">
        <v>36</v>
      </c>
      <c r="R611" s="12" t="s">
        <v>48</v>
      </c>
      <c r="S611" s="10" t="n">
        <v>1130101</v>
      </c>
      <c r="T611" s="12" t="s">
        <v>49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119</v>
      </c>
      <c r="F612" s="10" t="n">
        <v>24</v>
      </c>
      <c r="G612" s="12" t="s">
        <v>77</v>
      </c>
      <c r="H612" s="10" t="n">
        <v>2110101</v>
      </c>
      <c r="I612" s="12" t="s">
        <v>33</v>
      </c>
      <c r="J612" s="10" t="n">
        <v>1290102</v>
      </c>
      <c r="L612" s="10" t="n">
        <v>1171501</v>
      </c>
      <c r="M612" s="12" t="s">
        <v>83</v>
      </c>
      <c r="N612" s="12" t="s">
        <v>54</v>
      </c>
      <c r="P612" s="10" t="n">
        <v>113</v>
      </c>
      <c r="Q612" s="12" t="s">
        <v>36</v>
      </c>
      <c r="R612" s="12" t="s">
        <v>48</v>
      </c>
      <c r="S612" s="10" t="n">
        <v>1130101</v>
      </c>
      <c r="T612" s="12" t="s">
        <v>49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119</v>
      </c>
      <c r="F613" s="10" t="n">
        <v>24</v>
      </c>
      <c r="G613" s="12" t="s">
        <v>77</v>
      </c>
      <c r="H613" s="10" t="n">
        <v>2110101</v>
      </c>
      <c r="I613" s="12" t="s">
        <v>33</v>
      </c>
      <c r="J613" s="10" t="n">
        <v>1290130</v>
      </c>
      <c r="L613" s="10" t="n">
        <v>172327</v>
      </c>
      <c r="M613" s="12" t="s">
        <v>83</v>
      </c>
      <c r="N613" s="12" t="s">
        <v>35</v>
      </c>
      <c r="P613" s="10" t="n">
        <v>113</v>
      </c>
      <c r="Q613" s="12" t="s">
        <v>36</v>
      </c>
      <c r="R613" s="12" t="s">
        <v>48</v>
      </c>
      <c r="S613" s="10" t="n">
        <v>1130101</v>
      </c>
      <c r="T613" s="12" t="s">
        <v>49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77</v>
      </c>
      <c r="H614" s="10" t="n">
        <v>2110405</v>
      </c>
      <c r="I614" s="12" t="s">
        <v>41</v>
      </c>
      <c r="J614" s="10" t="n">
        <v>1295173</v>
      </c>
      <c r="L614" s="10" t="n">
        <v>173362</v>
      </c>
      <c r="M614" s="12" t="s">
        <v>83</v>
      </c>
      <c r="N614" s="12" t="s">
        <v>35</v>
      </c>
      <c r="P614" s="10" t="n">
        <v>113</v>
      </c>
      <c r="Q614" s="12" t="s">
        <v>36</v>
      </c>
      <c r="R614" s="12" t="s">
        <v>56</v>
      </c>
      <c r="S614" s="10" t="n">
        <v>4210227</v>
      </c>
      <c r="T614" s="12" t="s">
        <v>63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77</v>
      </c>
      <c r="H615" s="10" t="n">
        <v>2110101</v>
      </c>
      <c r="I615" s="12" t="s">
        <v>33</v>
      </c>
      <c r="J615" s="10" t="n">
        <v>1310309</v>
      </c>
      <c r="L615" s="10" t="n">
        <v>1420058</v>
      </c>
      <c r="M615" s="12" t="s">
        <v>83</v>
      </c>
      <c r="N615" s="12" t="s">
        <v>54</v>
      </c>
      <c r="P615" s="10" t="n">
        <v>113</v>
      </c>
      <c r="Q615" s="12" t="s">
        <v>36</v>
      </c>
      <c r="R615" s="12" t="s">
        <v>48</v>
      </c>
      <c r="S615" s="10" t="n">
        <v>1130101</v>
      </c>
      <c r="T615" s="12" t="s">
        <v>49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90</v>
      </c>
      <c r="F616" s="10" t="n">
        <v>24</v>
      </c>
      <c r="G616" s="12" t="s">
        <v>77</v>
      </c>
      <c r="H616" s="10" t="n">
        <v>2110101</v>
      </c>
      <c r="I616" s="12" t="s">
        <v>33</v>
      </c>
      <c r="J616" s="10" t="n">
        <v>1312583</v>
      </c>
      <c r="L616" s="10" t="n">
        <v>5720</v>
      </c>
      <c r="M616" s="12" t="s">
        <v>83</v>
      </c>
      <c r="N616" s="12" t="s">
        <v>54</v>
      </c>
      <c r="P616" s="10" t="n">
        <v>113</v>
      </c>
      <c r="Q616" s="12" t="s">
        <v>36</v>
      </c>
      <c r="R616" s="12" t="s">
        <v>48</v>
      </c>
      <c r="S616" s="10" t="n">
        <v>1130101</v>
      </c>
      <c r="T616" s="12" t="s">
        <v>49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171</v>
      </c>
      <c r="F617" s="10" t="n">
        <v>24</v>
      </c>
      <c r="G617" s="12" t="s">
        <v>77</v>
      </c>
      <c r="H617" s="10" t="n">
        <v>2110101</v>
      </c>
      <c r="I617" s="12" t="s">
        <v>33</v>
      </c>
      <c r="J617" s="10" t="n">
        <v>1330369</v>
      </c>
      <c r="L617" s="10" t="n">
        <v>3453</v>
      </c>
      <c r="M617" s="12" t="s">
        <v>83</v>
      </c>
      <c r="N617" s="12" t="s">
        <v>54</v>
      </c>
      <c r="P617" s="10" t="n">
        <v>113</v>
      </c>
      <c r="Q617" s="12" t="s">
        <v>36</v>
      </c>
      <c r="R617" s="12" t="s">
        <v>48</v>
      </c>
      <c r="S617" s="10" t="n">
        <v>1130101</v>
      </c>
      <c r="T617" s="12" t="s">
        <v>49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188</v>
      </c>
      <c r="F618" s="10" t="n">
        <v>24</v>
      </c>
      <c r="G618" s="12" t="s">
        <v>77</v>
      </c>
      <c r="H618" s="10" t="n">
        <v>2110101</v>
      </c>
      <c r="I618" s="12" t="s">
        <v>33</v>
      </c>
      <c r="J618" s="10" t="n">
        <v>1333861</v>
      </c>
      <c r="L618" s="10" t="n">
        <v>3507</v>
      </c>
      <c r="M618" s="12" t="s">
        <v>83</v>
      </c>
      <c r="N618" s="12" t="s">
        <v>54</v>
      </c>
      <c r="P618" s="10" t="n">
        <v>113</v>
      </c>
      <c r="Q618" s="12" t="s">
        <v>36</v>
      </c>
      <c r="R618" s="12" t="s">
        <v>48</v>
      </c>
      <c r="S618" s="10" t="n">
        <v>1130101</v>
      </c>
      <c r="T618" s="12" t="s">
        <v>49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128</v>
      </c>
      <c r="F619" s="10" t="n">
        <v>24</v>
      </c>
      <c r="G619" s="12" t="s">
        <v>77</v>
      </c>
      <c r="H619" s="10" t="n">
        <v>2110101</v>
      </c>
      <c r="I619" s="12" t="s">
        <v>33</v>
      </c>
      <c r="J619" s="10" t="n">
        <v>1334341</v>
      </c>
      <c r="L619" s="10" t="n">
        <v>31492</v>
      </c>
      <c r="M619" s="12" t="s">
        <v>83</v>
      </c>
      <c r="N619" s="12" t="s">
        <v>54</v>
      </c>
      <c r="P619" s="10" t="n">
        <v>113</v>
      </c>
      <c r="Q619" s="12" t="s">
        <v>36</v>
      </c>
      <c r="R619" s="12" t="s">
        <v>48</v>
      </c>
      <c r="S619" s="10" t="n">
        <v>1130101</v>
      </c>
      <c r="T619" s="12" t="s">
        <v>49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92</v>
      </c>
      <c r="F620" s="10" t="n">
        <v>24</v>
      </c>
      <c r="G620" s="12" t="s">
        <v>77</v>
      </c>
      <c r="H620" s="10" t="n">
        <v>2110101</v>
      </c>
      <c r="I620" s="12" t="s">
        <v>33</v>
      </c>
      <c r="J620" s="10" t="n">
        <v>1335310</v>
      </c>
      <c r="L620" s="10" t="n">
        <v>3933</v>
      </c>
      <c r="M620" s="12" t="s">
        <v>83</v>
      </c>
      <c r="N620" s="12" t="s">
        <v>54</v>
      </c>
      <c r="P620" s="10" t="n">
        <v>113</v>
      </c>
      <c r="Q620" s="12" t="s">
        <v>36</v>
      </c>
      <c r="R620" s="12" t="s">
        <v>48</v>
      </c>
      <c r="S620" s="10" t="n">
        <v>1130101</v>
      </c>
      <c r="T620" s="12" t="s">
        <v>49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130</v>
      </c>
      <c r="F621" s="10" t="n">
        <v>24</v>
      </c>
      <c r="G621" s="12" t="s">
        <v>77</v>
      </c>
      <c r="H621" s="10" t="n">
        <v>2110101</v>
      </c>
      <c r="I621" s="12" t="s">
        <v>33</v>
      </c>
      <c r="J621" s="10" t="n">
        <v>1348633</v>
      </c>
      <c r="L621" s="10" t="n">
        <v>520</v>
      </c>
      <c r="M621" s="12" t="s">
        <v>83</v>
      </c>
      <c r="N621" s="12" t="s">
        <v>54</v>
      </c>
      <c r="P621" s="10" t="n">
        <v>113</v>
      </c>
      <c r="Q621" s="12" t="s">
        <v>36</v>
      </c>
      <c r="R621" s="12" t="s">
        <v>48</v>
      </c>
      <c r="S621" s="10" t="n">
        <v>1130101</v>
      </c>
      <c r="T621" s="12" t="s">
        <v>49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132</v>
      </c>
      <c r="F622" s="10" t="n">
        <v>34</v>
      </c>
      <c r="G622" s="12" t="s">
        <v>97</v>
      </c>
      <c r="H622" s="10" t="n">
        <v>2110101</v>
      </c>
      <c r="I622" s="12" t="s">
        <v>33</v>
      </c>
      <c r="J622" s="10" t="n">
        <v>1365847</v>
      </c>
      <c r="L622" s="10" t="n">
        <v>2528</v>
      </c>
      <c r="M622" s="12" t="s">
        <v>83</v>
      </c>
      <c r="N622" s="12" t="s">
        <v>54</v>
      </c>
      <c r="P622" s="10" t="n">
        <v>113</v>
      </c>
      <c r="Q622" s="12" t="s">
        <v>36</v>
      </c>
      <c r="R622" s="12" t="s">
        <v>48</v>
      </c>
      <c r="S622" s="10" t="n">
        <v>1130101</v>
      </c>
      <c r="T622" s="12" t="s">
        <v>49</v>
      </c>
      <c r="U622" s="13" t="n">
        <v>2024.65</v>
      </c>
      <c r="W622" s="13" t="n">
        <v>0</v>
      </c>
      <c r="X622" s="12" t="s">
        <v>221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139</v>
      </c>
      <c r="F623" s="10" t="n">
        <v>34</v>
      </c>
      <c r="G623" s="12" t="s">
        <v>97</v>
      </c>
      <c r="H623" s="10" t="n">
        <v>2110101</v>
      </c>
      <c r="I623" s="12" t="s">
        <v>33</v>
      </c>
      <c r="J623" s="10" t="n">
        <v>1365898</v>
      </c>
      <c r="L623" s="10" t="n">
        <v>183595</v>
      </c>
      <c r="M623" s="12" t="s">
        <v>83</v>
      </c>
      <c r="N623" s="12" t="s">
        <v>35</v>
      </c>
      <c r="P623" s="10" t="n">
        <v>113</v>
      </c>
      <c r="Q623" s="12" t="s">
        <v>36</v>
      </c>
      <c r="R623" s="12" t="s">
        <v>48</v>
      </c>
      <c r="S623" s="10" t="n">
        <v>1130101</v>
      </c>
      <c r="T623" s="12" t="s">
        <v>49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256</v>
      </c>
      <c r="F624" s="10" t="n">
        <v>34</v>
      </c>
      <c r="G624" s="12" t="s">
        <v>97</v>
      </c>
      <c r="H624" s="10" t="n">
        <v>1110203</v>
      </c>
      <c r="I624" s="12" t="s">
        <v>108</v>
      </c>
      <c r="J624" s="10" t="n">
        <v>460357</v>
      </c>
      <c r="L624" s="10" t="n">
        <v>59537</v>
      </c>
      <c r="M624" s="12" t="s">
        <v>74</v>
      </c>
      <c r="N624" s="12" t="s">
        <v>35</v>
      </c>
      <c r="P624" s="10" t="n">
        <v>102</v>
      </c>
      <c r="Q624" s="12" t="s">
        <v>282</v>
      </c>
      <c r="R624" s="12" t="s">
        <v>100</v>
      </c>
      <c r="S624" s="10" t="n">
        <v>4210315</v>
      </c>
      <c r="T624" s="12" t="s">
        <v>257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133</v>
      </c>
      <c r="H625" s="10" t="n">
        <v>1110203</v>
      </c>
      <c r="I625" s="12" t="s">
        <v>108</v>
      </c>
      <c r="J625" s="10" t="n">
        <v>1428699</v>
      </c>
      <c r="L625" s="10" t="n">
        <v>191311</v>
      </c>
      <c r="M625" s="12" t="s">
        <v>83</v>
      </c>
      <c r="N625" s="12" t="s">
        <v>35</v>
      </c>
      <c r="P625" s="10" t="n">
        <v>113</v>
      </c>
      <c r="Q625" s="12" t="s">
        <v>36</v>
      </c>
      <c r="R625" s="12" t="s">
        <v>48</v>
      </c>
      <c r="S625" s="10" t="n">
        <v>1130101</v>
      </c>
      <c r="T625" s="12" t="s">
        <v>49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197</v>
      </c>
      <c r="F626" s="10" t="n">
        <v>24</v>
      </c>
      <c r="G626" s="12" t="s">
        <v>77</v>
      </c>
      <c r="H626" s="10" t="n">
        <v>2110101</v>
      </c>
      <c r="I626" s="12" t="s">
        <v>33</v>
      </c>
      <c r="J626" s="10" t="n">
        <v>1257254</v>
      </c>
      <c r="L626" s="10" t="n">
        <v>878758</v>
      </c>
      <c r="M626" s="12" t="s">
        <v>74</v>
      </c>
      <c r="N626" s="12" t="s">
        <v>54</v>
      </c>
      <c r="P626" s="10" t="n">
        <v>113</v>
      </c>
      <c r="Q626" s="12" t="s">
        <v>36</v>
      </c>
      <c r="R626" s="12" t="s">
        <v>48</v>
      </c>
      <c r="S626" s="10" t="n">
        <v>1130101</v>
      </c>
      <c r="T626" s="12" t="s">
        <v>49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77</v>
      </c>
      <c r="H627" s="10" t="n">
        <v>2110101</v>
      </c>
      <c r="I627" s="12" t="s">
        <v>33</v>
      </c>
      <c r="J627" s="10" t="n">
        <v>1261052</v>
      </c>
      <c r="L627" s="10" t="n">
        <v>20499</v>
      </c>
      <c r="M627" s="12" t="s">
        <v>74</v>
      </c>
      <c r="N627" s="12" t="s">
        <v>54</v>
      </c>
      <c r="P627" s="10" t="n">
        <v>113</v>
      </c>
      <c r="Q627" s="12" t="s">
        <v>36</v>
      </c>
      <c r="R627" s="12" t="s">
        <v>48</v>
      </c>
      <c r="S627" s="10" t="n">
        <v>1130101</v>
      </c>
      <c r="T627" s="12" t="s">
        <v>49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204</v>
      </c>
      <c r="F628" s="10" t="n">
        <v>24</v>
      </c>
      <c r="G628" s="12" t="s">
        <v>77</v>
      </c>
      <c r="H628" s="10" t="n">
        <v>2110101</v>
      </c>
      <c r="I628" s="12" t="s">
        <v>33</v>
      </c>
      <c r="J628" s="10" t="n">
        <v>1265709</v>
      </c>
      <c r="L628" s="10" t="n">
        <v>416678</v>
      </c>
      <c r="M628" s="12" t="s">
        <v>74</v>
      </c>
      <c r="N628" s="12" t="s">
        <v>54</v>
      </c>
      <c r="P628" s="10" t="n">
        <v>113</v>
      </c>
      <c r="Q628" s="12" t="s">
        <v>36</v>
      </c>
      <c r="R628" s="12" t="s">
        <v>48</v>
      </c>
      <c r="S628" s="10" t="n">
        <v>1130101</v>
      </c>
      <c r="T628" s="12" t="s">
        <v>49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154</v>
      </c>
      <c r="F629" s="10" t="n">
        <v>24</v>
      </c>
      <c r="G629" s="12" t="s">
        <v>77</v>
      </c>
      <c r="H629" s="10" t="n">
        <v>2110101</v>
      </c>
      <c r="I629" s="12" t="s">
        <v>33</v>
      </c>
      <c r="J629" s="10" t="n">
        <v>1266289</v>
      </c>
      <c r="L629" s="10" t="n">
        <v>346452</v>
      </c>
      <c r="M629" s="12" t="s">
        <v>62</v>
      </c>
      <c r="N629" s="12" t="s">
        <v>54</v>
      </c>
      <c r="P629" s="10" t="n">
        <v>113</v>
      </c>
      <c r="Q629" s="12" t="s">
        <v>36</v>
      </c>
      <c r="R629" s="12" t="s">
        <v>48</v>
      </c>
      <c r="S629" s="10" t="n">
        <v>1130101</v>
      </c>
      <c r="T629" s="12" t="s">
        <v>49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77</v>
      </c>
      <c r="H630" s="10" t="n">
        <v>2110405</v>
      </c>
      <c r="I630" s="12" t="s">
        <v>41</v>
      </c>
      <c r="J630" s="10" t="n">
        <v>1268814</v>
      </c>
      <c r="L630" s="10" t="n">
        <v>168791</v>
      </c>
      <c r="M630" s="12" t="s">
        <v>83</v>
      </c>
      <c r="N630" s="12" t="s">
        <v>35</v>
      </c>
      <c r="P630" s="10" t="n">
        <v>113</v>
      </c>
      <c r="Q630" s="12" t="s">
        <v>36</v>
      </c>
      <c r="R630" s="12" t="s">
        <v>56</v>
      </c>
      <c r="S630" s="10" t="n">
        <v>4210227</v>
      </c>
      <c r="T630" s="12" t="s">
        <v>63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123</v>
      </c>
      <c r="F631" s="10" t="n">
        <v>24</v>
      </c>
      <c r="G631" s="12" t="s">
        <v>77</v>
      </c>
      <c r="H631" s="10" t="n">
        <v>2110101</v>
      </c>
      <c r="I631" s="12" t="s">
        <v>33</v>
      </c>
      <c r="J631" s="10" t="n">
        <v>1269854</v>
      </c>
      <c r="L631" s="10" t="n">
        <v>729799</v>
      </c>
      <c r="M631" s="12" t="s">
        <v>83</v>
      </c>
      <c r="N631" s="12" t="s">
        <v>54</v>
      </c>
      <c r="P631" s="10" t="n">
        <v>113</v>
      </c>
      <c r="Q631" s="12" t="s">
        <v>36</v>
      </c>
      <c r="R631" s="12" t="s">
        <v>48</v>
      </c>
      <c r="S631" s="10" t="n">
        <v>1130101</v>
      </c>
      <c r="T631" s="12" t="s">
        <v>49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77</v>
      </c>
      <c r="H632" s="10" t="n">
        <v>2110101</v>
      </c>
      <c r="I632" s="12" t="s">
        <v>33</v>
      </c>
      <c r="J632" s="10" t="n">
        <v>1269959</v>
      </c>
      <c r="L632" s="10" t="n">
        <v>252</v>
      </c>
      <c r="M632" s="12" t="s">
        <v>83</v>
      </c>
      <c r="N632" s="12" t="s">
        <v>54</v>
      </c>
      <c r="P632" s="10" t="n">
        <v>113</v>
      </c>
      <c r="Q632" s="12" t="s">
        <v>36</v>
      </c>
      <c r="R632" s="12" t="s">
        <v>48</v>
      </c>
      <c r="S632" s="10" t="n">
        <v>1130101</v>
      </c>
      <c r="T632" s="12" t="s">
        <v>49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94</v>
      </c>
      <c r="F633" s="10" t="n">
        <v>24</v>
      </c>
      <c r="G633" s="12" t="s">
        <v>77</v>
      </c>
      <c r="H633" s="10" t="n">
        <v>2110101</v>
      </c>
      <c r="I633" s="12" t="s">
        <v>33</v>
      </c>
      <c r="J633" s="10" t="n">
        <v>1289535</v>
      </c>
      <c r="L633" s="10" t="n">
        <v>1598763</v>
      </c>
      <c r="M633" s="12" t="s">
        <v>74</v>
      </c>
      <c r="N633" s="12" t="s">
        <v>54</v>
      </c>
      <c r="P633" s="10" t="n">
        <v>113</v>
      </c>
      <c r="Q633" s="12" t="s">
        <v>36</v>
      </c>
      <c r="R633" s="12" t="s">
        <v>48</v>
      </c>
      <c r="S633" s="10" t="n">
        <v>1130101</v>
      </c>
      <c r="T633" s="12" t="s">
        <v>49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77</v>
      </c>
      <c r="H634" s="10" t="n">
        <v>2110101</v>
      </c>
      <c r="I634" s="12" t="s">
        <v>33</v>
      </c>
      <c r="J634" s="10" t="n">
        <v>1299537</v>
      </c>
      <c r="L634" s="10" t="n">
        <v>253</v>
      </c>
      <c r="M634" s="12" t="s">
        <v>83</v>
      </c>
      <c r="N634" s="12" t="s">
        <v>54</v>
      </c>
      <c r="P634" s="10" t="n">
        <v>113</v>
      </c>
      <c r="Q634" s="12" t="s">
        <v>36</v>
      </c>
      <c r="R634" s="12" t="s">
        <v>48</v>
      </c>
      <c r="S634" s="10" t="n">
        <v>1130101</v>
      </c>
      <c r="T634" s="12" t="s">
        <v>49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164</v>
      </c>
      <c r="F635" s="10" t="n">
        <v>24</v>
      </c>
      <c r="G635" s="12" t="s">
        <v>77</v>
      </c>
      <c r="H635" s="10" t="n">
        <v>2110101</v>
      </c>
      <c r="I635" s="12" t="s">
        <v>33</v>
      </c>
      <c r="J635" s="10" t="n">
        <v>1300169</v>
      </c>
      <c r="L635" s="10" t="n">
        <v>388857</v>
      </c>
      <c r="M635" s="12" t="s">
        <v>74</v>
      </c>
      <c r="N635" s="12" t="s">
        <v>54</v>
      </c>
      <c r="P635" s="10" t="n">
        <v>113</v>
      </c>
      <c r="Q635" s="12" t="s">
        <v>36</v>
      </c>
      <c r="R635" s="12" t="s">
        <v>48</v>
      </c>
      <c r="S635" s="10" t="n">
        <v>1130101</v>
      </c>
      <c r="T635" s="12" t="s">
        <v>49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77</v>
      </c>
      <c r="H636" s="10" t="n">
        <v>2110101</v>
      </c>
      <c r="I636" s="12" t="s">
        <v>33</v>
      </c>
      <c r="J636" s="10" t="n">
        <v>1304877</v>
      </c>
      <c r="L636" s="10" t="n">
        <v>1996</v>
      </c>
      <c r="M636" s="12" t="s">
        <v>83</v>
      </c>
      <c r="N636" s="12" t="s">
        <v>54</v>
      </c>
      <c r="P636" s="10" t="n">
        <v>113</v>
      </c>
      <c r="Q636" s="12" t="s">
        <v>36</v>
      </c>
      <c r="R636" s="12" t="s">
        <v>48</v>
      </c>
      <c r="S636" s="10" t="n">
        <v>1130101</v>
      </c>
      <c r="T636" s="12" t="s">
        <v>49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94</v>
      </c>
      <c r="F637" s="10" t="n">
        <v>24</v>
      </c>
      <c r="G637" s="12" t="s">
        <v>77</v>
      </c>
      <c r="H637" s="10" t="n">
        <v>2110101</v>
      </c>
      <c r="I637" s="12" t="s">
        <v>33</v>
      </c>
      <c r="J637" s="10" t="n">
        <v>1309874</v>
      </c>
      <c r="L637" s="10" t="n">
        <v>1600681</v>
      </c>
      <c r="M637" s="12" t="s">
        <v>83</v>
      </c>
      <c r="N637" s="12" t="s">
        <v>54</v>
      </c>
      <c r="P637" s="10" t="n">
        <v>113</v>
      </c>
      <c r="Q637" s="12" t="s">
        <v>36</v>
      </c>
      <c r="R637" s="12" t="s">
        <v>48</v>
      </c>
      <c r="S637" s="10" t="n">
        <v>1130101</v>
      </c>
      <c r="T637" s="12" t="s">
        <v>49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194</v>
      </c>
      <c r="F638" s="10" t="n">
        <v>24</v>
      </c>
      <c r="G638" s="12" t="s">
        <v>77</v>
      </c>
      <c r="H638" s="10" t="n">
        <v>2110101</v>
      </c>
      <c r="I638" s="12" t="s">
        <v>33</v>
      </c>
      <c r="J638" s="10" t="n">
        <v>1348260</v>
      </c>
      <c r="L638" s="10" t="n">
        <v>698</v>
      </c>
      <c r="M638" s="12" t="s">
        <v>83</v>
      </c>
      <c r="N638" s="12" t="s">
        <v>54</v>
      </c>
      <c r="P638" s="10" t="n">
        <v>113</v>
      </c>
      <c r="Q638" s="12" t="s">
        <v>36</v>
      </c>
      <c r="R638" s="12" t="s">
        <v>48</v>
      </c>
      <c r="S638" s="10" t="n">
        <v>1130101</v>
      </c>
      <c r="T638" s="12" t="s">
        <v>49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97</v>
      </c>
      <c r="H639" s="10" t="n">
        <v>1110203</v>
      </c>
      <c r="I639" s="12" t="s">
        <v>108</v>
      </c>
      <c r="J639" s="10" t="n">
        <v>1369192</v>
      </c>
      <c r="L639" s="10" t="n">
        <v>184047</v>
      </c>
      <c r="M639" s="12" t="s">
        <v>83</v>
      </c>
      <c r="N639" s="12" t="s">
        <v>35</v>
      </c>
      <c r="P639" s="10" t="n">
        <v>101</v>
      </c>
      <c r="Q639" s="12" t="s">
        <v>42</v>
      </c>
      <c r="R639" s="12" t="s">
        <v>56</v>
      </c>
      <c r="S639" s="10" t="n">
        <v>4210227</v>
      </c>
      <c r="T639" s="12" t="s">
        <v>63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133</v>
      </c>
      <c r="H640" s="10" t="n">
        <v>2110101</v>
      </c>
      <c r="I640" s="12" t="s">
        <v>33</v>
      </c>
      <c r="J640" s="10" t="n">
        <v>1369398</v>
      </c>
      <c r="L640" s="10" t="n">
        <v>294</v>
      </c>
      <c r="M640" s="12" t="s">
        <v>83</v>
      </c>
      <c r="N640" s="12" t="s">
        <v>54</v>
      </c>
      <c r="P640" s="10" t="n">
        <v>113</v>
      </c>
      <c r="Q640" s="12" t="s">
        <v>36</v>
      </c>
      <c r="R640" s="12" t="s">
        <v>48</v>
      </c>
      <c r="S640" s="10" t="n">
        <v>1130101</v>
      </c>
      <c r="T640" s="12" t="s">
        <v>49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201</v>
      </c>
      <c r="F641" s="10" t="n">
        <v>24</v>
      </c>
      <c r="G641" s="12" t="s">
        <v>77</v>
      </c>
      <c r="H641" s="10" t="n">
        <v>2110101</v>
      </c>
      <c r="I641" s="12" t="s">
        <v>33</v>
      </c>
      <c r="J641" s="10" t="n">
        <v>1234920</v>
      </c>
      <c r="L641" s="10" t="n">
        <v>1671078</v>
      </c>
      <c r="M641" s="12" t="s">
        <v>83</v>
      </c>
      <c r="N641" s="12" t="s">
        <v>54</v>
      </c>
      <c r="P641" s="10" t="n">
        <v>113</v>
      </c>
      <c r="Q641" s="12" t="s">
        <v>36</v>
      </c>
      <c r="R641" s="12" t="s">
        <v>48</v>
      </c>
      <c r="S641" s="10" t="n">
        <v>1130101</v>
      </c>
      <c r="T641" s="12" t="s">
        <v>49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85</v>
      </c>
      <c r="F642" s="10" t="n">
        <v>24</v>
      </c>
      <c r="G642" s="12" t="s">
        <v>77</v>
      </c>
      <c r="H642" s="10" t="n">
        <v>2110101</v>
      </c>
      <c r="I642" s="12" t="s">
        <v>33</v>
      </c>
      <c r="J642" s="10" t="n">
        <v>1236940</v>
      </c>
      <c r="L642" s="10" t="n">
        <v>164816</v>
      </c>
      <c r="M642" s="12" t="s">
        <v>83</v>
      </c>
      <c r="N642" s="12" t="s">
        <v>35</v>
      </c>
      <c r="P642" s="10" t="n">
        <v>113</v>
      </c>
      <c r="Q642" s="12" t="s">
        <v>36</v>
      </c>
      <c r="R642" s="12" t="s">
        <v>48</v>
      </c>
      <c r="S642" s="10" t="n">
        <v>1130101</v>
      </c>
      <c r="T642" s="12" t="s">
        <v>49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80</v>
      </c>
      <c r="F643" s="10" t="n">
        <v>24</v>
      </c>
      <c r="G643" s="12" t="s">
        <v>77</v>
      </c>
      <c r="H643" s="10" t="n">
        <v>2110101</v>
      </c>
      <c r="I643" s="12" t="s">
        <v>33</v>
      </c>
      <c r="J643" s="10" t="n">
        <v>1241897</v>
      </c>
      <c r="L643" s="10" t="n">
        <v>645628</v>
      </c>
      <c r="M643" s="12" t="s">
        <v>62</v>
      </c>
      <c r="N643" s="12" t="s">
        <v>54</v>
      </c>
      <c r="P643" s="10" t="n">
        <v>113</v>
      </c>
      <c r="Q643" s="12" t="s">
        <v>36</v>
      </c>
      <c r="R643" s="12" t="s">
        <v>48</v>
      </c>
      <c r="S643" s="10" t="n">
        <v>1130101</v>
      </c>
      <c r="T643" s="12" t="s">
        <v>49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156</v>
      </c>
      <c r="F644" s="10" t="n">
        <v>24</v>
      </c>
      <c r="G644" s="12" t="s">
        <v>77</v>
      </c>
      <c r="H644" s="10" t="n">
        <v>2110101</v>
      </c>
      <c r="I644" s="12" t="s">
        <v>33</v>
      </c>
      <c r="J644" s="10" t="n">
        <v>1255460</v>
      </c>
      <c r="L644" s="10" t="n">
        <v>1771887</v>
      </c>
      <c r="M644" s="12" t="s">
        <v>62</v>
      </c>
      <c r="N644" s="12" t="s">
        <v>54</v>
      </c>
      <c r="P644" s="10" t="n">
        <v>113</v>
      </c>
      <c r="Q644" s="12" t="s">
        <v>36</v>
      </c>
      <c r="R644" s="12" t="s">
        <v>48</v>
      </c>
      <c r="S644" s="10" t="n">
        <v>1130101</v>
      </c>
      <c r="T644" s="12" t="s">
        <v>49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300</v>
      </c>
      <c r="F645" s="10" t="n">
        <v>24</v>
      </c>
      <c r="G645" s="12" t="s">
        <v>77</v>
      </c>
      <c r="H645" s="10" t="n">
        <v>2110101</v>
      </c>
      <c r="I645" s="12" t="s">
        <v>33</v>
      </c>
      <c r="J645" s="10" t="n">
        <v>1261007</v>
      </c>
      <c r="L645" s="10" t="n">
        <v>658429</v>
      </c>
      <c r="M645" s="12" t="s">
        <v>74</v>
      </c>
      <c r="N645" s="12" t="s">
        <v>54</v>
      </c>
      <c r="P645" s="10" t="n">
        <v>113</v>
      </c>
      <c r="Q645" s="12" t="s">
        <v>36</v>
      </c>
      <c r="R645" s="12" t="s">
        <v>48</v>
      </c>
      <c r="S645" s="10" t="n">
        <v>1130101</v>
      </c>
      <c r="T645" s="12" t="s">
        <v>49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77</v>
      </c>
      <c r="H646" s="10" t="n">
        <v>2110101</v>
      </c>
      <c r="I646" s="12" t="s">
        <v>33</v>
      </c>
      <c r="J646" s="10" t="n">
        <v>1265758</v>
      </c>
      <c r="L646" s="10" t="n">
        <v>41243</v>
      </c>
      <c r="M646" s="12" t="s">
        <v>83</v>
      </c>
      <c r="N646" s="12" t="s">
        <v>54</v>
      </c>
      <c r="P646" s="10" t="n">
        <v>113</v>
      </c>
      <c r="Q646" s="12" t="s">
        <v>36</v>
      </c>
      <c r="R646" s="12" t="s">
        <v>48</v>
      </c>
      <c r="S646" s="10" t="n">
        <v>1130101</v>
      </c>
      <c r="T646" s="12" t="s">
        <v>49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261</v>
      </c>
      <c r="F647" s="10" t="n">
        <v>24</v>
      </c>
      <c r="G647" s="12" t="s">
        <v>77</v>
      </c>
      <c r="H647" s="10" t="n">
        <v>2110101</v>
      </c>
      <c r="I647" s="12" t="s">
        <v>33</v>
      </c>
      <c r="J647" s="10" t="n">
        <v>1268848</v>
      </c>
      <c r="L647" s="10" t="n">
        <v>326863</v>
      </c>
      <c r="M647" s="12" t="s">
        <v>74</v>
      </c>
      <c r="N647" s="12" t="s">
        <v>54</v>
      </c>
      <c r="P647" s="10" t="n">
        <v>113</v>
      </c>
      <c r="Q647" s="12" t="s">
        <v>36</v>
      </c>
      <c r="R647" s="12" t="s">
        <v>48</v>
      </c>
      <c r="S647" s="10" t="n">
        <v>1130101</v>
      </c>
      <c r="T647" s="12" t="s">
        <v>49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164</v>
      </c>
      <c r="F648" s="10" t="n">
        <v>24</v>
      </c>
      <c r="G648" s="12" t="s">
        <v>77</v>
      </c>
      <c r="H648" s="10" t="n">
        <v>2110101</v>
      </c>
      <c r="I648" s="12" t="s">
        <v>33</v>
      </c>
      <c r="J648" s="10" t="n">
        <v>1269162</v>
      </c>
      <c r="L648" s="10" t="n">
        <v>387833</v>
      </c>
      <c r="M648" s="12" t="s">
        <v>62</v>
      </c>
      <c r="N648" s="12" t="s">
        <v>54</v>
      </c>
      <c r="P648" s="10" t="n">
        <v>113</v>
      </c>
      <c r="Q648" s="12" t="s">
        <v>36</v>
      </c>
      <c r="R648" s="12" t="s">
        <v>48</v>
      </c>
      <c r="S648" s="10" t="n">
        <v>1130101</v>
      </c>
      <c r="T648" s="12" t="s">
        <v>49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77</v>
      </c>
      <c r="H649" s="10" t="n">
        <v>2110101</v>
      </c>
      <c r="I649" s="12" t="s">
        <v>33</v>
      </c>
      <c r="J649" s="10" t="n">
        <v>1270149</v>
      </c>
      <c r="L649" s="10" t="n">
        <v>10423</v>
      </c>
      <c r="M649" s="12" t="s">
        <v>74</v>
      </c>
      <c r="N649" s="12" t="s">
        <v>54</v>
      </c>
      <c r="P649" s="10" t="n">
        <v>113</v>
      </c>
      <c r="Q649" s="12" t="s">
        <v>36</v>
      </c>
      <c r="R649" s="12" t="s">
        <v>48</v>
      </c>
      <c r="S649" s="10" t="n">
        <v>1130101</v>
      </c>
      <c r="T649" s="12" t="s">
        <v>49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160</v>
      </c>
      <c r="F650" s="10" t="n">
        <v>24</v>
      </c>
      <c r="G650" s="12" t="s">
        <v>77</v>
      </c>
      <c r="H650" s="10" t="n">
        <v>2110101</v>
      </c>
      <c r="I650" s="12" t="s">
        <v>33</v>
      </c>
      <c r="J650" s="10" t="n">
        <v>1289819</v>
      </c>
      <c r="L650" s="10" t="n">
        <v>1959276</v>
      </c>
      <c r="M650" s="12" t="s">
        <v>83</v>
      </c>
      <c r="N650" s="12" t="s">
        <v>54</v>
      </c>
      <c r="P650" s="10" t="n">
        <v>113</v>
      </c>
      <c r="Q650" s="12" t="s">
        <v>36</v>
      </c>
      <c r="R650" s="12" t="s">
        <v>48</v>
      </c>
      <c r="S650" s="10" t="n">
        <v>1130101</v>
      </c>
      <c r="T650" s="12" t="s">
        <v>49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119</v>
      </c>
      <c r="F651" s="10" t="n">
        <v>24</v>
      </c>
      <c r="G651" s="12" t="s">
        <v>77</v>
      </c>
      <c r="H651" s="10" t="n">
        <v>2110101</v>
      </c>
      <c r="I651" s="12" t="s">
        <v>33</v>
      </c>
      <c r="J651" s="10" t="n">
        <v>1304701</v>
      </c>
      <c r="L651" s="10" t="n">
        <v>1899276</v>
      </c>
      <c r="M651" s="12" t="s">
        <v>83</v>
      </c>
      <c r="N651" s="12" t="s">
        <v>54</v>
      </c>
      <c r="P651" s="10" t="n">
        <v>113</v>
      </c>
      <c r="Q651" s="12" t="s">
        <v>36</v>
      </c>
      <c r="R651" s="12" t="s">
        <v>48</v>
      </c>
      <c r="S651" s="10" t="n">
        <v>1130101</v>
      </c>
      <c r="T651" s="12" t="s">
        <v>49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119</v>
      </c>
      <c r="F652" s="10" t="n">
        <v>24</v>
      </c>
      <c r="G652" s="12" t="s">
        <v>77</v>
      </c>
      <c r="H652" s="10" t="n">
        <v>2110101</v>
      </c>
      <c r="I652" s="12" t="s">
        <v>33</v>
      </c>
      <c r="J652" s="10" t="n">
        <v>1304730</v>
      </c>
      <c r="L652" s="10" t="n">
        <v>174800</v>
      </c>
      <c r="M652" s="12" t="s">
        <v>83</v>
      </c>
      <c r="N652" s="12" t="s">
        <v>35</v>
      </c>
      <c r="P652" s="10" t="n">
        <v>113</v>
      </c>
      <c r="Q652" s="12" t="s">
        <v>36</v>
      </c>
      <c r="R652" s="12" t="s">
        <v>48</v>
      </c>
      <c r="S652" s="10" t="n">
        <v>1130101</v>
      </c>
      <c r="T652" s="12" t="s">
        <v>49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77</v>
      </c>
      <c r="H653" s="10" t="n">
        <v>2110101</v>
      </c>
      <c r="I653" s="12" t="s">
        <v>33</v>
      </c>
      <c r="J653" s="10" t="n">
        <v>1312612</v>
      </c>
      <c r="L653" s="10" t="n">
        <v>77922</v>
      </c>
      <c r="M653" s="12" t="s">
        <v>83</v>
      </c>
      <c r="N653" s="12" t="s">
        <v>54</v>
      </c>
      <c r="P653" s="10" t="n">
        <v>113</v>
      </c>
      <c r="Q653" s="12" t="s">
        <v>36</v>
      </c>
      <c r="R653" s="12" t="s">
        <v>48</v>
      </c>
      <c r="S653" s="10" t="n">
        <v>1130101</v>
      </c>
      <c r="T653" s="12" t="s">
        <v>49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164</v>
      </c>
      <c r="F654" s="10" t="n">
        <v>24</v>
      </c>
      <c r="G654" s="12" t="s">
        <v>77</v>
      </c>
      <c r="H654" s="10" t="n">
        <v>2110101</v>
      </c>
      <c r="I654" s="12" t="s">
        <v>33</v>
      </c>
      <c r="J654" s="10" t="n">
        <v>1339618</v>
      </c>
      <c r="L654" s="10" t="n">
        <v>390211</v>
      </c>
      <c r="M654" s="12" t="s">
        <v>83</v>
      </c>
      <c r="N654" s="12" t="s">
        <v>54</v>
      </c>
      <c r="P654" s="10" t="n">
        <v>113</v>
      </c>
      <c r="Q654" s="12" t="s">
        <v>36</v>
      </c>
      <c r="R654" s="12" t="s">
        <v>48</v>
      </c>
      <c r="S654" s="10" t="n">
        <v>1130101</v>
      </c>
      <c r="T654" s="12" t="s">
        <v>49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77</v>
      </c>
      <c r="H655" s="10" t="n">
        <v>2110101</v>
      </c>
      <c r="I655" s="12" t="s">
        <v>33</v>
      </c>
      <c r="J655" s="10" t="n">
        <v>1345083</v>
      </c>
      <c r="L655" s="10" t="n">
        <v>18998</v>
      </c>
      <c r="M655" s="12" t="s">
        <v>83</v>
      </c>
      <c r="N655" s="12" t="s">
        <v>54</v>
      </c>
      <c r="P655" s="10" t="n">
        <v>113</v>
      </c>
      <c r="Q655" s="12" t="s">
        <v>36</v>
      </c>
      <c r="R655" s="12" t="s">
        <v>48</v>
      </c>
      <c r="S655" s="10" t="n">
        <v>1130101</v>
      </c>
      <c r="T655" s="12" t="s">
        <v>49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130</v>
      </c>
      <c r="F656" s="10" t="n">
        <v>24</v>
      </c>
      <c r="G656" s="12" t="s">
        <v>77</v>
      </c>
      <c r="H656" s="10" t="n">
        <v>2110101</v>
      </c>
      <c r="I656" s="12" t="s">
        <v>33</v>
      </c>
      <c r="J656" s="10" t="n">
        <v>1370587</v>
      </c>
      <c r="L656" s="10" t="n">
        <v>524</v>
      </c>
      <c r="M656" s="12" t="s">
        <v>83</v>
      </c>
      <c r="N656" s="12" t="s">
        <v>54</v>
      </c>
      <c r="P656" s="10" t="n">
        <v>113</v>
      </c>
      <c r="Q656" s="12" t="s">
        <v>36</v>
      </c>
      <c r="R656" s="12" t="s">
        <v>48</v>
      </c>
      <c r="S656" s="10" t="n">
        <v>1130101</v>
      </c>
      <c r="T656" s="12" t="s">
        <v>49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132</v>
      </c>
      <c r="F657" s="10" t="n">
        <v>13</v>
      </c>
      <c r="G657" s="12" t="s">
        <v>133</v>
      </c>
      <c r="H657" s="10" t="n">
        <v>2110101</v>
      </c>
      <c r="I657" s="12" t="s">
        <v>33</v>
      </c>
      <c r="J657" s="10" t="n">
        <v>1374877</v>
      </c>
      <c r="L657" s="10" t="n">
        <v>2535</v>
      </c>
      <c r="M657" s="12" t="s">
        <v>83</v>
      </c>
      <c r="N657" s="12" t="s">
        <v>54</v>
      </c>
      <c r="P657" s="10" t="n">
        <v>113</v>
      </c>
      <c r="Q657" s="12" t="s">
        <v>36</v>
      </c>
      <c r="R657" s="12" t="s">
        <v>48</v>
      </c>
      <c r="S657" s="10" t="n">
        <v>1130101</v>
      </c>
      <c r="T657" s="12" t="s">
        <v>49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288</v>
      </c>
      <c r="F658" s="10" t="n">
        <v>46</v>
      </c>
      <c r="G658" s="12" t="s">
        <v>285</v>
      </c>
      <c r="H658" s="10" t="n">
        <v>2110101</v>
      </c>
      <c r="I658" s="12" t="s">
        <v>33</v>
      </c>
      <c r="J658" s="10" t="n">
        <v>717667</v>
      </c>
      <c r="L658" s="10" t="n">
        <v>93850</v>
      </c>
      <c r="M658" s="12" t="s">
        <v>53</v>
      </c>
      <c r="N658" s="12" t="s">
        <v>35</v>
      </c>
      <c r="P658" s="10" t="n">
        <v>113</v>
      </c>
      <c r="Q658" s="12" t="s">
        <v>36</v>
      </c>
      <c r="R658" s="12" t="s">
        <v>56</v>
      </c>
      <c r="S658" s="10" t="n">
        <v>4210227</v>
      </c>
      <c r="T658" s="12" t="s">
        <v>63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290</v>
      </c>
      <c r="F659" s="10" t="n">
        <v>46</v>
      </c>
      <c r="G659" s="12" t="s">
        <v>285</v>
      </c>
      <c r="H659" s="10" t="n">
        <v>2110405</v>
      </c>
      <c r="I659" s="12" t="s">
        <v>41</v>
      </c>
      <c r="J659" s="10" t="n">
        <v>1067484</v>
      </c>
      <c r="L659" s="10" t="n">
        <v>139909</v>
      </c>
      <c r="M659" s="12" t="s">
        <v>74</v>
      </c>
      <c r="N659" s="12" t="s">
        <v>35</v>
      </c>
      <c r="P659" s="10" t="n">
        <v>113</v>
      </c>
      <c r="Q659" s="12" t="s">
        <v>36</v>
      </c>
      <c r="R659" s="12" t="s">
        <v>56</v>
      </c>
      <c r="S659" s="10" t="n">
        <v>4210227</v>
      </c>
      <c r="T659" s="12" t="s">
        <v>63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294</v>
      </c>
      <c r="F660" s="10" t="n">
        <v>24</v>
      </c>
      <c r="G660" s="12" t="s">
        <v>77</v>
      </c>
      <c r="H660" s="10" t="n">
        <v>2110405</v>
      </c>
      <c r="I660" s="12" t="s">
        <v>41</v>
      </c>
      <c r="J660" s="10" t="n">
        <v>1083394</v>
      </c>
      <c r="L660" s="10" t="n">
        <v>143444</v>
      </c>
      <c r="M660" s="12" t="s">
        <v>62</v>
      </c>
      <c r="N660" s="12" t="s">
        <v>35</v>
      </c>
      <c r="P660" s="10" t="n">
        <v>101</v>
      </c>
      <c r="Q660" s="12" t="s">
        <v>42</v>
      </c>
      <c r="R660" s="12" t="s">
        <v>295</v>
      </c>
      <c r="S660" s="10" t="n">
        <v>2110901</v>
      </c>
      <c r="T660" s="12" t="s">
        <v>296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185</v>
      </c>
      <c r="F661" s="10" t="n">
        <v>46</v>
      </c>
      <c r="G661" s="12" t="s">
        <v>285</v>
      </c>
      <c r="H661" s="10" t="n">
        <v>2110405</v>
      </c>
      <c r="I661" s="12" t="s">
        <v>41</v>
      </c>
      <c r="J661" s="10" t="n">
        <v>1230712</v>
      </c>
      <c r="L661" s="10" t="n">
        <v>163750</v>
      </c>
      <c r="M661" s="12" t="s">
        <v>74</v>
      </c>
      <c r="N661" s="12" t="s">
        <v>35</v>
      </c>
      <c r="P661" s="10" t="n">
        <v>101</v>
      </c>
      <c r="Q661" s="12" t="s">
        <v>42</v>
      </c>
      <c r="R661" s="12" t="s">
        <v>56</v>
      </c>
      <c r="S661" s="10" t="n">
        <v>4210232</v>
      </c>
      <c r="T661" s="12" t="s">
        <v>286</v>
      </c>
      <c r="U661" s="13" t="n">
        <v>415.26</v>
      </c>
      <c r="W661" s="13" t="n">
        <v>0</v>
      </c>
      <c r="X661" s="12" t="s">
        <v>316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290</v>
      </c>
      <c r="F662" s="10" t="n">
        <v>46</v>
      </c>
      <c r="G662" s="12" t="s">
        <v>285</v>
      </c>
      <c r="H662" s="10" t="n">
        <v>2110101</v>
      </c>
      <c r="I662" s="12" t="s">
        <v>33</v>
      </c>
      <c r="J662" s="10" t="n">
        <v>1230732</v>
      </c>
      <c r="L662" s="10" t="n">
        <v>1399</v>
      </c>
      <c r="M662" s="12" t="s">
        <v>74</v>
      </c>
      <c r="N662" s="12" t="s">
        <v>317</v>
      </c>
      <c r="P662" s="10" t="n">
        <v>101</v>
      </c>
      <c r="Q662" s="12" t="s">
        <v>42</v>
      </c>
      <c r="R662" s="12" t="s">
        <v>318</v>
      </c>
      <c r="S662" s="10" t="n">
        <v>2110101</v>
      </c>
      <c r="T662" s="12" t="s">
        <v>33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199</v>
      </c>
      <c r="F663" s="10" t="n">
        <v>24</v>
      </c>
      <c r="G663" s="12" t="s">
        <v>77</v>
      </c>
      <c r="H663" s="10" t="n">
        <v>2110101</v>
      </c>
      <c r="I663" s="12" t="s">
        <v>33</v>
      </c>
      <c r="J663" s="10" t="n">
        <v>1269305</v>
      </c>
      <c r="L663" s="10" t="n">
        <v>674937</v>
      </c>
      <c r="M663" s="12" t="s">
        <v>74</v>
      </c>
      <c r="N663" s="12" t="s">
        <v>54</v>
      </c>
      <c r="P663" s="10" t="n">
        <v>113</v>
      </c>
      <c r="Q663" s="12" t="s">
        <v>36</v>
      </c>
      <c r="R663" s="12" t="s">
        <v>48</v>
      </c>
      <c r="S663" s="10" t="n">
        <v>1130101</v>
      </c>
      <c r="T663" s="12" t="s">
        <v>49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272</v>
      </c>
      <c r="F664" s="10" t="n">
        <v>34</v>
      </c>
      <c r="G664" s="12" t="s">
        <v>97</v>
      </c>
      <c r="H664" s="10" t="n">
        <v>2110405</v>
      </c>
      <c r="I664" s="12" t="s">
        <v>41</v>
      </c>
      <c r="J664" s="10" t="n">
        <v>1273759</v>
      </c>
      <c r="L664" s="10" t="n">
        <v>168794</v>
      </c>
      <c r="M664" s="12" t="s">
        <v>74</v>
      </c>
      <c r="N664" s="12" t="s">
        <v>35</v>
      </c>
      <c r="P664" s="10" t="n">
        <v>101</v>
      </c>
      <c r="Q664" s="12" t="s">
        <v>42</v>
      </c>
      <c r="R664" s="12" t="s">
        <v>109</v>
      </c>
      <c r="S664" s="10" t="n">
        <v>1240203</v>
      </c>
      <c r="T664" s="12" t="s">
        <v>110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204</v>
      </c>
      <c r="F665" s="10" t="n">
        <v>24</v>
      </c>
      <c r="G665" s="12" t="s">
        <v>77</v>
      </c>
      <c r="H665" s="10" t="n">
        <v>2110101</v>
      </c>
      <c r="I665" s="12" t="s">
        <v>33</v>
      </c>
      <c r="J665" s="10" t="n">
        <v>1289284</v>
      </c>
      <c r="L665" s="10" t="n">
        <v>419092</v>
      </c>
      <c r="M665" s="12" t="s">
        <v>74</v>
      </c>
      <c r="N665" s="12" t="s">
        <v>54</v>
      </c>
      <c r="P665" s="10" t="n">
        <v>113</v>
      </c>
      <c r="Q665" s="12" t="s">
        <v>36</v>
      </c>
      <c r="R665" s="12" t="s">
        <v>48</v>
      </c>
      <c r="S665" s="10" t="n">
        <v>1130101</v>
      </c>
      <c r="T665" s="12" t="s">
        <v>49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201</v>
      </c>
      <c r="F666" s="10" t="n">
        <v>24</v>
      </c>
      <c r="G666" s="12" t="s">
        <v>77</v>
      </c>
      <c r="H666" s="10" t="n">
        <v>2110101</v>
      </c>
      <c r="I666" s="12" t="s">
        <v>33</v>
      </c>
      <c r="J666" s="10" t="n">
        <v>1289449</v>
      </c>
      <c r="L666" s="10" t="n">
        <v>1676804</v>
      </c>
      <c r="M666" s="12" t="s">
        <v>74</v>
      </c>
      <c r="N666" s="12" t="s">
        <v>54</v>
      </c>
      <c r="P666" s="10" t="n">
        <v>113</v>
      </c>
      <c r="Q666" s="12" t="s">
        <v>36</v>
      </c>
      <c r="R666" s="12" t="s">
        <v>48</v>
      </c>
      <c r="S666" s="10" t="n">
        <v>1130101</v>
      </c>
      <c r="T666" s="12" t="s">
        <v>49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77</v>
      </c>
      <c r="H667" s="10" t="n">
        <v>2110101</v>
      </c>
      <c r="I667" s="12" t="s">
        <v>33</v>
      </c>
      <c r="J667" s="10" t="n">
        <v>1289973</v>
      </c>
      <c r="L667" s="10" t="n">
        <v>18762</v>
      </c>
      <c r="M667" s="12" t="s">
        <v>62</v>
      </c>
      <c r="N667" s="12" t="s">
        <v>54</v>
      </c>
      <c r="P667" s="10" t="n">
        <v>113</v>
      </c>
      <c r="Q667" s="12" t="s">
        <v>36</v>
      </c>
      <c r="R667" s="12" t="s">
        <v>48</v>
      </c>
      <c r="S667" s="10" t="n">
        <v>1130101</v>
      </c>
      <c r="T667" s="12" t="s">
        <v>49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743</v>
      </c>
      <c r="F668" s="10" t="n">
        <v>24</v>
      </c>
      <c r="G668" s="12" t="s">
        <v>77</v>
      </c>
      <c r="H668" s="10" t="n">
        <v>2110101</v>
      </c>
      <c r="I668" s="12" t="s">
        <v>33</v>
      </c>
      <c r="J668" s="10" t="n">
        <v>1290433</v>
      </c>
      <c r="L668" s="10" t="n">
        <v>47502</v>
      </c>
      <c r="M668" s="12" t="s">
        <v>83</v>
      </c>
      <c r="N668" s="12" t="s">
        <v>54</v>
      </c>
      <c r="P668" s="10" t="n">
        <v>113</v>
      </c>
      <c r="Q668" s="12" t="s">
        <v>36</v>
      </c>
      <c r="R668" s="12" t="s">
        <v>48</v>
      </c>
      <c r="S668" s="10" t="n">
        <v>1130101</v>
      </c>
      <c r="T668" s="12" t="s">
        <v>49</v>
      </c>
      <c r="U668" s="13" t="n">
        <v>603.5</v>
      </c>
      <c r="W668" s="13" t="n">
        <v>0</v>
      </c>
      <c r="X668" s="12" t="s">
        <v>744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745</v>
      </c>
      <c r="F669" s="10" t="n">
        <v>24</v>
      </c>
      <c r="G669" s="12" t="s">
        <v>77</v>
      </c>
      <c r="H669" s="10" t="n">
        <v>2110101</v>
      </c>
      <c r="I669" s="12" t="s">
        <v>33</v>
      </c>
      <c r="J669" s="10" t="n">
        <v>1290565</v>
      </c>
      <c r="L669" s="10" t="n">
        <v>161137</v>
      </c>
      <c r="M669" s="12" t="s">
        <v>83</v>
      </c>
      <c r="N669" s="12" t="s">
        <v>54</v>
      </c>
      <c r="P669" s="10" t="n">
        <v>113</v>
      </c>
      <c r="Q669" s="12" t="s">
        <v>36</v>
      </c>
      <c r="R669" s="12" t="s">
        <v>48</v>
      </c>
      <c r="S669" s="10" t="n">
        <v>1130101</v>
      </c>
      <c r="T669" s="12" t="s">
        <v>49</v>
      </c>
      <c r="U669" s="13" t="n">
        <v>592.5</v>
      </c>
      <c r="W669" s="13" t="n">
        <v>0</v>
      </c>
      <c r="X669" s="12" t="s">
        <v>746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46198</v>
      </c>
      <c r="C670" s="11" t="n">
        <v>46213</v>
      </c>
      <c r="D670" s="10" t="n">
        <v>1218</v>
      </c>
      <c r="E670" s="12" t="s">
        <v>579</v>
      </c>
      <c r="F670" s="10" t="n">
        <v>24</v>
      </c>
      <c r="G670" s="12" t="s">
        <v>77</v>
      </c>
      <c r="H670" s="10" t="n">
        <v>2110101</v>
      </c>
      <c r="I670" s="12" t="s">
        <v>33</v>
      </c>
      <c r="J670" s="10" t="n">
        <v>1305945</v>
      </c>
      <c r="L670" s="10" t="n">
        <v>9495</v>
      </c>
      <c r="M670" s="12" t="s">
        <v>74</v>
      </c>
      <c r="N670" s="12" t="s">
        <v>54</v>
      </c>
      <c r="P670" s="10" t="n">
        <v>113</v>
      </c>
      <c r="Q670" s="12" t="s">
        <v>36</v>
      </c>
      <c r="R670" s="12" t="s">
        <v>48</v>
      </c>
      <c r="S670" s="10" t="n">
        <v>1130101</v>
      </c>
      <c r="T670" s="12" t="s">
        <v>49</v>
      </c>
      <c r="U670" s="13" t="n">
        <v>531.2</v>
      </c>
      <c r="W670" s="13" t="n">
        <v>0</v>
      </c>
      <c r="X670" s="12" t="s">
        <v>580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46199</v>
      </c>
      <c r="C671" s="11" t="n">
        <v>46213</v>
      </c>
      <c r="D671" s="10" t="n">
        <v>1242</v>
      </c>
      <c r="E671" s="12" t="s">
        <v>747</v>
      </c>
      <c r="F671" s="10" t="n">
        <v>46</v>
      </c>
      <c r="G671" s="12" t="s">
        <v>285</v>
      </c>
      <c r="H671" s="10" t="n">
        <v>2110405</v>
      </c>
      <c r="I671" s="12" t="s">
        <v>41</v>
      </c>
      <c r="J671" s="10" t="n">
        <v>1309772</v>
      </c>
      <c r="L671" s="10" t="n">
        <v>6022</v>
      </c>
      <c r="M671" s="12" t="s">
        <v>83</v>
      </c>
      <c r="N671" s="12" t="s">
        <v>35</v>
      </c>
      <c r="P671" s="10" t="n">
        <v>101</v>
      </c>
      <c r="Q671" s="12" t="s">
        <v>42</v>
      </c>
      <c r="R671" s="12" t="s">
        <v>100</v>
      </c>
      <c r="S671" s="10" t="n">
        <v>4210317</v>
      </c>
      <c r="T671" s="12" t="s">
        <v>748</v>
      </c>
      <c r="U671" s="13" t="n">
        <v>160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Salários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1699</v>
      </c>
      <c r="E672" s="12" t="s">
        <v>208</v>
      </c>
      <c r="F672" s="10" t="n">
        <v>24</v>
      </c>
      <c r="G672" s="12" t="s">
        <v>77</v>
      </c>
      <c r="H672" s="10" t="n">
        <v>2110101</v>
      </c>
      <c r="I672" s="12" t="s">
        <v>33</v>
      </c>
      <c r="J672" s="10" t="n">
        <v>1310401</v>
      </c>
      <c r="L672" s="10" t="n">
        <v>305929</v>
      </c>
      <c r="M672" s="12" t="s">
        <v>74</v>
      </c>
      <c r="N672" s="12" t="s">
        <v>54</v>
      </c>
      <c r="P672" s="10" t="n">
        <v>113</v>
      </c>
      <c r="Q672" s="12" t="s">
        <v>36</v>
      </c>
      <c r="R672" s="12" t="s">
        <v>48</v>
      </c>
      <c r="S672" s="10" t="n">
        <v>1130101</v>
      </c>
      <c r="T672" s="12" t="s">
        <v>49</v>
      </c>
      <c r="U672" s="13" t="n">
        <v>1184.07</v>
      </c>
      <c r="W672" s="13" t="n">
        <v>0</v>
      </c>
      <c r="X672" s="12" t="s">
        <v>654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46200</v>
      </c>
      <c r="C673" s="11" t="n">
        <v>46213</v>
      </c>
      <c r="D673" s="10" t="n">
        <v>1666</v>
      </c>
      <c r="E673" s="12" t="s">
        <v>206</v>
      </c>
      <c r="F673" s="10" t="n">
        <v>24</v>
      </c>
      <c r="G673" s="12" t="s">
        <v>77</v>
      </c>
      <c r="H673" s="10" t="n">
        <v>2110101</v>
      </c>
      <c r="I673" s="12" t="s">
        <v>33</v>
      </c>
      <c r="J673" s="10" t="n">
        <v>1312648</v>
      </c>
      <c r="L673" s="10" t="n">
        <v>175252</v>
      </c>
      <c r="M673" s="12" t="s">
        <v>83</v>
      </c>
      <c r="N673" s="12" t="s">
        <v>35</v>
      </c>
      <c r="P673" s="10" t="n">
        <v>113</v>
      </c>
      <c r="Q673" s="12" t="s">
        <v>36</v>
      </c>
      <c r="R673" s="12" t="s">
        <v>48</v>
      </c>
      <c r="S673" s="10" t="n">
        <v>1130101</v>
      </c>
      <c r="T673" s="12" t="s">
        <v>49</v>
      </c>
      <c r="U673" s="13" t="n">
        <v>5621.36</v>
      </c>
      <c r="W673" s="13" t="n">
        <v>0</v>
      </c>
      <c r="X673" s="12" t="s">
        <v>655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46202</v>
      </c>
      <c r="C674" s="11" t="n">
        <v>46213</v>
      </c>
      <c r="D674" s="10" t="n">
        <v>1815</v>
      </c>
      <c r="E674" s="12" t="s">
        <v>164</v>
      </c>
      <c r="F674" s="10" t="n">
        <v>24</v>
      </c>
      <c r="G674" s="12" t="s">
        <v>77</v>
      </c>
      <c r="H674" s="10" t="n">
        <v>2110101</v>
      </c>
      <c r="I674" s="12" t="s">
        <v>33</v>
      </c>
      <c r="J674" s="10" t="n">
        <v>1321697</v>
      </c>
      <c r="L674" s="10" t="n">
        <v>175256</v>
      </c>
      <c r="M674" s="12" t="s">
        <v>83</v>
      </c>
      <c r="N674" s="12" t="s">
        <v>35</v>
      </c>
      <c r="P674" s="10" t="n">
        <v>113</v>
      </c>
      <c r="Q674" s="12" t="s">
        <v>36</v>
      </c>
      <c r="R674" s="12" t="s">
        <v>48</v>
      </c>
      <c r="S674" s="10" t="n">
        <v>1130101</v>
      </c>
      <c r="T674" s="12" t="s">
        <v>49</v>
      </c>
      <c r="U674" s="13" t="n">
        <v>371.88</v>
      </c>
      <c r="W674" s="13" t="n">
        <v>0</v>
      </c>
      <c r="X674" s="12"/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46213</v>
      </c>
      <c r="D675" s="10" t="n">
        <v>1642</v>
      </c>
      <c r="E675" s="12" t="s">
        <v>210</v>
      </c>
      <c r="F675" s="10" t="n">
        <v>24</v>
      </c>
      <c r="G675" s="12" t="s">
        <v>77</v>
      </c>
      <c r="H675" s="10" t="n">
        <v>2110101</v>
      </c>
      <c r="I675" s="12" t="s">
        <v>33</v>
      </c>
      <c r="J675" s="10" t="n">
        <v>1343794</v>
      </c>
      <c r="L675" s="10" t="n">
        <v>1030058</v>
      </c>
      <c r="M675" s="12" t="s">
        <v>83</v>
      </c>
      <c r="N675" s="12" t="s">
        <v>54</v>
      </c>
      <c r="P675" s="10" t="n">
        <v>113</v>
      </c>
      <c r="Q675" s="12" t="s">
        <v>36</v>
      </c>
      <c r="R675" s="12" t="s">
        <v>48</v>
      </c>
      <c r="S675" s="10" t="n">
        <v>1130101</v>
      </c>
      <c r="T675" s="12" t="s">
        <v>49</v>
      </c>
      <c r="U675" s="13" t="n">
        <v>279.82</v>
      </c>
      <c r="W675" s="13" t="n">
        <v>0</v>
      </c>
      <c r="X675" s="12" t="s">
        <v>750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90</v>
      </c>
      <c r="F676" s="10" t="n">
        <v>24</v>
      </c>
      <c r="G676" s="12" t="s">
        <v>77</v>
      </c>
      <c r="H676" s="10" t="n">
        <v>2110101</v>
      </c>
      <c r="I676" s="12" t="s">
        <v>33</v>
      </c>
      <c r="J676" s="10" t="n">
        <v>1344581</v>
      </c>
      <c r="L676" s="10" t="n">
        <v>5765</v>
      </c>
      <c r="M676" s="12" t="s">
        <v>83</v>
      </c>
      <c r="N676" s="12" t="s">
        <v>54</v>
      </c>
      <c r="P676" s="10" t="n">
        <v>113</v>
      </c>
      <c r="Q676" s="12" t="s">
        <v>36</v>
      </c>
      <c r="R676" s="12" t="s">
        <v>48</v>
      </c>
      <c r="S676" s="10" t="n">
        <v>1130101</v>
      </c>
      <c r="T676" s="12" t="s">
        <v>49</v>
      </c>
      <c r="U676" s="13" t="n">
        <v>430.3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752</v>
      </c>
      <c r="F677" s="10" t="n">
        <v>24</v>
      </c>
      <c r="G677" s="12" t="s">
        <v>77</v>
      </c>
      <c r="H677" s="10" t="n">
        <v>2110101</v>
      </c>
      <c r="I677" s="12" t="s">
        <v>33</v>
      </c>
      <c r="J677" s="10" t="n">
        <v>1345178</v>
      </c>
      <c r="L677" s="10" t="n">
        <v>890</v>
      </c>
      <c r="M677" s="12" t="s">
        <v>83</v>
      </c>
      <c r="N677" s="12" t="s">
        <v>54</v>
      </c>
      <c r="P677" s="10" t="n">
        <v>113</v>
      </c>
      <c r="Q677" s="12" t="s">
        <v>36</v>
      </c>
      <c r="R677" s="12" t="s">
        <v>48</v>
      </c>
      <c r="S677" s="10" t="n">
        <v>1130101</v>
      </c>
      <c r="T677" s="12" t="s">
        <v>49</v>
      </c>
      <c r="U677" s="13" t="n">
        <v>368.4</v>
      </c>
      <c r="W677" s="13" t="n">
        <v>0</v>
      </c>
      <c r="X677" s="12" t="s">
        <v>753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212</v>
      </c>
      <c r="F678" s="10" t="n">
        <v>24</v>
      </c>
      <c r="G678" s="12" t="s">
        <v>77</v>
      </c>
      <c r="H678" s="10" t="n">
        <v>2110101</v>
      </c>
      <c r="I678" s="12" t="s">
        <v>33</v>
      </c>
      <c r="J678" s="10" t="n">
        <v>1345469</v>
      </c>
      <c r="L678" s="10" t="n">
        <v>888702</v>
      </c>
      <c r="M678" s="12" t="s">
        <v>83</v>
      </c>
      <c r="N678" s="12" t="s">
        <v>54</v>
      </c>
      <c r="P678" s="10" t="n">
        <v>113</v>
      </c>
      <c r="Q678" s="12" t="s">
        <v>36</v>
      </c>
      <c r="R678" s="12" t="s">
        <v>48</v>
      </c>
      <c r="S678" s="10" t="n">
        <v>1130101</v>
      </c>
      <c r="T678" s="12" t="s">
        <v>49</v>
      </c>
      <c r="U678" s="13" t="n">
        <v>2293.67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212</v>
      </c>
      <c r="F679" s="10" t="n">
        <v>24</v>
      </c>
      <c r="G679" s="12" t="s">
        <v>77</v>
      </c>
      <c r="H679" s="10" t="n">
        <v>2110101</v>
      </c>
      <c r="I679" s="12" t="s">
        <v>33</v>
      </c>
      <c r="J679" s="10" t="n">
        <v>1345477</v>
      </c>
      <c r="L679" s="10" t="n">
        <v>180727</v>
      </c>
      <c r="M679" s="12" t="s">
        <v>83</v>
      </c>
      <c r="N679" s="12" t="s">
        <v>35</v>
      </c>
      <c r="P679" s="10" t="n">
        <v>113</v>
      </c>
      <c r="Q679" s="12" t="s">
        <v>36</v>
      </c>
      <c r="R679" s="12" t="s">
        <v>48</v>
      </c>
      <c r="S679" s="10" t="n">
        <v>1130101</v>
      </c>
      <c r="T679" s="12" t="s">
        <v>49</v>
      </c>
      <c r="U679" s="13" t="n">
        <v>1.55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77</v>
      </c>
      <c r="H680" s="10" t="n">
        <v>2110101</v>
      </c>
      <c r="I680" s="12" t="s">
        <v>33</v>
      </c>
      <c r="J680" s="10" t="n">
        <v>1345530</v>
      </c>
      <c r="L680" s="10" t="n">
        <v>225160</v>
      </c>
      <c r="M680" s="12" t="s">
        <v>83</v>
      </c>
      <c r="N680" s="12" t="s">
        <v>54</v>
      </c>
      <c r="P680" s="10" t="n">
        <v>113</v>
      </c>
      <c r="Q680" s="12" t="s">
        <v>36</v>
      </c>
      <c r="R680" s="12" t="s">
        <v>48</v>
      </c>
      <c r="S680" s="10" t="n">
        <v>1130101</v>
      </c>
      <c r="T680" s="12" t="s">
        <v>49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77</v>
      </c>
      <c r="H681" s="10" t="n">
        <v>2110101</v>
      </c>
      <c r="I681" s="12" t="s">
        <v>33</v>
      </c>
      <c r="J681" s="10" t="n">
        <v>1345621</v>
      </c>
      <c r="L681" s="10" t="n">
        <v>42910</v>
      </c>
      <c r="M681" s="12" t="s">
        <v>83</v>
      </c>
      <c r="N681" s="12" t="s">
        <v>54</v>
      </c>
      <c r="P681" s="10" t="n">
        <v>113</v>
      </c>
      <c r="Q681" s="12" t="s">
        <v>36</v>
      </c>
      <c r="R681" s="12" t="s">
        <v>48</v>
      </c>
      <c r="S681" s="10" t="n">
        <v>1130101</v>
      </c>
      <c r="T681" s="12" t="s">
        <v>49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248</v>
      </c>
      <c r="F682" s="10" t="n">
        <v>24</v>
      </c>
      <c r="G682" s="12" t="s">
        <v>77</v>
      </c>
      <c r="H682" s="10" t="n">
        <v>2110101</v>
      </c>
      <c r="I682" s="12" t="s">
        <v>33</v>
      </c>
      <c r="J682" s="10" t="n">
        <v>1348589</v>
      </c>
      <c r="L682" s="10" t="n">
        <v>14615</v>
      </c>
      <c r="M682" s="12" t="s">
        <v>83</v>
      </c>
      <c r="N682" s="12" t="s">
        <v>54</v>
      </c>
      <c r="P682" s="10" t="n">
        <v>113</v>
      </c>
      <c r="Q682" s="12" t="s">
        <v>36</v>
      </c>
      <c r="R682" s="12" t="s">
        <v>48</v>
      </c>
      <c r="S682" s="10" t="n">
        <v>1130101</v>
      </c>
      <c r="T682" s="12" t="s">
        <v>49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97</v>
      </c>
      <c r="H683" s="10" t="n">
        <v>2110101</v>
      </c>
      <c r="I683" s="12" t="s">
        <v>33</v>
      </c>
      <c r="J683" s="10" t="n">
        <v>1366121</v>
      </c>
      <c r="L683" s="10" t="n">
        <v>183613</v>
      </c>
      <c r="M683" s="12" t="s">
        <v>83</v>
      </c>
      <c r="N683" s="12" t="s">
        <v>35</v>
      </c>
      <c r="P683" s="10" t="n">
        <v>113</v>
      </c>
      <c r="Q683" s="12" t="s">
        <v>36</v>
      </c>
      <c r="R683" s="12" t="s">
        <v>48</v>
      </c>
      <c r="S683" s="10" t="n">
        <v>1130101</v>
      </c>
      <c r="T683" s="12" t="s">
        <v>49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314</v>
      </c>
      <c r="F684" s="10" t="n">
        <v>24</v>
      </c>
      <c r="G684" s="12" t="s">
        <v>77</v>
      </c>
      <c r="H684" s="10" t="n">
        <v>1110203</v>
      </c>
      <c r="I684" s="12" t="s">
        <v>108</v>
      </c>
      <c r="J684" s="10" t="n">
        <v>1377314</v>
      </c>
      <c r="L684" s="10" t="n">
        <v>185631</v>
      </c>
      <c r="M684" s="12" t="s">
        <v>83</v>
      </c>
      <c r="N684" s="12" t="s">
        <v>35</v>
      </c>
      <c r="P684" s="10" t="n">
        <v>101</v>
      </c>
      <c r="Q684" s="12" t="s">
        <v>42</v>
      </c>
      <c r="R684" s="12" t="s">
        <v>100</v>
      </c>
      <c r="S684" s="10" t="n">
        <v>4210315</v>
      </c>
      <c r="T684" s="12" t="s">
        <v>257</v>
      </c>
      <c r="U684" s="13" t="n">
        <v>160</v>
      </c>
      <c r="W684" s="13" t="n">
        <v>0</v>
      </c>
      <c r="X684" s="12" t="s">
        <v>315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132</v>
      </c>
      <c r="F685" s="10" t="n">
        <v>34</v>
      </c>
      <c r="G685" s="12" t="s">
        <v>97</v>
      </c>
      <c r="H685" s="10" t="n">
        <v>2110101</v>
      </c>
      <c r="I685" s="12" t="s">
        <v>33</v>
      </c>
      <c r="J685" s="10" t="n">
        <v>1377467</v>
      </c>
      <c r="L685" s="10" t="n">
        <v>2538</v>
      </c>
      <c r="M685" s="12" t="s">
        <v>83</v>
      </c>
      <c r="N685" s="12" t="s">
        <v>54</v>
      </c>
      <c r="P685" s="10" t="n">
        <v>113</v>
      </c>
      <c r="Q685" s="12" t="s">
        <v>36</v>
      </c>
      <c r="R685" s="12" t="s">
        <v>48</v>
      </c>
      <c r="S685" s="10" t="n">
        <v>1130101</v>
      </c>
      <c r="T685" s="12" t="s">
        <v>49</v>
      </c>
      <c r="U685" s="13" t="n">
        <v>1838.6</v>
      </c>
      <c r="W685" s="13" t="n">
        <v>0</v>
      </c>
      <c r="X685" s="12" t="s">
        <v>221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133</v>
      </c>
      <c r="H686" s="10" t="n">
        <v>1110203</v>
      </c>
      <c r="I686" s="12" t="s">
        <v>108</v>
      </c>
      <c r="J686" s="10" t="n">
        <v>1428708</v>
      </c>
      <c r="L686" s="10" t="n">
        <v>191317</v>
      </c>
      <c r="M686" s="12" t="s">
        <v>83</v>
      </c>
      <c r="N686" s="12" t="s">
        <v>35</v>
      </c>
      <c r="P686" s="10" t="n">
        <v>113</v>
      </c>
      <c r="Q686" s="12" t="s">
        <v>36</v>
      </c>
      <c r="R686" s="12" t="s">
        <v>48</v>
      </c>
      <c r="S686" s="10" t="n">
        <v>1130101</v>
      </c>
      <c r="T686" s="12" t="s">
        <v>49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302</v>
      </c>
      <c r="F687" s="10" t="n">
        <v>24</v>
      </c>
      <c r="G687" s="12" t="s">
        <v>77</v>
      </c>
      <c r="H687" s="10" t="n">
        <v>2110101</v>
      </c>
      <c r="I687" s="12" t="s">
        <v>33</v>
      </c>
      <c r="J687" s="10" t="n">
        <v>1299327</v>
      </c>
      <c r="L687" s="10" t="n">
        <v>1378386</v>
      </c>
      <c r="M687" s="12" t="s">
        <v>83</v>
      </c>
      <c r="N687" s="12" t="s">
        <v>54</v>
      </c>
      <c r="P687" s="10" t="n">
        <v>113</v>
      </c>
      <c r="Q687" s="12" t="s">
        <v>36</v>
      </c>
      <c r="R687" s="12" t="s">
        <v>48</v>
      </c>
      <c r="S687" s="10" t="n">
        <v>1130101</v>
      </c>
      <c r="T687" s="12" t="s">
        <v>49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201</v>
      </c>
      <c r="F688" s="10" t="n">
        <v>24</v>
      </c>
      <c r="G688" s="12" t="s">
        <v>77</v>
      </c>
      <c r="H688" s="10" t="n">
        <v>2110101</v>
      </c>
      <c r="I688" s="12" t="s">
        <v>33</v>
      </c>
      <c r="J688" s="10" t="n">
        <v>1343779</v>
      </c>
      <c r="L688" s="10" t="n">
        <v>1686081</v>
      </c>
      <c r="M688" s="12" t="s">
        <v>83</v>
      </c>
      <c r="N688" s="12" t="s">
        <v>54</v>
      </c>
      <c r="P688" s="10" t="n">
        <v>113</v>
      </c>
      <c r="Q688" s="12" t="s">
        <v>36</v>
      </c>
      <c r="R688" s="12" t="s">
        <v>48</v>
      </c>
      <c r="S688" s="10" t="n">
        <v>1130101</v>
      </c>
      <c r="T688" s="12" t="s">
        <v>49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254</v>
      </c>
      <c r="F689" s="10" t="n">
        <v>24</v>
      </c>
      <c r="G689" s="12" t="s">
        <v>77</v>
      </c>
      <c r="H689" s="10" t="n">
        <v>2110101</v>
      </c>
      <c r="I689" s="12" t="s">
        <v>33</v>
      </c>
      <c r="J689" s="10" t="n">
        <v>1300232</v>
      </c>
      <c r="L689" s="10" t="n">
        <v>10860</v>
      </c>
      <c r="M689" s="12" t="s">
        <v>83</v>
      </c>
      <c r="N689" s="12" t="s">
        <v>54</v>
      </c>
      <c r="P689" s="10" t="n">
        <v>113</v>
      </c>
      <c r="Q689" s="12" t="s">
        <v>36</v>
      </c>
      <c r="R689" s="12" t="s">
        <v>48</v>
      </c>
      <c r="S689" s="10" t="n">
        <v>1130101</v>
      </c>
      <c r="T689" s="12" t="s">
        <v>49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197</v>
      </c>
      <c r="F690" s="10" t="n">
        <v>24</v>
      </c>
      <c r="G690" s="12" t="s">
        <v>77</v>
      </c>
      <c r="H690" s="10" t="n">
        <v>2110101</v>
      </c>
      <c r="I690" s="12" t="s">
        <v>33</v>
      </c>
      <c r="J690" s="10" t="n">
        <v>1255113</v>
      </c>
      <c r="L690" s="10" t="n">
        <v>878392</v>
      </c>
      <c r="M690" s="12" t="s">
        <v>62</v>
      </c>
      <c r="N690" s="12" t="s">
        <v>54</v>
      </c>
      <c r="P690" s="10" t="n">
        <v>113</v>
      </c>
      <c r="Q690" s="12" t="s">
        <v>36</v>
      </c>
      <c r="R690" s="12" t="s">
        <v>48</v>
      </c>
      <c r="S690" s="10" t="n">
        <v>1130101</v>
      </c>
      <c r="T690" s="12" t="s">
        <v>49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85</v>
      </c>
      <c r="F691" s="10" t="n">
        <v>24</v>
      </c>
      <c r="G691" s="12" t="s">
        <v>77</v>
      </c>
      <c r="H691" s="10" t="n">
        <v>2110101</v>
      </c>
      <c r="I691" s="12" t="s">
        <v>33</v>
      </c>
      <c r="J691" s="10" t="n">
        <v>1260911</v>
      </c>
      <c r="L691" s="10" t="n">
        <v>168211</v>
      </c>
      <c r="M691" s="12" t="s">
        <v>83</v>
      </c>
      <c r="N691" s="12" t="s">
        <v>35</v>
      </c>
      <c r="P691" s="10" t="n">
        <v>113</v>
      </c>
      <c r="Q691" s="12" t="s">
        <v>36</v>
      </c>
      <c r="R691" s="12" t="s">
        <v>48</v>
      </c>
      <c r="S691" s="10" t="n">
        <v>1130101</v>
      </c>
      <c r="T691" s="12" t="s">
        <v>49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77</v>
      </c>
      <c r="H692" s="10" t="n">
        <v>2110101</v>
      </c>
      <c r="I692" s="12" t="s">
        <v>33</v>
      </c>
      <c r="J692" s="10" t="n">
        <v>1289570</v>
      </c>
      <c r="L692" s="10" t="n">
        <v>207912</v>
      </c>
      <c r="M692" s="12" t="s">
        <v>74</v>
      </c>
      <c r="N692" s="12" t="s">
        <v>54</v>
      </c>
      <c r="P692" s="10" t="n">
        <v>113</v>
      </c>
      <c r="Q692" s="12" t="s">
        <v>36</v>
      </c>
      <c r="R692" s="12" t="s">
        <v>48</v>
      </c>
      <c r="S692" s="10" t="n">
        <v>1130101</v>
      </c>
      <c r="T692" s="12" t="s">
        <v>49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77</v>
      </c>
      <c r="H693" s="10" t="n">
        <v>2110101</v>
      </c>
      <c r="I693" s="12" t="s">
        <v>33</v>
      </c>
      <c r="J693" s="10" t="n">
        <v>1289620</v>
      </c>
      <c r="L693" s="10" t="n">
        <v>1894392</v>
      </c>
      <c r="M693" s="12" t="s">
        <v>83</v>
      </c>
      <c r="N693" s="12" t="s">
        <v>54</v>
      </c>
      <c r="P693" s="10" t="n">
        <v>113</v>
      </c>
      <c r="Q693" s="12" t="s">
        <v>36</v>
      </c>
      <c r="R693" s="12" t="s">
        <v>48</v>
      </c>
      <c r="S693" s="10" t="n">
        <v>1130101</v>
      </c>
      <c r="T693" s="12" t="s">
        <v>49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82</v>
      </c>
      <c r="F694" s="10" t="n">
        <v>24</v>
      </c>
      <c r="G694" s="12" t="s">
        <v>77</v>
      </c>
      <c r="H694" s="10" t="n">
        <v>2110101</v>
      </c>
      <c r="I694" s="12" t="s">
        <v>33</v>
      </c>
      <c r="J694" s="10" t="n">
        <v>1290928</v>
      </c>
      <c r="L694" s="10" t="n">
        <v>172707</v>
      </c>
      <c r="M694" s="12" t="s">
        <v>83</v>
      </c>
      <c r="N694" s="12" t="s">
        <v>35</v>
      </c>
      <c r="P694" s="10" t="n">
        <v>113</v>
      </c>
      <c r="Q694" s="12" t="s">
        <v>36</v>
      </c>
      <c r="R694" s="12" t="s">
        <v>48</v>
      </c>
      <c r="S694" s="10" t="n">
        <v>1130101</v>
      </c>
      <c r="T694" s="12" t="s">
        <v>49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80</v>
      </c>
      <c r="F695" s="10" t="n">
        <v>24</v>
      </c>
      <c r="G695" s="12" t="s">
        <v>77</v>
      </c>
      <c r="H695" s="10" t="n">
        <v>2110101</v>
      </c>
      <c r="I695" s="12" t="s">
        <v>33</v>
      </c>
      <c r="J695" s="10" t="n">
        <v>1293976</v>
      </c>
      <c r="L695" s="10" t="n">
        <v>646732</v>
      </c>
      <c r="M695" s="12" t="s">
        <v>74</v>
      </c>
      <c r="N695" s="12" t="s">
        <v>54</v>
      </c>
      <c r="P695" s="10" t="n">
        <v>113</v>
      </c>
      <c r="Q695" s="12" t="s">
        <v>36</v>
      </c>
      <c r="R695" s="12" t="s">
        <v>48</v>
      </c>
      <c r="S695" s="10" t="n">
        <v>1130101</v>
      </c>
      <c r="T695" s="12" t="s">
        <v>49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305</v>
      </c>
      <c r="F696" s="10" t="n">
        <v>24</v>
      </c>
      <c r="G696" s="12" t="s">
        <v>77</v>
      </c>
      <c r="H696" s="10" t="n">
        <v>2110405</v>
      </c>
      <c r="I696" s="12" t="s">
        <v>41</v>
      </c>
      <c r="J696" s="10" t="n">
        <v>1294339</v>
      </c>
      <c r="L696" s="10" t="n">
        <v>173127</v>
      </c>
      <c r="M696" s="12" t="s">
        <v>83</v>
      </c>
      <c r="N696" s="12" t="s">
        <v>35</v>
      </c>
      <c r="P696" s="10" t="n">
        <v>113</v>
      </c>
      <c r="Q696" s="12" t="s">
        <v>36</v>
      </c>
      <c r="R696" s="12" t="s">
        <v>56</v>
      </c>
      <c r="S696" s="10" t="n">
        <v>4210299</v>
      </c>
      <c r="T696" s="12" t="s">
        <v>115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220</v>
      </c>
      <c r="F697" s="10" t="n">
        <v>34</v>
      </c>
      <c r="G697" s="12" t="s">
        <v>97</v>
      </c>
      <c r="H697" s="10" t="n">
        <v>2110101</v>
      </c>
      <c r="I697" s="12" t="s">
        <v>33</v>
      </c>
      <c r="J697" s="10" t="n">
        <v>1345271</v>
      </c>
      <c r="L697" s="10" t="n">
        <v>322</v>
      </c>
      <c r="M697" s="12" t="s">
        <v>83</v>
      </c>
      <c r="N697" s="12" t="s">
        <v>54</v>
      </c>
      <c r="P697" s="10" t="n">
        <v>113</v>
      </c>
      <c r="Q697" s="12" t="s">
        <v>36</v>
      </c>
      <c r="R697" s="12" t="s">
        <v>48</v>
      </c>
      <c r="S697" s="10" t="n">
        <v>1130101</v>
      </c>
      <c r="T697" s="12" t="s">
        <v>49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171</v>
      </c>
      <c r="F698" s="10" t="n">
        <v>24</v>
      </c>
      <c r="G698" s="12" t="s">
        <v>77</v>
      </c>
      <c r="H698" s="10" t="n">
        <v>2110101</v>
      </c>
      <c r="I698" s="12" t="s">
        <v>33</v>
      </c>
      <c r="J698" s="10" t="n">
        <v>1361298</v>
      </c>
      <c r="L698" s="10" t="n">
        <v>3500</v>
      </c>
      <c r="M698" s="12" t="s">
        <v>83</v>
      </c>
      <c r="N698" s="12" t="s">
        <v>54</v>
      </c>
      <c r="P698" s="10" t="n">
        <v>113</v>
      </c>
      <c r="Q698" s="12" t="s">
        <v>36</v>
      </c>
      <c r="R698" s="12" t="s">
        <v>48</v>
      </c>
      <c r="S698" s="10" t="n">
        <v>1130101</v>
      </c>
      <c r="T698" s="12" t="s">
        <v>49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92</v>
      </c>
      <c r="F699" s="10" t="n">
        <v>24</v>
      </c>
      <c r="G699" s="12" t="s">
        <v>77</v>
      </c>
      <c r="H699" s="10" t="n">
        <v>2110101</v>
      </c>
      <c r="I699" s="12" t="s">
        <v>33</v>
      </c>
      <c r="J699" s="10" t="n">
        <v>1365074</v>
      </c>
      <c r="L699" s="10" t="n">
        <v>3993</v>
      </c>
      <c r="M699" s="12" t="s">
        <v>83</v>
      </c>
      <c r="N699" s="12" t="s">
        <v>54</v>
      </c>
      <c r="P699" s="10" t="n">
        <v>113</v>
      </c>
      <c r="Q699" s="12" t="s">
        <v>36</v>
      </c>
      <c r="R699" s="12" t="s">
        <v>48</v>
      </c>
      <c r="S699" s="10" t="n">
        <v>1130101</v>
      </c>
      <c r="T699" s="12" t="s">
        <v>49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132</v>
      </c>
      <c r="F700" s="10" t="n">
        <v>34</v>
      </c>
      <c r="G700" s="12" t="s">
        <v>97</v>
      </c>
      <c r="H700" s="10" t="n">
        <v>2110101</v>
      </c>
      <c r="I700" s="12" t="s">
        <v>33</v>
      </c>
      <c r="J700" s="10" t="n">
        <v>1370406</v>
      </c>
      <c r="L700" s="10" t="n">
        <v>2530</v>
      </c>
      <c r="M700" s="12" t="s">
        <v>83</v>
      </c>
      <c r="N700" s="12" t="s">
        <v>54</v>
      </c>
      <c r="P700" s="10" t="n">
        <v>113</v>
      </c>
      <c r="Q700" s="12" t="s">
        <v>36</v>
      </c>
      <c r="R700" s="12" t="s">
        <v>48</v>
      </c>
      <c r="S700" s="10" t="n">
        <v>1130101</v>
      </c>
      <c r="T700" s="12" t="s">
        <v>49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194</v>
      </c>
      <c r="F701" s="10" t="n">
        <v>24</v>
      </c>
      <c r="G701" s="12" t="s">
        <v>77</v>
      </c>
      <c r="H701" s="10" t="n">
        <v>2110101</v>
      </c>
      <c r="I701" s="12" t="s">
        <v>33</v>
      </c>
      <c r="J701" s="10" t="n">
        <v>1370613</v>
      </c>
      <c r="L701" s="10" t="n">
        <v>704</v>
      </c>
      <c r="M701" s="12" t="s">
        <v>83</v>
      </c>
      <c r="N701" s="12" t="s">
        <v>54</v>
      </c>
      <c r="P701" s="10" t="n">
        <v>113</v>
      </c>
      <c r="Q701" s="12" t="s">
        <v>36</v>
      </c>
      <c r="R701" s="12" t="s">
        <v>48</v>
      </c>
      <c r="S701" s="10" t="n">
        <v>1130101</v>
      </c>
      <c r="T701" s="12" t="s">
        <v>49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96</v>
      </c>
      <c r="F702" s="10" t="n">
        <v>34</v>
      </c>
      <c r="G702" s="12" t="s">
        <v>97</v>
      </c>
      <c r="H702" s="10" t="n">
        <v>2110101</v>
      </c>
      <c r="I702" s="12" t="s">
        <v>33</v>
      </c>
      <c r="J702" s="10" t="n">
        <v>1377076</v>
      </c>
      <c r="L702" s="10" t="n">
        <v>351</v>
      </c>
      <c r="M702" s="12" t="s">
        <v>83</v>
      </c>
      <c r="N702" s="12" t="s">
        <v>54</v>
      </c>
      <c r="P702" s="10" t="n">
        <v>113</v>
      </c>
      <c r="Q702" s="12" t="s">
        <v>36</v>
      </c>
      <c r="R702" s="12" t="s">
        <v>48</v>
      </c>
      <c r="S702" s="10" t="n">
        <v>1130101</v>
      </c>
      <c r="T702" s="12" t="s">
        <v>49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132</v>
      </c>
      <c r="F703" s="10" t="n">
        <v>13</v>
      </c>
      <c r="G703" s="12" t="s">
        <v>133</v>
      </c>
      <c r="H703" s="10" t="n">
        <v>2110101</v>
      </c>
      <c r="I703" s="12" t="s">
        <v>33</v>
      </c>
      <c r="J703" s="10" t="n">
        <v>1393775</v>
      </c>
      <c r="L703" s="10" t="n">
        <v>2539</v>
      </c>
      <c r="M703" s="12" t="s">
        <v>83</v>
      </c>
      <c r="N703" s="12" t="s">
        <v>54</v>
      </c>
      <c r="P703" s="10" t="n">
        <v>113</v>
      </c>
      <c r="Q703" s="12" t="s">
        <v>36</v>
      </c>
      <c r="R703" s="12" t="s">
        <v>48</v>
      </c>
      <c r="S703" s="10" t="n">
        <v>1130101</v>
      </c>
      <c r="T703" s="12" t="s">
        <v>49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133</v>
      </c>
      <c r="H704" s="10" t="n">
        <v>1110203</v>
      </c>
      <c r="I704" s="12" t="s">
        <v>108</v>
      </c>
      <c r="J704" s="10" t="n">
        <v>1428717</v>
      </c>
      <c r="L704" s="10" t="n">
        <v>191324</v>
      </c>
      <c r="M704" s="12" t="s">
        <v>83</v>
      </c>
      <c r="N704" s="12" t="s">
        <v>35</v>
      </c>
      <c r="P704" s="10" t="n">
        <v>113</v>
      </c>
      <c r="Q704" s="12" t="s">
        <v>36</v>
      </c>
      <c r="R704" s="12" t="s">
        <v>48</v>
      </c>
      <c r="S704" s="10" t="n">
        <v>1130101</v>
      </c>
      <c r="T704" s="12" t="s">
        <v>49</v>
      </c>
      <c r="U704" s="13" t="n">
        <v>120</v>
      </c>
      <c r="W704" s="13" t="n">
        <v>120</v>
      </c>
      <c r="X704" s="12" t="s">
        <v>773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77</v>
      </c>
      <c r="H705" s="10" t="n">
        <v>2110405</v>
      </c>
      <c r="I705" s="12" t="s">
        <v>41</v>
      </c>
      <c r="J705" s="10" t="n">
        <v>1295177</v>
      </c>
      <c r="L705" s="10" t="n">
        <v>173363</v>
      </c>
      <c r="M705" s="12" t="s">
        <v>83</v>
      </c>
      <c r="N705" s="12" t="s">
        <v>35</v>
      </c>
      <c r="P705" s="10" t="n">
        <v>113</v>
      </c>
      <c r="Q705" s="12" t="s">
        <v>36</v>
      </c>
      <c r="R705" s="12" t="s">
        <v>56</v>
      </c>
      <c r="S705" s="10" t="n">
        <v>4210227</v>
      </c>
      <c r="T705" s="12" t="s">
        <v>63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117</v>
      </c>
      <c r="F706" s="10" t="n">
        <v>24</v>
      </c>
      <c r="G706" s="12" t="s">
        <v>77</v>
      </c>
      <c r="H706" s="10" t="n">
        <v>2110101</v>
      </c>
      <c r="I706" s="12" t="s">
        <v>33</v>
      </c>
      <c r="J706" s="10" t="n">
        <v>1299637</v>
      </c>
      <c r="L706" s="10" t="n">
        <v>519349</v>
      </c>
      <c r="M706" s="12" t="s">
        <v>83</v>
      </c>
      <c r="N706" s="12" t="s">
        <v>54</v>
      </c>
      <c r="P706" s="10" t="n">
        <v>113</v>
      </c>
      <c r="Q706" s="12" t="s">
        <v>36</v>
      </c>
      <c r="R706" s="12" t="s">
        <v>48</v>
      </c>
      <c r="S706" s="10" t="n">
        <v>1130101</v>
      </c>
      <c r="T706" s="12" t="s">
        <v>49</v>
      </c>
      <c r="U706" s="13" t="n">
        <v>304.45</v>
      </c>
      <c r="W706" s="13" t="n">
        <v>0</v>
      </c>
      <c r="X706" s="12" t="s">
        <v>774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119</v>
      </c>
      <c r="F707" s="10" t="n">
        <v>24</v>
      </c>
      <c r="G707" s="12" t="s">
        <v>77</v>
      </c>
      <c r="H707" s="10" t="n">
        <v>2110101</v>
      </c>
      <c r="I707" s="12" t="s">
        <v>33</v>
      </c>
      <c r="J707" s="10" t="n">
        <v>1322169</v>
      </c>
      <c r="L707" s="10" t="n">
        <v>1180339</v>
      </c>
      <c r="M707" s="12" t="s">
        <v>83</v>
      </c>
      <c r="N707" s="12" t="s">
        <v>54</v>
      </c>
      <c r="P707" s="10" t="n">
        <v>113</v>
      </c>
      <c r="Q707" s="12" t="s">
        <v>36</v>
      </c>
      <c r="R707" s="12" t="s">
        <v>48</v>
      </c>
      <c r="S707" s="10" t="n">
        <v>1130101</v>
      </c>
      <c r="T707" s="12" t="s">
        <v>49</v>
      </c>
      <c r="U707" s="13" t="n">
        <v>29.3</v>
      </c>
      <c r="W707" s="13" t="n">
        <v>0</v>
      </c>
      <c r="X707" s="12" t="s">
        <v>775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119</v>
      </c>
      <c r="F708" s="10" t="n">
        <v>24</v>
      </c>
      <c r="G708" s="12" t="s">
        <v>77</v>
      </c>
      <c r="H708" s="10" t="n">
        <v>2110101</v>
      </c>
      <c r="I708" s="12" t="s">
        <v>33</v>
      </c>
      <c r="J708" s="10" t="n">
        <v>1322180</v>
      </c>
      <c r="L708" s="10" t="n">
        <v>1906318</v>
      </c>
      <c r="M708" s="12" t="s">
        <v>83</v>
      </c>
      <c r="N708" s="12" t="s">
        <v>54</v>
      </c>
      <c r="P708" s="10" t="n">
        <v>113</v>
      </c>
      <c r="Q708" s="12" t="s">
        <v>36</v>
      </c>
      <c r="R708" s="12" t="s">
        <v>48</v>
      </c>
      <c r="S708" s="10" t="n">
        <v>1130101</v>
      </c>
      <c r="T708" s="12" t="s">
        <v>49</v>
      </c>
      <c r="U708" s="13" t="n">
        <v>156.29</v>
      </c>
      <c r="W708" s="13" t="n">
        <v>0</v>
      </c>
      <c r="X708" s="12" t="s">
        <v>776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119</v>
      </c>
      <c r="F709" s="10" t="n">
        <v>24</v>
      </c>
      <c r="G709" s="12" t="s">
        <v>77</v>
      </c>
      <c r="H709" s="10" t="n">
        <v>2110101</v>
      </c>
      <c r="I709" s="12" t="s">
        <v>33</v>
      </c>
      <c r="J709" s="10" t="n">
        <v>1322190</v>
      </c>
      <c r="L709" s="10" t="n">
        <v>1906109</v>
      </c>
      <c r="M709" s="12" t="s">
        <v>83</v>
      </c>
      <c r="N709" s="12" t="s">
        <v>54</v>
      </c>
      <c r="P709" s="10" t="n">
        <v>113</v>
      </c>
      <c r="Q709" s="12" t="s">
        <v>36</v>
      </c>
      <c r="R709" s="12" t="s">
        <v>48</v>
      </c>
      <c r="S709" s="10" t="n">
        <v>1130101</v>
      </c>
      <c r="T709" s="12" t="s">
        <v>49</v>
      </c>
      <c r="U709" s="13" t="n">
        <v>974.53</v>
      </c>
      <c r="W709" s="13" t="n">
        <v>0</v>
      </c>
      <c r="X709" s="12" t="s">
        <v>777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156</v>
      </c>
      <c r="F710" s="10" t="n">
        <v>24</v>
      </c>
      <c r="G710" s="12" t="s">
        <v>77</v>
      </c>
      <c r="H710" s="10" t="n">
        <v>2110101</v>
      </c>
      <c r="I710" s="12" t="s">
        <v>33</v>
      </c>
      <c r="J710" s="10" t="n">
        <v>1333898</v>
      </c>
      <c r="L710" s="10" t="n">
        <v>1777487</v>
      </c>
      <c r="M710" s="12" t="s">
        <v>83</v>
      </c>
      <c r="N710" s="12" t="s">
        <v>54</v>
      </c>
      <c r="P710" s="10" t="n">
        <v>113</v>
      </c>
      <c r="Q710" s="12" t="s">
        <v>36</v>
      </c>
      <c r="R710" s="12" t="s">
        <v>48</v>
      </c>
      <c r="S710" s="10" t="n">
        <v>1130101</v>
      </c>
      <c r="T710" s="12" t="s">
        <v>49</v>
      </c>
      <c r="U710" s="13" t="n">
        <v>542.11</v>
      </c>
      <c r="W710" s="13" t="n">
        <v>0</v>
      </c>
      <c r="X710" s="12" t="s">
        <v>778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332</v>
      </c>
      <c r="F711" s="10" t="n">
        <v>24</v>
      </c>
      <c r="G711" s="12" t="s">
        <v>77</v>
      </c>
      <c r="H711" s="10" t="n">
        <v>2110101</v>
      </c>
      <c r="I711" s="12" t="s">
        <v>33</v>
      </c>
      <c r="J711" s="10" t="n">
        <v>1359593</v>
      </c>
      <c r="L711" s="10" t="n">
        <v>172659</v>
      </c>
      <c r="M711" s="12" t="s">
        <v>83</v>
      </c>
      <c r="N711" s="12" t="s">
        <v>54</v>
      </c>
      <c r="P711" s="10" t="n">
        <v>113</v>
      </c>
      <c r="Q711" s="12" t="s">
        <v>36</v>
      </c>
      <c r="R711" s="12" t="s">
        <v>48</v>
      </c>
      <c r="S711" s="10" t="n">
        <v>1130101</v>
      </c>
      <c r="T711" s="12" t="s">
        <v>49</v>
      </c>
      <c r="U711" s="13" t="n">
        <v>2243.2</v>
      </c>
      <c r="W711" s="13" t="n">
        <v>0</v>
      </c>
      <c r="X711" s="12" t="s">
        <v>779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210</v>
      </c>
      <c r="F712" s="10" t="n">
        <v>24</v>
      </c>
      <c r="G712" s="12" t="s">
        <v>77</v>
      </c>
      <c r="H712" s="10" t="n">
        <v>2110101</v>
      </c>
      <c r="I712" s="12" t="s">
        <v>33</v>
      </c>
      <c r="J712" s="10" t="n">
        <v>1364546</v>
      </c>
      <c r="L712" s="10" t="n">
        <v>1030653</v>
      </c>
      <c r="M712" s="12" t="s">
        <v>83</v>
      </c>
      <c r="N712" s="12" t="s">
        <v>54</v>
      </c>
      <c r="P712" s="10" t="n">
        <v>113</v>
      </c>
      <c r="Q712" s="12" t="s">
        <v>36</v>
      </c>
      <c r="R712" s="12" t="s">
        <v>48</v>
      </c>
      <c r="S712" s="10" t="n">
        <v>1130101</v>
      </c>
      <c r="T712" s="12" t="s">
        <v>49</v>
      </c>
      <c r="U712" s="13" t="n">
        <v>248.78</v>
      </c>
      <c r="W712" s="13" t="n">
        <v>0</v>
      </c>
      <c r="X712" s="12" t="s">
        <v>780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132</v>
      </c>
      <c r="F713" s="10" t="n">
        <v>34</v>
      </c>
      <c r="G713" s="12" t="s">
        <v>97</v>
      </c>
      <c r="H713" s="10" t="n">
        <v>2110101</v>
      </c>
      <c r="I713" s="12" t="s">
        <v>33</v>
      </c>
      <c r="J713" s="10" t="n">
        <v>1369655</v>
      </c>
      <c r="L713" s="10" t="n">
        <v>2529</v>
      </c>
      <c r="M713" s="12" t="s">
        <v>83</v>
      </c>
      <c r="N713" s="12" t="s">
        <v>54</v>
      </c>
      <c r="P713" s="10" t="n">
        <v>113</v>
      </c>
      <c r="Q713" s="12" t="s">
        <v>36</v>
      </c>
      <c r="R713" s="12" t="s">
        <v>48</v>
      </c>
      <c r="S713" s="10" t="n">
        <v>1130101</v>
      </c>
      <c r="T713" s="12" t="s">
        <v>49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128</v>
      </c>
      <c r="F714" s="10" t="n">
        <v>24</v>
      </c>
      <c r="G714" s="12" t="s">
        <v>77</v>
      </c>
      <c r="H714" s="10" t="n">
        <v>2110101</v>
      </c>
      <c r="I714" s="12" t="s">
        <v>33</v>
      </c>
      <c r="J714" s="10" t="n">
        <v>1370823</v>
      </c>
      <c r="L714" s="10" t="n">
        <v>31674</v>
      </c>
      <c r="M714" s="12" t="s">
        <v>83</v>
      </c>
      <c r="N714" s="12" t="s">
        <v>54</v>
      </c>
      <c r="P714" s="10" t="n">
        <v>113</v>
      </c>
      <c r="Q714" s="12" t="s">
        <v>36</v>
      </c>
      <c r="R714" s="12" t="s">
        <v>48</v>
      </c>
      <c r="S714" s="10" t="n">
        <v>1130101</v>
      </c>
      <c r="T714" s="12" t="s">
        <v>49</v>
      </c>
      <c r="U714" s="13" t="n">
        <v>1411.05</v>
      </c>
      <c r="W714" s="13" t="n">
        <v>0</v>
      </c>
      <c r="X714" s="12" t="s">
        <v>781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132</v>
      </c>
      <c r="F715" s="10" t="n">
        <v>24</v>
      </c>
      <c r="G715" s="12" t="s">
        <v>77</v>
      </c>
      <c r="H715" s="10" t="n">
        <v>2110101</v>
      </c>
      <c r="I715" s="12" t="s">
        <v>33</v>
      </c>
      <c r="J715" s="10" t="n">
        <v>1373788</v>
      </c>
      <c r="L715" s="10" t="n">
        <v>2533</v>
      </c>
      <c r="M715" s="12" t="s">
        <v>83</v>
      </c>
      <c r="N715" s="12" t="s">
        <v>54</v>
      </c>
      <c r="P715" s="10" t="n">
        <v>113</v>
      </c>
      <c r="Q715" s="12" t="s">
        <v>36</v>
      </c>
      <c r="R715" s="12" t="s">
        <v>48</v>
      </c>
      <c r="S715" s="10" t="n">
        <v>1130101</v>
      </c>
      <c r="T715" s="12" t="s">
        <v>49</v>
      </c>
      <c r="U715" s="13" t="n">
        <v>290</v>
      </c>
      <c r="W715" s="13" t="n">
        <v>0</v>
      </c>
      <c r="X715" s="12" t="s">
        <v>782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130</v>
      </c>
      <c r="F716" s="10" t="n">
        <v>24</v>
      </c>
      <c r="G716" s="12" t="s">
        <v>77</v>
      </c>
      <c r="H716" s="10" t="n">
        <v>2110101</v>
      </c>
      <c r="I716" s="12" t="s">
        <v>33</v>
      </c>
      <c r="J716" s="10" t="n">
        <v>1381699</v>
      </c>
      <c r="L716" s="10" t="n">
        <v>527</v>
      </c>
      <c r="M716" s="12" t="s">
        <v>83</v>
      </c>
      <c r="N716" s="12" t="s">
        <v>54</v>
      </c>
      <c r="P716" s="10" t="n">
        <v>113</v>
      </c>
      <c r="Q716" s="12" t="s">
        <v>36</v>
      </c>
      <c r="R716" s="12" t="s">
        <v>48</v>
      </c>
      <c r="S716" s="10" t="n">
        <v>1130101</v>
      </c>
      <c r="T716" s="12" t="s">
        <v>49</v>
      </c>
      <c r="U716" s="13" t="n">
        <v>180</v>
      </c>
      <c r="W716" s="13" t="n">
        <v>0</v>
      </c>
      <c r="X716" s="12" t="s">
        <v>783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194</v>
      </c>
      <c r="F717" s="10" t="n">
        <v>24</v>
      </c>
      <c r="G717" s="12" t="s">
        <v>77</v>
      </c>
      <c r="H717" s="10" t="n">
        <v>2110101</v>
      </c>
      <c r="I717" s="12" t="s">
        <v>33</v>
      </c>
      <c r="J717" s="10" t="n">
        <v>1381714</v>
      </c>
      <c r="L717" s="10" t="n">
        <v>708</v>
      </c>
      <c r="M717" s="12" t="s">
        <v>83</v>
      </c>
      <c r="N717" s="12" t="s">
        <v>54</v>
      </c>
      <c r="P717" s="10" t="n">
        <v>113</v>
      </c>
      <c r="Q717" s="12" t="s">
        <v>36</v>
      </c>
      <c r="R717" s="12" t="s">
        <v>48</v>
      </c>
      <c r="S717" s="10" t="n">
        <v>1130101</v>
      </c>
      <c r="T717" s="12" t="s">
        <v>49</v>
      </c>
      <c r="U717" s="13" t="n">
        <v>307.11</v>
      </c>
      <c r="W717" s="13" t="n">
        <v>0</v>
      </c>
      <c r="X717" s="12" t="s">
        <v>784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77</v>
      </c>
      <c r="H718" s="10" t="n">
        <v>2110101</v>
      </c>
      <c r="I718" s="12" t="s">
        <v>33</v>
      </c>
      <c r="J718" s="10" t="n">
        <v>1381906</v>
      </c>
      <c r="L718" s="10" t="n">
        <v>7874</v>
      </c>
      <c r="M718" s="12" t="s">
        <v>83</v>
      </c>
      <c r="N718" s="12" t="s">
        <v>54</v>
      </c>
      <c r="P718" s="10" t="n">
        <v>113</v>
      </c>
      <c r="Q718" s="12" t="s">
        <v>36</v>
      </c>
      <c r="R718" s="12" t="s">
        <v>48</v>
      </c>
      <c r="S718" s="10" t="n">
        <v>1130101</v>
      </c>
      <c r="T718" s="12" t="s">
        <v>49</v>
      </c>
      <c r="U718" s="13" t="n">
        <v>378.89</v>
      </c>
      <c r="W718" s="13" t="n">
        <v>0</v>
      </c>
      <c r="X718" s="12" t="s">
        <v>785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132</v>
      </c>
      <c r="F719" s="10" t="n">
        <v>34</v>
      </c>
      <c r="G719" s="12" t="s">
        <v>97</v>
      </c>
      <c r="H719" s="10" t="n">
        <v>2110101</v>
      </c>
      <c r="I719" s="12" t="s">
        <v>33</v>
      </c>
      <c r="J719" s="10" t="n">
        <v>1398221</v>
      </c>
      <c r="L719" s="10" t="n">
        <v>2542</v>
      </c>
      <c r="M719" s="12" t="s">
        <v>83</v>
      </c>
      <c r="N719" s="12" t="s">
        <v>54</v>
      </c>
      <c r="P719" s="10" t="n">
        <v>113</v>
      </c>
      <c r="Q719" s="12" t="s">
        <v>36</v>
      </c>
      <c r="R719" s="12" t="s">
        <v>48</v>
      </c>
      <c r="S719" s="10" t="n">
        <v>1130101</v>
      </c>
      <c r="T719" s="12" t="s">
        <v>49</v>
      </c>
      <c r="U719" s="13" t="n">
        <v>1946.36</v>
      </c>
      <c r="W719" s="13" t="n">
        <v>0</v>
      </c>
      <c r="X719" s="12" t="s">
        <v>221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139</v>
      </c>
      <c r="F720" s="10" t="n">
        <v>34</v>
      </c>
      <c r="G720" s="12" t="s">
        <v>97</v>
      </c>
      <c r="H720" s="10" t="n">
        <v>1110203</v>
      </c>
      <c r="I720" s="12" t="s">
        <v>108</v>
      </c>
      <c r="J720" s="10" t="n">
        <v>1398234</v>
      </c>
      <c r="L720" s="10" t="n">
        <v>188092</v>
      </c>
      <c r="M720" s="12" t="s">
        <v>83</v>
      </c>
      <c r="N720" s="12" t="s">
        <v>35</v>
      </c>
      <c r="P720" s="10" t="n">
        <v>113</v>
      </c>
      <c r="Q720" s="12" t="s">
        <v>36</v>
      </c>
      <c r="R720" s="12" t="s">
        <v>48</v>
      </c>
      <c r="S720" s="10" t="n">
        <v>1130101</v>
      </c>
      <c r="T720" s="12" t="s">
        <v>49</v>
      </c>
      <c r="U720" s="13" t="n">
        <v>770</v>
      </c>
      <c r="W720" s="13" t="n">
        <v>0</v>
      </c>
      <c r="X720" s="12" t="s">
        <v>786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132</v>
      </c>
      <c r="F721" s="10" t="n">
        <v>13</v>
      </c>
      <c r="G721" s="12" t="s">
        <v>133</v>
      </c>
      <c r="H721" s="10" t="n">
        <v>2110101</v>
      </c>
      <c r="I721" s="12" t="s">
        <v>33</v>
      </c>
      <c r="J721" s="10" t="n">
        <v>1398476</v>
      </c>
      <c r="L721" s="10" t="n">
        <v>2543</v>
      </c>
      <c r="M721" s="12" t="s">
        <v>83</v>
      </c>
      <c r="N721" s="12" t="s">
        <v>54</v>
      </c>
      <c r="P721" s="10" t="n">
        <v>113</v>
      </c>
      <c r="Q721" s="12" t="s">
        <v>36</v>
      </c>
      <c r="R721" s="12" t="s">
        <v>48</v>
      </c>
      <c r="S721" s="10" t="n">
        <v>1130101</v>
      </c>
      <c r="T721" s="12" t="s">
        <v>49</v>
      </c>
      <c r="U721" s="13" t="n">
        <v>182</v>
      </c>
      <c r="W721" s="13" t="n">
        <v>182</v>
      </c>
      <c r="X721" s="12" t="s">
        <v>787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229</v>
      </c>
      <c r="F722" s="10" t="n">
        <v>34</v>
      </c>
      <c r="G722" s="12" t="s">
        <v>97</v>
      </c>
      <c r="H722" s="10" t="n">
        <v>2110405</v>
      </c>
      <c r="I722" s="12" t="s">
        <v>41</v>
      </c>
      <c r="J722" s="10" t="n">
        <v>1402856</v>
      </c>
      <c r="L722" s="10" t="n">
        <v>188820</v>
      </c>
      <c r="M722" s="12" t="s">
        <v>83</v>
      </c>
      <c r="N722" s="12" t="s">
        <v>35</v>
      </c>
      <c r="P722" s="10" t="n">
        <v>113</v>
      </c>
      <c r="Q722" s="12" t="s">
        <v>36</v>
      </c>
      <c r="R722" s="12" t="s">
        <v>100</v>
      </c>
      <c r="S722" s="10" t="n">
        <v>4210301</v>
      </c>
      <c r="T722" s="12" t="s">
        <v>230</v>
      </c>
      <c r="U722" s="13" t="n">
        <v>200</v>
      </c>
      <c r="W722" s="13" t="n">
        <v>0</v>
      </c>
      <c r="X722" s="12" t="s">
        <v>788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103</v>
      </c>
      <c r="F723" s="10" t="n">
        <v>34</v>
      </c>
      <c r="G723" s="12" t="s">
        <v>97</v>
      </c>
      <c r="H723" s="10" t="n">
        <v>2110405</v>
      </c>
      <c r="I723" s="12" t="s">
        <v>41</v>
      </c>
      <c r="J723" s="10" t="n">
        <v>1402859</v>
      </c>
      <c r="L723" s="10" t="n">
        <v>188821</v>
      </c>
      <c r="M723" s="12" t="s">
        <v>83</v>
      </c>
      <c r="N723" s="12" t="s">
        <v>35</v>
      </c>
      <c r="P723" s="10" t="n">
        <v>113</v>
      </c>
      <c r="Q723" s="12" t="s">
        <v>36</v>
      </c>
      <c r="R723" s="12" t="s">
        <v>100</v>
      </c>
      <c r="S723" s="10" t="n">
        <v>4210301</v>
      </c>
      <c r="T723" s="12" t="s">
        <v>230</v>
      </c>
      <c r="U723" s="13" t="n">
        <v>1000</v>
      </c>
      <c r="W723" s="13" t="n">
        <v>0</v>
      </c>
      <c r="X723" s="12" t="s">
        <v>788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105</v>
      </c>
      <c r="F724" s="10" t="n">
        <v>34</v>
      </c>
      <c r="G724" s="12" t="s">
        <v>97</v>
      </c>
      <c r="H724" s="10" t="n">
        <v>2110405</v>
      </c>
      <c r="I724" s="12" t="s">
        <v>41</v>
      </c>
      <c r="J724" s="10" t="n">
        <v>1402862</v>
      </c>
      <c r="L724" s="10" t="n">
        <v>188822</v>
      </c>
      <c r="M724" s="12" t="s">
        <v>83</v>
      </c>
      <c r="N724" s="12" t="s">
        <v>35</v>
      </c>
      <c r="P724" s="10" t="n">
        <v>113</v>
      </c>
      <c r="Q724" s="12" t="s">
        <v>36</v>
      </c>
      <c r="R724" s="12" t="s">
        <v>100</v>
      </c>
      <c r="S724" s="10" t="n">
        <v>4210301</v>
      </c>
      <c r="T724" s="12" t="s">
        <v>230</v>
      </c>
      <c r="U724" s="13" t="n">
        <v>400</v>
      </c>
      <c r="W724" s="13" t="n">
        <v>0</v>
      </c>
      <c r="X724" s="12" t="s">
        <v>788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239</v>
      </c>
      <c r="F725" s="10" t="n">
        <v>34</v>
      </c>
      <c r="G725" s="12" t="s">
        <v>97</v>
      </c>
      <c r="H725" s="10" t="n">
        <v>2110405</v>
      </c>
      <c r="I725" s="12" t="s">
        <v>41</v>
      </c>
      <c r="J725" s="10" t="n">
        <v>1402870</v>
      </c>
      <c r="L725" s="10" t="n">
        <v>188825</v>
      </c>
      <c r="M725" s="12" t="s">
        <v>83</v>
      </c>
      <c r="N725" s="12" t="s">
        <v>35</v>
      </c>
      <c r="P725" s="10" t="n">
        <v>113</v>
      </c>
      <c r="Q725" s="12" t="s">
        <v>36</v>
      </c>
      <c r="R725" s="12" t="s">
        <v>100</v>
      </c>
      <c r="S725" s="10" t="n">
        <v>4210301</v>
      </c>
      <c r="T725" s="12" t="s">
        <v>230</v>
      </c>
      <c r="U725" s="13" t="n">
        <v>400</v>
      </c>
      <c r="W725" s="13" t="n">
        <v>0</v>
      </c>
      <c r="X725" s="12" t="s">
        <v>788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77</v>
      </c>
      <c r="H726" s="10" t="n">
        <v>2110405</v>
      </c>
      <c r="I726" s="12" t="s">
        <v>41</v>
      </c>
      <c r="J726" s="10" t="n">
        <v>808550</v>
      </c>
      <c r="L726" s="10" t="n">
        <v>2026</v>
      </c>
      <c r="M726" s="12" t="s">
        <v>53</v>
      </c>
      <c r="N726" s="12" t="s">
        <v>35</v>
      </c>
      <c r="P726" s="10" t="n">
        <v>101</v>
      </c>
      <c r="Q726" s="12" t="s">
        <v>42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789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46127</v>
      </c>
      <c r="C727" s="15" t="n">
        <v>46218</v>
      </c>
      <c r="D727" s="16" t="n">
        <v>512</v>
      </c>
      <c r="E727" s="1" t="s">
        <v>363</v>
      </c>
      <c r="F727" s="16" t="n">
        <v>34</v>
      </c>
      <c r="G727" s="1" t="s">
        <v>97</v>
      </c>
      <c r="H727" s="16" t="n">
        <v>2110405</v>
      </c>
      <c r="I727" s="1" t="s">
        <v>41</v>
      </c>
      <c r="J727" s="16" t="n">
        <v>954215</v>
      </c>
      <c r="L727" s="16" t="n">
        <v>126220</v>
      </c>
      <c r="M727" s="1" t="s">
        <v>71</v>
      </c>
      <c r="N727" s="1" t="s">
        <v>35</v>
      </c>
      <c r="P727" s="16" t="n">
        <v>101</v>
      </c>
      <c r="Q727" s="1" t="s">
        <v>42</v>
      </c>
      <c r="R727" s="1" t="s">
        <v>364</v>
      </c>
      <c r="S727" s="16" t="n">
        <v>4210111</v>
      </c>
      <c r="T727" s="1" t="s">
        <v>365</v>
      </c>
      <c r="U727" s="17" t="n">
        <v>5700</v>
      </c>
      <c r="W727" s="17" t="n">
        <v>0</v>
      </c>
      <c r="X727" s="1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46188</v>
      </c>
      <c r="C728" s="15" t="n">
        <v>46218</v>
      </c>
      <c r="D728" s="16" t="n">
        <v>1659</v>
      </c>
      <c r="E728" s="1" t="s">
        <v>197</v>
      </c>
      <c r="F728" s="16" t="n">
        <v>24</v>
      </c>
      <c r="G728" s="1" t="s">
        <v>77</v>
      </c>
      <c r="H728" s="16" t="n">
        <v>2110101</v>
      </c>
      <c r="I728" s="1" t="s">
        <v>33</v>
      </c>
      <c r="J728" s="16" t="n">
        <v>1257254</v>
      </c>
      <c r="K728" s="19"/>
      <c r="L728" s="16" t="n">
        <v>878758</v>
      </c>
      <c r="M728" s="1" t="s">
        <v>62</v>
      </c>
      <c r="N728" s="1" t="s">
        <v>54</v>
      </c>
      <c r="P728" s="16" t="n">
        <v>113</v>
      </c>
      <c r="Q728" s="1" t="s">
        <v>36</v>
      </c>
      <c r="R728" s="1" t="s">
        <v>48</v>
      </c>
      <c r="S728" s="16" t="n">
        <v>1130101</v>
      </c>
      <c r="T728" s="1" t="s">
        <v>49</v>
      </c>
      <c r="U728" s="17" t="n">
        <v>589.08</v>
      </c>
      <c r="V728" s="20"/>
      <c r="W728" s="17" t="n">
        <v>0</v>
      </c>
      <c r="X728" s="1" t="s">
        <v>600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6" t="n">
        <v>2</v>
      </c>
      <c r="B729" s="15" t="n">
        <v>46190</v>
      </c>
      <c r="C729" s="15" t="n">
        <v>46218</v>
      </c>
      <c r="D729" s="16" t="n">
        <v>1107</v>
      </c>
      <c r="E729" s="1" t="s">
        <v>204</v>
      </c>
      <c r="F729" s="16" t="n">
        <v>24</v>
      </c>
      <c r="G729" s="1" t="s">
        <v>77</v>
      </c>
      <c r="H729" s="16" t="n">
        <v>2110101</v>
      </c>
      <c r="I729" s="1" t="s">
        <v>33</v>
      </c>
      <c r="J729" s="16" t="n">
        <v>1265709</v>
      </c>
      <c r="L729" s="16" t="n">
        <v>416678</v>
      </c>
      <c r="M729" s="1" t="s">
        <v>62</v>
      </c>
      <c r="N729" s="1" t="s">
        <v>54</v>
      </c>
      <c r="P729" s="16" t="n">
        <v>113</v>
      </c>
      <c r="Q729" s="1" t="s">
        <v>36</v>
      </c>
      <c r="R729" s="1" t="s">
        <v>48</v>
      </c>
      <c r="S729" s="16" t="n">
        <v>1130101</v>
      </c>
      <c r="T729" s="1" t="s">
        <v>49</v>
      </c>
      <c r="U729" s="17" t="n">
        <v>61.58</v>
      </c>
      <c r="W729" s="17" t="n">
        <v>0</v>
      </c>
      <c r="X729" s="1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6" t="n">
        <v>2</v>
      </c>
      <c r="B730" s="15" t="n">
        <v>46199</v>
      </c>
      <c r="C730" s="15" t="n">
        <v>46218</v>
      </c>
      <c r="D730" s="16" t="n">
        <v>1613</v>
      </c>
      <c r="E730" s="1" t="s">
        <v>94</v>
      </c>
      <c r="F730" s="16" t="n">
        <v>24</v>
      </c>
      <c r="G730" s="1" t="s">
        <v>77</v>
      </c>
      <c r="H730" s="16" t="n">
        <v>2110101</v>
      </c>
      <c r="I730" s="1" t="s">
        <v>33</v>
      </c>
      <c r="J730" s="16" t="n">
        <v>1309874</v>
      </c>
      <c r="L730" s="16" t="n">
        <v>1600681</v>
      </c>
      <c r="M730" s="1" t="s">
        <v>74</v>
      </c>
      <c r="N730" s="1" t="s">
        <v>54</v>
      </c>
      <c r="P730" s="16" t="n">
        <v>113</v>
      </c>
      <c r="Q730" s="1" t="s">
        <v>36</v>
      </c>
      <c r="R730" s="1" t="s">
        <v>48</v>
      </c>
      <c r="S730" s="16" t="n">
        <v>1130101</v>
      </c>
      <c r="T730" s="1" t="s">
        <v>49</v>
      </c>
      <c r="U730" s="17" t="n">
        <v>1881.46</v>
      </c>
      <c r="W730" s="17" t="n">
        <v>0</v>
      </c>
      <c r="X730" s="1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6" t="n">
        <v>2</v>
      </c>
      <c r="B731" s="15" t="n">
        <v>46204</v>
      </c>
      <c r="C731" s="15" t="n">
        <v>46218</v>
      </c>
      <c r="D731" s="16" t="n">
        <v>1671</v>
      </c>
      <c r="E731" s="1" t="s">
        <v>88</v>
      </c>
      <c r="F731" s="16" t="n">
        <v>24</v>
      </c>
      <c r="G731" s="1" t="s">
        <v>77</v>
      </c>
      <c r="H731" s="16" t="n">
        <v>2110101</v>
      </c>
      <c r="I731" s="1" t="s">
        <v>33</v>
      </c>
      <c r="J731" s="16" t="n">
        <v>1335414</v>
      </c>
      <c r="L731" s="16" t="n">
        <v>576435</v>
      </c>
      <c r="M731" s="1" t="s">
        <v>83</v>
      </c>
      <c r="N731" s="1" t="s">
        <v>54</v>
      </c>
      <c r="P731" s="16" t="n">
        <v>113</v>
      </c>
      <c r="Q731" s="1" t="s">
        <v>36</v>
      </c>
      <c r="R731" s="1" t="s">
        <v>48</v>
      </c>
      <c r="S731" s="16" t="n">
        <v>1130101</v>
      </c>
      <c r="T731" s="1" t="s">
        <v>49</v>
      </c>
      <c r="U731" s="17" t="n">
        <v>296</v>
      </c>
      <c r="W731" s="17" t="n">
        <v>0</v>
      </c>
      <c r="X731" s="1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6" t="n">
        <v>2</v>
      </c>
      <c r="B732" s="15" t="n">
        <v>46205</v>
      </c>
      <c r="C732" s="15" t="n">
        <v>46218</v>
      </c>
      <c r="D732" s="16" t="n">
        <v>1683</v>
      </c>
      <c r="E732" s="1" t="s">
        <v>369</v>
      </c>
      <c r="F732" s="16" t="n">
        <v>34</v>
      </c>
      <c r="G732" s="1" t="s">
        <v>97</v>
      </c>
      <c r="H732" s="16" t="n">
        <v>2110101</v>
      </c>
      <c r="I732" s="1" t="s">
        <v>33</v>
      </c>
      <c r="J732" s="16" t="n">
        <v>1338988</v>
      </c>
      <c r="L732" s="16" t="n">
        <v>1640710</v>
      </c>
      <c r="M732" s="1" t="s">
        <v>83</v>
      </c>
      <c r="N732" s="1" t="s">
        <v>54</v>
      </c>
      <c r="P732" s="16" t="n">
        <v>113</v>
      </c>
      <c r="Q732" s="1" t="s">
        <v>36</v>
      </c>
      <c r="R732" s="1" t="s">
        <v>48</v>
      </c>
      <c r="S732" s="16" t="n">
        <v>1130101</v>
      </c>
      <c r="T732" s="1" t="s">
        <v>49</v>
      </c>
      <c r="U732" s="17" t="n">
        <v>123</v>
      </c>
      <c r="W732" s="17" t="n">
        <v>0</v>
      </c>
      <c r="X732" s="1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46205</v>
      </c>
      <c r="C733" s="15" t="n">
        <v>46218</v>
      </c>
      <c r="D733" s="16" t="n">
        <v>1734</v>
      </c>
      <c r="E733" s="1" t="s">
        <v>489</v>
      </c>
      <c r="F733" s="16" t="n">
        <v>24</v>
      </c>
      <c r="G733" s="1" t="s">
        <v>77</v>
      </c>
      <c r="H733" s="16" t="n">
        <v>2110101</v>
      </c>
      <c r="I733" s="1" t="s">
        <v>33</v>
      </c>
      <c r="J733" s="16" t="n">
        <v>1339667</v>
      </c>
      <c r="L733" s="16" t="n">
        <v>254582</v>
      </c>
      <c r="M733" s="1" t="s">
        <v>83</v>
      </c>
      <c r="N733" s="1" t="s">
        <v>54</v>
      </c>
      <c r="P733" s="16" t="n">
        <v>113</v>
      </c>
      <c r="Q733" s="1" t="s">
        <v>36</v>
      </c>
      <c r="R733" s="1" t="s">
        <v>48</v>
      </c>
      <c r="S733" s="16" t="n">
        <v>1130101</v>
      </c>
      <c r="T733" s="1" t="s">
        <v>49</v>
      </c>
      <c r="U733" s="17" t="n">
        <v>868.37</v>
      </c>
      <c r="W733" s="17" t="n">
        <v>0</v>
      </c>
      <c r="X733" s="1" t="s">
        <v>791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6" t="n">
        <v>2</v>
      </c>
      <c r="B734" s="15" t="n">
        <v>46206</v>
      </c>
      <c r="C734" s="15" t="n">
        <v>46218</v>
      </c>
      <c r="D734" s="16" t="n">
        <v>1683</v>
      </c>
      <c r="E734" s="1" t="s">
        <v>369</v>
      </c>
      <c r="F734" s="16" t="n">
        <v>34</v>
      </c>
      <c r="G734" s="1" t="s">
        <v>97</v>
      </c>
      <c r="H734" s="16" t="n">
        <v>2110101</v>
      </c>
      <c r="I734" s="1" t="s">
        <v>33</v>
      </c>
      <c r="J734" s="16" t="n">
        <v>1345413</v>
      </c>
      <c r="L734" s="16" t="n">
        <v>1642191</v>
      </c>
      <c r="M734" s="1" t="s">
        <v>83</v>
      </c>
      <c r="N734" s="1" t="s">
        <v>54</v>
      </c>
      <c r="P734" s="16" t="n">
        <v>113</v>
      </c>
      <c r="Q734" s="1" t="s">
        <v>36</v>
      </c>
      <c r="R734" s="1" t="s">
        <v>48</v>
      </c>
      <c r="S734" s="16" t="n">
        <v>1130101</v>
      </c>
      <c r="T734" s="1" t="s">
        <v>49</v>
      </c>
      <c r="U734" s="17" t="n">
        <v>89.5</v>
      </c>
      <c r="W734" s="17" t="n">
        <v>0</v>
      </c>
      <c r="X734" s="1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46209</v>
      </c>
      <c r="C735" s="15" t="n">
        <v>46218</v>
      </c>
      <c r="D735" s="16" t="n">
        <v>1683</v>
      </c>
      <c r="E735" s="1" t="s">
        <v>369</v>
      </c>
      <c r="F735" s="16" t="n">
        <v>34</v>
      </c>
      <c r="G735" s="1" t="s">
        <v>97</v>
      </c>
      <c r="H735" s="16" t="n">
        <v>2110101</v>
      </c>
      <c r="I735" s="1" t="s">
        <v>33</v>
      </c>
      <c r="J735" s="16" t="n">
        <v>1359513</v>
      </c>
      <c r="L735" s="16" t="n">
        <v>1642710</v>
      </c>
      <c r="M735" s="1" t="s">
        <v>83</v>
      </c>
      <c r="N735" s="1" t="s">
        <v>54</v>
      </c>
      <c r="P735" s="16" t="n">
        <v>113</v>
      </c>
      <c r="Q735" s="1" t="s">
        <v>36</v>
      </c>
      <c r="R735" s="1" t="s">
        <v>48</v>
      </c>
      <c r="S735" s="16" t="n">
        <v>1130101</v>
      </c>
      <c r="T735" s="1" t="s">
        <v>49</v>
      </c>
      <c r="U735" s="17" t="n">
        <v>140</v>
      </c>
      <c r="W735" s="17" t="n">
        <v>0</v>
      </c>
      <c r="X735" s="1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46210</v>
      </c>
      <c r="C736" s="15" t="n">
        <v>46218</v>
      </c>
      <c r="D736" s="16" t="n">
        <v>1683</v>
      </c>
      <c r="E736" s="1" t="s">
        <v>369</v>
      </c>
      <c r="F736" s="16" t="n">
        <v>34</v>
      </c>
      <c r="G736" s="1" t="s">
        <v>97</v>
      </c>
      <c r="H736" s="16" t="n">
        <v>2110101</v>
      </c>
      <c r="I736" s="1" t="s">
        <v>33</v>
      </c>
      <c r="J736" s="16" t="n">
        <v>1365102</v>
      </c>
      <c r="L736" s="16" t="n">
        <v>1643287</v>
      </c>
      <c r="M736" s="1" t="s">
        <v>83</v>
      </c>
      <c r="N736" s="1" t="s">
        <v>54</v>
      </c>
      <c r="P736" s="16" t="n">
        <v>113</v>
      </c>
      <c r="Q736" s="1" t="s">
        <v>36</v>
      </c>
      <c r="R736" s="1" t="s">
        <v>48</v>
      </c>
      <c r="S736" s="16" t="n">
        <v>1130101</v>
      </c>
      <c r="T736" s="1" t="s">
        <v>49</v>
      </c>
      <c r="U736" s="17" t="n">
        <v>130</v>
      </c>
      <c r="W736" s="17" t="n">
        <v>0</v>
      </c>
      <c r="X736" s="1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46211</v>
      </c>
      <c r="C737" s="15" t="n">
        <v>46218</v>
      </c>
      <c r="D737" s="16" t="n">
        <v>1292</v>
      </c>
      <c r="E737" s="1" t="s">
        <v>188</v>
      </c>
      <c r="F737" s="16" t="n">
        <v>24</v>
      </c>
      <c r="G737" s="1" t="s">
        <v>77</v>
      </c>
      <c r="H737" s="16" t="n">
        <v>2110101</v>
      </c>
      <c r="I737" s="1" t="s">
        <v>33</v>
      </c>
      <c r="J737" s="16" t="n">
        <v>1370597</v>
      </c>
      <c r="L737" s="16" t="n">
        <v>3570</v>
      </c>
      <c r="M737" s="1" t="s">
        <v>83</v>
      </c>
      <c r="N737" s="1" t="s">
        <v>54</v>
      </c>
      <c r="P737" s="16" t="n">
        <v>113</v>
      </c>
      <c r="Q737" s="1" t="s">
        <v>36</v>
      </c>
      <c r="R737" s="1" t="s">
        <v>48</v>
      </c>
      <c r="S737" s="16" t="n">
        <v>1130101</v>
      </c>
      <c r="T737" s="1" t="s">
        <v>49</v>
      </c>
      <c r="U737" s="17" t="n">
        <v>505.5</v>
      </c>
      <c r="W737" s="17" t="n">
        <v>0</v>
      </c>
      <c r="X737" s="1" t="s">
        <v>792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6" t="n">
        <v>2</v>
      </c>
      <c r="B738" s="15" t="n">
        <v>46211</v>
      </c>
      <c r="C738" s="15" t="n">
        <v>46218</v>
      </c>
      <c r="D738" s="16" t="n">
        <v>1683</v>
      </c>
      <c r="E738" s="1" t="s">
        <v>369</v>
      </c>
      <c r="F738" s="16" t="n">
        <v>34</v>
      </c>
      <c r="G738" s="1" t="s">
        <v>97</v>
      </c>
      <c r="H738" s="16" t="n">
        <v>2110101</v>
      </c>
      <c r="I738" s="1" t="s">
        <v>33</v>
      </c>
      <c r="J738" s="16" t="n">
        <v>1370616</v>
      </c>
      <c r="L738" s="16" t="n">
        <v>1644345</v>
      </c>
      <c r="M738" s="1" t="s">
        <v>83</v>
      </c>
      <c r="N738" s="1" t="s">
        <v>54</v>
      </c>
      <c r="P738" s="16" t="n">
        <v>113</v>
      </c>
      <c r="Q738" s="1" t="s">
        <v>36</v>
      </c>
      <c r="R738" s="1" t="s">
        <v>48</v>
      </c>
      <c r="S738" s="16" t="n">
        <v>1130101</v>
      </c>
      <c r="T738" s="1" t="s">
        <v>49</v>
      </c>
      <c r="U738" s="17" t="n">
        <v>129.5</v>
      </c>
      <c r="W738" s="17" t="n">
        <v>0</v>
      </c>
      <c r="X738" s="1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46212</v>
      </c>
      <c r="C739" s="15" t="n">
        <v>46218</v>
      </c>
      <c r="D739" s="16" t="n">
        <v>911</v>
      </c>
      <c r="E739" s="1" t="s">
        <v>422</v>
      </c>
      <c r="F739" s="16" t="n">
        <v>24</v>
      </c>
      <c r="G739" s="1" t="s">
        <v>77</v>
      </c>
      <c r="H739" s="16" t="n">
        <v>2110101</v>
      </c>
      <c r="I739" s="1" t="s">
        <v>33</v>
      </c>
      <c r="J739" s="16" t="n">
        <v>1373506</v>
      </c>
      <c r="L739" s="16" t="n">
        <v>53410</v>
      </c>
      <c r="M739" s="1" t="s">
        <v>83</v>
      </c>
      <c r="N739" s="1" t="s">
        <v>54</v>
      </c>
      <c r="P739" s="16" t="n">
        <v>113</v>
      </c>
      <c r="Q739" s="1" t="s">
        <v>36</v>
      </c>
      <c r="R739" s="1" t="s">
        <v>48</v>
      </c>
      <c r="S739" s="16" t="n">
        <v>1130101</v>
      </c>
      <c r="T739" s="1" t="s">
        <v>49</v>
      </c>
      <c r="U739" s="17" t="n">
        <v>316.08</v>
      </c>
      <c r="W739" s="17" t="n">
        <v>0</v>
      </c>
      <c r="X739" s="1" t="s">
        <v>793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6" t="n">
        <v>2</v>
      </c>
      <c r="B740" s="15" t="n">
        <v>46212</v>
      </c>
      <c r="C740" s="15" t="n">
        <v>46218</v>
      </c>
      <c r="D740" s="16" t="n">
        <v>10018</v>
      </c>
      <c r="E740" s="1" t="s">
        <v>220</v>
      </c>
      <c r="F740" s="16" t="n">
        <v>34</v>
      </c>
      <c r="G740" s="1" t="s">
        <v>97</v>
      </c>
      <c r="H740" s="16" t="n">
        <v>2110101</v>
      </c>
      <c r="I740" s="1" t="s">
        <v>33</v>
      </c>
      <c r="J740" s="16" t="n">
        <v>1373839</v>
      </c>
      <c r="L740" s="16" t="n">
        <v>331</v>
      </c>
      <c r="M740" s="1" t="s">
        <v>83</v>
      </c>
      <c r="N740" s="1" t="s">
        <v>54</v>
      </c>
      <c r="P740" s="16" t="n">
        <v>113</v>
      </c>
      <c r="Q740" s="1" t="s">
        <v>36</v>
      </c>
      <c r="R740" s="1" t="s">
        <v>48</v>
      </c>
      <c r="S740" s="16" t="n">
        <v>1130101</v>
      </c>
      <c r="T740" s="1" t="s">
        <v>49</v>
      </c>
      <c r="U740" s="17" t="n">
        <v>915</v>
      </c>
      <c r="W740" s="17" t="n">
        <v>0</v>
      </c>
      <c r="X740" s="1" t="s">
        <v>794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6" t="n">
        <v>2</v>
      </c>
      <c r="B741" s="15" t="n">
        <v>46212</v>
      </c>
      <c r="C741" s="15" t="n">
        <v>46218</v>
      </c>
      <c r="D741" s="16" t="n">
        <v>581</v>
      </c>
      <c r="E741" s="1" t="s">
        <v>126</v>
      </c>
      <c r="F741" s="16" t="n">
        <v>24</v>
      </c>
      <c r="G741" s="1" t="s">
        <v>77</v>
      </c>
      <c r="H741" s="16" t="n">
        <v>2110101</v>
      </c>
      <c r="I741" s="1" t="s">
        <v>33</v>
      </c>
      <c r="J741" s="16" t="n">
        <v>1374667</v>
      </c>
      <c r="L741" s="16" t="n">
        <v>31344</v>
      </c>
      <c r="M741" s="1" t="s">
        <v>83</v>
      </c>
      <c r="N741" s="1" t="s">
        <v>54</v>
      </c>
      <c r="P741" s="16" t="n">
        <v>113</v>
      </c>
      <c r="Q741" s="1" t="s">
        <v>36</v>
      </c>
      <c r="R741" s="1" t="s">
        <v>48</v>
      </c>
      <c r="S741" s="16" t="n">
        <v>1130101</v>
      </c>
      <c r="T741" s="1" t="s">
        <v>49</v>
      </c>
      <c r="U741" s="17" t="n">
        <v>329</v>
      </c>
      <c r="W741" s="17" t="n">
        <v>0</v>
      </c>
      <c r="X741" s="1" t="s">
        <v>795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6" t="n">
        <v>2</v>
      </c>
      <c r="B742" s="15" t="n">
        <v>46214</v>
      </c>
      <c r="C742" s="15" t="n">
        <v>46218</v>
      </c>
      <c r="D742" s="16" t="n">
        <v>1683</v>
      </c>
      <c r="E742" s="1" t="s">
        <v>369</v>
      </c>
      <c r="F742" s="16" t="n">
        <v>34</v>
      </c>
      <c r="G742" s="1" t="s">
        <v>97</v>
      </c>
      <c r="H742" s="16" t="n">
        <v>2110101</v>
      </c>
      <c r="I742" s="1" t="s">
        <v>33</v>
      </c>
      <c r="J742" s="16" t="n">
        <v>1381841</v>
      </c>
      <c r="L742" s="16" t="n">
        <v>1645747</v>
      </c>
      <c r="M742" s="1" t="s">
        <v>83</v>
      </c>
      <c r="N742" s="1" t="s">
        <v>54</v>
      </c>
      <c r="P742" s="16" t="n">
        <v>113</v>
      </c>
      <c r="Q742" s="1" t="s">
        <v>36</v>
      </c>
      <c r="R742" s="1" t="s">
        <v>48</v>
      </c>
      <c r="S742" s="16" t="n">
        <v>1130101</v>
      </c>
      <c r="T742" s="1" t="s">
        <v>49</v>
      </c>
      <c r="U742" s="17" t="n">
        <v>61.5</v>
      </c>
      <c r="W742" s="17" t="n">
        <v>0</v>
      </c>
      <c r="X742" s="1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46216</v>
      </c>
      <c r="C743" s="15" t="n">
        <v>46218</v>
      </c>
      <c r="D743" s="16" t="n">
        <v>1683</v>
      </c>
      <c r="E743" s="1" t="s">
        <v>369</v>
      </c>
      <c r="F743" s="16" t="n">
        <v>34</v>
      </c>
      <c r="G743" s="1" t="s">
        <v>97</v>
      </c>
      <c r="H743" s="16" t="n">
        <v>2110101</v>
      </c>
      <c r="I743" s="1" t="s">
        <v>33</v>
      </c>
      <c r="J743" s="16" t="n">
        <v>1393119</v>
      </c>
      <c r="L743" s="16" t="n">
        <v>1646001</v>
      </c>
      <c r="M743" s="1" t="s">
        <v>83</v>
      </c>
      <c r="N743" s="1" t="s">
        <v>54</v>
      </c>
      <c r="P743" s="16" t="n">
        <v>113</v>
      </c>
      <c r="Q743" s="1" t="s">
        <v>36</v>
      </c>
      <c r="R743" s="1" t="s">
        <v>48</v>
      </c>
      <c r="S743" s="16" t="n">
        <v>1130101</v>
      </c>
      <c r="T743" s="1" t="s">
        <v>49</v>
      </c>
      <c r="U743" s="17" t="n">
        <v>174</v>
      </c>
      <c r="W743" s="17" t="n">
        <v>0</v>
      </c>
      <c r="X743" s="1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46217</v>
      </c>
      <c r="C744" s="15" t="n">
        <v>46218</v>
      </c>
      <c r="D744" s="16" t="n">
        <v>1683</v>
      </c>
      <c r="E744" s="1" t="s">
        <v>369</v>
      </c>
      <c r="F744" s="16" t="n">
        <v>34</v>
      </c>
      <c r="G744" s="1" t="s">
        <v>97</v>
      </c>
      <c r="H744" s="16" t="n">
        <v>2110101</v>
      </c>
      <c r="I744" s="1" t="s">
        <v>33</v>
      </c>
      <c r="J744" s="16" t="n">
        <v>1396761</v>
      </c>
      <c r="L744" s="16" t="n">
        <v>1646699</v>
      </c>
      <c r="M744" s="1" t="s">
        <v>83</v>
      </c>
      <c r="N744" s="1" t="s">
        <v>54</v>
      </c>
      <c r="P744" s="16" t="n">
        <v>113</v>
      </c>
      <c r="Q744" s="1" t="s">
        <v>36</v>
      </c>
      <c r="R744" s="1" t="s">
        <v>48</v>
      </c>
      <c r="S744" s="16" t="n">
        <v>1130101</v>
      </c>
      <c r="T744" s="1" t="s">
        <v>49</v>
      </c>
      <c r="U744" s="17" t="n">
        <v>117</v>
      </c>
      <c r="W744" s="17" t="n">
        <v>0</v>
      </c>
      <c r="X744" s="1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46218</v>
      </c>
      <c r="C745" s="15" t="n">
        <v>46218</v>
      </c>
      <c r="D745" s="16" t="n">
        <v>1683</v>
      </c>
      <c r="E745" s="1" t="s">
        <v>369</v>
      </c>
      <c r="F745" s="16" t="n">
        <v>34</v>
      </c>
      <c r="G745" s="1" t="s">
        <v>97</v>
      </c>
      <c r="H745" s="16" t="n">
        <v>2110101</v>
      </c>
      <c r="I745" s="1" t="s">
        <v>33</v>
      </c>
      <c r="J745" s="16" t="n">
        <v>1402687</v>
      </c>
      <c r="L745" s="16" t="n">
        <v>1647775</v>
      </c>
      <c r="M745" s="1" t="s">
        <v>83</v>
      </c>
      <c r="N745" s="1" t="s">
        <v>54</v>
      </c>
      <c r="P745" s="16" t="n">
        <v>113</v>
      </c>
      <c r="Q745" s="1" t="s">
        <v>36</v>
      </c>
      <c r="R745" s="1" t="s">
        <v>48</v>
      </c>
      <c r="S745" s="16" t="n">
        <v>1130101</v>
      </c>
      <c r="T745" s="1" t="s">
        <v>49</v>
      </c>
      <c r="U745" s="17" t="n">
        <v>76.5</v>
      </c>
      <c r="W745" s="17" t="n">
        <v>0</v>
      </c>
      <c r="X745" s="1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46218</v>
      </c>
      <c r="C746" s="15" t="n">
        <v>46218</v>
      </c>
      <c r="D746" s="16" t="n">
        <v>10096</v>
      </c>
      <c r="E746" s="1" t="s">
        <v>552</v>
      </c>
      <c r="F746" s="16" t="n">
        <v>13</v>
      </c>
      <c r="G746" s="1" t="s">
        <v>133</v>
      </c>
      <c r="H746" s="16" t="n">
        <v>1110203</v>
      </c>
      <c r="I746" s="1" t="s">
        <v>108</v>
      </c>
      <c r="J746" s="16" t="n">
        <v>1428724</v>
      </c>
      <c r="L746" s="16" t="n">
        <v>191329</v>
      </c>
      <c r="M746" s="1" t="s">
        <v>83</v>
      </c>
      <c r="N746" s="1" t="s">
        <v>35</v>
      </c>
      <c r="P746" s="16" t="n">
        <v>113</v>
      </c>
      <c r="Q746" s="1" t="s">
        <v>36</v>
      </c>
      <c r="R746" s="1" t="s">
        <v>48</v>
      </c>
      <c r="S746" s="16" t="n">
        <v>1130101</v>
      </c>
      <c r="T746" s="1" t="s">
        <v>49</v>
      </c>
      <c r="U746" s="17" t="n">
        <v>140</v>
      </c>
      <c r="W746" s="17" t="n">
        <v>140</v>
      </c>
      <c r="X746" s="1" t="s">
        <v>796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6" t="n">
        <v>2</v>
      </c>
      <c r="B747" s="15" t="n">
        <v>46189</v>
      </c>
      <c r="C747" s="15" t="n">
        <v>46219</v>
      </c>
      <c r="D747" s="16" t="n">
        <v>1624</v>
      </c>
      <c r="E747" s="1" t="s">
        <v>300</v>
      </c>
      <c r="F747" s="16" t="n">
        <v>24</v>
      </c>
      <c r="G747" s="1" t="s">
        <v>77</v>
      </c>
      <c r="H747" s="16" t="n">
        <v>2110101</v>
      </c>
      <c r="I747" s="1" t="s">
        <v>33</v>
      </c>
      <c r="J747" s="16" t="n">
        <v>1261007</v>
      </c>
      <c r="L747" s="16" t="n">
        <v>658429</v>
      </c>
      <c r="M747" s="1" t="s">
        <v>62</v>
      </c>
      <c r="N747" s="1" t="s">
        <v>54</v>
      </c>
      <c r="P747" s="16" t="n">
        <v>113</v>
      </c>
      <c r="Q747" s="1" t="s">
        <v>36</v>
      </c>
      <c r="R747" s="1" t="s">
        <v>48</v>
      </c>
      <c r="S747" s="16" t="n">
        <v>1130101</v>
      </c>
      <c r="T747" s="1" t="s">
        <v>49</v>
      </c>
      <c r="U747" s="17" t="n">
        <v>550.4</v>
      </c>
      <c r="W747" s="17" t="n">
        <v>0</v>
      </c>
      <c r="X747" s="1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6" t="n">
        <v>2</v>
      </c>
      <c r="B748" s="15" t="n">
        <v>46195</v>
      </c>
      <c r="C748" s="15" t="n">
        <v>46219</v>
      </c>
      <c r="D748" s="16" t="n">
        <v>10012</v>
      </c>
      <c r="E748" s="1" t="s">
        <v>160</v>
      </c>
      <c r="F748" s="16" t="n">
        <v>24</v>
      </c>
      <c r="G748" s="1" t="s">
        <v>77</v>
      </c>
      <c r="H748" s="16" t="n">
        <v>2110101</v>
      </c>
      <c r="I748" s="1" t="s">
        <v>33</v>
      </c>
      <c r="J748" s="16" t="n">
        <v>1289819</v>
      </c>
      <c r="L748" s="16" t="n">
        <v>1959276</v>
      </c>
      <c r="M748" s="1" t="s">
        <v>74</v>
      </c>
      <c r="N748" s="1" t="s">
        <v>54</v>
      </c>
      <c r="P748" s="16" t="n">
        <v>113</v>
      </c>
      <c r="Q748" s="1" t="s">
        <v>36</v>
      </c>
      <c r="R748" s="1" t="s">
        <v>48</v>
      </c>
      <c r="S748" s="16" t="n">
        <v>1130101</v>
      </c>
      <c r="T748" s="1" t="s">
        <v>49</v>
      </c>
      <c r="U748" s="17" t="n">
        <v>653.65</v>
      </c>
      <c r="W748" s="17" t="n">
        <v>0</v>
      </c>
      <c r="X748" s="1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12.75" hidden="false" customHeight="true" outlineLevel="0" collapsed="false">
      <c r="A749" s="16" t="n">
        <v>2</v>
      </c>
      <c r="B749" s="15" t="n">
        <v>46205</v>
      </c>
      <c r="C749" s="15" t="n">
        <v>46219</v>
      </c>
      <c r="D749" s="16" t="n">
        <v>10002</v>
      </c>
      <c r="E749" s="1" t="s">
        <v>179</v>
      </c>
      <c r="F749" s="16" t="n">
        <v>24</v>
      </c>
      <c r="G749" s="1" t="s">
        <v>77</v>
      </c>
      <c r="H749" s="16" t="n">
        <v>2110101</v>
      </c>
      <c r="I749" s="1" t="s">
        <v>33</v>
      </c>
      <c r="J749" s="16" t="n">
        <v>1339497</v>
      </c>
      <c r="L749" s="16" t="n">
        <v>196323</v>
      </c>
      <c r="M749" s="1" t="s">
        <v>83</v>
      </c>
      <c r="N749" s="1" t="s">
        <v>54</v>
      </c>
      <c r="P749" s="16" t="n">
        <v>113</v>
      </c>
      <c r="Q749" s="1" t="s">
        <v>36</v>
      </c>
      <c r="R749" s="1" t="s">
        <v>48</v>
      </c>
      <c r="S749" s="16" t="n">
        <v>1130101</v>
      </c>
      <c r="T749" s="1" t="s">
        <v>49</v>
      </c>
      <c r="U749" s="17" t="n">
        <v>652.4</v>
      </c>
      <c r="W749" s="17" t="n">
        <v>0</v>
      </c>
      <c r="X749" s="1" t="s">
        <v>797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6" t="n">
        <v>2</v>
      </c>
      <c r="B750" s="15" t="n">
        <v>46205</v>
      </c>
      <c r="C750" s="15" t="n">
        <v>46219</v>
      </c>
      <c r="D750" s="16" t="n">
        <v>1815</v>
      </c>
      <c r="E750" s="1" t="s">
        <v>164</v>
      </c>
      <c r="F750" s="16" t="n">
        <v>24</v>
      </c>
      <c r="G750" s="1" t="s">
        <v>77</v>
      </c>
      <c r="H750" s="16" t="n">
        <v>2110101</v>
      </c>
      <c r="I750" s="1" t="s">
        <v>33</v>
      </c>
      <c r="J750" s="16" t="n">
        <v>1339618</v>
      </c>
      <c r="L750" s="16" t="n">
        <v>390211</v>
      </c>
      <c r="M750" s="1" t="s">
        <v>74</v>
      </c>
      <c r="N750" s="1" t="s">
        <v>54</v>
      </c>
      <c r="P750" s="16" t="n">
        <v>113</v>
      </c>
      <c r="Q750" s="1" t="s">
        <v>36</v>
      </c>
      <c r="R750" s="1" t="s">
        <v>48</v>
      </c>
      <c r="S750" s="16" t="n">
        <v>1130101</v>
      </c>
      <c r="T750" s="1" t="s">
        <v>49</v>
      </c>
      <c r="U750" s="17" t="n">
        <v>2005.45</v>
      </c>
      <c r="W750" s="17" t="n">
        <v>0</v>
      </c>
      <c r="X750" s="1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12.75" hidden="false" customHeight="true" outlineLevel="0" collapsed="false">
      <c r="A751" s="16" t="n">
        <v>2</v>
      </c>
      <c r="B751" s="15" t="n">
        <v>46205</v>
      </c>
      <c r="C751" s="15" t="n">
        <v>46219</v>
      </c>
      <c r="D751" s="16" t="n">
        <v>1217</v>
      </c>
      <c r="E751" s="1" t="s">
        <v>690</v>
      </c>
      <c r="F751" s="16" t="n">
        <v>24</v>
      </c>
      <c r="G751" s="1" t="s">
        <v>77</v>
      </c>
      <c r="H751" s="16" t="n">
        <v>2110101</v>
      </c>
      <c r="I751" s="1" t="s">
        <v>33</v>
      </c>
      <c r="J751" s="16" t="n">
        <v>1339965</v>
      </c>
      <c r="L751" s="16" t="n">
        <v>4467</v>
      </c>
      <c r="M751" s="1" t="s">
        <v>74</v>
      </c>
      <c r="N751" s="1" t="s">
        <v>54</v>
      </c>
      <c r="P751" s="16" t="n">
        <v>113</v>
      </c>
      <c r="Q751" s="1" t="s">
        <v>36</v>
      </c>
      <c r="R751" s="1" t="s">
        <v>48</v>
      </c>
      <c r="S751" s="16" t="n">
        <v>1130101</v>
      </c>
      <c r="T751" s="1" t="s">
        <v>49</v>
      </c>
      <c r="U751" s="17" t="n">
        <v>819.52</v>
      </c>
      <c r="W751" s="17" t="n">
        <v>0</v>
      </c>
      <c r="X751" s="1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12.75" hidden="false" customHeight="true" outlineLevel="0" collapsed="false">
      <c r="A752" s="16" t="n">
        <v>2</v>
      </c>
      <c r="B752" s="15" t="n">
        <v>46206</v>
      </c>
      <c r="C752" s="15" t="n">
        <v>46219</v>
      </c>
      <c r="D752" s="16" t="n">
        <v>1695</v>
      </c>
      <c r="E752" s="1" t="s">
        <v>351</v>
      </c>
      <c r="F752" s="16" t="n">
        <v>24</v>
      </c>
      <c r="G752" s="1" t="s">
        <v>77</v>
      </c>
      <c r="H752" s="16" t="n">
        <v>2110101</v>
      </c>
      <c r="I752" s="1" t="s">
        <v>33</v>
      </c>
      <c r="J752" s="16" t="n">
        <v>1345083</v>
      </c>
      <c r="L752" s="16" t="n">
        <v>18998</v>
      </c>
      <c r="M752" s="1" t="s">
        <v>74</v>
      </c>
      <c r="N752" s="1" t="s">
        <v>54</v>
      </c>
      <c r="P752" s="16" t="n">
        <v>113</v>
      </c>
      <c r="Q752" s="1" t="s">
        <v>36</v>
      </c>
      <c r="R752" s="1" t="s">
        <v>48</v>
      </c>
      <c r="S752" s="16" t="n">
        <v>1130101</v>
      </c>
      <c r="T752" s="1" t="s">
        <v>49</v>
      </c>
      <c r="U752" s="17" t="n">
        <v>1073.2</v>
      </c>
      <c r="W752" s="17" t="n">
        <v>0</v>
      </c>
      <c r="X752" s="1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6" t="n">
        <v>2</v>
      </c>
      <c r="B753" s="15" t="n">
        <v>46212</v>
      </c>
      <c r="C753" s="15" t="n">
        <v>46219</v>
      </c>
      <c r="D753" s="16" t="n">
        <v>1608</v>
      </c>
      <c r="E753" s="1" t="s">
        <v>201</v>
      </c>
      <c r="F753" s="16" t="n">
        <v>24</v>
      </c>
      <c r="G753" s="1" t="s">
        <v>77</v>
      </c>
      <c r="H753" s="16" t="n">
        <v>2110101</v>
      </c>
      <c r="I753" s="1" t="s">
        <v>33</v>
      </c>
      <c r="J753" s="16" t="n">
        <v>1373707</v>
      </c>
      <c r="L753" s="16" t="n">
        <v>1688844</v>
      </c>
      <c r="M753" s="1" t="s">
        <v>83</v>
      </c>
      <c r="N753" s="1" t="s">
        <v>54</v>
      </c>
      <c r="P753" s="16" t="n">
        <v>113</v>
      </c>
      <c r="Q753" s="1" t="s">
        <v>36</v>
      </c>
      <c r="R753" s="1" t="s">
        <v>48</v>
      </c>
      <c r="S753" s="16" t="n">
        <v>1130101</v>
      </c>
      <c r="T753" s="1" t="s">
        <v>49</v>
      </c>
      <c r="U753" s="17" t="n">
        <v>197.37</v>
      </c>
      <c r="W753" s="17" t="n">
        <v>0</v>
      </c>
      <c r="X753" s="1" t="s">
        <v>798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6" t="n">
        <v>2</v>
      </c>
      <c r="B754" s="15" t="n">
        <v>46212</v>
      </c>
      <c r="C754" s="15" t="n">
        <v>46219</v>
      </c>
      <c r="D754" s="16" t="n">
        <v>754</v>
      </c>
      <c r="E754" s="1" t="s">
        <v>128</v>
      </c>
      <c r="F754" s="16" t="n">
        <v>24</v>
      </c>
      <c r="G754" s="1" t="s">
        <v>77</v>
      </c>
      <c r="H754" s="16" t="n">
        <v>2110101</v>
      </c>
      <c r="I754" s="1" t="s">
        <v>33</v>
      </c>
      <c r="J754" s="16" t="n">
        <v>1375062</v>
      </c>
      <c r="L754" s="16" t="n">
        <v>31703</v>
      </c>
      <c r="M754" s="1" t="s">
        <v>83</v>
      </c>
      <c r="N754" s="1" t="s">
        <v>54</v>
      </c>
      <c r="P754" s="16" t="n">
        <v>113</v>
      </c>
      <c r="Q754" s="1" t="s">
        <v>36</v>
      </c>
      <c r="R754" s="1" t="s">
        <v>48</v>
      </c>
      <c r="S754" s="16" t="n">
        <v>1130101</v>
      </c>
      <c r="T754" s="1" t="s">
        <v>49</v>
      </c>
      <c r="U754" s="17" t="n">
        <v>3640</v>
      </c>
      <c r="W754" s="17" t="n">
        <v>0</v>
      </c>
      <c r="X754" s="1" t="s">
        <v>799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6" t="n">
        <v>2</v>
      </c>
      <c r="B755" s="15" t="n">
        <v>46213</v>
      </c>
      <c r="C755" s="15" t="n">
        <v>46219</v>
      </c>
      <c r="D755" s="16" t="n">
        <v>1024</v>
      </c>
      <c r="E755" s="1" t="s">
        <v>412</v>
      </c>
      <c r="F755" s="16" t="n">
        <v>24</v>
      </c>
      <c r="G755" s="1" t="s">
        <v>77</v>
      </c>
      <c r="H755" s="16" t="n">
        <v>2110101</v>
      </c>
      <c r="I755" s="1" t="s">
        <v>33</v>
      </c>
      <c r="J755" s="16" t="n">
        <v>1376782</v>
      </c>
      <c r="L755" s="16" t="n">
        <v>599833</v>
      </c>
      <c r="M755" s="1" t="s">
        <v>83</v>
      </c>
      <c r="N755" s="1" t="s">
        <v>54</v>
      </c>
      <c r="P755" s="16" t="n">
        <v>113</v>
      </c>
      <c r="Q755" s="1" t="s">
        <v>36</v>
      </c>
      <c r="R755" s="1" t="s">
        <v>48</v>
      </c>
      <c r="S755" s="16" t="n">
        <v>1130101</v>
      </c>
      <c r="T755" s="1" t="s">
        <v>49</v>
      </c>
      <c r="U755" s="17" t="n">
        <v>280</v>
      </c>
      <c r="W755" s="17" t="n">
        <v>0</v>
      </c>
      <c r="X755" s="1" t="s">
        <v>800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12.75" hidden="false" customHeight="true" outlineLevel="0" collapsed="false">
      <c r="A756" s="16" t="n">
        <v>2</v>
      </c>
      <c r="B756" s="15" t="n">
        <v>46213</v>
      </c>
      <c r="C756" s="15" t="n">
        <v>46219</v>
      </c>
      <c r="D756" s="16" t="n">
        <v>901</v>
      </c>
      <c r="E756" s="1" t="s">
        <v>309</v>
      </c>
      <c r="F756" s="16" t="n">
        <v>24</v>
      </c>
      <c r="G756" s="1" t="s">
        <v>77</v>
      </c>
      <c r="H756" s="16" t="n">
        <v>2110101</v>
      </c>
      <c r="I756" s="1" t="s">
        <v>33</v>
      </c>
      <c r="J756" s="16" t="n">
        <v>1377084</v>
      </c>
      <c r="L756" s="16" t="n">
        <v>462</v>
      </c>
      <c r="M756" s="1" t="s">
        <v>83</v>
      </c>
      <c r="N756" s="1" t="s">
        <v>54</v>
      </c>
      <c r="P756" s="16" t="n">
        <v>113</v>
      </c>
      <c r="Q756" s="1" t="s">
        <v>36</v>
      </c>
      <c r="R756" s="1" t="s">
        <v>48</v>
      </c>
      <c r="S756" s="16" t="n">
        <v>1130101</v>
      </c>
      <c r="T756" s="1" t="s">
        <v>49</v>
      </c>
      <c r="U756" s="17" t="n">
        <v>435</v>
      </c>
      <c r="W756" s="17" t="n">
        <v>0</v>
      </c>
      <c r="X756" s="1" t="s">
        <v>801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12.75" hidden="false" customHeight="true" outlineLevel="0" collapsed="false">
      <c r="A757" s="16" t="n">
        <v>2</v>
      </c>
      <c r="B757" s="15" t="n">
        <v>46213</v>
      </c>
      <c r="C757" s="15" t="n">
        <v>46219</v>
      </c>
      <c r="D757" s="16" t="n">
        <v>10065</v>
      </c>
      <c r="E757" s="1" t="s">
        <v>802</v>
      </c>
      <c r="F757" s="16" t="n">
        <v>24</v>
      </c>
      <c r="G757" s="1" t="s">
        <v>77</v>
      </c>
      <c r="H757" s="16" t="n">
        <v>2110101</v>
      </c>
      <c r="I757" s="1" t="s">
        <v>33</v>
      </c>
      <c r="J757" s="16" t="n">
        <v>1377153</v>
      </c>
      <c r="L757" s="16" t="n">
        <v>66</v>
      </c>
      <c r="M757" s="1" t="s">
        <v>83</v>
      </c>
      <c r="N757" s="1" t="s">
        <v>54</v>
      </c>
      <c r="P757" s="16" t="n">
        <v>113</v>
      </c>
      <c r="Q757" s="1" t="s">
        <v>36</v>
      </c>
      <c r="R757" s="1" t="s">
        <v>48</v>
      </c>
      <c r="S757" s="16" t="n">
        <v>1130101</v>
      </c>
      <c r="T757" s="1" t="s">
        <v>49</v>
      </c>
      <c r="U757" s="17" t="n">
        <v>432</v>
      </c>
      <c r="W757" s="17" t="n">
        <v>0</v>
      </c>
      <c r="X757" s="1" t="s">
        <v>803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12.75" hidden="false" customHeight="true" outlineLevel="0" collapsed="false">
      <c r="A758" s="16" t="n">
        <v>2</v>
      </c>
      <c r="B758" s="15" t="n">
        <v>46191</v>
      </c>
      <c r="C758" s="15" t="n">
        <v>46220</v>
      </c>
      <c r="D758" s="16" t="n">
        <v>1718</v>
      </c>
      <c r="E758" s="1" t="s">
        <v>199</v>
      </c>
      <c r="F758" s="16" t="n">
        <v>24</v>
      </c>
      <c r="G758" s="1" t="s">
        <v>77</v>
      </c>
      <c r="H758" s="16" t="n">
        <v>2110101</v>
      </c>
      <c r="I758" s="1" t="s">
        <v>33</v>
      </c>
      <c r="J758" s="16" t="n">
        <v>1269305</v>
      </c>
      <c r="L758" s="16" t="n">
        <v>674937</v>
      </c>
      <c r="M758" s="1" t="s">
        <v>62</v>
      </c>
      <c r="N758" s="1" t="s">
        <v>54</v>
      </c>
      <c r="P758" s="16" t="n">
        <v>113</v>
      </c>
      <c r="Q758" s="1" t="s">
        <v>36</v>
      </c>
      <c r="R758" s="1" t="s">
        <v>48</v>
      </c>
      <c r="S758" s="16" t="n">
        <v>1130101</v>
      </c>
      <c r="T758" s="1" t="s">
        <v>49</v>
      </c>
      <c r="U758" s="17" t="n">
        <v>1055.33</v>
      </c>
      <c r="W758" s="17" t="n">
        <v>0</v>
      </c>
      <c r="X758" s="1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12.75" hidden="false" customHeight="true" outlineLevel="0" collapsed="false">
      <c r="A759" s="16" t="n">
        <v>2</v>
      </c>
      <c r="B759" s="15" t="n">
        <v>46195</v>
      </c>
      <c r="C759" s="15" t="n">
        <v>46220</v>
      </c>
      <c r="D759" s="16" t="n">
        <v>1107</v>
      </c>
      <c r="E759" s="1" t="s">
        <v>204</v>
      </c>
      <c r="F759" s="16" t="n">
        <v>24</v>
      </c>
      <c r="G759" s="1" t="s">
        <v>77</v>
      </c>
      <c r="H759" s="16" t="n">
        <v>2110101</v>
      </c>
      <c r="I759" s="1" t="s">
        <v>33</v>
      </c>
      <c r="J759" s="16" t="n">
        <v>1289284</v>
      </c>
      <c r="L759" s="16" t="n">
        <v>419092</v>
      </c>
      <c r="M759" s="1" t="s">
        <v>62</v>
      </c>
      <c r="N759" s="1" t="s">
        <v>54</v>
      </c>
      <c r="P759" s="16" t="n">
        <v>113</v>
      </c>
      <c r="Q759" s="1" t="s">
        <v>36</v>
      </c>
      <c r="R759" s="1" t="s">
        <v>48</v>
      </c>
      <c r="S759" s="16" t="n">
        <v>1130101</v>
      </c>
      <c r="T759" s="1" t="s">
        <v>49</v>
      </c>
      <c r="U759" s="17" t="n">
        <v>620</v>
      </c>
      <c r="W759" s="17" t="n">
        <v>0</v>
      </c>
      <c r="X759" s="1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12.75" hidden="false" customHeight="true" outlineLevel="0" collapsed="false">
      <c r="A760" s="16" t="n">
        <v>2</v>
      </c>
      <c r="B760" s="15" t="n">
        <v>46195</v>
      </c>
      <c r="C760" s="15" t="n">
        <v>46220</v>
      </c>
      <c r="D760" s="16" t="n">
        <v>1608</v>
      </c>
      <c r="E760" s="1" t="s">
        <v>201</v>
      </c>
      <c r="F760" s="16" t="n">
        <v>24</v>
      </c>
      <c r="G760" s="1" t="s">
        <v>77</v>
      </c>
      <c r="H760" s="16" t="n">
        <v>2110101</v>
      </c>
      <c r="I760" s="1" t="s">
        <v>33</v>
      </c>
      <c r="J760" s="16" t="n">
        <v>1289449</v>
      </c>
      <c r="L760" s="16" t="n">
        <v>1676804</v>
      </c>
      <c r="M760" s="1" t="s">
        <v>62</v>
      </c>
      <c r="N760" s="1" t="s">
        <v>54</v>
      </c>
      <c r="P760" s="16" t="n">
        <v>113</v>
      </c>
      <c r="Q760" s="1" t="s">
        <v>36</v>
      </c>
      <c r="R760" s="1" t="s">
        <v>48</v>
      </c>
      <c r="S760" s="16" t="n">
        <v>1130101</v>
      </c>
      <c r="T760" s="1" t="s">
        <v>49</v>
      </c>
      <c r="U760" s="17" t="n">
        <v>1154.88</v>
      </c>
      <c r="W760" s="17" t="n">
        <v>0</v>
      </c>
      <c r="X760" s="1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12.75" hidden="false" customHeight="true" outlineLevel="0" collapsed="false">
      <c r="A761" s="16" t="n">
        <v>2</v>
      </c>
      <c r="B761" s="15" t="n">
        <v>46199</v>
      </c>
      <c r="C761" s="15" t="n">
        <v>46220</v>
      </c>
      <c r="D761" s="16" t="n">
        <v>1699</v>
      </c>
      <c r="E761" s="1" t="s">
        <v>208</v>
      </c>
      <c r="F761" s="16" t="n">
        <v>24</v>
      </c>
      <c r="G761" s="1" t="s">
        <v>77</v>
      </c>
      <c r="H761" s="16" t="n">
        <v>2110101</v>
      </c>
      <c r="I761" s="1" t="s">
        <v>33</v>
      </c>
      <c r="J761" s="16" t="n">
        <v>1310401</v>
      </c>
      <c r="L761" s="16" t="n">
        <v>305929</v>
      </c>
      <c r="M761" s="1" t="s">
        <v>62</v>
      </c>
      <c r="N761" s="1" t="s">
        <v>54</v>
      </c>
      <c r="P761" s="16" t="n">
        <v>113</v>
      </c>
      <c r="Q761" s="1" t="s">
        <v>36</v>
      </c>
      <c r="R761" s="1" t="s">
        <v>48</v>
      </c>
      <c r="S761" s="16" t="n">
        <v>1130101</v>
      </c>
      <c r="T761" s="1" t="s">
        <v>49</v>
      </c>
      <c r="U761" s="17" t="n">
        <v>1184.06</v>
      </c>
      <c r="W761" s="17" t="n">
        <v>0</v>
      </c>
      <c r="X761" s="1" t="s">
        <v>654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12.75" hidden="false" customHeight="true" outlineLevel="0" collapsed="false">
      <c r="A762" s="16" t="n">
        <v>2</v>
      </c>
      <c r="B762" s="15" t="n">
        <v>46200</v>
      </c>
      <c r="C762" s="15" t="n">
        <v>46220</v>
      </c>
      <c r="D762" s="16" t="n">
        <v>1666</v>
      </c>
      <c r="E762" s="1" t="s">
        <v>206</v>
      </c>
      <c r="F762" s="16" t="n">
        <v>24</v>
      </c>
      <c r="G762" s="1" t="s">
        <v>77</v>
      </c>
      <c r="H762" s="16" t="n">
        <v>2110101</v>
      </c>
      <c r="I762" s="1" t="s">
        <v>33</v>
      </c>
      <c r="J762" s="16" t="n">
        <v>1312652</v>
      </c>
      <c r="L762" s="16" t="n">
        <v>175253</v>
      </c>
      <c r="M762" s="1" t="s">
        <v>83</v>
      </c>
      <c r="N762" s="1" t="s">
        <v>35</v>
      </c>
      <c r="P762" s="16" t="n">
        <v>113</v>
      </c>
      <c r="Q762" s="1" t="s">
        <v>36</v>
      </c>
      <c r="R762" s="1" t="s">
        <v>48</v>
      </c>
      <c r="S762" s="16" t="n">
        <v>1130101</v>
      </c>
      <c r="T762" s="1" t="s">
        <v>49</v>
      </c>
      <c r="U762" s="17" t="n">
        <v>5791.7</v>
      </c>
      <c r="W762" s="17" t="n">
        <v>0</v>
      </c>
      <c r="X762" s="1" t="s">
        <v>655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12.75" hidden="false" customHeight="true" outlineLevel="0" collapsed="false">
      <c r="A763" s="16" t="n">
        <v>2</v>
      </c>
      <c r="B763" s="15" t="n">
        <v>46206</v>
      </c>
      <c r="C763" s="15" t="n">
        <v>46220</v>
      </c>
      <c r="D763" s="16" t="n">
        <v>10089</v>
      </c>
      <c r="E763" s="1" t="s">
        <v>752</v>
      </c>
      <c r="F763" s="16" t="n">
        <v>24</v>
      </c>
      <c r="G763" s="1" t="s">
        <v>77</v>
      </c>
      <c r="H763" s="16" t="n">
        <v>2110101</v>
      </c>
      <c r="I763" s="1" t="s">
        <v>33</v>
      </c>
      <c r="J763" s="16" t="n">
        <v>1345178</v>
      </c>
      <c r="L763" s="16" t="n">
        <v>890</v>
      </c>
      <c r="M763" s="1" t="s">
        <v>74</v>
      </c>
      <c r="N763" s="1" t="s">
        <v>54</v>
      </c>
      <c r="P763" s="16" t="n">
        <v>113</v>
      </c>
      <c r="Q763" s="1" t="s">
        <v>36</v>
      </c>
      <c r="R763" s="1" t="s">
        <v>48</v>
      </c>
      <c r="S763" s="16" t="n">
        <v>1130101</v>
      </c>
      <c r="T763" s="1" t="s">
        <v>49</v>
      </c>
      <c r="U763" s="17" t="n">
        <v>368.4</v>
      </c>
      <c r="W763" s="17" t="n">
        <v>0</v>
      </c>
      <c r="X763" s="1" t="s">
        <v>753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12.75" hidden="false" customHeight="true" outlineLevel="0" collapsed="false">
      <c r="A764" s="16" t="n">
        <v>2</v>
      </c>
      <c r="B764" s="15" t="n">
        <v>46210</v>
      </c>
      <c r="C764" s="15" t="n">
        <v>46220</v>
      </c>
      <c r="D764" s="16" t="n">
        <v>1613</v>
      </c>
      <c r="E764" s="1" t="s">
        <v>94</v>
      </c>
      <c r="F764" s="16" t="n">
        <v>24</v>
      </c>
      <c r="G764" s="1" t="s">
        <v>77</v>
      </c>
      <c r="H764" s="16" t="n">
        <v>2110101</v>
      </c>
      <c r="I764" s="1" t="s">
        <v>33</v>
      </c>
      <c r="J764" s="16" t="n">
        <v>1364523</v>
      </c>
      <c r="L764" s="16" t="n">
        <v>1604119</v>
      </c>
      <c r="M764" s="1" t="s">
        <v>83</v>
      </c>
      <c r="N764" s="1" t="s">
        <v>54</v>
      </c>
      <c r="P764" s="16" t="n">
        <v>113</v>
      </c>
      <c r="Q764" s="1" t="s">
        <v>36</v>
      </c>
      <c r="R764" s="1" t="s">
        <v>48</v>
      </c>
      <c r="S764" s="16" t="n">
        <v>1130101</v>
      </c>
      <c r="T764" s="1" t="s">
        <v>49</v>
      </c>
      <c r="U764" s="17" t="n">
        <v>1031.78</v>
      </c>
      <c r="W764" s="17" t="n">
        <v>0</v>
      </c>
      <c r="X764" s="1" t="s">
        <v>804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12.75" hidden="false" customHeight="true" outlineLevel="0" collapsed="false">
      <c r="A765" s="16" t="n">
        <v>2</v>
      </c>
      <c r="B765" s="15" t="n">
        <v>46213</v>
      </c>
      <c r="C765" s="15" t="n">
        <v>46220</v>
      </c>
      <c r="D765" s="16" t="n">
        <v>1609</v>
      </c>
      <c r="E765" s="1" t="s">
        <v>90</v>
      </c>
      <c r="F765" s="16" t="n">
        <v>24</v>
      </c>
      <c r="G765" s="1" t="s">
        <v>77</v>
      </c>
      <c r="H765" s="16" t="n">
        <v>2110101</v>
      </c>
      <c r="I765" s="1" t="s">
        <v>33</v>
      </c>
      <c r="J765" s="16" t="n">
        <v>1376630</v>
      </c>
      <c r="L765" s="16" t="n">
        <v>5786</v>
      </c>
      <c r="M765" s="1" t="s">
        <v>83</v>
      </c>
      <c r="N765" s="1" t="s">
        <v>54</v>
      </c>
      <c r="P765" s="16" t="n">
        <v>113</v>
      </c>
      <c r="Q765" s="1" t="s">
        <v>36</v>
      </c>
      <c r="R765" s="1" t="s">
        <v>48</v>
      </c>
      <c r="S765" s="16" t="n">
        <v>1130101</v>
      </c>
      <c r="T765" s="1" t="s">
        <v>49</v>
      </c>
      <c r="U765" s="17" t="n">
        <v>519.65</v>
      </c>
      <c r="W765" s="17" t="n">
        <v>0</v>
      </c>
      <c r="X765" s="1" t="s">
        <v>805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12.75" hidden="false" customHeight="true" outlineLevel="0" collapsed="false">
      <c r="A766" s="16" t="n">
        <v>2</v>
      </c>
      <c r="B766" s="15" t="n">
        <v>46213</v>
      </c>
      <c r="C766" s="15" t="n">
        <v>46220</v>
      </c>
      <c r="D766" s="16" t="n">
        <v>1642</v>
      </c>
      <c r="E766" s="1" t="s">
        <v>210</v>
      </c>
      <c r="F766" s="16" t="n">
        <v>24</v>
      </c>
      <c r="G766" s="1" t="s">
        <v>77</v>
      </c>
      <c r="H766" s="16" t="n">
        <v>2110101</v>
      </c>
      <c r="I766" s="1" t="s">
        <v>33</v>
      </c>
      <c r="J766" s="16" t="n">
        <v>1376676</v>
      </c>
      <c r="L766" s="16" t="n">
        <v>1031214</v>
      </c>
      <c r="M766" s="1" t="s">
        <v>83</v>
      </c>
      <c r="N766" s="1" t="s">
        <v>54</v>
      </c>
      <c r="P766" s="16" t="n">
        <v>113</v>
      </c>
      <c r="Q766" s="1" t="s">
        <v>36</v>
      </c>
      <c r="R766" s="1" t="s">
        <v>48</v>
      </c>
      <c r="S766" s="16" t="n">
        <v>1130101</v>
      </c>
      <c r="T766" s="1" t="s">
        <v>49</v>
      </c>
      <c r="U766" s="17" t="n">
        <v>250.08</v>
      </c>
      <c r="W766" s="17" t="n">
        <v>0</v>
      </c>
      <c r="X766" s="1" t="s">
        <v>806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12.75" hidden="false" customHeight="true" outlineLevel="0" collapsed="false">
      <c r="A767" s="16" t="n">
        <v>2</v>
      </c>
      <c r="B767" s="15" t="n">
        <v>46213</v>
      </c>
      <c r="C767" s="15" t="n">
        <v>46220</v>
      </c>
      <c r="D767" s="16" t="n">
        <v>1270</v>
      </c>
      <c r="E767" s="1" t="s">
        <v>807</v>
      </c>
      <c r="F767" s="16" t="n">
        <v>24</v>
      </c>
      <c r="G767" s="1" t="s">
        <v>77</v>
      </c>
      <c r="H767" s="16" t="n">
        <v>2110101</v>
      </c>
      <c r="I767" s="1" t="s">
        <v>33</v>
      </c>
      <c r="J767" s="16" t="n">
        <v>1377247</v>
      </c>
      <c r="L767" s="16" t="n">
        <v>2635</v>
      </c>
      <c r="M767" s="1" t="s">
        <v>83</v>
      </c>
      <c r="N767" s="1" t="s">
        <v>54</v>
      </c>
      <c r="P767" s="16" t="n">
        <v>113</v>
      </c>
      <c r="Q767" s="1" t="s">
        <v>36</v>
      </c>
      <c r="R767" s="1" t="s">
        <v>48</v>
      </c>
      <c r="S767" s="16" t="n">
        <v>1130101</v>
      </c>
      <c r="T767" s="1" t="s">
        <v>49</v>
      </c>
      <c r="U767" s="17" t="n">
        <v>150</v>
      </c>
      <c r="W767" s="17" t="n">
        <v>0</v>
      </c>
      <c r="X767" s="1" t="s">
        <v>808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12.75" hidden="false" customHeight="true" outlineLevel="0" collapsed="false">
      <c r="A768" s="16" t="n">
        <v>2</v>
      </c>
      <c r="B768" s="15" t="n">
        <v>46213</v>
      </c>
      <c r="C768" s="15" t="n">
        <v>46220</v>
      </c>
      <c r="D768" s="16" t="n">
        <v>10018</v>
      </c>
      <c r="E768" s="1" t="s">
        <v>220</v>
      </c>
      <c r="F768" s="16" t="n">
        <v>34</v>
      </c>
      <c r="G768" s="1" t="s">
        <v>97</v>
      </c>
      <c r="H768" s="16" t="n">
        <v>2110101</v>
      </c>
      <c r="I768" s="1" t="s">
        <v>33</v>
      </c>
      <c r="J768" s="16" t="n">
        <v>1377315</v>
      </c>
      <c r="L768" s="16" t="n">
        <v>333</v>
      </c>
      <c r="M768" s="1" t="s">
        <v>83</v>
      </c>
      <c r="N768" s="1" t="s">
        <v>54</v>
      </c>
      <c r="P768" s="16" t="n">
        <v>113</v>
      </c>
      <c r="Q768" s="1" t="s">
        <v>36</v>
      </c>
      <c r="R768" s="1" t="s">
        <v>48</v>
      </c>
      <c r="S768" s="16" t="n">
        <v>1130101</v>
      </c>
      <c r="T768" s="1" t="s">
        <v>49</v>
      </c>
      <c r="U768" s="17" t="n">
        <v>1171.37</v>
      </c>
      <c r="W768" s="17" t="n">
        <v>0</v>
      </c>
      <c r="X768" s="1" t="s">
        <v>809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12.75" hidden="false" customHeight="true" outlineLevel="0" collapsed="false">
      <c r="A769" s="16" t="n">
        <v>2</v>
      </c>
      <c r="B769" s="15" t="n">
        <v>46214</v>
      </c>
      <c r="C769" s="15" t="n">
        <v>46220</v>
      </c>
      <c r="D769" s="16" t="n">
        <v>1666</v>
      </c>
      <c r="E769" s="1" t="s">
        <v>206</v>
      </c>
      <c r="F769" s="16" t="n">
        <v>24</v>
      </c>
      <c r="G769" s="1" t="s">
        <v>77</v>
      </c>
      <c r="H769" s="16" t="n">
        <v>2110101</v>
      </c>
      <c r="I769" s="1" t="s">
        <v>33</v>
      </c>
      <c r="J769" s="16" t="n">
        <v>1381638</v>
      </c>
      <c r="L769" s="16" t="n">
        <v>566541</v>
      </c>
      <c r="M769" s="1" t="s">
        <v>83</v>
      </c>
      <c r="N769" s="1" t="s">
        <v>54</v>
      </c>
      <c r="P769" s="16" t="n">
        <v>113</v>
      </c>
      <c r="Q769" s="1" t="s">
        <v>36</v>
      </c>
      <c r="R769" s="1" t="s">
        <v>48</v>
      </c>
      <c r="S769" s="16" t="n">
        <v>1130101</v>
      </c>
      <c r="T769" s="1" t="s">
        <v>49</v>
      </c>
      <c r="U769" s="17" t="n">
        <v>4572.86</v>
      </c>
      <c r="W769" s="17" t="n">
        <v>0</v>
      </c>
      <c r="X769" s="1" t="s">
        <v>810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6" t="n">
        <v>2</v>
      </c>
      <c r="B770" s="15" t="n">
        <v>46216</v>
      </c>
      <c r="C770" s="15" t="n">
        <v>46220</v>
      </c>
      <c r="D770" s="16" t="n">
        <v>1899</v>
      </c>
      <c r="E770" s="1" t="s">
        <v>194</v>
      </c>
      <c r="F770" s="16" t="n">
        <v>24</v>
      </c>
      <c r="G770" s="1" t="s">
        <v>77</v>
      </c>
      <c r="H770" s="16" t="n">
        <v>2110101</v>
      </c>
      <c r="I770" s="1" t="s">
        <v>33</v>
      </c>
      <c r="J770" s="16" t="n">
        <v>1393812</v>
      </c>
      <c r="L770" s="16" t="n">
        <v>711</v>
      </c>
      <c r="M770" s="1" t="s">
        <v>83</v>
      </c>
      <c r="N770" s="1" t="s">
        <v>54</v>
      </c>
      <c r="P770" s="16" t="n">
        <v>113</v>
      </c>
      <c r="Q770" s="1" t="s">
        <v>36</v>
      </c>
      <c r="R770" s="1" t="s">
        <v>48</v>
      </c>
      <c r="S770" s="16" t="n">
        <v>1130101</v>
      </c>
      <c r="T770" s="1" t="s">
        <v>49</v>
      </c>
      <c r="U770" s="17" t="n">
        <v>135</v>
      </c>
      <c r="W770" s="17" t="n">
        <v>0</v>
      </c>
      <c r="X770" s="1" t="s">
        <v>811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6" t="n">
        <v>2</v>
      </c>
      <c r="B771" s="15" t="n">
        <v>46220</v>
      </c>
      <c r="C771" s="15" t="n">
        <v>46220</v>
      </c>
      <c r="D771" s="16" t="n">
        <v>48</v>
      </c>
      <c r="E771" s="1" t="s">
        <v>132</v>
      </c>
      <c r="F771" s="16" t="n">
        <v>13</v>
      </c>
      <c r="G771" s="1" t="s">
        <v>133</v>
      </c>
      <c r="H771" s="16" t="n">
        <v>2110101</v>
      </c>
      <c r="I771" s="1" t="s">
        <v>33</v>
      </c>
      <c r="J771" s="16" t="n">
        <v>1411314</v>
      </c>
      <c r="L771" s="16" t="n">
        <v>2546</v>
      </c>
      <c r="M771" s="1" t="s">
        <v>83</v>
      </c>
      <c r="N771" s="1" t="s">
        <v>54</v>
      </c>
      <c r="P771" s="16" t="n">
        <v>113</v>
      </c>
      <c r="Q771" s="1" t="s">
        <v>36</v>
      </c>
      <c r="R771" s="1" t="s">
        <v>48</v>
      </c>
      <c r="S771" s="16" t="n">
        <v>1130101</v>
      </c>
      <c r="T771" s="1" t="s">
        <v>49</v>
      </c>
      <c r="U771" s="17" t="n">
        <v>280</v>
      </c>
      <c r="W771" s="17" t="n">
        <v>280</v>
      </c>
      <c r="X771" s="1" t="s">
        <v>812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6" t="n">
        <v>2</v>
      </c>
      <c r="B772" s="15" t="n">
        <v>46220</v>
      </c>
      <c r="C772" s="15" t="n">
        <v>46220</v>
      </c>
      <c r="D772" s="16" t="n">
        <v>48</v>
      </c>
      <c r="E772" s="1" t="s">
        <v>132</v>
      </c>
      <c r="F772" s="16" t="n">
        <v>34</v>
      </c>
      <c r="G772" s="1" t="s">
        <v>97</v>
      </c>
      <c r="H772" s="16" t="n">
        <v>2110101</v>
      </c>
      <c r="I772" s="1" t="s">
        <v>33</v>
      </c>
      <c r="J772" s="16" t="n">
        <v>1411709</v>
      </c>
      <c r="L772" s="16" t="n">
        <v>2547</v>
      </c>
      <c r="M772" s="1" t="s">
        <v>83</v>
      </c>
      <c r="N772" s="1" t="s">
        <v>54</v>
      </c>
      <c r="P772" s="16" t="n">
        <v>113</v>
      </c>
      <c r="Q772" s="1" t="s">
        <v>36</v>
      </c>
      <c r="R772" s="1" t="s">
        <v>48</v>
      </c>
      <c r="S772" s="16" t="n">
        <v>1130101</v>
      </c>
      <c r="T772" s="1" t="s">
        <v>49</v>
      </c>
      <c r="U772" s="17" t="n">
        <v>1392.72</v>
      </c>
      <c r="W772" s="17" t="n">
        <v>0</v>
      </c>
      <c r="X772" s="1" t="s">
        <v>221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6" t="n">
        <v>2</v>
      </c>
      <c r="B773" s="15" t="n">
        <v>46220</v>
      </c>
      <c r="C773" s="15" t="n">
        <v>46220</v>
      </c>
      <c r="D773" s="16" t="n">
        <v>23</v>
      </c>
      <c r="E773" s="1" t="s">
        <v>236</v>
      </c>
      <c r="F773" s="16" t="n">
        <v>34</v>
      </c>
      <c r="G773" s="1" t="s">
        <v>97</v>
      </c>
      <c r="H773" s="16" t="n">
        <v>2110405</v>
      </c>
      <c r="I773" s="1" t="s">
        <v>41</v>
      </c>
      <c r="J773" s="16" t="n">
        <v>1427891</v>
      </c>
      <c r="L773" s="16" t="n">
        <v>190917</v>
      </c>
      <c r="M773" s="1" t="s">
        <v>83</v>
      </c>
      <c r="N773" s="1" t="s">
        <v>35</v>
      </c>
      <c r="P773" s="16" t="n">
        <v>113</v>
      </c>
      <c r="Q773" s="1" t="s">
        <v>36</v>
      </c>
      <c r="R773" s="1" t="s">
        <v>100</v>
      </c>
      <c r="S773" s="16" t="n">
        <v>4210301</v>
      </c>
      <c r="T773" s="1" t="s">
        <v>230</v>
      </c>
      <c r="U773" s="17" t="n">
        <v>400</v>
      </c>
      <c r="W773" s="17" t="n">
        <v>0</v>
      </c>
      <c r="X773" s="1" t="s">
        <v>788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12.75" hidden="false" customHeight="true" outlineLevel="0" collapsed="false">
      <c r="A774" s="16" t="n">
        <v>2</v>
      </c>
      <c r="B774" s="15" t="n">
        <v>46220</v>
      </c>
      <c r="C774" s="15" t="n">
        <v>46220</v>
      </c>
      <c r="D774" s="16" t="n">
        <v>10096</v>
      </c>
      <c r="E774" s="1" t="s">
        <v>552</v>
      </c>
      <c r="F774" s="16" t="n">
        <v>13</v>
      </c>
      <c r="G774" s="1" t="s">
        <v>133</v>
      </c>
      <c r="H774" s="16" t="n">
        <v>1110203</v>
      </c>
      <c r="I774" s="1" t="s">
        <v>108</v>
      </c>
      <c r="J774" s="16" t="n">
        <v>1428745</v>
      </c>
      <c r="L774" s="16" t="n">
        <v>191334</v>
      </c>
      <c r="M774" s="1" t="s">
        <v>83</v>
      </c>
      <c r="N774" s="1" t="s">
        <v>35</v>
      </c>
      <c r="P774" s="16" t="n">
        <v>113</v>
      </c>
      <c r="Q774" s="1" t="s">
        <v>36</v>
      </c>
      <c r="R774" s="1" t="s">
        <v>48</v>
      </c>
      <c r="S774" s="16" t="n">
        <v>1130101</v>
      </c>
      <c r="T774" s="1" t="s">
        <v>49</v>
      </c>
      <c r="U774" s="17" t="n">
        <v>140</v>
      </c>
      <c r="W774" s="17" t="n">
        <v>140</v>
      </c>
      <c r="X774" s="1" t="s">
        <v>813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12.75" hidden="false" customHeight="true" outlineLevel="0" collapsed="false">
      <c r="A775" s="16" t="n">
        <v>2</v>
      </c>
      <c r="B775" s="15" t="n">
        <v>46189</v>
      </c>
      <c r="C775" s="15" t="n">
        <v>46221</v>
      </c>
      <c r="D775" s="16" t="n">
        <v>957</v>
      </c>
      <c r="E775" s="1" t="s">
        <v>554</v>
      </c>
      <c r="F775" s="16" t="n">
        <v>24</v>
      </c>
      <c r="G775" s="1" t="s">
        <v>77</v>
      </c>
      <c r="H775" s="16" t="n">
        <v>2110101</v>
      </c>
      <c r="I775" s="1" t="s">
        <v>33</v>
      </c>
      <c r="J775" s="16" t="n">
        <v>1261052</v>
      </c>
      <c r="L775" s="16" t="n">
        <v>20499</v>
      </c>
      <c r="M775" s="1" t="s">
        <v>62</v>
      </c>
      <c r="N775" s="1" t="s">
        <v>54</v>
      </c>
      <c r="P775" s="16" t="n">
        <v>113</v>
      </c>
      <c r="Q775" s="1" t="s">
        <v>36</v>
      </c>
      <c r="R775" s="1" t="s">
        <v>48</v>
      </c>
      <c r="S775" s="16" t="n">
        <v>1130101</v>
      </c>
      <c r="T775" s="1" t="s">
        <v>49</v>
      </c>
      <c r="U775" s="17" t="n">
        <v>1589.28</v>
      </c>
      <c r="W775" s="17" t="n">
        <v>0</v>
      </c>
      <c r="X775" s="1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12.75" hidden="false" customHeight="true" outlineLevel="0" collapsed="false">
      <c r="A776" s="16" t="n">
        <v>2</v>
      </c>
      <c r="B776" s="15" t="n">
        <v>46191</v>
      </c>
      <c r="C776" s="15" t="n">
        <v>46221</v>
      </c>
      <c r="D776" s="16" t="n">
        <v>10037</v>
      </c>
      <c r="E776" s="1" t="s">
        <v>298</v>
      </c>
      <c r="F776" s="16" t="n">
        <v>24</v>
      </c>
      <c r="G776" s="1" t="s">
        <v>77</v>
      </c>
      <c r="H776" s="16" t="n">
        <v>2110101</v>
      </c>
      <c r="I776" s="1" t="s">
        <v>33</v>
      </c>
      <c r="J776" s="16" t="n">
        <v>1269763</v>
      </c>
      <c r="L776" s="16" t="n">
        <v>2495</v>
      </c>
      <c r="M776" s="1" t="s">
        <v>83</v>
      </c>
      <c r="N776" s="1" t="s">
        <v>54</v>
      </c>
      <c r="P776" s="16" t="n">
        <v>113</v>
      </c>
      <c r="Q776" s="1" t="s">
        <v>36</v>
      </c>
      <c r="R776" s="1" t="s">
        <v>48</v>
      </c>
      <c r="S776" s="16" t="n">
        <v>1130101</v>
      </c>
      <c r="T776" s="1" t="s">
        <v>49</v>
      </c>
      <c r="U776" s="17" t="n">
        <v>660</v>
      </c>
      <c r="W776" s="17" t="n">
        <v>0</v>
      </c>
      <c r="X776" s="1" t="s">
        <v>814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12.75" hidden="false" customHeight="true" outlineLevel="0" collapsed="false">
      <c r="A777" s="16" t="n">
        <v>2</v>
      </c>
      <c r="B777" s="15" t="n">
        <v>46206</v>
      </c>
      <c r="C777" s="15" t="n">
        <v>46221</v>
      </c>
      <c r="D777" s="16" t="n">
        <v>33</v>
      </c>
      <c r="E777" s="1" t="s">
        <v>272</v>
      </c>
      <c r="F777" s="16" t="n">
        <v>34</v>
      </c>
      <c r="G777" s="1" t="s">
        <v>97</v>
      </c>
      <c r="H777" s="16" t="n">
        <v>2110405</v>
      </c>
      <c r="I777" s="1" t="s">
        <v>41</v>
      </c>
      <c r="J777" s="16" t="n">
        <v>1345312</v>
      </c>
      <c r="L777" s="16" t="n">
        <v>180690</v>
      </c>
      <c r="M777" s="1" t="s">
        <v>83</v>
      </c>
      <c r="N777" s="1" t="s">
        <v>35</v>
      </c>
      <c r="P777" s="16" t="n">
        <v>101</v>
      </c>
      <c r="Q777" s="1" t="s">
        <v>42</v>
      </c>
      <c r="R777" s="1" t="s">
        <v>56</v>
      </c>
      <c r="S777" s="16" t="n">
        <v>4210203</v>
      </c>
      <c r="T777" s="1" t="s">
        <v>664</v>
      </c>
      <c r="U777" s="17" t="n">
        <v>247.27</v>
      </c>
      <c r="W777" s="17" t="n">
        <v>0</v>
      </c>
      <c r="X777" s="1" t="s">
        <v>815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12.75" hidden="false" customHeight="true" outlineLevel="0" collapsed="false">
      <c r="A778" s="16" t="n">
        <v>2</v>
      </c>
      <c r="B778" s="15" t="n">
        <v>46217</v>
      </c>
      <c r="C778" s="15" t="n">
        <v>46221</v>
      </c>
      <c r="D778" s="16" t="n">
        <v>1625</v>
      </c>
      <c r="E778" s="1" t="s">
        <v>248</v>
      </c>
      <c r="F778" s="16" t="n">
        <v>24</v>
      </c>
      <c r="G778" s="1" t="s">
        <v>77</v>
      </c>
      <c r="H778" s="16" t="n">
        <v>2110101</v>
      </c>
      <c r="I778" s="1" t="s">
        <v>33</v>
      </c>
      <c r="J778" s="16" t="n">
        <v>1397011</v>
      </c>
      <c r="L778" s="16" t="n">
        <v>14685</v>
      </c>
      <c r="M778" s="1" t="s">
        <v>83</v>
      </c>
      <c r="N778" s="1" t="s">
        <v>54</v>
      </c>
      <c r="P778" s="16" t="n">
        <v>113</v>
      </c>
      <c r="Q778" s="1" t="s">
        <v>36</v>
      </c>
      <c r="R778" s="1" t="s">
        <v>48</v>
      </c>
      <c r="S778" s="16" t="n">
        <v>1130101</v>
      </c>
      <c r="T778" s="1" t="s">
        <v>49</v>
      </c>
      <c r="U778" s="17" t="n">
        <v>4043.8</v>
      </c>
      <c r="W778" s="17" t="n">
        <v>0</v>
      </c>
      <c r="X778" s="1" t="s">
        <v>816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12.75" hidden="false" customHeight="true" outlineLevel="0" collapsed="false">
      <c r="A779" s="16" t="n">
        <v>2</v>
      </c>
      <c r="B779" s="15" t="n">
        <v>46221</v>
      </c>
      <c r="C779" s="15" t="n">
        <v>46221</v>
      </c>
      <c r="D779" s="16" t="n">
        <v>10096</v>
      </c>
      <c r="E779" s="1" t="s">
        <v>552</v>
      </c>
      <c r="F779" s="16" t="n">
        <v>13</v>
      </c>
      <c r="G779" s="1" t="s">
        <v>133</v>
      </c>
      <c r="H779" s="16" t="n">
        <v>1110203</v>
      </c>
      <c r="I779" s="1" t="s">
        <v>108</v>
      </c>
      <c r="J779" s="16" t="n">
        <v>1428755</v>
      </c>
      <c r="L779" s="16" t="n">
        <v>191353</v>
      </c>
      <c r="M779" s="1" t="s">
        <v>83</v>
      </c>
      <c r="N779" s="1" t="s">
        <v>35</v>
      </c>
      <c r="P779" s="16" t="n">
        <v>113</v>
      </c>
      <c r="Q779" s="1" t="s">
        <v>36</v>
      </c>
      <c r="R779" s="1" t="s">
        <v>48</v>
      </c>
      <c r="S779" s="16" t="n">
        <v>1130101</v>
      </c>
      <c r="T779" s="1" t="s">
        <v>49</v>
      </c>
      <c r="U779" s="17" t="n">
        <v>120</v>
      </c>
      <c r="W779" s="17" t="n">
        <v>120</v>
      </c>
      <c r="X779" s="1" t="s">
        <v>817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12.75" hidden="false" customHeight="true" outlineLevel="0" collapsed="false">
      <c r="A780" s="16" t="n">
        <v>2</v>
      </c>
      <c r="B780" s="15" t="n">
        <v>46197</v>
      </c>
      <c r="C780" s="15" t="n">
        <v>46222</v>
      </c>
      <c r="D780" s="16" t="n">
        <v>616</v>
      </c>
      <c r="E780" s="1" t="s">
        <v>818</v>
      </c>
      <c r="F780" s="16" t="n">
        <v>24</v>
      </c>
      <c r="G780" s="1" t="s">
        <v>77</v>
      </c>
      <c r="H780" s="16" t="n">
        <v>2110101</v>
      </c>
      <c r="I780" s="1" t="s">
        <v>33</v>
      </c>
      <c r="J780" s="16" t="n">
        <v>1299105</v>
      </c>
      <c r="L780" s="16" t="n">
        <v>316130</v>
      </c>
      <c r="M780" s="1" t="s">
        <v>83</v>
      </c>
      <c r="N780" s="1" t="s">
        <v>54</v>
      </c>
      <c r="P780" s="16" t="n">
        <v>113</v>
      </c>
      <c r="Q780" s="1" t="s">
        <v>36</v>
      </c>
      <c r="R780" s="1" t="s">
        <v>48</v>
      </c>
      <c r="S780" s="16" t="n">
        <v>1130101</v>
      </c>
      <c r="T780" s="1" t="s">
        <v>49</v>
      </c>
      <c r="U780" s="17" t="n">
        <v>1996.2</v>
      </c>
      <c r="W780" s="17" t="n">
        <v>0</v>
      </c>
      <c r="X780" s="1" t="s">
        <v>819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12.75" hidden="false" customHeight="true" outlineLevel="0" collapsed="false">
      <c r="A781" s="16" t="n">
        <v>2</v>
      </c>
      <c r="B781" s="15" t="n">
        <v>46217</v>
      </c>
      <c r="C781" s="15" t="n">
        <v>46222</v>
      </c>
      <c r="D781" s="16" t="n">
        <v>821</v>
      </c>
      <c r="E781" s="1" t="s">
        <v>357</v>
      </c>
      <c r="F781" s="16" t="n">
        <v>24</v>
      </c>
      <c r="G781" s="1" t="s">
        <v>77</v>
      </c>
      <c r="H781" s="16" t="n">
        <v>1110203</v>
      </c>
      <c r="I781" s="1" t="s">
        <v>108</v>
      </c>
      <c r="J781" s="16" t="n">
        <v>1398172</v>
      </c>
      <c r="L781" s="16" t="n">
        <v>188083</v>
      </c>
      <c r="M781" s="1" t="s">
        <v>83</v>
      </c>
      <c r="N781" s="1" t="s">
        <v>35</v>
      </c>
      <c r="P781" s="16" t="n">
        <v>113</v>
      </c>
      <c r="Q781" s="1" t="s">
        <v>36</v>
      </c>
      <c r="R781" s="1" t="s">
        <v>48</v>
      </c>
      <c r="S781" s="16" t="n">
        <v>1130101</v>
      </c>
      <c r="T781" s="1" t="s">
        <v>49</v>
      </c>
      <c r="U781" s="17" t="n">
        <v>277.6</v>
      </c>
      <c r="W781" s="17" t="n">
        <v>0</v>
      </c>
      <c r="X781" s="1" t="s">
        <v>820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12.75" hidden="false" customHeight="true" outlineLevel="0" collapsed="false">
      <c r="A782" s="16" t="n">
        <v>2</v>
      </c>
      <c r="B782" s="15" t="n">
        <v>46195</v>
      </c>
      <c r="C782" s="15" t="n">
        <v>46223</v>
      </c>
      <c r="D782" s="16" t="n">
        <v>1697</v>
      </c>
      <c r="E782" s="1" t="s">
        <v>684</v>
      </c>
      <c r="F782" s="16" t="n">
        <v>24</v>
      </c>
      <c r="G782" s="1" t="s">
        <v>77</v>
      </c>
      <c r="H782" s="16" t="n">
        <v>2110101</v>
      </c>
      <c r="I782" s="1" t="s">
        <v>33</v>
      </c>
      <c r="J782" s="16" t="n">
        <v>1289570</v>
      </c>
      <c r="L782" s="16" t="n">
        <v>207912</v>
      </c>
      <c r="M782" s="1" t="s">
        <v>62</v>
      </c>
      <c r="N782" s="1" t="s">
        <v>54</v>
      </c>
      <c r="P782" s="16" t="n">
        <v>113</v>
      </c>
      <c r="Q782" s="1" t="s">
        <v>36</v>
      </c>
      <c r="R782" s="1" t="s">
        <v>48</v>
      </c>
      <c r="S782" s="16" t="n">
        <v>1130101</v>
      </c>
      <c r="T782" s="1" t="s">
        <v>49</v>
      </c>
      <c r="U782" s="17" t="n">
        <v>591.52</v>
      </c>
      <c r="W782" s="17" t="n">
        <v>0</v>
      </c>
      <c r="X782" s="1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12.75" hidden="false" customHeight="true" outlineLevel="0" collapsed="false">
      <c r="A783" s="16" t="n">
        <v>2</v>
      </c>
      <c r="B783" s="15" t="n">
        <v>46196</v>
      </c>
      <c r="C783" s="15" t="n">
        <v>46223</v>
      </c>
      <c r="D783" s="16" t="n">
        <v>794</v>
      </c>
      <c r="E783" s="1" t="s">
        <v>305</v>
      </c>
      <c r="F783" s="16" t="n">
        <v>24</v>
      </c>
      <c r="G783" s="1" t="s">
        <v>77</v>
      </c>
      <c r="H783" s="16" t="n">
        <v>2110405</v>
      </c>
      <c r="I783" s="1" t="s">
        <v>41</v>
      </c>
      <c r="J783" s="16" t="n">
        <v>1294343</v>
      </c>
      <c r="L783" s="16" t="n">
        <v>173133</v>
      </c>
      <c r="M783" s="1" t="s">
        <v>83</v>
      </c>
      <c r="N783" s="1" t="s">
        <v>35</v>
      </c>
      <c r="P783" s="16" t="n">
        <v>113</v>
      </c>
      <c r="Q783" s="1" t="s">
        <v>36</v>
      </c>
      <c r="R783" s="1" t="s">
        <v>56</v>
      </c>
      <c r="S783" s="16" t="n">
        <v>4210299</v>
      </c>
      <c r="T783" s="1" t="s">
        <v>115</v>
      </c>
      <c r="U783" s="17" t="n">
        <v>737.44</v>
      </c>
      <c r="W783" s="17" t="n">
        <v>0</v>
      </c>
      <c r="X783" s="1" t="s">
        <v>821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12.75" hidden="false" customHeight="true" outlineLevel="0" collapsed="false">
      <c r="A784" s="16" t="n">
        <v>2</v>
      </c>
      <c r="B784" s="15" t="n">
        <v>46198</v>
      </c>
      <c r="C784" s="15" t="n">
        <v>46223</v>
      </c>
      <c r="D784" s="16" t="n">
        <v>1218</v>
      </c>
      <c r="E784" s="1" t="s">
        <v>579</v>
      </c>
      <c r="F784" s="16" t="n">
        <v>24</v>
      </c>
      <c r="G784" s="1" t="s">
        <v>77</v>
      </c>
      <c r="H784" s="16" t="n">
        <v>2110101</v>
      </c>
      <c r="I784" s="1" t="s">
        <v>33</v>
      </c>
      <c r="J784" s="16" t="n">
        <v>1305945</v>
      </c>
      <c r="L784" s="16" t="n">
        <v>9495</v>
      </c>
      <c r="M784" s="1" t="s">
        <v>62</v>
      </c>
      <c r="N784" s="1" t="s">
        <v>54</v>
      </c>
      <c r="P784" s="16" t="n">
        <v>113</v>
      </c>
      <c r="Q784" s="1" t="s">
        <v>36</v>
      </c>
      <c r="R784" s="1" t="s">
        <v>48</v>
      </c>
      <c r="S784" s="16" t="n">
        <v>1130101</v>
      </c>
      <c r="T784" s="1" t="s">
        <v>49</v>
      </c>
      <c r="U784" s="17" t="n">
        <v>531.18</v>
      </c>
      <c r="W784" s="17" t="n">
        <v>0</v>
      </c>
      <c r="X784" s="1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12.75" hidden="false" customHeight="true" outlineLevel="0" collapsed="false">
      <c r="A785" s="16" t="n">
        <v>2</v>
      </c>
      <c r="B785" s="15" t="n">
        <v>46210</v>
      </c>
      <c r="C785" s="15" t="n">
        <v>46223</v>
      </c>
      <c r="D785" s="16" t="n">
        <v>703</v>
      </c>
      <c r="E785" s="1" t="s">
        <v>822</v>
      </c>
      <c r="F785" s="16" t="n">
        <v>24</v>
      </c>
      <c r="G785" s="1" t="s">
        <v>77</v>
      </c>
      <c r="H785" s="16" t="n">
        <v>2110101</v>
      </c>
      <c r="I785" s="1" t="s">
        <v>33</v>
      </c>
      <c r="J785" s="16" t="n">
        <v>1365044</v>
      </c>
      <c r="L785" s="16" t="n">
        <v>102073</v>
      </c>
      <c r="M785" s="1" t="s">
        <v>83</v>
      </c>
      <c r="N785" s="1" t="s">
        <v>54</v>
      </c>
      <c r="P785" s="16" t="n">
        <v>113</v>
      </c>
      <c r="Q785" s="1" t="s">
        <v>36</v>
      </c>
      <c r="R785" s="1" t="s">
        <v>48</v>
      </c>
      <c r="S785" s="16" t="n">
        <v>1130101</v>
      </c>
      <c r="T785" s="1" t="s">
        <v>49</v>
      </c>
      <c r="U785" s="17" t="n">
        <v>374.1</v>
      </c>
      <c r="W785" s="17" t="n">
        <v>0</v>
      </c>
      <c r="X785" s="1" t="s">
        <v>823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12.75" hidden="false" customHeight="true" outlineLevel="0" collapsed="false">
      <c r="A786" s="16" t="n">
        <v>2</v>
      </c>
      <c r="B786" s="15" t="n">
        <v>46211</v>
      </c>
      <c r="C786" s="15" t="n">
        <v>46223</v>
      </c>
      <c r="D786" s="16" t="n">
        <v>10028</v>
      </c>
      <c r="E786" s="1" t="s">
        <v>439</v>
      </c>
      <c r="F786" s="16" t="n">
        <v>24</v>
      </c>
      <c r="G786" s="1" t="s">
        <v>77</v>
      </c>
      <c r="H786" s="16" t="n">
        <v>2110405</v>
      </c>
      <c r="I786" s="1" t="s">
        <v>41</v>
      </c>
      <c r="J786" s="16" t="n">
        <v>1370757</v>
      </c>
      <c r="L786" s="16" t="n">
        <v>184341</v>
      </c>
      <c r="M786" s="1" t="s">
        <v>83</v>
      </c>
      <c r="N786" s="1" t="s">
        <v>35</v>
      </c>
      <c r="P786" s="16" t="n">
        <v>101</v>
      </c>
      <c r="Q786" s="1" t="s">
        <v>42</v>
      </c>
      <c r="R786" s="1" t="s">
        <v>100</v>
      </c>
      <c r="S786" s="16" t="n">
        <v>4210315</v>
      </c>
      <c r="T786" s="1" t="s">
        <v>257</v>
      </c>
      <c r="U786" s="17" t="n">
        <v>595.9</v>
      </c>
      <c r="W786" s="17" t="n">
        <v>0</v>
      </c>
      <c r="X786" s="1" t="s">
        <v>440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6" t="n">
        <v>2</v>
      </c>
      <c r="B787" s="15" t="n">
        <v>46223</v>
      </c>
      <c r="C787" s="15" t="n">
        <v>46223</v>
      </c>
      <c r="D787" s="16" t="n">
        <v>33</v>
      </c>
      <c r="E787" s="1" t="s">
        <v>272</v>
      </c>
      <c r="F787" s="16" t="n">
        <v>34</v>
      </c>
      <c r="G787" s="1" t="s">
        <v>97</v>
      </c>
      <c r="H787" s="16" t="n">
        <v>2110405</v>
      </c>
      <c r="I787" s="1" t="s">
        <v>41</v>
      </c>
      <c r="J787" s="16" t="n">
        <v>1424244</v>
      </c>
      <c r="L787" s="16" t="n">
        <v>190900</v>
      </c>
      <c r="M787" s="1" t="s">
        <v>83</v>
      </c>
      <c r="N787" s="1" t="s">
        <v>35</v>
      </c>
      <c r="P787" s="16" t="n">
        <v>101</v>
      </c>
      <c r="Q787" s="1" t="s">
        <v>42</v>
      </c>
      <c r="R787" s="1" t="s">
        <v>364</v>
      </c>
      <c r="S787" s="16" t="n">
        <v>4210107</v>
      </c>
      <c r="T787" s="1" t="s">
        <v>441</v>
      </c>
      <c r="U787" s="17" t="n">
        <v>138.43</v>
      </c>
      <c r="W787" s="17" t="n">
        <v>0</v>
      </c>
      <c r="X787" s="1" t="s">
        <v>824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12.75" hidden="false" customHeight="true" outlineLevel="0" collapsed="false">
      <c r="A788" s="16" t="n">
        <v>2</v>
      </c>
      <c r="B788" s="15" t="n">
        <v>46213</v>
      </c>
      <c r="C788" s="15" t="n">
        <v>46223</v>
      </c>
      <c r="D788" s="16" t="n">
        <v>1621</v>
      </c>
      <c r="E788" s="1" t="s">
        <v>212</v>
      </c>
      <c r="F788" s="16" t="n">
        <v>24</v>
      </c>
      <c r="G788" s="1" t="s">
        <v>77</v>
      </c>
      <c r="H788" s="16" t="n">
        <v>2110101</v>
      </c>
      <c r="I788" s="1" t="s">
        <v>33</v>
      </c>
      <c r="J788" s="16" t="n">
        <v>1377254</v>
      </c>
      <c r="L788" s="16" t="n">
        <v>899238</v>
      </c>
      <c r="M788" s="1" t="s">
        <v>83</v>
      </c>
      <c r="N788" s="1" t="s">
        <v>54</v>
      </c>
      <c r="P788" s="16" t="n">
        <v>113</v>
      </c>
      <c r="Q788" s="1" t="s">
        <v>36</v>
      </c>
      <c r="R788" s="1" t="s">
        <v>48</v>
      </c>
      <c r="S788" s="16" t="n">
        <v>1130101</v>
      </c>
      <c r="T788" s="1" t="s">
        <v>49</v>
      </c>
      <c r="U788" s="17" t="n">
        <v>661.73</v>
      </c>
      <c r="W788" s="17" t="n">
        <v>0</v>
      </c>
      <c r="X788" s="1" t="s">
        <v>825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12.75" hidden="false" customHeight="true" outlineLevel="0" collapsed="false">
      <c r="A789" s="16" t="n">
        <v>2</v>
      </c>
      <c r="B789" s="15" t="n">
        <v>46216</v>
      </c>
      <c r="C789" s="15" t="n">
        <v>46223</v>
      </c>
      <c r="D789" s="16" t="n">
        <v>560</v>
      </c>
      <c r="E789" s="1" t="s">
        <v>400</v>
      </c>
      <c r="F789" s="16" t="n">
        <v>24</v>
      </c>
      <c r="G789" s="1" t="s">
        <v>77</v>
      </c>
      <c r="H789" s="16" t="n">
        <v>2110101</v>
      </c>
      <c r="I789" s="1" t="s">
        <v>33</v>
      </c>
      <c r="J789" s="16" t="n">
        <v>1393806</v>
      </c>
      <c r="L789" s="16" t="n">
        <v>1791</v>
      </c>
      <c r="M789" s="1" t="s">
        <v>83</v>
      </c>
      <c r="N789" s="1" t="s">
        <v>54</v>
      </c>
      <c r="P789" s="16" t="n">
        <v>113</v>
      </c>
      <c r="Q789" s="1" t="s">
        <v>36</v>
      </c>
      <c r="R789" s="1" t="s">
        <v>48</v>
      </c>
      <c r="S789" s="16" t="n">
        <v>1130101</v>
      </c>
      <c r="T789" s="1" t="s">
        <v>49</v>
      </c>
      <c r="U789" s="17" t="n">
        <v>250</v>
      </c>
      <c r="W789" s="17" t="n">
        <v>0</v>
      </c>
      <c r="X789" s="1" t="s">
        <v>826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6" t="n">
        <v>2</v>
      </c>
      <c r="B790" s="15" t="n">
        <v>46216</v>
      </c>
      <c r="C790" s="15" t="n">
        <v>46223</v>
      </c>
      <c r="D790" s="16" t="n">
        <v>1626</v>
      </c>
      <c r="E790" s="1" t="s">
        <v>82</v>
      </c>
      <c r="F790" s="16" t="n">
        <v>24</v>
      </c>
      <c r="G790" s="1" t="s">
        <v>77</v>
      </c>
      <c r="H790" s="16" t="n">
        <v>2110101</v>
      </c>
      <c r="I790" s="1" t="s">
        <v>33</v>
      </c>
      <c r="J790" s="16" t="n">
        <v>1393879</v>
      </c>
      <c r="L790" s="16" t="n">
        <v>312916</v>
      </c>
      <c r="M790" s="1" t="s">
        <v>83</v>
      </c>
      <c r="N790" s="1" t="s">
        <v>54</v>
      </c>
      <c r="P790" s="16" t="n">
        <v>113</v>
      </c>
      <c r="Q790" s="1" t="s">
        <v>36</v>
      </c>
      <c r="R790" s="1" t="s">
        <v>48</v>
      </c>
      <c r="S790" s="16" t="n">
        <v>1130101</v>
      </c>
      <c r="T790" s="1" t="s">
        <v>49</v>
      </c>
      <c r="U790" s="17" t="n">
        <v>368.05</v>
      </c>
      <c r="W790" s="17" t="n">
        <v>0</v>
      </c>
      <c r="X790" s="1" t="s">
        <v>827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6" t="n">
        <v>2</v>
      </c>
      <c r="B791" s="15" t="n">
        <v>46217</v>
      </c>
      <c r="C791" s="15" t="n">
        <v>46223</v>
      </c>
      <c r="D791" s="16" t="n">
        <v>1631</v>
      </c>
      <c r="E791" s="1" t="s">
        <v>266</v>
      </c>
      <c r="F791" s="16" t="n">
        <v>24</v>
      </c>
      <c r="G791" s="1" t="s">
        <v>77</v>
      </c>
      <c r="H791" s="16" t="n">
        <v>1110203</v>
      </c>
      <c r="I791" s="1" t="s">
        <v>108</v>
      </c>
      <c r="J791" s="16" t="n">
        <v>1397440</v>
      </c>
      <c r="L791" s="16" t="n">
        <v>187938</v>
      </c>
      <c r="M791" s="1" t="s">
        <v>83</v>
      </c>
      <c r="N791" s="1" t="s">
        <v>35</v>
      </c>
      <c r="P791" s="16" t="n">
        <v>113</v>
      </c>
      <c r="Q791" s="1" t="s">
        <v>36</v>
      </c>
      <c r="R791" s="1" t="s">
        <v>48</v>
      </c>
      <c r="S791" s="16" t="n">
        <v>1130101</v>
      </c>
      <c r="T791" s="1" t="s">
        <v>49</v>
      </c>
      <c r="U791" s="17" t="n">
        <v>361.6</v>
      </c>
      <c r="W791" s="17" t="n">
        <v>0</v>
      </c>
      <c r="X791" s="1" t="s">
        <v>828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6" t="n">
        <v>2</v>
      </c>
      <c r="B792" s="15" t="n">
        <v>46217</v>
      </c>
      <c r="C792" s="15" t="n">
        <v>46223</v>
      </c>
      <c r="D792" s="16" t="n">
        <v>1328</v>
      </c>
      <c r="E792" s="1" t="s">
        <v>92</v>
      </c>
      <c r="F792" s="16" t="n">
        <v>24</v>
      </c>
      <c r="G792" s="1" t="s">
        <v>77</v>
      </c>
      <c r="H792" s="16" t="n">
        <v>1110203</v>
      </c>
      <c r="I792" s="1" t="s">
        <v>108</v>
      </c>
      <c r="J792" s="16" t="n">
        <v>1397692</v>
      </c>
      <c r="L792" s="16" t="n">
        <v>188004</v>
      </c>
      <c r="M792" s="1" t="s">
        <v>83</v>
      </c>
      <c r="N792" s="1" t="s">
        <v>35</v>
      </c>
      <c r="P792" s="16" t="n">
        <v>113</v>
      </c>
      <c r="Q792" s="1" t="s">
        <v>36</v>
      </c>
      <c r="R792" s="1" t="s">
        <v>48</v>
      </c>
      <c r="S792" s="16" t="n">
        <v>1130101</v>
      </c>
      <c r="T792" s="1" t="s">
        <v>49</v>
      </c>
      <c r="U792" s="17" t="n">
        <v>216.75</v>
      </c>
      <c r="W792" s="17" t="n">
        <v>0</v>
      </c>
      <c r="X792" s="1" t="s">
        <v>829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6" t="n">
        <v>2</v>
      </c>
      <c r="B793" s="15" t="n">
        <v>46217</v>
      </c>
      <c r="C793" s="15" t="n">
        <v>46223</v>
      </c>
      <c r="D793" s="16" t="n">
        <v>1947</v>
      </c>
      <c r="E793" s="1" t="s">
        <v>426</v>
      </c>
      <c r="F793" s="16" t="n">
        <v>34</v>
      </c>
      <c r="G793" s="1" t="s">
        <v>97</v>
      </c>
      <c r="H793" s="16" t="n">
        <v>1110203</v>
      </c>
      <c r="I793" s="1" t="s">
        <v>108</v>
      </c>
      <c r="J793" s="16" t="n">
        <v>1397918</v>
      </c>
      <c r="L793" s="16" t="n">
        <v>188036</v>
      </c>
      <c r="M793" s="1" t="s">
        <v>83</v>
      </c>
      <c r="N793" s="1" t="s">
        <v>35</v>
      </c>
      <c r="P793" s="16" t="n">
        <v>101</v>
      </c>
      <c r="Q793" s="1" t="s">
        <v>42</v>
      </c>
      <c r="R793" s="1" t="s">
        <v>454</v>
      </c>
      <c r="S793" s="16" t="n">
        <v>2110707</v>
      </c>
      <c r="T793" s="1" t="s">
        <v>455</v>
      </c>
      <c r="U793" s="17" t="n">
        <v>1596.41</v>
      </c>
      <c r="W793" s="17" t="n">
        <v>0</v>
      </c>
      <c r="X793" s="1" t="s">
        <v>830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6" t="n">
        <v>2</v>
      </c>
      <c r="B794" s="15" t="n">
        <v>46217</v>
      </c>
      <c r="C794" s="15" t="n">
        <v>46223</v>
      </c>
      <c r="D794" s="16" t="n">
        <v>1947</v>
      </c>
      <c r="E794" s="1" t="s">
        <v>426</v>
      </c>
      <c r="F794" s="16" t="n">
        <v>34</v>
      </c>
      <c r="G794" s="1" t="s">
        <v>97</v>
      </c>
      <c r="H794" s="16" t="n">
        <v>1110203</v>
      </c>
      <c r="I794" s="1" t="s">
        <v>108</v>
      </c>
      <c r="J794" s="16" t="n">
        <v>1397919</v>
      </c>
      <c r="L794" s="16" t="n">
        <v>188037</v>
      </c>
      <c r="M794" s="1" t="s">
        <v>83</v>
      </c>
      <c r="N794" s="1" t="s">
        <v>35</v>
      </c>
      <c r="P794" s="16" t="n">
        <v>101</v>
      </c>
      <c r="Q794" s="1" t="s">
        <v>42</v>
      </c>
      <c r="R794" s="1" t="s">
        <v>100</v>
      </c>
      <c r="S794" s="16" t="n">
        <v>4210303</v>
      </c>
      <c r="T794" s="1" t="s">
        <v>427</v>
      </c>
      <c r="U794" s="17" t="n">
        <v>1128.04</v>
      </c>
      <c r="W794" s="17" t="n">
        <v>0</v>
      </c>
      <c r="X794" s="1" t="s">
        <v>831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6" t="n">
        <v>2</v>
      </c>
      <c r="B795" s="15" t="n">
        <v>46217</v>
      </c>
      <c r="C795" s="15" t="n">
        <v>46223</v>
      </c>
      <c r="D795" s="16" t="n">
        <v>1947</v>
      </c>
      <c r="E795" s="1" t="s">
        <v>426</v>
      </c>
      <c r="F795" s="16" t="n">
        <v>34</v>
      </c>
      <c r="G795" s="1" t="s">
        <v>97</v>
      </c>
      <c r="H795" s="16" t="n">
        <v>1110203</v>
      </c>
      <c r="I795" s="1" t="s">
        <v>108</v>
      </c>
      <c r="J795" s="16" t="n">
        <v>1397922</v>
      </c>
      <c r="L795" s="16" t="n">
        <v>188038</v>
      </c>
      <c r="M795" s="1" t="s">
        <v>83</v>
      </c>
      <c r="N795" s="1" t="s">
        <v>35</v>
      </c>
      <c r="P795" s="16" t="n">
        <v>101</v>
      </c>
      <c r="Q795" s="1" t="s">
        <v>42</v>
      </c>
      <c r="R795" s="1" t="s">
        <v>100</v>
      </c>
      <c r="S795" s="16" t="n">
        <v>4210302</v>
      </c>
      <c r="T795" s="1" t="s">
        <v>429</v>
      </c>
      <c r="U795" s="17" t="n">
        <v>2788.06</v>
      </c>
      <c r="W795" s="17" t="n">
        <v>0</v>
      </c>
      <c r="X795" s="1" t="s">
        <v>832</v>
      </c>
      <c r="Z795" s="1" t="str">
        <f aca="false">IF($T795="","",IFERROR(INDEX('Resumo Grupos'!$AC$3:$AC$200,MATCH($T795,'Resumo Grupos'!$AB$3:$AB$200,0)),"n/d"))</f>
        <v>Impostos</v>
      </c>
      <c r="AA795" s="1" t="str">
        <f aca="false">IF($T795="","",IF(COUNTIF('Resumo Grupos'!$AE$3:$AE$40,$T795)&gt;0,"NAO","SIM"))</f>
        <v>SIM</v>
      </c>
    </row>
    <row r="796" customFormat="false" ht="12.75" hidden="false" customHeight="true" outlineLevel="0" collapsed="false">
      <c r="A796" s="16" t="n">
        <v>2</v>
      </c>
      <c r="B796" s="15" t="n">
        <v>46220</v>
      </c>
      <c r="C796" s="15" t="n">
        <v>46223</v>
      </c>
      <c r="D796" s="16" t="n">
        <v>10035</v>
      </c>
      <c r="E796" s="1" t="s">
        <v>96</v>
      </c>
      <c r="F796" s="16" t="n">
        <v>34</v>
      </c>
      <c r="G796" s="1" t="s">
        <v>97</v>
      </c>
      <c r="H796" s="16" t="n">
        <v>1110203</v>
      </c>
      <c r="I796" s="1" t="s">
        <v>108</v>
      </c>
      <c r="J796" s="16" t="n">
        <v>1412007</v>
      </c>
      <c r="L796" s="16" t="n">
        <v>190402</v>
      </c>
      <c r="M796" s="1" t="s">
        <v>83</v>
      </c>
      <c r="N796" s="1" t="s">
        <v>35</v>
      </c>
      <c r="P796" s="16" t="n">
        <v>113</v>
      </c>
      <c r="Q796" s="1" t="s">
        <v>36</v>
      </c>
      <c r="R796" s="1" t="s">
        <v>48</v>
      </c>
      <c r="S796" s="16" t="n">
        <v>1130101</v>
      </c>
      <c r="T796" s="1" t="s">
        <v>49</v>
      </c>
      <c r="U796" s="17" t="n">
        <v>228</v>
      </c>
      <c r="W796" s="17" t="n">
        <v>0</v>
      </c>
      <c r="X796" s="1" t="s">
        <v>833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6" t="n">
        <v>2</v>
      </c>
      <c r="B797" s="15" t="n">
        <v>46223</v>
      </c>
      <c r="C797" s="15" t="n">
        <v>46223</v>
      </c>
      <c r="D797" s="16" t="n">
        <v>17</v>
      </c>
      <c r="E797" s="1" t="s">
        <v>436</v>
      </c>
      <c r="F797" s="16" t="n">
        <v>24</v>
      </c>
      <c r="G797" s="1" t="s">
        <v>77</v>
      </c>
      <c r="H797" s="16" t="n">
        <v>1110203</v>
      </c>
      <c r="I797" s="1" t="s">
        <v>108</v>
      </c>
      <c r="J797" s="16" t="n">
        <v>1423828</v>
      </c>
      <c r="L797" s="16" t="n">
        <v>190895</v>
      </c>
      <c r="M797" s="1" t="s">
        <v>83</v>
      </c>
      <c r="N797" s="1" t="s">
        <v>35</v>
      </c>
      <c r="P797" s="16" t="n">
        <v>102</v>
      </c>
      <c r="Q797" s="1" t="s">
        <v>282</v>
      </c>
      <c r="R797" s="1" t="s">
        <v>43</v>
      </c>
      <c r="S797" s="16" t="n">
        <v>4220199</v>
      </c>
      <c r="T797" s="1" t="s">
        <v>44</v>
      </c>
      <c r="U797" s="17" t="n">
        <v>620</v>
      </c>
      <c r="W797" s="17" t="n">
        <v>0</v>
      </c>
      <c r="X797" s="1" t="s">
        <v>834</v>
      </c>
      <c r="Z797" s="1" t="str">
        <f aca="false">IF($T797="","",IFERROR(INDEX('Resumo Grupos'!$AC$3:$AC$200,MATCH($T797,'Resumo Grupos'!$AB$3:$AB$200,0)),"n/d"))</f>
        <v>Pagamentos outros não operacionais</v>
      </c>
      <c r="AA797" s="1" t="str">
        <f aca="false">IF($T797="","",IF(COUNTIF('Resumo Grupos'!$AE$3:$AE$40,$T797)&gt;0,"NAO","SIM"))</f>
        <v>SIM</v>
      </c>
    </row>
    <row r="798" customFormat="false" ht="12.75" hidden="false" customHeight="true" outlineLevel="0" collapsed="false">
      <c r="A798" s="16" t="n">
        <v>2</v>
      </c>
      <c r="B798" s="15" t="n">
        <v>46223</v>
      </c>
      <c r="C798" s="15" t="n">
        <v>46223</v>
      </c>
      <c r="D798" s="16" t="n">
        <v>48</v>
      </c>
      <c r="E798" s="1" t="s">
        <v>132</v>
      </c>
      <c r="F798" s="16" t="n">
        <v>13</v>
      </c>
      <c r="G798" s="1" t="s">
        <v>133</v>
      </c>
      <c r="H798" s="16" t="n">
        <v>2110101</v>
      </c>
      <c r="I798" s="1" t="s">
        <v>33</v>
      </c>
      <c r="J798" s="16" t="n">
        <v>1425087</v>
      </c>
      <c r="L798" s="16" t="n">
        <v>2553</v>
      </c>
      <c r="M798" s="1" t="s">
        <v>83</v>
      </c>
      <c r="N798" s="1" t="s">
        <v>54</v>
      </c>
      <c r="P798" s="16" t="n">
        <v>113</v>
      </c>
      <c r="Q798" s="1" t="s">
        <v>36</v>
      </c>
      <c r="R798" s="1" t="s">
        <v>48</v>
      </c>
      <c r="S798" s="16" t="n">
        <v>1130101</v>
      </c>
      <c r="T798" s="1" t="s">
        <v>49</v>
      </c>
      <c r="U798" s="17" t="n">
        <v>210</v>
      </c>
      <c r="W798" s="17" t="n">
        <v>210</v>
      </c>
      <c r="X798" s="1" t="s">
        <v>835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6" t="n">
        <v>2</v>
      </c>
      <c r="B799" s="15" t="n">
        <v>46223</v>
      </c>
      <c r="C799" s="15" t="n">
        <v>46223</v>
      </c>
      <c r="D799" s="16" t="n">
        <v>10006</v>
      </c>
      <c r="E799" s="1" t="s">
        <v>185</v>
      </c>
      <c r="F799" s="16" t="n">
        <v>34</v>
      </c>
      <c r="G799" s="1" t="s">
        <v>97</v>
      </c>
      <c r="H799" s="16" t="n">
        <v>1110203</v>
      </c>
      <c r="I799" s="1" t="s">
        <v>108</v>
      </c>
      <c r="J799" s="16" t="n">
        <v>1435948</v>
      </c>
      <c r="L799" s="16" t="n">
        <v>194013</v>
      </c>
      <c r="M799" s="1" t="s">
        <v>83</v>
      </c>
      <c r="N799" s="1" t="s">
        <v>35</v>
      </c>
      <c r="P799" s="16" t="n">
        <v>102</v>
      </c>
      <c r="Q799" s="1" t="s">
        <v>282</v>
      </c>
      <c r="R799" s="1" t="s">
        <v>56</v>
      </c>
      <c r="S799" s="16" t="n">
        <v>4210232</v>
      </c>
      <c r="T799" s="1" t="s">
        <v>286</v>
      </c>
      <c r="U799" s="17" t="n">
        <v>420</v>
      </c>
      <c r="W799" s="17" t="n">
        <v>0</v>
      </c>
      <c r="X799" s="1" t="s">
        <v>836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true" outlineLevel="0" collapsed="false">
      <c r="A800" s="16" t="n">
        <v>2</v>
      </c>
      <c r="B800" s="15" t="n">
        <v>46195</v>
      </c>
      <c r="C800" s="15" t="n">
        <v>46224</v>
      </c>
      <c r="D800" s="16" t="n">
        <v>1608</v>
      </c>
      <c r="E800" s="1" t="s">
        <v>201</v>
      </c>
      <c r="F800" s="16" t="n">
        <v>24</v>
      </c>
      <c r="G800" s="1" t="s">
        <v>77</v>
      </c>
      <c r="H800" s="16" t="n">
        <v>2110101</v>
      </c>
      <c r="I800" s="1" t="s">
        <v>33</v>
      </c>
      <c r="J800" s="16" t="n">
        <v>1289428</v>
      </c>
      <c r="L800" s="16" t="n">
        <v>1678138</v>
      </c>
      <c r="M800" s="1" t="s">
        <v>83</v>
      </c>
      <c r="N800" s="1" t="s">
        <v>54</v>
      </c>
      <c r="P800" s="16" t="n">
        <v>113</v>
      </c>
      <c r="Q800" s="1" t="s">
        <v>36</v>
      </c>
      <c r="R800" s="1" t="s">
        <v>48</v>
      </c>
      <c r="S800" s="16" t="n">
        <v>1130101</v>
      </c>
      <c r="T800" s="1" t="s">
        <v>49</v>
      </c>
      <c r="U800" s="17" t="n">
        <v>724</v>
      </c>
      <c r="W800" s="17" t="n">
        <v>0</v>
      </c>
      <c r="X800" s="1" t="s">
        <v>837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6" t="n">
        <v>2</v>
      </c>
      <c r="B801" s="15" t="n">
        <v>46204</v>
      </c>
      <c r="C801" s="15" t="n">
        <v>46224</v>
      </c>
      <c r="D801" s="16" t="n">
        <v>1611</v>
      </c>
      <c r="E801" s="1" t="s">
        <v>156</v>
      </c>
      <c r="F801" s="16" t="n">
        <v>24</v>
      </c>
      <c r="G801" s="1" t="s">
        <v>77</v>
      </c>
      <c r="H801" s="16" t="n">
        <v>2110101</v>
      </c>
      <c r="I801" s="1" t="s">
        <v>33</v>
      </c>
      <c r="J801" s="16" t="n">
        <v>1333898</v>
      </c>
      <c r="L801" s="16" t="n">
        <v>1777487</v>
      </c>
      <c r="M801" s="1" t="s">
        <v>74</v>
      </c>
      <c r="N801" s="1" t="s">
        <v>54</v>
      </c>
      <c r="P801" s="16" t="n">
        <v>113</v>
      </c>
      <c r="Q801" s="1" t="s">
        <v>36</v>
      </c>
      <c r="R801" s="1" t="s">
        <v>48</v>
      </c>
      <c r="S801" s="16" t="n">
        <v>1130101</v>
      </c>
      <c r="T801" s="1" t="s">
        <v>49</v>
      </c>
      <c r="U801" s="17" t="n">
        <v>542.11</v>
      </c>
      <c r="W801" s="17" t="n">
        <v>0</v>
      </c>
      <c r="X801" s="1" t="s">
        <v>778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12.75" hidden="false" customHeight="true" outlineLevel="0" collapsed="false">
      <c r="A802" s="16" t="n">
        <v>2</v>
      </c>
      <c r="B802" s="15" t="n">
        <v>46206</v>
      </c>
      <c r="C802" s="15" t="n">
        <v>46224</v>
      </c>
      <c r="D802" s="16" t="n">
        <v>1672</v>
      </c>
      <c r="E802" s="1" t="s">
        <v>302</v>
      </c>
      <c r="F802" s="16" t="n">
        <v>24</v>
      </c>
      <c r="G802" s="1" t="s">
        <v>77</v>
      </c>
      <c r="H802" s="16" t="n">
        <v>2110101</v>
      </c>
      <c r="I802" s="1" t="s">
        <v>33</v>
      </c>
      <c r="J802" s="16" t="n">
        <v>1344368</v>
      </c>
      <c r="L802" s="16" t="n">
        <v>1385251</v>
      </c>
      <c r="M802" s="1" t="s">
        <v>83</v>
      </c>
      <c r="N802" s="1" t="s">
        <v>54</v>
      </c>
      <c r="P802" s="16" t="n">
        <v>113</v>
      </c>
      <c r="Q802" s="1" t="s">
        <v>36</v>
      </c>
      <c r="R802" s="1" t="s">
        <v>48</v>
      </c>
      <c r="S802" s="16" t="n">
        <v>1130101</v>
      </c>
      <c r="T802" s="1" t="s">
        <v>49</v>
      </c>
      <c r="U802" s="17" t="n">
        <v>1209.4</v>
      </c>
      <c r="W802" s="17" t="n">
        <v>0</v>
      </c>
      <c r="X802" s="1" t="s">
        <v>838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12.75" hidden="false" customHeight="true" outlineLevel="0" collapsed="false">
      <c r="A803" s="16" t="n">
        <v>2</v>
      </c>
      <c r="B803" s="15" t="n">
        <v>46209</v>
      </c>
      <c r="C803" s="15" t="n">
        <v>46224</v>
      </c>
      <c r="D803" s="16" t="n">
        <v>1705</v>
      </c>
      <c r="E803" s="1" t="s">
        <v>119</v>
      </c>
      <c r="F803" s="16" t="n">
        <v>24</v>
      </c>
      <c r="G803" s="1" t="s">
        <v>77</v>
      </c>
      <c r="H803" s="16" t="n">
        <v>2110101</v>
      </c>
      <c r="I803" s="1" t="s">
        <v>33</v>
      </c>
      <c r="J803" s="16" t="n">
        <v>1360155</v>
      </c>
      <c r="L803" s="16" t="n">
        <v>1917880</v>
      </c>
      <c r="M803" s="1" t="s">
        <v>83</v>
      </c>
      <c r="N803" s="1" t="s">
        <v>54</v>
      </c>
      <c r="P803" s="16" t="n">
        <v>113</v>
      </c>
      <c r="Q803" s="1" t="s">
        <v>36</v>
      </c>
      <c r="R803" s="1" t="s">
        <v>48</v>
      </c>
      <c r="S803" s="16" t="n">
        <v>1130101</v>
      </c>
      <c r="T803" s="1" t="s">
        <v>49</v>
      </c>
      <c r="U803" s="17" t="n">
        <v>205.13</v>
      </c>
      <c r="W803" s="17" t="n">
        <v>0</v>
      </c>
      <c r="X803" s="1" t="s">
        <v>839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12.75" hidden="false" customHeight="true" outlineLevel="0" collapsed="false">
      <c r="A804" s="16" t="n">
        <v>2</v>
      </c>
      <c r="B804" s="15" t="n">
        <v>46209</v>
      </c>
      <c r="C804" s="15" t="n">
        <v>46224</v>
      </c>
      <c r="D804" s="16" t="n">
        <v>1705</v>
      </c>
      <c r="E804" s="1" t="s">
        <v>119</v>
      </c>
      <c r="F804" s="16" t="n">
        <v>24</v>
      </c>
      <c r="G804" s="1" t="s">
        <v>77</v>
      </c>
      <c r="H804" s="16" t="n">
        <v>2110101</v>
      </c>
      <c r="I804" s="1" t="s">
        <v>33</v>
      </c>
      <c r="J804" s="16" t="n">
        <v>1360170</v>
      </c>
      <c r="L804" s="16" t="n">
        <v>1187912</v>
      </c>
      <c r="M804" s="1" t="s">
        <v>83</v>
      </c>
      <c r="N804" s="1" t="s">
        <v>54</v>
      </c>
      <c r="P804" s="16" t="n">
        <v>113</v>
      </c>
      <c r="Q804" s="1" t="s">
        <v>36</v>
      </c>
      <c r="R804" s="1" t="s">
        <v>48</v>
      </c>
      <c r="S804" s="16" t="n">
        <v>1130101</v>
      </c>
      <c r="T804" s="1" t="s">
        <v>49</v>
      </c>
      <c r="U804" s="17" t="n">
        <v>63.37</v>
      </c>
      <c r="W804" s="17" t="n">
        <v>0</v>
      </c>
      <c r="X804" s="1" t="s">
        <v>840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6" t="n">
        <v>2</v>
      </c>
      <c r="B805" s="15" t="n">
        <v>46209</v>
      </c>
      <c r="C805" s="15" t="n">
        <v>46224</v>
      </c>
      <c r="D805" s="16" t="n">
        <v>1705</v>
      </c>
      <c r="E805" s="1" t="s">
        <v>119</v>
      </c>
      <c r="F805" s="16" t="n">
        <v>24</v>
      </c>
      <c r="G805" s="1" t="s">
        <v>77</v>
      </c>
      <c r="H805" s="16" t="n">
        <v>2110101</v>
      </c>
      <c r="I805" s="1" t="s">
        <v>33</v>
      </c>
      <c r="J805" s="16" t="n">
        <v>1360305</v>
      </c>
      <c r="L805" s="16" t="n">
        <v>1187910</v>
      </c>
      <c r="M805" s="1" t="s">
        <v>83</v>
      </c>
      <c r="N805" s="1" t="s">
        <v>54</v>
      </c>
      <c r="P805" s="16" t="n">
        <v>113</v>
      </c>
      <c r="Q805" s="1" t="s">
        <v>36</v>
      </c>
      <c r="R805" s="1" t="s">
        <v>48</v>
      </c>
      <c r="S805" s="16" t="n">
        <v>1130101</v>
      </c>
      <c r="T805" s="1" t="s">
        <v>49</v>
      </c>
      <c r="U805" s="17" t="n">
        <v>767.32</v>
      </c>
      <c r="W805" s="17" t="n">
        <v>0</v>
      </c>
      <c r="X805" s="1" t="s">
        <v>841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12.75" hidden="false" customHeight="true" outlineLevel="0" collapsed="false">
      <c r="A806" s="16" t="n">
        <v>2</v>
      </c>
      <c r="B806" s="15" t="n">
        <v>46209</v>
      </c>
      <c r="C806" s="15" t="n">
        <v>46224</v>
      </c>
      <c r="D806" s="16" t="n">
        <v>1705</v>
      </c>
      <c r="E806" s="1" t="s">
        <v>119</v>
      </c>
      <c r="F806" s="16" t="n">
        <v>24</v>
      </c>
      <c r="G806" s="1" t="s">
        <v>77</v>
      </c>
      <c r="H806" s="16" t="n">
        <v>2110101</v>
      </c>
      <c r="I806" s="1" t="s">
        <v>33</v>
      </c>
      <c r="J806" s="16" t="n">
        <v>1360368</v>
      </c>
      <c r="L806" s="16" t="n">
        <v>182678</v>
      </c>
      <c r="M806" s="1" t="s">
        <v>83</v>
      </c>
      <c r="N806" s="1" t="s">
        <v>35</v>
      </c>
      <c r="P806" s="16" t="n">
        <v>113</v>
      </c>
      <c r="Q806" s="1" t="s">
        <v>36</v>
      </c>
      <c r="R806" s="1" t="s">
        <v>48</v>
      </c>
      <c r="S806" s="16" t="n">
        <v>1130101</v>
      </c>
      <c r="T806" s="1" t="s">
        <v>49</v>
      </c>
      <c r="U806" s="17" t="n">
        <v>3649.01</v>
      </c>
      <c r="W806" s="17" t="n">
        <v>0</v>
      </c>
      <c r="X806" s="1" t="s">
        <v>842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12.75" hidden="false" customHeight="true" outlineLevel="0" collapsed="false">
      <c r="A807" s="16" t="n">
        <v>2</v>
      </c>
      <c r="B807" s="15" t="n">
        <v>46214</v>
      </c>
      <c r="C807" s="15" t="n">
        <v>46224</v>
      </c>
      <c r="D807" s="16" t="n">
        <v>666</v>
      </c>
      <c r="E807" s="1" t="s">
        <v>381</v>
      </c>
      <c r="F807" s="16" t="n">
        <v>24</v>
      </c>
      <c r="G807" s="1" t="s">
        <v>77</v>
      </c>
      <c r="H807" s="16" t="n">
        <v>2110101</v>
      </c>
      <c r="I807" s="1" t="s">
        <v>33</v>
      </c>
      <c r="J807" s="16" t="n">
        <v>1381906</v>
      </c>
      <c r="L807" s="16" t="n">
        <v>7874</v>
      </c>
      <c r="M807" s="1" t="s">
        <v>74</v>
      </c>
      <c r="N807" s="1" t="s">
        <v>54</v>
      </c>
      <c r="P807" s="16" t="n">
        <v>113</v>
      </c>
      <c r="Q807" s="1" t="s">
        <v>36</v>
      </c>
      <c r="R807" s="1" t="s">
        <v>48</v>
      </c>
      <c r="S807" s="16" t="n">
        <v>1130101</v>
      </c>
      <c r="T807" s="1" t="s">
        <v>49</v>
      </c>
      <c r="U807" s="17" t="n">
        <v>378.88</v>
      </c>
      <c r="W807" s="17" t="n">
        <v>0</v>
      </c>
      <c r="X807" s="1" t="s">
        <v>785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12.75" hidden="false" customHeight="true" outlineLevel="0" collapsed="false">
      <c r="A808" s="16" t="n">
        <v>2</v>
      </c>
      <c r="B808" s="15" t="n">
        <v>46217</v>
      </c>
      <c r="C808" s="15" t="n">
        <v>46224</v>
      </c>
      <c r="D808" s="16" t="n">
        <v>1642</v>
      </c>
      <c r="E808" s="1" t="s">
        <v>210</v>
      </c>
      <c r="F808" s="16" t="n">
        <v>24</v>
      </c>
      <c r="G808" s="1" t="s">
        <v>77</v>
      </c>
      <c r="H808" s="16" t="n">
        <v>2110101</v>
      </c>
      <c r="I808" s="1" t="s">
        <v>33</v>
      </c>
      <c r="J808" s="16" t="n">
        <v>1396745</v>
      </c>
      <c r="L808" s="16" t="n">
        <v>1031749</v>
      </c>
      <c r="M808" s="1" t="s">
        <v>83</v>
      </c>
      <c r="N808" s="1" t="s">
        <v>54</v>
      </c>
      <c r="P808" s="16" t="n">
        <v>113</v>
      </c>
      <c r="Q808" s="1" t="s">
        <v>36</v>
      </c>
      <c r="R808" s="1" t="s">
        <v>48</v>
      </c>
      <c r="S808" s="16" t="n">
        <v>1130101</v>
      </c>
      <c r="T808" s="1" t="s">
        <v>49</v>
      </c>
      <c r="U808" s="17" t="n">
        <v>261.92</v>
      </c>
      <c r="W808" s="17" t="n">
        <v>0</v>
      </c>
      <c r="X808" s="1" t="s">
        <v>843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12.75" hidden="false" customHeight="true" outlineLevel="0" collapsed="false">
      <c r="A809" s="16" t="n">
        <v>2</v>
      </c>
      <c r="B809" s="15" t="n">
        <v>46219</v>
      </c>
      <c r="C809" s="15" t="n">
        <v>46224</v>
      </c>
      <c r="D809" s="16" t="n">
        <v>10009</v>
      </c>
      <c r="E809" s="1" t="s">
        <v>417</v>
      </c>
      <c r="F809" s="16" t="n">
        <v>24</v>
      </c>
      <c r="G809" s="1" t="s">
        <v>77</v>
      </c>
      <c r="H809" s="16" t="n">
        <v>1110203</v>
      </c>
      <c r="I809" s="1" t="s">
        <v>108</v>
      </c>
      <c r="J809" s="16" t="n">
        <v>1406007</v>
      </c>
      <c r="L809" s="16" t="n">
        <v>189277</v>
      </c>
      <c r="M809" s="1" t="s">
        <v>83</v>
      </c>
      <c r="N809" s="1" t="s">
        <v>35</v>
      </c>
      <c r="P809" s="16" t="n">
        <v>113</v>
      </c>
      <c r="Q809" s="1" t="s">
        <v>36</v>
      </c>
      <c r="R809" s="1" t="s">
        <v>48</v>
      </c>
      <c r="S809" s="16" t="n">
        <v>1130101</v>
      </c>
      <c r="T809" s="1" t="s">
        <v>49</v>
      </c>
      <c r="U809" s="17" t="n">
        <v>712.57</v>
      </c>
      <c r="W809" s="17" t="n">
        <v>0</v>
      </c>
      <c r="X809" s="1" t="s">
        <v>844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12.75" hidden="false" customHeight="true" outlineLevel="0" collapsed="false">
      <c r="A810" s="16" t="n">
        <v>2</v>
      </c>
      <c r="B810" s="15" t="n">
        <v>46220</v>
      </c>
      <c r="C810" s="15" t="n">
        <v>46224</v>
      </c>
      <c r="D810" s="16" t="n">
        <v>1899</v>
      </c>
      <c r="E810" s="1" t="s">
        <v>194</v>
      </c>
      <c r="F810" s="16" t="n">
        <v>24</v>
      </c>
      <c r="G810" s="1" t="s">
        <v>77</v>
      </c>
      <c r="H810" s="16" t="n">
        <v>1110203</v>
      </c>
      <c r="I810" s="1" t="s">
        <v>108</v>
      </c>
      <c r="J810" s="16" t="n">
        <v>1410473</v>
      </c>
      <c r="L810" s="16" t="n">
        <v>190060</v>
      </c>
      <c r="M810" s="1" t="s">
        <v>83</v>
      </c>
      <c r="N810" s="1" t="s">
        <v>35</v>
      </c>
      <c r="P810" s="16" t="n">
        <v>113</v>
      </c>
      <c r="Q810" s="1" t="s">
        <v>36</v>
      </c>
      <c r="R810" s="1" t="s">
        <v>48</v>
      </c>
      <c r="S810" s="16" t="n">
        <v>1130101</v>
      </c>
      <c r="T810" s="1" t="s">
        <v>49</v>
      </c>
      <c r="U810" s="17" t="n">
        <v>184.9</v>
      </c>
      <c r="W810" s="17" t="n">
        <v>0</v>
      </c>
      <c r="X810" s="1" t="s">
        <v>845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12.75" hidden="false" customHeight="true" outlineLevel="0" collapsed="false">
      <c r="A811" s="16" t="n">
        <v>2</v>
      </c>
      <c r="B811" s="15" t="n">
        <v>46221</v>
      </c>
      <c r="C811" s="15" t="n">
        <v>46224</v>
      </c>
      <c r="D811" s="16" t="n">
        <v>642</v>
      </c>
      <c r="E811" s="1" t="s">
        <v>130</v>
      </c>
      <c r="F811" s="16" t="n">
        <v>24</v>
      </c>
      <c r="G811" s="1" t="s">
        <v>77</v>
      </c>
      <c r="H811" s="16" t="n">
        <v>1110203</v>
      </c>
      <c r="I811" s="1" t="s">
        <v>108</v>
      </c>
      <c r="J811" s="16" t="n">
        <v>1414961</v>
      </c>
      <c r="L811" s="16" t="n">
        <v>190754</v>
      </c>
      <c r="M811" s="1" t="s">
        <v>83</v>
      </c>
      <c r="N811" s="1" t="s">
        <v>35</v>
      </c>
      <c r="P811" s="16" t="n">
        <v>113</v>
      </c>
      <c r="Q811" s="1" t="s">
        <v>36</v>
      </c>
      <c r="R811" s="1" t="s">
        <v>48</v>
      </c>
      <c r="S811" s="16" t="n">
        <v>1130101</v>
      </c>
      <c r="T811" s="1" t="s">
        <v>49</v>
      </c>
      <c r="U811" s="17" t="n">
        <v>180</v>
      </c>
      <c r="W811" s="17" t="n">
        <v>0</v>
      </c>
      <c r="X811" s="1" t="s">
        <v>846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12.75" hidden="false" customHeight="true" outlineLevel="0" collapsed="false">
      <c r="A812" s="16" t="n">
        <v>2</v>
      </c>
      <c r="B812" s="15" t="n">
        <v>46224</v>
      </c>
      <c r="C812" s="15" t="n">
        <v>46224</v>
      </c>
      <c r="D812" s="16" t="n">
        <v>48</v>
      </c>
      <c r="E812" s="1" t="s">
        <v>132</v>
      </c>
      <c r="F812" s="16" t="n">
        <v>34</v>
      </c>
      <c r="G812" s="1" t="s">
        <v>97</v>
      </c>
      <c r="H812" s="16" t="n">
        <v>2110101</v>
      </c>
      <c r="I812" s="1" t="s">
        <v>33</v>
      </c>
      <c r="J812" s="16" t="n">
        <v>1429010</v>
      </c>
      <c r="L812" s="16" t="n">
        <v>2554</v>
      </c>
      <c r="M812" s="1" t="s">
        <v>83</v>
      </c>
      <c r="N812" s="1" t="s">
        <v>54</v>
      </c>
      <c r="P812" s="16" t="n">
        <v>113</v>
      </c>
      <c r="Q812" s="1" t="s">
        <v>36</v>
      </c>
      <c r="R812" s="1" t="s">
        <v>48</v>
      </c>
      <c r="S812" s="16" t="n">
        <v>1130101</v>
      </c>
      <c r="T812" s="1" t="s">
        <v>49</v>
      </c>
      <c r="U812" s="17" t="n">
        <v>1446.94</v>
      </c>
      <c r="W812" s="17" t="n">
        <v>0</v>
      </c>
      <c r="X812" s="1" t="s">
        <v>395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6" t="n">
        <v>2</v>
      </c>
      <c r="B813" s="15" t="n">
        <v>46224</v>
      </c>
      <c r="C813" s="15" t="n">
        <v>46224</v>
      </c>
      <c r="D813" s="16" t="n">
        <v>1037</v>
      </c>
      <c r="E813" s="1" t="s">
        <v>139</v>
      </c>
      <c r="F813" s="16" t="n">
        <v>34</v>
      </c>
      <c r="G813" s="1" t="s">
        <v>97</v>
      </c>
      <c r="H813" s="16" t="n">
        <v>1110203</v>
      </c>
      <c r="I813" s="1" t="s">
        <v>108</v>
      </c>
      <c r="J813" s="16" t="n">
        <v>1429221</v>
      </c>
      <c r="L813" s="16" t="n">
        <v>191683</v>
      </c>
      <c r="M813" s="1" t="s">
        <v>83</v>
      </c>
      <c r="N813" s="1" t="s">
        <v>35</v>
      </c>
      <c r="P813" s="16" t="n">
        <v>113</v>
      </c>
      <c r="Q813" s="1" t="s">
        <v>36</v>
      </c>
      <c r="R813" s="1" t="s">
        <v>48</v>
      </c>
      <c r="S813" s="16" t="n">
        <v>1130101</v>
      </c>
      <c r="T813" s="1" t="s">
        <v>49</v>
      </c>
      <c r="U813" s="17" t="n">
        <v>190</v>
      </c>
      <c r="W813" s="17" t="n">
        <v>0</v>
      </c>
      <c r="X813" s="1" t="s">
        <v>847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6" t="n">
        <v>2</v>
      </c>
      <c r="B814" s="15" t="n">
        <v>46224</v>
      </c>
      <c r="C814" s="15" t="n">
        <v>46224</v>
      </c>
      <c r="D814" s="16" t="n">
        <v>48</v>
      </c>
      <c r="E814" s="1" t="s">
        <v>132</v>
      </c>
      <c r="F814" s="16" t="n">
        <v>34</v>
      </c>
      <c r="G814" s="1" t="s">
        <v>97</v>
      </c>
      <c r="H814" s="16" t="n">
        <v>2110101</v>
      </c>
      <c r="I814" s="1" t="s">
        <v>33</v>
      </c>
      <c r="J814" s="16" t="n">
        <v>1429542</v>
      </c>
      <c r="L814" s="16" t="n">
        <v>2555</v>
      </c>
      <c r="M814" s="1" t="s">
        <v>83</v>
      </c>
      <c r="N814" s="1" t="s">
        <v>54</v>
      </c>
      <c r="P814" s="16" t="n">
        <v>113</v>
      </c>
      <c r="Q814" s="1" t="s">
        <v>36</v>
      </c>
      <c r="R814" s="1" t="s">
        <v>48</v>
      </c>
      <c r="S814" s="16" t="n">
        <v>1130101</v>
      </c>
      <c r="T814" s="1" t="s">
        <v>49</v>
      </c>
      <c r="U814" s="17" t="n">
        <v>55</v>
      </c>
      <c r="W814" s="17" t="n">
        <v>0</v>
      </c>
      <c r="X814" s="1" t="s">
        <v>848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6" t="n">
        <v>2</v>
      </c>
      <c r="B815" s="15" t="n">
        <v>46224</v>
      </c>
      <c r="C815" s="15" t="n">
        <v>46224</v>
      </c>
      <c r="D815" s="16" t="n">
        <v>48</v>
      </c>
      <c r="E815" s="1" t="s">
        <v>132</v>
      </c>
      <c r="F815" s="16" t="n">
        <v>13</v>
      </c>
      <c r="G815" s="1" t="s">
        <v>133</v>
      </c>
      <c r="H815" s="16" t="n">
        <v>2110101</v>
      </c>
      <c r="I815" s="1" t="s">
        <v>33</v>
      </c>
      <c r="J815" s="16" t="n">
        <v>1429592</v>
      </c>
      <c r="L815" s="16" t="n">
        <v>2556</v>
      </c>
      <c r="M815" s="1" t="s">
        <v>83</v>
      </c>
      <c r="N815" s="1" t="s">
        <v>54</v>
      </c>
      <c r="P815" s="16" t="n">
        <v>113</v>
      </c>
      <c r="Q815" s="1" t="s">
        <v>36</v>
      </c>
      <c r="R815" s="1" t="s">
        <v>48</v>
      </c>
      <c r="S815" s="16" t="n">
        <v>1130101</v>
      </c>
      <c r="T815" s="1" t="s">
        <v>49</v>
      </c>
      <c r="U815" s="17" t="n">
        <v>210</v>
      </c>
      <c r="W815" s="17" t="n">
        <v>210</v>
      </c>
      <c r="X815" s="1" t="s">
        <v>849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6" t="n">
        <v>2</v>
      </c>
      <c r="B816" s="15" t="n">
        <v>46224</v>
      </c>
      <c r="C816" s="15" t="n">
        <v>46224</v>
      </c>
      <c r="D816" s="16" t="n">
        <v>1758</v>
      </c>
      <c r="E816" s="1" t="s">
        <v>432</v>
      </c>
      <c r="F816" s="16" t="n">
        <v>34</v>
      </c>
      <c r="G816" s="1" t="s">
        <v>97</v>
      </c>
      <c r="H816" s="16" t="n">
        <v>1110203</v>
      </c>
      <c r="I816" s="1" t="s">
        <v>108</v>
      </c>
      <c r="J816" s="16" t="n">
        <v>1429802</v>
      </c>
      <c r="L816" s="16" t="n">
        <v>192120</v>
      </c>
      <c r="M816" s="1" t="s">
        <v>83</v>
      </c>
      <c r="N816" s="1" t="s">
        <v>35</v>
      </c>
      <c r="P816" s="16" t="n">
        <v>101</v>
      </c>
      <c r="Q816" s="1" t="s">
        <v>42</v>
      </c>
      <c r="R816" s="1" t="s">
        <v>56</v>
      </c>
      <c r="S816" s="16" t="n">
        <v>4210215</v>
      </c>
      <c r="T816" s="1" t="s">
        <v>850</v>
      </c>
      <c r="U816" s="17" t="n">
        <v>301.61</v>
      </c>
      <c r="W816" s="17" t="n">
        <v>0</v>
      </c>
      <c r="X816" s="1" t="s">
        <v>851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true" outlineLevel="0" collapsed="false">
      <c r="A817" s="16" t="n">
        <v>2</v>
      </c>
      <c r="B817" s="15" t="n">
        <v>46224</v>
      </c>
      <c r="C817" s="15" t="n">
        <v>46224</v>
      </c>
      <c r="D817" s="16" t="n">
        <v>1037</v>
      </c>
      <c r="E817" s="1" t="s">
        <v>139</v>
      </c>
      <c r="F817" s="16" t="n">
        <v>34</v>
      </c>
      <c r="G817" s="1" t="s">
        <v>97</v>
      </c>
      <c r="H817" s="16" t="n">
        <v>1110203</v>
      </c>
      <c r="I817" s="1" t="s">
        <v>108</v>
      </c>
      <c r="J817" s="16" t="n">
        <v>1434276</v>
      </c>
      <c r="L817" s="16" t="n">
        <v>193648</v>
      </c>
      <c r="M817" s="1" t="s">
        <v>83</v>
      </c>
      <c r="N817" s="1" t="s">
        <v>35</v>
      </c>
      <c r="P817" s="16" t="n">
        <v>102</v>
      </c>
      <c r="Q817" s="1" t="s">
        <v>282</v>
      </c>
      <c r="R817" s="1" t="s">
        <v>43</v>
      </c>
      <c r="S817" s="16" t="n">
        <v>4220199</v>
      </c>
      <c r="T817" s="1" t="s">
        <v>44</v>
      </c>
      <c r="U817" s="17" t="n">
        <v>4888</v>
      </c>
      <c r="W817" s="17" t="n">
        <v>0</v>
      </c>
      <c r="X817" s="1" t="s">
        <v>852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</row>
    <row r="818" customFormat="false" ht="12.75" hidden="false" customHeight="true" outlineLevel="0" collapsed="false">
      <c r="A818" s="16" t="n">
        <v>2</v>
      </c>
      <c r="B818" s="15" t="n">
        <v>46197</v>
      </c>
      <c r="C818" s="15" t="n">
        <v>46225</v>
      </c>
      <c r="D818" s="16" t="n">
        <v>607</v>
      </c>
      <c r="E818" s="1" t="s">
        <v>254</v>
      </c>
      <c r="F818" s="16" t="n">
        <v>24</v>
      </c>
      <c r="G818" s="1" t="s">
        <v>77</v>
      </c>
      <c r="H818" s="16" t="n">
        <v>2110101</v>
      </c>
      <c r="I818" s="1" t="s">
        <v>33</v>
      </c>
      <c r="J818" s="16" t="n">
        <v>1300232</v>
      </c>
      <c r="L818" s="16" t="n">
        <v>10860</v>
      </c>
      <c r="M818" s="1" t="s">
        <v>74</v>
      </c>
      <c r="N818" s="1" t="s">
        <v>54</v>
      </c>
      <c r="P818" s="16" t="n">
        <v>113</v>
      </c>
      <c r="Q818" s="1" t="s">
        <v>36</v>
      </c>
      <c r="R818" s="1" t="s">
        <v>48</v>
      </c>
      <c r="S818" s="16" t="n">
        <v>1130101</v>
      </c>
      <c r="T818" s="1" t="s">
        <v>49</v>
      </c>
      <c r="U818" s="17" t="n">
        <v>1361.81</v>
      </c>
      <c r="W818" s="17" t="n">
        <v>0</v>
      </c>
      <c r="X818" s="1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6" t="n">
        <v>2</v>
      </c>
      <c r="B819" s="15" t="n">
        <v>46197</v>
      </c>
      <c r="C819" s="15" t="n">
        <v>46225</v>
      </c>
      <c r="D819" s="16" t="n">
        <v>10011</v>
      </c>
      <c r="E819" s="1" t="s">
        <v>292</v>
      </c>
      <c r="F819" s="16" t="n">
        <v>24</v>
      </c>
      <c r="G819" s="1" t="s">
        <v>77</v>
      </c>
      <c r="H819" s="16" t="n">
        <v>2110101</v>
      </c>
      <c r="I819" s="1" t="s">
        <v>33</v>
      </c>
      <c r="J819" s="16" t="n">
        <v>1300279</v>
      </c>
      <c r="L819" s="16" t="n">
        <v>34213</v>
      </c>
      <c r="M819" s="1" t="s">
        <v>83</v>
      </c>
      <c r="N819" s="1" t="s">
        <v>54</v>
      </c>
      <c r="P819" s="16" t="n">
        <v>113</v>
      </c>
      <c r="Q819" s="1" t="s">
        <v>36</v>
      </c>
      <c r="R819" s="1" t="s">
        <v>48</v>
      </c>
      <c r="S819" s="16" t="n">
        <v>1130101</v>
      </c>
      <c r="T819" s="1" t="s">
        <v>49</v>
      </c>
      <c r="U819" s="17" t="n">
        <v>1185.3</v>
      </c>
      <c r="W819" s="17" t="n">
        <v>0</v>
      </c>
      <c r="X819" s="1" t="s">
        <v>853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6" t="n">
        <v>2</v>
      </c>
      <c r="B820" s="15" t="n">
        <v>46213</v>
      </c>
      <c r="C820" s="15" t="n">
        <v>46225</v>
      </c>
      <c r="D820" s="16" t="n">
        <v>1613</v>
      </c>
      <c r="E820" s="1" t="s">
        <v>94</v>
      </c>
      <c r="F820" s="16" t="n">
        <v>24</v>
      </c>
      <c r="G820" s="1" t="s">
        <v>77</v>
      </c>
      <c r="H820" s="16" t="n">
        <v>2110101</v>
      </c>
      <c r="I820" s="1" t="s">
        <v>33</v>
      </c>
      <c r="J820" s="16" t="n">
        <v>1376659</v>
      </c>
      <c r="L820" s="16" t="n">
        <v>1605936</v>
      </c>
      <c r="M820" s="1" t="s">
        <v>83</v>
      </c>
      <c r="N820" s="1" t="s">
        <v>54</v>
      </c>
      <c r="P820" s="16" t="n">
        <v>113</v>
      </c>
      <c r="Q820" s="1" t="s">
        <v>36</v>
      </c>
      <c r="R820" s="1" t="s">
        <v>48</v>
      </c>
      <c r="S820" s="16" t="n">
        <v>1130101</v>
      </c>
      <c r="T820" s="1" t="s">
        <v>49</v>
      </c>
      <c r="U820" s="17" t="n">
        <v>1025.07</v>
      </c>
      <c r="W820" s="17" t="n">
        <v>0</v>
      </c>
      <c r="X820" s="1" t="s">
        <v>854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12.75" hidden="false" customHeight="true" outlineLevel="0" collapsed="false">
      <c r="A821" s="16" t="n">
        <v>2</v>
      </c>
      <c r="B821" s="15" t="n">
        <v>46218</v>
      </c>
      <c r="C821" s="15" t="n">
        <v>46225</v>
      </c>
      <c r="D821" s="16" t="n">
        <v>1819</v>
      </c>
      <c r="E821" s="1" t="s">
        <v>855</v>
      </c>
      <c r="F821" s="16" t="n">
        <v>24</v>
      </c>
      <c r="G821" s="1" t="s">
        <v>77</v>
      </c>
      <c r="H821" s="16" t="n">
        <v>1110203</v>
      </c>
      <c r="I821" s="1" t="s">
        <v>108</v>
      </c>
      <c r="J821" s="16" t="n">
        <v>1402776</v>
      </c>
      <c r="L821" s="16" t="n">
        <v>188803</v>
      </c>
      <c r="M821" s="1" t="s">
        <v>83</v>
      </c>
      <c r="N821" s="1" t="s">
        <v>35</v>
      </c>
      <c r="P821" s="16" t="n">
        <v>113</v>
      </c>
      <c r="Q821" s="1" t="s">
        <v>36</v>
      </c>
      <c r="R821" s="1" t="s">
        <v>48</v>
      </c>
      <c r="S821" s="16" t="n">
        <v>1130101</v>
      </c>
      <c r="T821" s="1" t="s">
        <v>49</v>
      </c>
      <c r="U821" s="17" t="n">
        <v>200</v>
      </c>
      <c r="W821" s="17" t="n">
        <v>0</v>
      </c>
      <c r="X821" s="1" t="s">
        <v>856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12.75" hidden="false" customHeight="true" outlineLevel="0" collapsed="false">
      <c r="A822" s="16" t="n">
        <v>2</v>
      </c>
      <c r="B822" s="15" t="n">
        <v>46218</v>
      </c>
      <c r="C822" s="15" t="n">
        <v>46225</v>
      </c>
      <c r="D822" s="16" t="n">
        <v>1815</v>
      </c>
      <c r="E822" s="1" t="s">
        <v>164</v>
      </c>
      <c r="F822" s="16" t="n">
        <v>24</v>
      </c>
      <c r="G822" s="1" t="s">
        <v>77</v>
      </c>
      <c r="H822" s="16" t="n">
        <v>1110203</v>
      </c>
      <c r="I822" s="1" t="s">
        <v>108</v>
      </c>
      <c r="J822" s="16" t="n">
        <v>1403054</v>
      </c>
      <c r="L822" s="16" t="n">
        <v>188872</v>
      </c>
      <c r="M822" s="1" t="s">
        <v>83</v>
      </c>
      <c r="N822" s="1" t="s">
        <v>35</v>
      </c>
      <c r="P822" s="16" t="n">
        <v>113</v>
      </c>
      <c r="Q822" s="1" t="s">
        <v>36</v>
      </c>
      <c r="R822" s="1" t="s">
        <v>48</v>
      </c>
      <c r="S822" s="16" t="n">
        <v>1130101</v>
      </c>
      <c r="T822" s="1" t="s">
        <v>49</v>
      </c>
      <c r="U822" s="17" t="n">
        <v>2806.49</v>
      </c>
      <c r="W822" s="17" t="n">
        <v>0</v>
      </c>
      <c r="X822" s="1" t="s">
        <v>857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6" t="n">
        <v>2</v>
      </c>
      <c r="B823" s="15" t="n">
        <v>46219</v>
      </c>
      <c r="C823" s="15" t="n">
        <v>46225</v>
      </c>
      <c r="D823" s="16" t="n">
        <v>1699</v>
      </c>
      <c r="E823" s="1" t="s">
        <v>208</v>
      </c>
      <c r="F823" s="16" t="n">
        <v>24</v>
      </c>
      <c r="G823" s="1" t="s">
        <v>77</v>
      </c>
      <c r="H823" s="16" t="n">
        <v>1110203</v>
      </c>
      <c r="I823" s="1" t="s">
        <v>108</v>
      </c>
      <c r="J823" s="16" t="n">
        <v>1406622</v>
      </c>
      <c r="L823" s="16" t="n">
        <v>189408</v>
      </c>
      <c r="M823" s="1" t="s">
        <v>83</v>
      </c>
      <c r="N823" s="1" t="s">
        <v>35</v>
      </c>
      <c r="P823" s="16" t="n">
        <v>113</v>
      </c>
      <c r="Q823" s="1" t="s">
        <v>36</v>
      </c>
      <c r="R823" s="1" t="s">
        <v>48</v>
      </c>
      <c r="S823" s="16" t="n">
        <v>1130101</v>
      </c>
      <c r="T823" s="1" t="s">
        <v>49</v>
      </c>
      <c r="U823" s="17" t="n">
        <v>1021.83</v>
      </c>
      <c r="W823" s="17" t="n">
        <v>0</v>
      </c>
      <c r="X823" s="1" t="s">
        <v>858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6" t="n">
        <v>2</v>
      </c>
      <c r="B824" s="15" t="n">
        <v>46219</v>
      </c>
      <c r="C824" s="15" t="n">
        <v>46225</v>
      </c>
      <c r="D824" s="16" t="n">
        <v>1625</v>
      </c>
      <c r="E824" s="1" t="s">
        <v>248</v>
      </c>
      <c r="F824" s="16" t="n">
        <v>24</v>
      </c>
      <c r="G824" s="1" t="s">
        <v>77</v>
      </c>
      <c r="H824" s="16" t="n">
        <v>1110203</v>
      </c>
      <c r="I824" s="1" t="s">
        <v>108</v>
      </c>
      <c r="J824" s="16" t="n">
        <v>1407422</v>
      </c>
      <c r="L824" s="16" t="n">
        <v>189622</v>
      </c>
      <c r="M824" s="1" t="s">
        <v>83</v>
      </c>
      <c r="N824" s="1" t="s">
        <v>35</v>
      </c>
      <c r="P824" s="16" t="n">
        <v>113</v>
      </c>
      <c r="Q824" s="1" t="s">
        <v>36</v>
      </c>
      <c r="R824" s="1" t="s">
        <v>48</v>
      </c>
      <c r="S824" s="16" t="n">
        <v>1130101</v>
      </c>
      <c r="T824" s="1" t="s">
        <v>49</v>
      </c>
      <c r="U824" s="17" t="n">
        <v>4093.4</v>
      </c>
      <c r="W824" s="17" t="n">
        <v>0</v>
      </c>
      <c r="X824" s="1" t="s">
        <v>859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6" t="n">
        <v>2</v>
      </c>
      <c r="B825" s="15" t="n">
        <v>46225</v>
      </c>
      <c r="C825" s="15" t="n">
        <v>46225</v>
      </c>
      <c r="D825" s="16" t="n">
        <v>48</v>
      </c>
      <c r="E825" s="1" t="s">
        <v>132</v>
      </c>
      <c r="F825" s="16" t="n">
        <v>13</v>
      </c>
      <c r="G825" s="1" t="s">
        <v>133</v>
      </c>
      <c r="H825" s="16" t="n">
        <v>2110101</v>
      </c>
      <c r="I825" s="1" t="s">
        <v>33</v>
      </c>
      <c r="J825" s="16" t="n">
        <v>1435859</v>
      </c>
      <c r="L825" s="16" t="n">
        <v>2557</v>
      </c>
      <c r="M825" s="1" t="s">
        <v>83</v>
      </c>
      <c r="N825" s="1" t="s">
        <v>54</v>
      </c>
      <c r="P825" s="16" t="n">
        <v>113</v>
      </c>
      <c r="Q825" s="1" t="s">
        <v>36</v>
      </c>
      <c r="R825" s="1" t="s">
        <v>48</v>
      </c>
      <c r="S825" s="16" t="n">
        <v>1130101</v>
      </c>
      <c r="T825" s="1" t="s">
        <v>49</v>
      </c>
      <c r="U825" s="17" t="n">
        <v>210</v>
      </c>
      <c r="W825" s="17" t="n">
        <v>210</v>
      </c>
      <c r="X825" s="1" t="s">
        <v>860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6" t="n">
        <v>2</v>
      </c>
      <c r="B826" s="15" t="n">
        <v>46225</v>
      </c>
      <c r="C826" s="15" t="n">
        <v>46225</v>
      </c>
      <c r="D826" s="16" t="n">
        <v>10096</v>
      </c>
      <c r="E826" s="1" t="s">
        <v>552</v>
      </c>
      <c r="F826" s="16" t="n">
        <v>13</v>
      </c>
      <c r="G826" s="1" t="s">
        <v>133</v>
      </c>
      <c r="H826" s="16" t="n">
        <v>1110203</v>
      </c>
      <c r="I826" s="1" t="s">
        <v>108</v>
      </c>
      <c r="J826" s="16" t="n">
        <v>1439047</v>
      </c>
      <c r="L826" s="16" t="n">
        <v>194456</v>
      </c>
      <c r="M826" s="1" t="s">
        <v>83</v>
      </c>
      <c r="N826" s="1" t="s">
        <v>35</v>
      </c>
      <c r="P826" s="16" t="n">
        <v>113</v>
      </c>
      <c r="Q826" s="1" t="s">
        <v>36</v>
      </c>
      <c r="R826" s="1" t="s">
        <v>48</v>
      </c>
      <c r="S826" s="16" t="n">
        <v>1130101</v>
      </c>
      <c r="T826" s="1" t="s">
        <v>49</v>
      </c>
      <c r="U826" s="17" t="n">
        <v>120</v>
      </c>
      <c r="W826" s="17" t="n">
        <v>120</v>
      </c>
      <c r="X826" s="1" t="s">
        <v>861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12.75" hidden="false" customHeight="true" outlineLevel="0" collapsed="false">
      <c r="A827" s="16" t="n">
        <v>2</v>
      </c>
      <c r="B827" s="15" t="n">
        <v>46165</v>
      </c>
      <c r="C827" s="15" t="n">
        <v>46226</v>
      </c>
      <c r="D827" s="16" t="n">
        <v>639</v>
      </c>
      <c r="E827" s="1" t="s">
        <v>443</v>
      </c>
      <c r="F827" s="16" t="n">
        <v>24</v>
      </c>
      <c r="G827" s="1" t="s">
        <v>77</v>
      </c>
      <c r="H827" s="16" t="n">
        <v>2110405</v>
      </c>
      <c r="I827" s="1" t="s">
        <v>41</v>
      </c>
      <c r="J827" s="16" t="n">
        <v>1141287</v>
      </c>
      <c r="L827" s="16" t="n">
        <v>151507</v>
      </c>
      <c r="M827" s="1" t="s">
        <v>83</v>
      </c>
      <c r="N827" s="1" t="s">
        <v>35</v>
      </c>
      <c r="P827" s="16" t="n">
        <v>101</v>
      </c>
      <c r="Q827" s="1" t="s">
        <v>42</v>
      </c>
      <c r="R827" s="1" t="s">
        <v>56</v>
      </c>
      <c r="S827" s="16" t="n">
        <v>4210216</v>
      </c>
      <c r="T827" s="1" t="s">
        <v>444</v>
      </c>
      <c r="U827" s="17" t="n">
        <v>396.64</v>
      </c>
      <c r="W827" s="17" t="n">
        <v>0</v>
      </c>
      <c r="X827" s="1" t="s">
        <v>862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true" outlineLevel="0" collapsed="false">
      <c r="A828" s="16" t="n">
        <v>2</v>
      </c>
      <c r="B828" s="15" t="n">
        <v>46189</v>
      </c>
      <c r="C828" s="15" t="n">
        <v>46226</v>
      </c>
      <c r="D828" s="16" t="n">
        <v>1624</v>
      </c>
      <c r="E828" s="1" t="s">
        <v>300</v>
      </c>
      <c r="F828" s="16" t="n">
        <v>24</v>
      </c>
      <c r="G828" s="1" t="s">
        <v>77</v>
      </c>
      <c r="H828" s="16" t="n">
        <v>2110101</v>
      </c>
      <c r="I828" s="1" t="s">
        <v>33</v>
      </c>
      <c r="J828" s="16" t="n">
        <v>1261007</v>
      </c>
      <c r="L828" s="16" t="n">
        <v>658429</v>
      </c>
      <c r="M828" s="1" t="s">
        <v>71</v>
      </c>
      <c r="N828" s="1" t="s">
        <v>54</v>
      </c>
      <c r="P828" s="16" t="n">
        <v>113</v>
      </c>
      <c r="Q828" s="1" t="s">
        <v>36</v>
      </c>
      <c r="R828" s="1" t="s">
        <v>48</v>
      </c>
      <c r="S828" s="16" t="n">
        <v>1130101</v>
      </c>
      <c r="T828" s="1" t="s">
        <v>49</v>
      </c>
      <c r="U828" s="17" t="n">
        <v>550.4</v>
      </c>
      <c r="W828" s="17" t="n">
        <v>0</v>
      </c>
      <c r="X828" s="1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12.75" hidden="false" customHeight="true" outlineLevel="0" collapsed="false">
      <c r="A829" s="16" t="n">
        <v>2</v>
      </c>
      <c r="B829" s="15" t="n">
        <v>46195</v>
      </c>
      <c r="C829" s="15" t="n">
        <v>46226</v>
      </c>
      <c r="D829" s="16" t="n">
        <v>10012</v>
      </c>
      <c r="E829" s="1" t="s">
        <v>160</v>
      </c>
      <c r="F829" s="16" t="n">
        <v>24</v>
      </c>
      <c r="G829" s="1" t="s">
        <v>77</v>
      </c>
      <c r="H829" s="16" t="n">
        <v>2110101</v>
      </c>
      <c r="I829" s="1" t="s">
        <v>33</v>
      </c>
      <c r="J829" s="16" t="n">
        <v>1289819</v>
      </c>
      <c r="L829" s="16" t="n">
        <v>1959276</v>
      </c>
      <c r="M829" s="1" t="s">
        <v>62</v>
      </c>
      <c r="N829" s="1" t="s">
        <v>54</v>
      </c>
      <c r="P829" s="16" t="n">
        <v>113</v>
      </c>
      <c r="Q829" s="1" t="s">
        <v>36</v>
      </c>
      <c r="R829" s="1" t="s">
        <v>48</v>
      </c>
      <c r="S829" s="16" t="n">
        <v>1130101</v>
      </c>
      <c r="T829" s="1" t="s">
        <v>49</v>
      </c>
      <c r="U829" s="17" t="n">
        <v>653.86</v>
      </c>
      <c r="W829" s="17" t="n">
        <v>0</v>
      </c>
      <c r="X829" s="1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6" t="n">
        <v>2</v>
      </c>
      <c r="B830" s="15" t="n">
        <v>46198</v>
      </c>
      <c r="C830" s="15" t="n">
        <v>46226</v>
      </c>
      <c r="D830" s="16" t="n">
        <v>1608</v>
      </c>
      <c r="E830" s="1" t="s">
        <v>201</v>
      </c>
      <c r="F830" s="16" t="n">
        <v>24</v>
      </c>
      <c r="G830" s="1" t="s">
        <v>77</v>
      </c>
      <c r="H830" s="16" t="n">
        <v>2110101</v>
      </c>
      <c r="I830" s="1" t="s">
        <v>33</v>
      </c>
      <c r="J830" s="16" t="n">
        <v>1305623</v>
      </c>
      <c r="L830" s="16" t="n">
        <v>1680694</v>
      </c>
      <c r="M830" s="1" t="s">
        <v>83</v>
      </c>
      <c r="N830" s="1" t="s">
        <v>54</v>
      </c>
      <c r="P830" s="16" t="n">
        <v>113</v>
      </c>
      <c r="Q830" s="1" t="s">
        <v>36</v>
      </c>
      <c r="R830" s="1" t="s">
        <v>48</v>
      </c>
      <c r="S830" s="16" t="n">
        <v>1130101</v>
      </c>
      <c r="T830" s="1" t="s">
        <v>49</v>
      </c>
      <c r="U830" s="17" t="n">
        <v>1383</v>
      </c>
      <c r="W830" s="17" t="n">
        <v>0</v>
      </c>
      <c r="X830" s="1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6" t="n">
        <v>2</v>
      </c>
      <c r="B831" s="15" t="n">
        <v>46205</v>
      </c>
      <c r="C831" s="15" t="n">
        <v>46226</v>
      </c>
      <c r="D831" s="16" t="n">
        <v>1815</v>
      </c>
      <c r="E831" s="1" t="s">
        <v>164</v>
      </c>
      <c r="F831" s="16" t="n">
        <v>24</v>
      </c>
      <c r="G831" s="1" t="s">
        <v>77</v>
      </c>
      <c r="H831" s="16" t="n">
        <v>2110101</v>
      </c>
      <c r="I831" s="1" t="s">
        <v>33</v>
      </c>
      <c r="J831" s="16" t="n">
        <v>1339618</v>
      </c>
      <c r="L831" s="16" t="n">
        <v>390211</v>
      </c>
      <c r="M831" s="1" t="s">
        <v>62</v>
      </c>
      <c r="N831" s="1" t="s">
        <v>54</v>
      </c>
      <c r="P831" s="16" t="n">
        <v>113</v>
      </c>
      <c r="Q831" s="1" t="s">
        <v>36</v>
      </c>
      <c r="R831" s="1" t="s">
        <v>48</v>
      </c>
      <c r="S831" s="16" t="n">
        <v>1130101</v>
      </c>
      <c r="T831" s="1" t="s">
        <v>49</v>
      </c>
      <c r="U831" s="17" t="n">
        <v>2005.44</v>
      </c>
      <c r="W831" s="17" t="n">
        <v>0</v>
      </c>
      <c r="X831" s="1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6" t="n">
        <v>2</v>
      </c>
      <c r="B832" s="15" t="n">
        <v>46211</v>
      </c>
      <c r="C832" s="15" t="n">
        <v>46226</v>
      </c>
      <c r="D832" s="16" t="n">
        <v>1705</v>
      </c>
      <c r="E832" s="1" t="s">
        <v>119</v>
      </c>
      <c r="F832" s="16" t="n">
        <v>24</v>
      </c>
      <c r="G832" s="1" t="s">
        <v>77</v>
      </c>
      <c r="H832" s="16" t="n">
        <v>2110101</v>
      </c>
      <c r="I832" s="1" t="s">
        <v>33</v>
      </c>
      <c r="J832" s="16" t="n">
        <v>1369053</v>
      </c>
      <c r="L832" s="16" t="n">
        <v>1193391</v>
      </c>
      <c r="M832" s="1" t="s">
        <v>83</v>
      </c>
      <c r="N832" s="1" t="s">
        <v>54</v>
      </c>
      <c r="P832" s="16" t="n">
        <v>113</v>
      </c>
      <c r="Q832" s="1" t="s">
        <v>36</v>
      </c>
      <c r="R832" s="1" t="s">
        <v>48</v>
      </c>
      <c r="S832" s="16" t="n">
        <v>1130101</v>
      </c>
      <c r="T832" s="1" t="s">
        <v>49</v>
      </c>
      <c r="U832" s="17" t="n">
        <v>636.39</v>
      </c>
      <c r="W832" s="17" t="n">
        <v>0</v>
      </c>
      <c r="X832" s="1" t="s">
        <v>864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6" t="n">
        <v>2</v>
      </c>
      <c r="B833" s="15" t="n">
        <v>46211</v>
      </c>
      <c r="C833" s="15" t="n">
        <v>46226</v>
      </c>
      <c r="D833" s="16" t="n">
        <v>1705</v>
      </c>
      <c r="E833" s="1" t="s">
        <v>119</v>
      </c>
      <c r="F833" s="16" t="n">
        <v>24</v>
      </c>
      <c r="G833" s="1" t="s">
        <v>77</v>
      </c>
      <c r="H833" s="16" t="n">
        <v>2110101</v>
      </c>
      <c r="I833" s="1" t="s">
        <v>33</v>
      </c>
      <c r="J833" s="16" t="n">
        <v>1369061</v>
      </c>
      <c r="L833" s="16" t="n">
        <v>1193333</v>
      </c>
      <c r="M833" s="1" t="s">
        <v>83</v>
      </c>
      <c r="N833" s="1" t="s">
        <v>54</v>
      </c>
      <c r="P833" s="16" t="n">
        <v>113</v>
      </c>
      <c r="Q833" s="1" t="s">
        <v>36</v>
      </c>
      <c r="R833" s="1" t="s">
        <v>48</v>
      </c>
      <c r="S833" s="16" t="n">
        <v>1130101</v>
      </c>
      <c r="T833" s="1" t="s">
        <v>49</v>
      </c>
      <c r="U833" s="17" t="n">
        <v>636.39</v>
      </c>
      <c r="W833" s="17" t="n">
        <v>0</v>
      </c>
      <c r="X833" s="1" t="s">
        <v>865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12.75" hidden="false" customHeight="true" outlineLevel="0" collapsed="false">
      <c r="A834" s="16" t="n">
        <v>2</v>
      </c>
      <c r="B834" s="15" t="n">
        <v>46211</v>
      </c>
      <c r="C834" s="15" t="n">
        <v>46226</v>
      </c>
      <c r="D834" s="16" t="n">
        <v>1705</v>
      </c>
      <c r="E834" s="1" t="s">
        <v>119</v>
      </c>
      <c r="F834" s="16" t="n">
        <v>24</v>
      </c>
      <c r="G834" s="1" t="s">
        <v>77</v>
      </c>
      <c r="H834" s="16" t="n">
        <v>2110101</v>
      </c>
      <c r="I834" s="1" t="s">
        <v>33</v>
      </c>
      <c r="J834" s="16" t="n">
        <v>1369069</v>
      </c>
      <c r="L834" s="16" t="n">
        <v>1923967</v>
      </c>
      <c r="M834" s="1" t="s">
        <v>83</v>
      </c>
      <c r="N834" s="1" t="s">
        <v>54</v>
      </c>
      <c r="P834" s="16" t="n">
        <v>113</v>
      </c>
      <c r="Q834" s="1" t="s">
        <v>36</v>
      </c>
      <c r="R834" s="1" t="s">
        <v>48</v>
      </c>
      <c r="S834" s="16" t="n">
        <v>1130101</v>
      </c>
      <c r="T834" s="1" t="s">
        <v>49</v>
      </c>
      <c r="U834" s="17" t="n">
        <v>76.19</v>
      </c>
      <c r="W834" s="17" t="n">
        <v>0</v>
      </c>
      <c r="X834" s="1" t="s">
        <v>866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6" t="n">
        <v>2</v>
      </c>
      <c r="B835" s="15" t="n">
        <v>46211</v>
      </c>
      <c r="C835" s="15" t="n">
        <v>46226</v>
      </c>
      <c r="D835" s="16" t="n">
        <v>1705</v>
      </c>
      <c r="E835" s="1" t="s">
        <v>119</v>
      </c>
      <c r="F835" s="16" t="n">
        <v>24</v>
      </c>
      <c r="G835" s="1" t="s">
        <v>77</v>
      </c>
      <c r="H835" s="16" t="n">
        <v>2110101</v>
      </c>
      <c r="I835" s="1" t="s">
        <v>33</v>
      </c>
      <c r="J835" s="16" t="n">
        <v>1369169</v>
      </c>
      <c r="L835" s="16" t="n">
        <v>1923963</v>
      </c>
      <c r="M835" s="1" t="s">
        <v>83</v>
      </c>
      <c r="N835" s="1" t="s">
        <v>54</v>
      </c>
      <c r="P835" s="16" t="n">
        <v>113</v>
      </c>
      <c r="Q835" s="1" t="s">
        <v>36</v>
      </c>
      <c r="R835" s="1" t="s">
        <v>48</v>
      </c>
      <c r="S835" s="16" t="n">
        <v>1130101</v>
      </c>
      <c r="T835" s="1" t="s">
        <v>49</v>
      </c>
      <c r="U835" s="17" t="n">
        <v>225.5</v>
      </c>
      <c r="W835" s="17" t="n">
        <v>0</v>
      </c>
      <c r="X835" s="1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" t="n">
        <v>2</v>
      </c>
      <c r="B836" s="15" t="n">
        <v>46211</v>
      </c>
      <c r="C836" s="15" t="n">
        <v>46226</v>
      </c>
      <c r="D836" s="1" t="n">
        <v>1705</v>
      </c>
      <c r="E836" s="1" t="s">
        <v>119</v>
      </c>
      <c r="F836" s="1" t="n">
        <v>24</v>
      </c>
      <c r="G836" s="1" t="s">
        <v>77</v>
      </c>
      <c r="H836" s="1" t="n">
        <v>2110101</v>
      </c>
      <c r="I836" s="1" t="s">
        <v>33</v>
      </c>
      <c r="J836" s="1" t="n">
        <v>1369182</v>
      </c>
      <c r="L836" s="1" t="n">
        <v>1923964</v>
      </c>
      <c r="M836" s="1" t="s">
        <v>83</v>
      </c>
      <c r="N836" s="1" t="s">
        <v>54</v>
      </c>
      <c r="P836" s="1" t="n">
        <v>113</v>
      </c>
      <c r="Q836" s="1" t="s">
        <v>36</v>
      </c>
      <c r="R836" s="1" t="s">
        <v>48</v>
      </c>
      <c r="S836" s="1" t="n">
        <v>1130101</v>
      </c>
      <c r="T836" s="1" t="s">
        <v>49</v>
      </c>
      <c r="U836" s="17" t="n">
        <v>221</v>
      </c>
      <c r="W836" s="1" t="n">
        <v>0</v>
      </c>
      <c r="X836" s="1" t="s">
        <v>868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" t="n">
        <v>2</v>
      </c>
      <c r="B837" s="15" t="n">
        <v>46211</v>
      </c>
      <c r="C837" s="15" t="n">
        <v>46226</v>
      </c>
      <c r="D837" s="1" t="n">
        <v>1705</v>
      </c>
      <c r="E837" s="1" t="s">
        <v>119</v>
      </c>
      <c r="F837" s="1" t="n">
        <v>24</v>
      </c>
      <c r="G837" s="1" t="s">
        <v>77</v>
      </c>
      <c r="H837" s="1" t="n">
        <v>2110101</v>
      </c>
      <c r="I837" s="1" t="s">
        <v>33</v>
      </c>
      <c r="J837" s="1" t="n">
        <v>1369445</v>
      </c>
      <c r="L837" s="1" t="n">
        <v>1193336</v>
      </c>
      <c r="M837" s="1" t="s">
        <v>83</v>
      </c>
      <c r="N837" s="1" t="s">
        <v>54</v>
      </c>
      <c r="P837" s="1" t="n">
        <v>113</v>
      </c>
      <c r="Q837" s="1" t="s">
        <v>36</v>
      </c>
      <c r="R837" s="1" t="s">
        <v>48</v>
      </c>
      <c r="S837" s="1" t="n">
        <v>1130101</v>
      </c>
      <c r="T837" s="1" t="s">
        <v>49</v>
      </c>
      <c r="U837" s="17" t="n">
        <v>104.51</v>
      </c>
      <c r="W837" s="1" t="n">
        <v>0</v>
      </c>
      <c r="X837" s="1" t="s">
        <v>869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12.75" hidden="false" customHeight="true" outlineLevel="0" collapsed="false">
      <c r="A838" s="1" t="n">
        <v>2</v>
      </c>
      <c r="B838" s="15" t="n">
        <v>46212</v>
      </c>
      <c r="C838" s="15" t="n">
        <v>46226</v>
      </c>
      <c r="D838" s="1" t="n">
        <v>1601</v>
      </c>
      <c r="E838" s="1" t="s">
        <v>175</v>
      </c>
      <c r="F838" s="1" t="n">
        <v>24</v>
      </c>
      <c r="G838" s="1" t="s">
        <v>77</v>
      </c>
      <c r="H838" s="1" t="n">
        <v>2110101</v>
      </c>
      <c r="I838" s="1" t="s">
        <v>33</v>
      </c>
      <c r="J838" s="1" t="n">
        <v>1373725</v>
      </c>
      <c r="L838" s="1" t="n">
        <v>851821</v>
      </c>
      <c r="M838" s="1" t="s">
        <v>83</v>
      </c>
      <c r="N838" s="1" t="s">
        <v>54</v>
      </c>
      <c r="P838" s="1" t="n">
        <v>113</v>
      </c>
      <c r="Q838" s="1" t="s">
        <v>36</v>
      </c>
      <c r="R838" s="1" t="s">
        <v>48</v>
      </c>
      <c r="S838" s="1" t="n">
        <v>1130101</v>
      </c>
      <c r="T838" s="1" t="s">
        <v>49</v>
      </c>
      <c r="U838" s="17" t="n">
        <v>426.95</v>
      </c>
      <c r="W838" s="1" t="n">
        <v>0</v>
      </c>
      <c r="X838" s="1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12.75" hidden="false" customHeight="true" outlineLevel="0" collapsed="false">
      <c r="A839" s="1" t="n">
        <v>2</v>
      </c>
      <c r="B839" s="15" t="n">
        <v>46212</v>
      </c>
      <c r="C839" s="15" t="n">
        <v>46226</v>
      </c>
      <c r="D839" s="1" t="n">
        <v>1612</v>
      </c>
      <c r="E839" s="1" t="s">
        <v>76</v>
      </c>
      <c r="F839" s="1" t="n">
        <v>24</v>
      </c>
      <c r="G839" s="1" t="s">
        <v>77</v>
      </c>
      <c r="H839" s="1" t="n">
        <v>2110101</v>
      </c>
      <c r="I839" s="1" t="s">
        <v>33</v>
      </c>
      <c r="J839" s="1" t="n">
        <v>1374035</v>
      </c>
      <c r="L839" s="1" t="n">
        <v>2299705</v>
      </c>
      <c r="M839" s="1" t="s">
        <v>83</v>
      </c>
      <c r="N839" s="1" t="s">
        <v>54</v>
      </c>
      <c r="P839" s="1" t="n">
        <v>113</v>
      </c>
      <c r="Q839" s="1" t="s">
        <v>36</v>
      </c>
      <c r="R839" s="1" t="s">
        <v>48</v>
      </c>
      <c r="S839" s="1" t="n">
        <v>1130101</v>
      </c>
      <c r="T839" s="1" t="s">
        <v>49</v>
      </c>
      <c r="U839" s="17" t="n">
        <v>658.61</v>
      </c>
      <c r="W839" s="1" t="n">
        <v>0</v>
      </c>
      <c r="X839" s="1" t="s">
        <v>871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12.75" hidden="false" customHeight="true" outlineLevel="0" collapsed="false">
      <c r="A840" s="1" t="n">
        <v>2</v>
      </c>
      <c r="B840" s="15" t="n">
        <v>46212</v>
      </c>
      <c r="C840" s="15" t="n">
        <v>46226</v>
      </c>
      <c r="D840" s="1" t="n">
        <v>1612</v>
      </c>
      <c r="E840" s="1" t="s">
        <v>76</v>
      </c>
      <c r="F840" s="1" t="n">
        <v>24</v>
      </c>
      <c r="G840" s="1" t="s">
        <v>77</v>
      </c>
      <c r="H840" s="1" t="n">
        <v>2110101</v>
      </c>
      <c r="I840" s="1" t="s">
        <v>33</v>
      </c>
      <c r="J840" s="1" t="n">
        <v>1374249</v>
      </c>
      <c r="L840" s="1" t="n">
        <v>2299703</v>
      </c>
      <c r="M840" s="1" t="s">
        <v>83</v>
      </c>
      <c r="N840" s="1" t="s">
        <v>54</v>
      </c>
      <c r="P840" s="1" t="n">
        <v>113</v>
      </c>
      <c r="Q840" s="1" t="s">
        <v>36</v>
      </c>
      <c r="R840" s="1" t="s">
        <v>48</v>
      </c>
      <c r="S840" s="1" t="n">
        <v>1130101</v>
      </c>
      <c r="T840" s="1" t="s">
        <v>49</v>
      </c>
      <c r="U840" s="17" t="n">
        <v>377.45</v>
      </c>
      <c r="W840" s="1" t="n">
        <v>0</v>
      </c>
      <c r="X840" s="1" t="s">
        <v>872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12.75" hidden="false" customHeight="true" outlineLevel="0" collapsed="false">
      <c r="A841" s="1" t="n">
        <v>2</v>
      </c>
      <c r="B841" s="15" t="n">
        <v>46212</v>
      </c>
      <c r="C841" s="15" t="n">
        <v>46226</v>
      </c>
      <c r="D841" s="1" t="n">
        <v>1740</v>
      </c>
      <c r="E841" s="1" t="s">
        <v>410</v>
      </c>
      <c r="F841" s="1" t="n">
        <v>24</v>
      </c>
      <c r="G841" s="1" t="s">
        <v>77</v>
      </c>
      <c r="H841" s="1" t="n">
        <v>2110101</v>
      </c>
      <c r="I841" s="1" t="s">
        <v>33</v>
      </c>
      <c r="J841" s="1" t="n">
        <v>1374749</v>
      </c>
      <c r="L841" s="1" t="n">
        <v>1245696</v>
      </c>
      <c r="M841" s="1" t="s">
        <v>83</v>
      </c>
      <c r="N841" s="1" t="s">
        <v>54</v>
      </c>
      <c r="P841" s="1" t="n">
        <v>113</v>
      </c>
      <c r="Q841" s="1" t="s">
        <v>36</v>
      </c>
      <c r="R841" s="1" t="s">
        <v>48</v>
      </c>
      <c r="S841" s="1" t="n">
        <v>1130101</v>
      </c>
      <c r="T841" s="1" t="s">
        <v>49</v>
      </c>
      <c r="U841" s="17" t="n">
        <v>335.35</v>
      </c>
      <c r="W841" s="1" t="n">
        <v>0</v>
      </c>
      <c r="X841" s="1" t="s">
        <v>873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12.75" hidden="false" customHeight="true" outlineLevel="0" collapsed="false">
      <c r="A842" s="1" t="n">
        <v>2</v>
      </c>
      <c r="B842" s="15" t="n">
        <v>46213</v>
      </c>
      <c r="C842" s="15" t="n">
        <v>46226</v>
      </c>
      <c r="D842" s="1" t="n">
        <v>1667</v>
      </c>
      <c r="E842" s="1" t="s">
        <v>82</v>
      </c>
      <c r="F842" s="1" t="n">
        <v>24</v>
      </c>
      <c r="G842" s="1" t="s">
        <v>77</v>
      </c>
      <c r="H842" s="1" t="n">
        <v>2110101</v>
      </c>
      <c r="I842" s="1" t="s">
        <v>33</v>
      </c>
      <c r="J842" s="1" t="n">
        <v>1376812</v>
      </c>
      <c r="L842" s="1" t="n">
        <v>396261</v>
      </c>
      <c r="M842" s="1" t="s">
        <v>83</v>
      </c>
      <c r="N842" s="1" t="s">
        <v>54</v>
      </c>
      <c r="P842" s="1" t="n">
        <v>113</v>
      </c>
      <c r="Q842" s="1" t="s">
        <v>36</v>
      </c>
      <c r="R842" s="1" t="s">
        <v>48</v>
      </c>
      <c r="S842" s="1" t="n">
        <v>1130101</v>
      </c>
      <c r="T842" s="1" t="s">
        <v>49</v>
      </c>
      <c r="U842" s="17" t="n">
        <v>321.76</v>
      </c>
      <c r="W842" s="1" t="n">
        <v>0</v>
      </c>
      <c r="X842" s="1" t="s">
        <v>874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12.75" hidden="false" customHeight="true" outlineLevel="0" collapsed="false">
      <c r="A843" s="1" t="n">
        <v>2</v>
      </c>
      <c r="B843" s="15" t="n">
        <v>46213</v>
      </c>
      <c r="C843" s="15" t="n">
        <v>46226</v>
      </c>
      <c r="D843" s="1" t="n">
        <v>1107</v>
      </c>
      <c r="E843" s="1" t="s">
        <v>204</v>
      </c>
      <c r="F843" s="1" t="n">
        <v>24</v>
      </c>
      <c r="G843" s="1" t="s">
        <v>77</v>
      </c>
      <c r="H843" s="1" t="n">
        <v>2110101</v>
      </c>
      <c r="I843" s="1" t="s">
        <v>33</v>
      </c>
      <c r="J843" s="1" t="n">
        <v>1376909</v>
      </c>
      <c r="L843" s="1" t="n">
        <v>426652</v>
      </c>
      <c r="M843" s="1" t="s">
        <v>83</v>
      </c>
      <c r="N843" s="1" t="s">
        <v>54</v>
      </c>
      <c r="P843" s="1" t="n">
        <v>113</v>
      </c>
      <c r="Q843" s="1" t="s">
        <v>36</v>
      </c>
      <c r="R843" s="1" t="s">
        <v>48</v>
      </c>
      <c r="S843" s="1" t="n">
        <v>1130101</v>
      </c>
      <c r="T843" s="1" t="s">
        <v>49</v>
      </c>
      <c r="U843" s="17" t="n">
        <v>682.64</v>
      </c>
      <c r="W843" s="1" t="n">
        <v>0</v>
      </c>
      <c r="X843" s="1" t="s">
        <v>875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12.75" hidden="false" customHeight="true" outlineLevel="0" collapsed="false">
      <c r="A844" s="1" t="n">
        <v>2</v>
      </c>
      <c r="B844" s="15" t="n">
        <v>46213</v>
      </c>
      <c r="C844" s="15" t="n">
        <v>46226</v>
      </c>
      <c r="D844" s="1" t="n">
        <v>1789</v>
      </c>
      <c r="E844" s="1" t="s">
        <v>485</v>
      </c>
      <c r="F844" s="1" t="n">
        <v>24</v>
      </c>
      <c r="G844" s="1" t="s">
        <v>77</v>
      </c>
      <c r="H844" s="1" t="n">
        <v>2110405</v>
      </c>
      <c r="I844" s="1" t="s">
        <v>41</v>
      </c>
      <c r="J844" s="1" t="n">
        <v>1377106</v>
      </c>
      <c r="L844" s="1" t="n">
        <v>185546</v>
      </c>
      <c r="M844" s="1" t="s">
        <v>83</v>
      </c>
      <c r="N844" s="1" t="s">
        <v>35</v>
      </c>
      <c r="P844" s="1" t="n">
        <v>113</v>
      </c>
      <c r="Q844" s="1" t="s">
        <v>36</v>
      </c>
      <c r="R844" s="1" t="s">
        <v>364</v>
      </c>
      <c r="S844" s="1" t="n">
        <v>4210112</v>
      </c>
      <c r="T844" s="1" t="s">
        <v>486</v>
      </c>
      <c r="U844" s="17" t="n">
        <v>8621.9</v>
      </c>
      <c r="W844" s="1" t="n">
        <v>0</v>
      </c>
      <c r="X844" s="1" t="s">
        <v>876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12.75" hidden="false" customHeight="true" outlineLevel="0" collapsed="false">
      <c r="A845" s="1" t="n">
        <v>2</v>
      </c>
      <c r="B845" s="15" t="n">
        <v>46213</v>
      </c>
      <c r="C845" s="15" t="n">
        <v>46226</v>
      </c>
      <c r="D845" s="1" t="n">
        <v>1734</v>
      </c>
      <c r="E845" s="1" t="s">
        <v>489</v>
      </c>
      <c r="F845" s="1" t="n">
        <v>24</v>
      </c>
      <c r="G845" s="1" t="s">
        <v>77</v>
      </c>
      <c r="H845" s="1" t="n">
        <v>2110101</v>
      </c>
      <c r="I845" s="1" t="s">
        <v>33</v>
      </c>
      <c r="J845" s="1" t="n">
        <v>1377204</v>
      </c>
      <c r="L845" s="1" t="n">
        <v>255191</v>
      </c>
      <c r="M845" s="1" t="s">
        <v>83</v>
      </c>
      <c r="N845" s="1" t="s">
        <v>54</v>
      </c>
      <c r="P845" s="1" t="n">
        <v>113</v>
      </c>
      <c r="Q845" s="1" t="s">
        <v>36</v>
      </c>
      <c r="R845" s="1" t="s">
        <v>48</v>
      </c>
      <c r="S845" s="1" t="n">
        <v>1130101</v>
      </c>
      <c r="T845" s="1" t="s">
        <v>49</v>
      </c>
      <c r="U845" s="17" t="n">
        <v>771.01</v>
      </c>
      <c r="W845" s="1" t="n">
        <v>0</v>
      </c>
      <c r="X845" s="1" t="s">
        <v>877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12.75" hidden="false" customHeight="true" outlineLevel="0" collapsed="false">
      <c r="A846" s="1" t="n">
        <v>2</v>
      </c>
      <c r="B846" s="15" t="n">
        <v>46219</v>
      </c>
      <c r="C846" s="15" t="n">
        <v>46226</v>
      </c>
      <c r="D846" s="1" t="n">
        <v>1292</v>
      </c>
      <c r="E846" s="1" t="s">
        <v>188</v>
      </c>
      <c r="F846" s="1" t="n">
        <v>24</v>
      </c>
      <c r="G846" s="1" t="s">
        <v>77</v>
      </c>
      <c r="H846" s="1" t="n">
        <v>1110203</v>
      </c>
      <c r="I846" s="1" t="s">
        <v>108</v>
      </c>
      <c r="J846" s="1" t="n">
        <v>1406917</v>
      </c>
      <c r="L846" s="1" t="n">
        <v>189514</v>
      </c>
      <c r="M846" s="1" t="s">
        <v>83</v>
      </c>
      <c r="N846" s="1" t="s">
        <v>35</v>
      </c>
      <c r="P846" s="1" t="n">
        <v>113</v>
      </c>
      <c r="Q846" s="1" t="s">
        <v>36</v>
      </c>
      <c r="R846" s="1" t="s">
        <v>48</v>
      </c>
      <c r="S846" s="1" t="n">
        <v>1130101</v>
      </c>
      <c r="T846" s="1" t="s">
        <v>49</v>
      </c>
      <c r="U846" s="17" t="n">
        <v>533.5</v>
      </c>
      <c r="W846" s="1" t="n">
        <v>0</v>
      </c>
      <c r="X846" s="1" t="s">
        <v>878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12.75" hidden="false" customHeight="true" outlineLevel="0" collapsed="false">
      <c r="A847" s="1" t="n">
        <v>2</v>
      </c>
      <c r="B847" s="15" t="n">
        <v>46219</v>
      </c>
      <c r="C847" s="15" t="n">
        <v>46226</v>
      </c>
      <c r="D847" s="1" t="n">
        <v>1740</v>
      </c>
      <c r="E847" s="1" t="s">
        <v>410</v>
      </c>
      <c r="F847" s="1" t="n">
        <v>24</v>
      </c>
      <c r="G847" s="1" t="s">
        <v>77</v>
      </c>
      <c r="H847" s="1" t="n">
        <v>1110203</v>
      </c>
      <c r="I847" s="1" t="s">
        <v>108</v>
      </c>
      <c r="J847" s="1" t="n">
        <v>1407539</v>
      </c>
      <c r="L847" s="1" t="n">
        <v>189642</v>
      </c>
      <c r="M847" s="1" t="s">
        <v>83</v>
      </c>
      <c r="N847" s="1" t="s">
        <v>35</v>
      </c>
      <c r="P847" s="1" t="n">
        <v>113</v>
      </c>
      <c r="Q847" s="1" t="s">
        <v>36</v>
      </c>
      <c r="R847" s="1" t="s">
        <v>48</v>
      </c>
      <c r="S847" s="1" t="n">
        <v>1130101</v>
      </c>
      <c r="T847" s="1" t="s">
        <v>49</v>
      </c>
      <c r="U847" s="17" t="n">
        <v>593.78</v>
      </c>
      <c r="W847" s="1" t="n">
        <v>0</v>
      </c>
      <c r="X847" s="1" t="s">
        <v>879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" t="n">
        <v>2</v>
      </c>
      <c r="B848" s="15" t="n">
        <v>46220</v>
      </c>
      <c r="C848" s="15" t="n">
        <v>46226</v>
      </c>
      <c r="D848" s="1" t="n">
        <v>1363</v>
      </c>
      <c r="E848" s="1" t="s">
        <v>171</v>
      </c>
      <c r="F848" s="1" t="n">
        <v>24</v>
      </c>
      <c r="G848" s="1" t="s">
        <v>77</v>
      </c>
      <c r="H848" s="1" t="n">
        <v>1110203</v>
      </c>
      <c r="I848" s="1" t="s">
        <v>108</v>
      </c>
      <c r="J848" s="1" t="n">
        <v>1410440</v>
      </c>
      <c r="L848" s="1" t="n">
        <v>190050</v>
      </c>
      <c r="M848" s="1" t="s">
        <v>83</v>
      </c>
      <c r="N848" s="1" t="s">
        <v>35</v>
      </c>
      <c r="P848" s="1" t="n">
        <v>113</v>
      </c>
      <c r="Q848" s="1" t="s">
        <v>36</v>
      </c>
      <c r="R848" s="1" t="s">
        <v>48</v>
      </c>
      <c r="S848" s="1" t="n">
        <v>1130101</v>
      </c>
      <c r="T848" s="1" t="s">
        <v>49</v>
      </c>
      <c r="U848" s="17" t="n">
        <v>125</v>
      </c>
      <c r="W848" s="1" t="n">
        <v>0</v>
      </c>
      <c r="X848" s="1" t="s">
        <v>880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" t="n">
        <v>2</v>
      </c>
      <c r="B849" s="15" t="n">
        <v>46220</v>
      </c>
      <c r="C849" s="15" t="n">
        <v>46226</v>
      </c>
      <c r="D849" s="1" t="n">
        <v>1608</v>
      </c>
      <c r="E849" s="1" t="s">
        <v>201</v>
      </c>
      <c r="F849" s="1" t="n">
        <v>24</v>
      </c>
      <c r="G849" s="1" t="s">
        <v>77</v>
      </c>
      <c r="H849" s="1" t="n">
        <v>1110203</v>
      </c>
      <c r="I849" s="1" t="s">
        <v>108</v>
      </c>
      <c r="J849" s="1" t="n">
        <v>1410817</v>
      </c>
      <c r="L849" s="1" t="n">
        <v>190131</v>
      </c>
      <c r="M849" s="1" t="s">
        <v>83</v>
      </c>
      <c r="N849" s="1" t="s">
        <v>35</v>
      </c>
      <c r="P849" s="1" t="n">
        <v>113</v>
      </c>
      <c r="Q849" s="1" t="s">
        <v>36</v>
      </c>
      <c r="R849" s="1" t="s">
        <v>48</v>
      </c>
      <c r="S849" s="1" t="n">
        <v>1130101</v>
      </c>
      <c r="T849" s="1" t="s">
        <v>49</v>
      </c>
      <c r="U849" s="17" t="n">
        <v>281.82</v>
      </c>
      <c r="W849" s="1" t="n">
        <v>0</v>
      </c>
      <c r="X849" s="1" t="s">
        <v>881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12.75" hidden="false" customHeight="true" outlineLevel="0" collapsed="false">
      <c r="A850" s="1" t="n">
        <v>2</v>
      </c>
      <c r="B850" s="15" t="n">
        <v>46220</v>
      </c>
      <c r="C850" s="15" t="n">
        <v>46226</v>
      </c>
      <c r="D850" s="1" t="n">
        <v>10018</v>
      </c>
      <c r="E850" s="1" t="s">
        <v>220</v>
      </c>
      <c r="F850" s="1" t="n">
        <v>34</v>
      </c>
      <c r="G850" s="1" t="s">
        <v>97</v>
      </c>
      <c r="H850" s="1" t="n">
        <v>1110203</v>
      </c>
      <c r="I850" s="1" t="s">
        <v>108</v>
      </c>
      <c r="J850" s="1" t="n">
        <v>1410836</v>
      </c>
      <c r="L850" s="1" t="n">
        <v>190135</v>
      </c>
      <c r="M850" s="1" t="s">
        <v>83</v>
      </c>
      <c r="N850" s="1" t="s">
        <v>35</v>
      </c>
      <c r="P850" s="1" t="n">
        <v>113</v>
      </c>
      <c r="Q850" s="1" t="s">
        <v>36</v>
      </c>
      <c r="R850" s="1" t="s">
        <v>48</v>
      </c>
      <c r="S850" s="1" t="n">
        <v>1130101</v>
      </c>
      <c r="T850" s="1" t="s">
        <v>49</v>
      </c>
      <c r="U850" s="17" t="n">
        <v>925</v>
      </c>
      <c r="W850" s="1" t="n">
        <v>0</v>
      </c>
      <c r="X850" s="1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12.75" hidden="false" customHeight="true" outlineLevel="0" collapsed="false">
      <c r="A851" s="1" t="n">
        <v>2</v>
      </c>
      <c r="B851" s="15" t="n">
        <v>46220</v>
      </c>
      <c r="C851" s="15" t="n">
        <v>46226</v>
      </c>
      <c r="D851" s="1" t="n">
        <v>1625</v>
      </c>
      <c r="E851" s="1" t="s">
        <v>248</v>
      </c>
      <c r="F851" s="1" t="n">
        <v>24</v>
      </c>
      <c r="G851" s="1" t="s">
        <v>77</v>
      </c>
      <c r="H851" s="1" t="n">
        <v>1110203</v>
      </c>
      <c r="I851" s="1" t="s">
        <v>108</v>
      </c>
      <c r="J851" s="1" t="n">
        <v>1411888</v>
      </c>
      <c r="L851" s="1" t="n">
        <v>190383</v>
      </c>
      <c r="M851" s="1" t="s">
        <v>83</v>
      </c>
      <c r="N851" s="1" t="s">
        <v>35</v>
      </c>
      <c r="P851" s="1" t="n">
        <v>113</v>
      </c>
      <c r="Q851" s="1" t="s">
        <v>36</v>
      </c>
      <c r="R851" s="1" t="s">
        <v>48</v>
      </c>
      <c r="S851" s="1" t="n">
        <v>1130101</v>
      </c>
      <c r="T851" s="1" t="s">
        <v>49</v>
      </c>
      <c r="U851" s="17" t="n">
        <v>1269.94</v>
      </c>
      <c r="W851" s="1" t="n">
        <v>0</v>
      </c>
      <c r="X851" s="1" t="s">
        <v>882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12.75" hidden="false" customHeight="true" outlineLevel="0" collapsed="false">
      <c r="A852" s="1" t="n">
        <v>2</v>
      </c>
      <c r="B852" s="15" t="n">
        <v>46210</v>
      </c>
      <c r="C852" s="15" t="n">
        <v>46227</v>
      </c>
      <c r="D852" s="1" t="n">
        <v>1613</v>
      </c>
      <c r="E852" s="1" t="s">
        <v>94</v>
      </c>
      <c r="F852" s="1" t="n">
        <v>24</v>
      </c>
      <c r="G852" s="1" t="s">
        <v>77</v>
      </c>
      <c r="H852" s="1" t="n">
        <v>2110101</v>
      </c>
      <c r="I852" s="1" t="s">
        <v>33</v>
      </c>
      <c r="J852" s="1" t="n">
        <v>1364523</v>
      </c>
      <c r="L852" s="1" t="n">
        <v>1604119</v>
      </c>
      <c r="M852" s="1" t="s">
        <v>74</v>
      </c>
      <c r="N852" s="1" t="s">
        <v>54</v>
      </c>
      <c r="P852" s="1" t="n">
        <v>113</v>
      </c>
      <c r="Q852" s="1" t="s">
        <v>36</v>
      </c>
      <c r="R852" s="1" t="s">
        <v>48</v>
      </c>
      <c r="S852" s="1" t="n">
        <v>1130101</v>
      </c>
      <c r="T852" s="1" t="s">
        <v>49</v>
      </c>
      <c r="U852" s="17" t="n">
        <v>1031.77</v>
      </c>
      <c r="W852" s="1" t="n">
        <v>0</v>
      </c>
      <c r="X852" s="1" t="s">
        <v>804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" t="n">
        <v>2</v>
      </c>
      <c r="B853" s="15" t="n">
        <v>46212</v>
      </c>
      <c r="C853" s="15" t="n">
        <v>46227</v>
      </c>
      <c r="D853" s="1" t="n">
        <v>1705</v>
      </c>
      <c r="E853" s="1" t="s">
        <v>119</v>
      </c>
      <c r="F853" s="1" t="n">
        <v>24</v>
      </c>
      <c r="G853" s="1" t="s">
        <v>77</v>
      </c>
      <c r="H853" s="1" t="n">
        <v>2110101</v>
      </c>
      <c r="I853" s="1" t="s">
        <v>33</v>
      </c>
      <c r="J853" s="1" t="n">
        <v>1374769</v>
      </c>
      <c r="L853" s="1" t="n">
        <v>1194626</v>
      </c>
      <c r="M853" s="1" t="s">
        <v>83</v>
      </c>
      <c r="N853" s="1" t="s">
        <v>54</v>
      </c>
      <c r="P853" s="1" t="n">
        <v>113</v>
      </c>
      <c r="Q853" s="1" t="s">
        <v>36</v>
      </c>
      <c r="R853" s="1" t="s">
        <v>48</v>
      </c>
      <c r="S853" s="1" t="n">
        <v>1130101</v>
      </c>
      <c r="T853" s="1" t="s">
        <v>49</v>
      </c>
      <c r="U853" s="17" t="n">
        <v>659.34</v>
      </c>
      <c r="W853" s="1" t="n">
        <v>0</v>
      </c>
      <c r="X853" s="1" t="s">
        <v>883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" t="n">
        <v>2</v>
      </c>
      <c r="B854" s="15" t="n">
        <v>46212</v>
      </c>
      <c r="C854" s="15" t="n">
        <v>46227</v>
      </c>
      <c r="D854" s="1" t="n">
        <v>1705</v>
      </c>
      <c r="E854" s="1" t="s">
        <v>119</v>
      </c>
      <c r="F854" s="1" t="n">
        <v>24</v>
      </c>
      <c r="G854" s="1" t="s">
        <v>77</v>
      </c>
      <c r="H854" s="1" t="n">
        <v>2110101</v>
      </c>
      <c r="I854" s="1" t="s">
        <v>33</v>
      </c>
      <c r="J854" s="1" t="n">
        <v>1374773</v>
      </c>
      <c r="L854" s="1" t="n">
        <v>1926959</v>
      </c>
      <c r="M854" s="1" t="s">
        <v>83</v>
      </c>
      <c r="N854" s="1" t="s">
        <v>54</v>
      </c>
      <c r="P854" s="1" t="n">
        <v>113</v>
      </c>
      <c r="Q854" s="1" t="s">
        <v>36</v>
      </c>
      <c r="R854" s="1" t="s">
        <v>48</v>
      </c>
      <c r="S854" s="1" t="n">
        <v>1130101</v>
      </c>
      <c r="T854" s="1" t="s">
        <v>49</v>
      </c>
      <c r="U854" s="17" t="n">
        <v>190.48</v>
      </c>
      <c r="W854" s="1" t="n">
        <v>0</v>
      </c>
      <c r="X854" s="1" t="s">
        <v>884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" t="n">
        <v>2</v>
      </c>
      <c r="B855" s="15" t="n">
        <v>46212</v>
      </c>
      <c r="C855" s="15" t="n">
        <v>46227</v>
      </c>
      <c r="D855" s="1" t="n">
        <v>1705</v>
      </c>
      <c r="E855" s="1" t="s">
        <v>119</v>
      </c>
      <c r="F855" s="1" t="n">
        <v>24</v>
      </c>
      <c r="G855" s="1" t="s">
        <v>77</v>
      </c>
      <c r="H855" s="1" t="n">
        <v>2110101</v>
      </c>
      <c r="I855" s="1" t="s">
        <v>33</v>
      </c>
      <c r="J855" s="1" t="n">
        <v>1374788</v>
      </c>
      <c r="L855" s="1" t="n">
        <v>184920</v>
      </c>
      <c r="M855" s="1" t="s">
        <v>83</v>
      </c>
      <c r="N855" s="1" t="s">
        <v>35</v>
      </c>
      <c r="P855" s="1" t="n">
        <v>113</v>
      </c>
      <c r="Q855" s="1" t="s">
        <v>36</v>
      </c>
      <c r="R855" s="1" t="s">
        <v>48</v>
      </c>
      <c r="S855" s="1" t="n">
        <v>1130101</v>
      </c>
      <c r="T855" s="1" t="s">
        <v>49</v>
      </c>
      <c r="U855" s="17" t="n">
        <v>156.88</v>
      </c>
      <c r="W855" s="1" t="n">
        <v>0</v>
      </c>
      <c r="X855" s="1" t="s">
        <v>885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12.75" hidden="false" customHeight="true" outlineLevel="0" collapsed="false">
      <c r="A856" s="1" t="n">
        <v>2</v>
      </c>
      <c r="B856" s="15" t="n">
        <v>46212</v>
      </c>
      <c r="C856" s="15" t="n">
        <v>46227</v>
      </c>
      <c r="D856" s="1" t="n">
        <v>1718</v>
      </c>
      <c r="E856" s="1" t="s">
        <v>199</v>
      </c>
      <c r="F856" s="1" t="n">
        <v>24</v>
      </c>
      <c r="G856" s="1" t="s">
        <v>77</v>
      </c>
      <c r="H856" s="1" t="n">
        <v>2110101</v>
      </c>
      <c r="I856" s="1" t="s">
        <v>33</v>
      </c>
      <c r="J856" s="1" t="n">
        <v>1374907</v>
      </c>
      <c r="L856" s="1" t="n">
        <v>681127</v>
      </c>
      <c r="M856" s="1" t="s">
        <v>83</v>
      </c>
      <c r="N856" s="1" t="s">
        <v>54</v>
      </c>
      <c r="P856" s="1" t="n">
        <v>113</v>
      </c>
      <c r="Q856" s="1" t="s">
        <v>36</v>
      </c>
      <c r="R856" s="1" t="s">
        <v>48</v>
      </c>
      <c r="S856" s="1" t="n">
        <v>1130101</v>
      </c>
      <c r="T856" s="1" t="s">
        <v>49</v>
      </c>
      <c r="U856" s="17" t="n">
        <v>509.25</v>
      </c>
      <c r="W856" s="1" t="n">
        <v>0</v>
      </c>
      <c r="X856" s="1" t="s">
        <v>886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" t="n">
        <v>2</v>
      </c>
      <c r="B857" s="15" t="n">
        <v>46214</v>
      </c>
      <c r="C857" s="15" t="n">
        <v>46227</v>
      </c>
      <c r="D857" s="1" t="n">
        <v>1666</v>
      </c>
      <c r="E857" s="1" t="s">
        <v>206</v>
      </c>
      <c r="F857" s="1" t="n">
        <v>24</v>
      </c>
      <c r="G857" s="1" t="s">
        <v>77</v>
      </c>
      <c r="H857" s="1" t="n">
        <v>2110101</v>
      </c>
      <c r="I857" s="1" t="s">
        <v>33</v>
      </c>
      <c r="J857" s="1" t="n">
        <v>1381638</v>
      </c>
      <c r="L857" s="1" t="n">
        <v>566541</v>
      </c>
      <c r="M857" s="1" t="s">
        <v>74</v>
      </c>
      <c r="N857" s="1" t="s">
        <v>54</v>
      </c>
      <c r="P857" s="1" t="n">
        <v>113</v>
      </c>
      <c r="Q857" s="1" t="s">
        <v>36</v>
      </c>
      <c r="R857" s="1" t="s">
        <v>48</v>
      </c>
      <c r="S857" s="1" t="n">
        <v>1130101</v>
      </c>
      <c r="T857" s="1" t="s">
        <v>49</v>
      </c>
      <c r="U857" s="17" t="n">
        <v>4572.86</v>
      </c>
      <c r="W857" s="1" t="n">
        <v>0</v>
      </c>
      <c r="X857" s="1" t="s">
        <v>810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12.75" hidden="false" customHeight="true" outlineLevel="0" collapsed="false">
      <c r="A858" s="1" t="n">
        <v>2</v>
      </c>
      <c r="B858" s="15" t="n">
        <v>46216</v>
      </c>
      <c r="C858" s="15" t="n">
        <v>46227</v>
      </c>
      <c r="D858" s="1" t="n">
        <v>1675</v>
      </c>
      <c r="E858" s="1" t="s">
        <v>263</v>
      </c>
      <c r="F858" s="1" t="n">
        <v>24</v>
      </c>
      <c r="G858" s="1" t="s">
        <v>77</v>
      </c>
      <c r="H858" s="1" t="n">
        <v>2110101</v>
      </c>
      <c r="I858" s="1" t="s">
        <v>33</v>
      </c>
      <c r="J858" s="1" t="n">
        <v>1394185</v>
      </c>
      <c r="L858" s="1" t="n">
        <v>501201</v>
      </c>
      <c r="M858" s="1" t="s">
        <v>83</v>
      </c>
      <c r="N858" s="1" t="s">
        <v>54</v>
      </c>
      <c r="P858" s="1" t="n">
        <v>113</v>
      </c>
      <c r="Q858" s="1" t="s">
        <v>36</v>
      </c>
      <c r="R858" s="1" t="s">
        <v>48</v>
      </c>
      <c r="S858" s="1" t="n">
        <v>1130101</v>
      </c>
      <c r="T858" s="1" t="s">
        <v>49</v>
      </c>
      <c r="U858" s="17" t="n">
        <v>2113</v>
      </c>
      <c r="W858" s="1" t="n">
        <v>0</v>
      </c>
      <c r="X858" s="1" t="s">
        <v>887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12.75" hidden="false" customHeight="true" outlineLevel="0" collapsed="false">
      <c r="A859" s="1" t="n">
        <v>2</v>
      </c>
      <c r="B859" s="15" t="n">
        <v>46217</v>
      </c>
      <c r="C859" s="15" t="n">
        <v>46227</v>
      </c>
      <c r="D859" s="1" t="n">
        <v>1611</v>
      </c>
      <c r="E859" s="1" t="s">
        <v>156</v>
      </c>
      <c r="F859" s="1" t="n">
        <v>24</v>
      </c>
      <c r="G859" s="1" t="s">
        <v>77</v>
      </c>
      <c r="H859" s="1" t="n">
        <v>1110203</v>
      </c>
      <c r="I859" s="1" t="s">
        <v>108</v>
      </c>
      <c r="J859" s="1" t="n">
        <v>1397322</v>
      </c>
      <c r="L859" s="1" t="n">
        <v>187872</v>
      </c>
      <c r="M859" s="1" t="s">
        <v>83</v>
      </c>
      <c r="N859" s="1" t="s">
        <v>35</v>
      </c>
      <c r="P859" s="1" t="n">
        <v>113</v>
      </c>
      <c r="Q859" s="1" t="s">
        <v>36</v>
      </c>
      <c r="R859" s="1" t="s">
        <v>48</v>
      </c>
      <c r="S859" s="1" t="n">
        <v>1130101</v>
      </c>
      <c r="T859" s="1" t="s">
        <v>49</v>
      </c>
      <c r="U859" s="17" t="n">
        <v>278.28</v>
      </c>
      <c r="W859" s="1" t="n">
        <v>0</v>
      </c>
      <c r="X859" s="1" t="s">
        <v>888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" t="n">
        <v>2</v>
      </c>
      <c r="B860" s="15" t="n">
        <v>46220</v>
      </c>
      <c r="C860" s="15" t="n">
        <v>46227</v>
      </c>
      <c r="D860" s="1" t="n">
        <v>1642</v>
      </c>
      <c r="E860" s="1" t="s">
        <v>210</v>
      </c>
      <c r="F860" s="1" t="n">
        <v>24</v>
      </c>
      <c r="G860" s="1" t="s">
        <v>77</v>
      </c>
      <c r="H860" s="1" t="n">
        <v>1110203</v>
      </c>
      <c r="I860" s="1" t="s">
        <v>108</v>
      </c>
      <c r="J860" s="1" t="n">
        <v>1410452</v>
      </c>
      <c r="L860" s="1" t="n">
        <v>190056</v>
      </c>
      <c r="M860" s="1" t="s">
        <v>83</v>
      </c>
      <c r="N860" s="1" t="s">
        <v>35</v>
      </c>
      <c r="P860" s="1" t="n">
        <v>113</v>
      </c>
      <c r="Q860" s="1" t="s">
        <v>36</v>
      </c>
      <c r="R860" s="1" t="s">
        <v>48</v>
      </c>
      <c r="S860" s="1" t="n">
        <v>1130101</v>
      </c>
      <c r="T860" s="1" t="s">
        <v>49</v>
      </c>
      <c r="U860" s="17" t="n">
        <v>254.6</v>
      </c>
      <c r="W860" s="1" t="n">
        <v>0</v>
      </c>
      <c r="X860" s="1" t="s">
        <v>889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12.75" hidden="false" customHeight="true" outlineLevel="0" collapsed="false">
      <c r="A861" s="1" t="n">
        <v>2</v>
      </c>
      <c r="B861" s="15" t="n">
        <v>46220</v>
      </c>
      <c r="C861" s="15" t="n">
        <v>46227</v>
      </c>
      <c r="D861" s="1" t="n">
        <v>1024</v>
      </c>
      <c r="E861" s="1" t="s">
        <v>412</v>
      </c>
      <c r="F861" s="1" t="n">
        <v>24</v>
      </c>
      <c r="G861" s="1" t="s">
        <v>77</v>
      </c>
      <c r="H861" s="1" t="n">
        <v>1110203</v>
      </c>
      <c r="I861" s="1" t="s">
        <v>108</v>
      </c>
      <c r="J861" s="1" t="n">
        <v>1411344</v>
      </c>
      <c r="L861" s="1" t="n">
        <v>190273</v>
      </c>
      <c r="M861" s="1" t="s">
        <v>83</v>
      </c>
      <c r="N861" s="1" t="s">
        <v>35</v>
      </c>
      <c r="P861" s="1" t="n">
        <v>113</v>
      </c>
      <c r="Q861" s="1" t="s">
        <v>36</v>
      </c>
      <c r="R861" s="1" t="s">
        <v>48</v>
      </c>
      <c r="S861" s="1" t="n">
        <v>1130101</v>
      </c>
      <c r="T861" s="1" t="s">
        <v>49</v>
      </c>
      <c r="U861" s="17" t="n">
        <v>189</v>
      </c>
      <c r="W861" s="1" t="n">
        <v>0</v>
      </c>
      <c r="X861" s="1" t="s">
        <v>890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12.75" hidden="false" customHeight="true" outlineLevel="0" collapsed="false">
      <c r="A862" s="1" t="n">
        <v>2</v>
      </c>
      <c r="B862" s="15" t="n">
        <v>46224</v>
      </c>
      <c r="C862" s="15" t="n">
        <v>46227</v>
      </c>
      <c r="D862" s="1" t="n">
        <v>1899</v>
      </c>
      <c r="E862" s="1" t="s">
        <v>194</v>
      </c>
      <c r="F862" s="1" t="n">
        <v>24</v>
      </c>
      <c r="G862" s="1" t="s">
        <v>77</v>
      </c>
      <c r="H862" s="1" t="n">
        <v>1110203</v>
      </c>
      <c r="I862" s="1" t="s">
        <v>108</v>
      </c>
      <c r="J862" s="1" t="n">
        <v>1427574</v>
      </c>
      <c r="L862" s="1" t="n">
        <v>190914</v>
      </c>
      <c r="M862" s="1" t="s">
        <v>83</v>
      </c>
      <c r="N862" s="1" t="s">
        <v>35</v>
      </c>
      <c r="P862" s="1" t="n">
        <v>113</v>
      </c>
      <c r="Q862" s="1" t="s">
        <v>36</v>
      </c>
      <c r="R862" s="1" t="s">
        <v>48</v>
      </c>
      <c r="S862" s="1" t="n">
        <v>1130101</v>
      </c>
      <c r="T862" s="1" t="s">
        <v>49</v>
      </c>
      <c r="U862" s="17" t="n">
        <v>182.36</v>
      </c>
      <c r="W862" s="1" t="n">
        <v>0</v>
      </c>
      <c r="X862" s="1" t="s">
        <v>891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12.75" hidden="false" customHeight="true" outlineLevel="0" collapsed="false">
      <c r="A863" s="1" t="n">
        <v>2</v>
      </c>
      <c r="B863" s="15" t="n">
        <v>46227</v>
      </c>
      <c r="C863" s="15" t="n">
        <v>46227</v>
      </c>
      <c r="D863" s="1" t="n">
        <v>48</v>
      </c>
      <c r="E863" s="1" t="s">
        <v>132</v>
      </c>
      <c r="F863" s="1" t="n">
        <v>34</v>
      </c>
      <c r="G863" s="1" t="s">
        <v>97</v>
      </c>
      <c r="H863" s="1" t="n">
        <v>2110101</v>
      </c>
      <c r="I863" s="1" t="s">
        <v>33</v>
      </c>
      <c r="J863" s="1" t="n">
        <v>1445080</v>
      </c>
      <c r="L863" s="1" t="n">
        <v>2560</v>
      </c>
      <c r="M863" s="1" t="s">
        <v>83</v>
      </c>
      <c r="N863" s="1" t="s">
        <v>54</v>
      </c>
      <c r="P863" s="1" t="n">
        <v>113</v>
      </c>
      <c r="Q863" s="1" t="s">
        <v>36</v>
      </c>
      <c r="R863" s="1" t="s">
        <v>48</v>
      </c>
      <c r="S863" s="1" t="n">
        <v>1130101</v>
      </c>
      <c r="T863" s="1" t="s">
        <v>49</v>
      </c>
      <c r="U863" s="17" t="n">
        <v>1919.18</v>
      </c>
      <c r="W863" s="1" t="n">
        <v>0</v>
      </c>
      <c r="X863" s="1" t="s">
        <v>221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" t="n">
        <v>2</v>
      </c>
      <c r="B864" s="15" t="n">
        <v>46227</v>
      </c>
      <c r="C864" s="15" t="n">
        <v>46227</v>
      </c>
      <c r="D864" s="1" t="n">
        <v>1037</v>
      </c>
      <c r="E864" s="1" t="s">
        <v>139</v>
      </c>
      <c r="F864" s="1" t="n">
        <v>34</v>
      </c>
      <c r="G864" s="1" t="s">
        <v>97</v>
      </c>
      <c r="H864" s="1" t="n">
        <v>1110203</v>
      </c>
      <c r="I864" s="1" t="s">
        <v>108</v>
      </c>
      <c r="J864" s="1" t="n">
        <v>1445096</v>
      </c>
      <c r="L864" s="1" t="n">
        <v>195547</v>
      </c>
      <c r="M864" s="1" t="s">
        <v>83</v>
      </c>
      <c r="N864" s="1" t="s">
        <v>35</v>
      </c>
      <c r="P864" s="1" t="n">
        <v>113</v>
      </c>
      <c r="Q864" s="1" t="s">
        <v>36</v>
      </c>
      <c r="R864" s="1" t="s">
        <v>48</v>
      </c>
      <c r="S864" s="1" t="n">
        <v>1130101</v>
      </c>
      <c r="T864" s="1" t="s">
        <v>49</v>
      </c>
      <c r="U864" s="17" t="n">
        <v>325</v>
      </c>
      <c r="W864" s="1" t="n">
        <v>0</v>
      </c>
      <c r="X864" s="1" t="s">
        <v>892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" t="n">
        <v>2</v>
      </c>
      <c r="B865" s="15" t="n">
        <v>46227</v>
      </c>
      <c r="C865" s="15" t="n">
        <v>46227</v>
      </c>
      <c r="D865" s="1" t="n">
        <v>48</v>
      </c>
      <c r="E865" s="1" t="s">
        <v>132</v>
      </c>
      <c r="F865" s="1" t="n">
        <v>13</v>
      </c>
      <c r="G865" s="1" t="s">
        <v>133</v>
      </c>
      <c r="H865" s="1" t="n">
        <v>2110101</v>
      </c>
      <c r="I865" s="1" t="s">
        <v>33</v>
      </c>
      <c r="J865" s="1" t="n">
        <v>1445121</v>
      </c>
      <c r="L865" s="1" t="n">
        <v>2561</v>
      </c>
      <c r="M865" s="1" t="s">
        <v>83</v>
      </c>
      <c r="N865" s="1" t="s">
        <v>54</v>
      </c>
      <c r="P865" s="1" t="n">
        <v>113</v>
      </c>
      <c r="Q865" s="1" t="s">
        <v>36</v>
      </c>
      <c r="R865" s="1" t="s">
        <v>48</v>
      </c>
      <c r="S865" s="1" t="n">
        <v>1130101</v>
      </c>
      <c r="T865" s="1" t="s">
        <v>49</v>
      </c>
      <c r="U865" s="17" t="n">
        <v>280</v>
      </c>
      <c r="W865" s="1" t="n">
        <v>280</v>
      </c>
      <c r="X865" s="1" t="s">
        <v>893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12.75" hidden="false" customHeight="true" outlineLevel="0" collapsed="false">
      <c r="A866" s="1" t="n">
        <v>2</v>
      </c>
      <c r="B866" s="15" t="n">
        <v>46227</v>
      </c>
      <c r="C866" s="15" t="n">
        <v>46227</v>
      </c>
      <c r="D866" s="1" t="n">
        <v>515</v>
      </c>
      <c r="E866" s="1" t="s">
        <v>143</v>
      </c>
      <c r="F866" s="1" t="n">
        <v>34</v>
      </c>
      <c r="G866" s="1" t="s">
        <v>97</v>
      </c>
      <c r="H866" s="1" t="n">
        <v>1110203</v>
      </c>
      <c r="I866" s="1" t="s">
        <v>108</v>
      </c>
      <c r="J866" s="1" t="n">
        <v>1460164</v>
      </c>
      <c r="L866" s="1" t="n">
        <v>197673</v>
      </c>
      <c r="M866" s="1" t="s">
        <v>83</v>
      </c>
      <c r="N866" s="1" t="s">
        <v>35</v>
      </c>
      <c r="P866" s="1" t="n">
        <v>102</v>
      </c>
      <c r="Q866" s="1" t="s">
        <v>282</v>
      </c>
      <c r="R866" s="1" t="s">
        <v>144</v>
      </c>
      <c r="S866" s="1" t="n">
        <v>4210502</v>
      </c>
      <c r="T866" s="1" t="s">
        <v>243</v>
      </c>
      <c r="U866" s="17" t="n">
        <v>5343.28</v>
      </c>
      <c r="W866" s="1" t="n">
        <v>0</v>
      </c>
      <c r="X866" s="1" t="s">
        <v>894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" t="n">
        <v>2</v>
      </c>
      <c r="B867" s="15" t="n">
        <v>46029</v>
      </c>
      <c r="C867" s="15" t="n">
        <v>46228</v>
      </c>
      <c r="D867" s="1" t="n">
        <v>17</v>
      </c>
      <c r="E867" s="1" t="s">
        <v>436</v>
      </c>
      <c r="F867" s="1" t="n">
        <v>48</v>
      </c>
      <c r="G867" s="1" t="s">
        <v>503</v>
      </c>
      <c r="H867" s="1" t="n">
        <v>2110405</v>
      </c>
      <c r="I867" s="1" t="s">
        <v>41</v>
      </c>
      <c r="J867" s="1" t="n">
        <v>660305</v>
      </c>
      <c r="L867" s="1" t="n">
        <v>86116</v>
      </c>
      <c r="M867" s="1" t="s">
        <v>34</v>
      </c>
      <c r="N867" s="1" t="s">
        <v>35</v>
      </c>
      <c r="P867" s="1" t="n">
        <v>101</v>
      </c>
      <c r="Q867" s="1" t="s">
        <v>42</v>
      </c>
      <c r="R867" s="1" t="s">
        <v>43</v>
      </c>
      <c r="S867" s="1" t="n">
        <v>4220199</v>
      </c>
      <c r="T867" s="1" t="s">
        <v>44</v>
      </c>
      <c r="U867" s="17" t="n">
        <v>84.03</v>
      </c>
      <c r="W867" s="1" t="n">
        <v>0</v>
      </c>
      <c r="X867" s="1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" t="n">
        <v>2</v>
      </c>
      <c r="B868" s="15" t="n">
        <v>46013</v>
      </c>
      <c r="C868" s="15" t="n">
        <v>46228</v>
      </c>
      <c r="D868" s="1" t="n">
        <v>17</v>
      </c>
      <c r="E868" s="1" t="s">
        <v>436</v>
      </c>
      <c r="F868" s="1" t="n">
        <v>48</v>
      </c>
      <c r="G868" s="1" t="s">
        <v>503</v>
      </c>
      <c r="H868" s="1" t="n">
        <v>2110405</v>
      </c>
      <c r="I868" s="1" t="s">
        <v>41</v>
      </c>
      <c r="J868" s="1" t="n">
        <v>660421</v>
      </c>
      <c r="L868" s="1" t="n">
        <v>86128</v>
      </c>
      <c r="M868" s="1" t="s">
        <v>34</v>
      </c>
      <c r="N868" s="1" t="s">
        <v>35</v>
      </c>
      <c r="P868" s="1" t="n">
        <v>101</v>
      </c>
      <c r="Q868" s="1" t="s">
        <v>42</v>
      </c>
      <c r="R868" s="1" t="s">
        <v>43</v>
      </c>
      <c r="S868" s="1" t="n">
        <v>4220199</v>
      </c>
      <c r="T868" s="1" t="s">
        <v>44</v>
      </c>
      <c r="U868" s="17" t="n">
        <v>362.14</v>
      </c>
      <c r="W868" s="1" t="n">
        <v>0</v>
      </c>
      <c r="X868" s="1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" t="n">
        <v>2</v>
      </c>
      <c r="B869" s="15" t="n">
        <v>46228</v>
      </c>
      <c r="C869" s="15" t="n">
        <v>46228</v>
      </c>
      <c r="D869" s="1" t="n">
        <v>10096</v>
      </c>
      <c r="E869" s="1" t="s">
        <v>552</v>
      </c>
      <c r="F869" s="1" t="n">
        <v>13</v>
      </c>
      <c r="G869" s="1" t="s">
        <v>133</v>
      </c>
      <c r="H869" s="1" t="n">
        <v>1110203</v>
      </c>
      <c r="I869" s="1" t="s">
        <v>108</v>
      </c>
      <c r="J869" s="1" t="n">
        <v>1459321</v>
      </c>
      <c r="L869" s="1" t="n">
        <v>197503</v>
      </c>
      <c r="M869" s="1" t="s">
        <v>83</v>
      </c>
      <c r="N869" s="1" t="s">
        <v>35</v>
      </c>
      <c r="P869" s="1" t="n">
        <v>113</v>
      </c>
      <c r="Q869" s="1" t="s">
        <v>36</v>
      </c>
      <c r="R869" s="1" t="s">
        <v>48</v>
      </c>
      <c r="S869" s="1" t="n">
        <v>1130101</v>
      </c>
      <c r="T869" s="1" t="s">
        <v>49</v>
      </c>
      <c r="U869" s="17" t="n">
        <v>140</v>
      </c>
      <c r="W869" s="1" t="n">
        <v>0</v>
      </c>
      <c r="X869" s="1" t="s">
        <v>895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" t="n">
        <v>2</v>
      </c>
      <c r="B870" s="15" t="n">
        <v>46213</v>
      </c>
      <c r="C870" s="15" t="n">
        <v>46228</v>
      </c>
      <c r="D870" s="1" t="n">
        <v>18</v>
      </c>
      <c r="E870" s="1" t="s">
        <v>105</v>
      </c>
      <c r="F870" s="1" t="n">
        <v>34</v>
      </c>
      <c r="G870" s="1" t="s">
        <v>97</v>
      </c>
      <c r="H870" s="1" t="n">
        <v>2110405</v>
      </c>
      <c r="I870" s="1" t="s">
        <v>41</v>
      </c>
      <c r="J870" s="1" t="n">
        <v>1402866</v>
      </c>
      <c r="L870" s="1" t="n">
        <v>188824</v>
      </c>
      <c r="M870" s="1" t="s">
        <v>83</v>
      </c>
      <c r="N870" s="1" t="s">
        <v>35</v>
      </c>
      <c r="P870" s="1" t="n">
        <v>113</v>
      </c>
      <c r="Q870" s="1" t="s">
        <v>36</v>
      </c>
      <c r="R870" s="1" t="s">
        <v>100</v>
      </c>
      <c r="S870" s="1" t="n">
        <v>4210301</v>
      </c>
      <c r="T870" s="1" t="s">
        <v>230</v>
      </c>
      <c r="U870" s="17" t="n">
        <v>200</v>
      </c>
      <c r="W870" s="1" t="n">
        <v>0</v>
      </c>
      <c r="X870" s="1" t="s">
        <v>788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" t="n">
        <v>2</v>
      </c>
      <c r="B871" s="15" t="n">
        <v>46223</v>
      </c>
      <c r="C871" s="15" t="n">
        <v>46228</v>
      </c>
      <c r="D871" s="1" t="n">
        <v>1625</v>
      </c>
      <c r="E871" s="1" t="s">
        <v>248</v>
      </c>
      <c r="F871" s="1" t="n">
        <v>24</v>
      </c>
      <c r="G871" s="1" t="s">
        <v>77</v>
      </c>
      <c r="H871" s="1" t="n">
        <v>1110203</v>
      </c>
      <c r="I871" s="1" t="s">
        <v>108</v>
      </c>
      <c r="J871" s="1" t="n">
        <v>1424351</v>
      </c>
      <c r="L871" s="1" t="n">
        <v>190901</v>
      </c>
      <c r="M871" s="1" t="s">
        <v>83</v>
      </c>
      <c r="N871" s="1" t="s">
        <v>35</v>
      </c>
      <c r="P871" s="1" t="n">
        <v>113</v>
      </c>
      <c r="Q871" s="1" t="s">
        <v>36</v>
      </c>
      <c r="R871" s="1" t="s">
        <v>48</v>
      </c>
      <c r="S871" s="1" t="n">
        <v>1130101</v>
      </c>
      <c r="T871" s="1" t="s">
        <v>49</v>
      </c>
      <c r="U871" s="17" t="n">
        <v>3804</v>
      </c>
      <c r="W871" s="1" t="n">
        <v>0</v>
      </c>
      <c r="X871" s="1" t="s">
        <v>896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12.75" hidden="false" customHeight="true" outlineLevel="0" collapsed="false">
      <c r="A872" s="1" t="n">
        <v>2</v>
      </c>
      <c r="B872" s="15" t="n">
        <v>46228</v>
      </c>
      <c r="C872" s="15" t="n">
        <v>46228</v>
      </c>
      <c r="D872" s="1" t="n">
        <v>48</v>
      </c>
      <c r="E872" s="1" t="s">
        <v>132</v>
      </c>
      <c r="F872" s="1" t="n">
        <v>13</v>
      </c>
      <c r="G872" s="1" t="s">
        <v>133</v>
      </c>
      <c r="H872" s="1" t="n">
        <v>2110101</v>
      </c>
      <c r="I872" s="1" t="s">
        <v>33</v>
      </c>
      <c r="J872" s="1" t="n">
        <v>1448190</v>
      </c>
      <c r="L872" s="1" t="n">
        <v>2562</v>
      </c>
      <c r="M872" s="1" t="s">
        <v>83</v>
      </c>
      <c r="N872" s="1" t="s">
        <v>54</v>
      </c>
      <c r="P872" s="1" t="n">
        <v>113</v>
      </c>
      <c r="Q872" s="1" t="s">
        <v>36</v>
      </c>
      <c r="R872" s="1" t="s">
        <v>48</v>
      </c>
      <c r="S872" s="1" t="n">
        <v>1130101</v>
      </c>
      <c r="T872" s="1" t="s">
        <v>49</v>
      </c>
      <c r="U872" s="17" t="n">
        <v>200</v>
      </c>
      <c r="W872" s="1" t="n">
        <v>200</v>
      </c>
      <c r="X872" s="1" t="s">
        <v>897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" t="n">
        <v>2</v>
      </c>
      <c r="B873" s="15" t="n">
        <v>46205</v>
      </c>
      <c r="C873" s="15" t="n">
        <v>46229</v>
      </c>
      <c r="D873" s="1" t="n">
        <v>1217</v>
      </c>
      <c r="E873" s="1" t="s">
        <v>690</v>
      </c>
      <c r="F873" s="1" t="n">
        <v>24</v>
      </c>
      <c r="G873" s="1" t="s">
        <v>77</v>
      </c>
      <c r="H873" s="1" t="n">
        <v>2110101</v>
      </c>
      <c r="I873" s="1" t="s">
        <v>33</v>
      </c>
      <c r="J873" s="1" t="n">
        <v>1339965</v>
      </c>
      <c r="L873" s="1" t="n">
        <v>4467</v>
      </c>
      <c r="M873" s="1" t="s">
        <v>62</v>
      </c>
      <c r="N873" s="1" t="s">
        <v>54</v>
      </c>
      <c r="P873" s="1" t="n">
        <v>113</v>
      </c>
      <c r="Q873" s="1" t="s">
        <v>36</v>
      </c>
      <c r="R873" s="1" t="s">
        <v>48</v>
      </c>
      <c r="S873" s="1" t="n">
        <v>1130101</v>
      </c>
      <c r="T873" s="1" t="s">
        <v>49</v>
      </c>
      <c r="U873" s="17" t="n">
        <v>819.53</v>
      </c>
      <c r="W873" s="1" t="n">
        <v>0</v>
      </c>
      <c r="X873" s="1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" t="n">
        <v>2</v>
      </c>
      <c r="B874" s="15" t="n">
        <v>46229</v>
      </c>
      <c r="C874" s="15" t="n">
        <v>46229</v>
      </c>
      <c r="D874" s="1" t="n">
        <v>18</v>
      </c>
      <c r="E874" s="1" t="s">
        <v>105</v>
      </c>
      <c r="F874" s="1" t="n">
        <v>11</v>
      </c>
      <c r="G874" s="1" t="s">
        <v>501</v>
      </c>
      <c r="H874" s="1" t="n">
        <v>2110405</v>
      </c>
      <c r="I874" s="1" t="s">
        <v>41</v>
      </c>
      <c r="J874" s="1" t="n">
        <v>1509132</v>
      </c>
      <c r="L874" s="1" t="n">
        <v>205139</v>
      </c>
      <c r="M874" s="1" t="s">
        <v>83</v>
      </c>
      <c r="N874" s="1" t="s">
        <v>35</v>
      </c>
      <c r="P874" s="1" t="n">
        <v>113</v>
      </c>
      <c r="Q874" s="1" t="s">
        <v>36</v>
      </c>
      <c r="R874" s="1" t="s">
        <v>100</v>
      </c>
      <c r="S874" s="1" t="n">
        <v>4210301</v>
      </c>
      <c r="T874" s="1" t="s">
        <v>230</v>
      </c>
      <c r="U874" s="17" t="n">
        <v>50</v>
      </c>
      <c r="W874" s="1" t="n">
        <v>0</v>
      </c>
      <c r="X874" s="1" t="s">
        <v>898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" t="n">
        <v>2</v>
      </c>
      <c r="B875" s="15" t="n">
        <v>46023</v>
      </c>
      <c r="C875" s="15" t="n">
        <v>46230</v>
      </c>
      <c r="D875" s="1" t="n">
        <v>515</v>
      </c>
      <c r="E875" s="1" t="s">
        <v>143</v>
      </c>
      <c r="F875" s="1" t="n">
        <v>34</v>
      </c>
      <c r="G875" s="1" t="s">
        <v>97</v>
      </c>
      <c r="H875" s="1" t="n">
        <v>2110405</v>
      </c>
      <c r="I875" s="1" t="s">
        <v>41</v>
      </c>
      <c r="J875" s="1" t="n">
        <v>1012266</v>
      </c>
      <c r="L875" s="1" t="n">
        <v>133812</v>
      </c>
      <c r="M875" s="1" t="s">
        <v>34</v>
      </c>
      <c r="N875" s="1" t="s">
        <v>35</v>
      </c>
      <c r="P875" s="1" t="n">
        <v>101</v>
      </c>
      <c r="Q875" s="1" t="s">
        <v>42</v>
      </c>
      <c r="R875" s="1" t="s">
        <v>295</v>
      </c>
      <c r="S875" s="1" t="n">
        <v>2110901</v>
      </c>
      <c r="T875" s="1" t="s">
        <v>296</v>
      </c>
      <c r="U875" s="17" t="n">
        <v>4168.41</v>
      </c>
      <c r="W875" s="1" t="n">
        <v>0</v>
      </c>
      <c r="X875" s="1" t="s">
        <v>899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" t="n">
        <v>2</v>
      </c>
      <c r="B876" s="15" t="n">
        <v>46230</v>
      </c>
      <c r="C876" s="15" t="n">
        <v>46230</v>
      </c>
      <c r="D876" s="1" t="n">
        <v>48</v>
      </c>
      <c r="E876" s="1" t="s">
        <v>132</v>
      </c>
      <c r="F876" s="1" t="n">
        <v>13</v>
      </c>
      <c r="G876" s="1" t="s">
        <v>133</v>
      </c>
      <c r="H876" s="1" t="n">
        <v>2110101</v>
      </c>
      <c r="I876" s="1" t="s">
        <v>33</v>
      </c>
      <c r="J876" s="1" t="n">
        <v>1459242</v>
      </c>
      <c r="L876" s="1" t="n">
        <v>2563</v>
      </c>
      <c r="M876" s="1" t="s">
        <v>83</v>
      </c>
      <c r="N876" s="1" t="s">
        <v>54</v>
      </c>
      <c r="P876" s="1" t="n">
        <v>113</v>
      </c>
      <c r="Q876" s="1" t="s">
        <v>36</v>
      </c>
      <c r="R876" s="1" t="s">
        <v>48</v>
      </c>
      <c r="S876" s="1" t="n">
        <v>1130101</v>
      </c>
      <c r="T876" s="1" t="s">
        <v>49</v>
      </c>
      <c r="U876" s="17" t="n">
        <v>210</v>
      </c>
      <c r="W876" s="1" t="n">
        <v>210</v>
      </c>
      <c r="X876" s="1" t="s">
        <v>900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" t="n">
        <v>2</v>
      </c>
      <c r="B877" s="15" t="n">
        <v>46216</v>
      </c>
      <c r="C877" s="15" t="n">
        <v>46230</v>
      </c>
      <c r="D877" s="1" t="n">
        <v>1626</v>
      </c>
      <c r="E877" s="1" t="s">
        <v>82</v>
      </c>
      <c r="F877" s="1" t="n">
        <v>24</v>
      </c>
      <c r="G877" s="1" t="s">
        <v>77</v>
      </c>
      <c r="H877" s="1" t="n">
        <v>2110101</v>
      </c>
      <c r="I877" s="1" t="s">
        <v>33</v>
      </c>
      <c r="J877" s="1" t="n">
        <v>1393879</v>
      </c>
      <c r="L877" s="1" t="n">
        <v>312916</v>
      </c>
      <c r="M877" s="1" t="s">
        <v>74</v>
      </c>
      <c r="N877" s="1" t="s">
        <v>54</v>
      </c>
      <c r="P877" s="1" t="n">
        <v>113</v>
      </c>
      <c r="Q877" s="1" t="s">
        <v>36</v>
      </c>
      <c r="R877" s="1" t="s">
        <v>48</v>
      </c>
      <c r="S877" s="1" t="n">
        <v>1130101</v>
      </c>
      <c r="T877" s="1" t="s">
        <v>49</v>
      </c>
      <c r="U877" s="17" t="n">
        <v>368.06</v>
      </c>
      <c r="W877" s="1" t="n">
        <v>0</v>
      </c>
      <c r="X877" s="1" t="s">
        <v>827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" t="n">
        <v>2</v>
      </c>
      <c r="B878" s="15" t="n">
        <v>46218</v>
      </c>
      <c r="C878" s="15" t="n">
        <v>46230</v>
      </c>
      <c r="D878" s="1" t="n">
        <v>1636</v>
      </c>
      <c r="E878" s="1" t="s">
        <v>85</v>
      </c>
      <c r="F878" s="1" t="n">
        <v>24</v>
      </c>
      <c r="G878" s="1" t="s">
        <v>77</v>
      </c>
      <c r="H878" s="1" t="n">
        <v>1110203</v>
      </c>
      <c r="I878" s="1" t="s">
        <v>108</v>
      </c>
      <c r="J878" s="1" t="n">
        <v>1402491</v>
      </c>
      <c r="L878" s="1" t="n">
        <v>188712</v>
      </c>
      <c r="M878" s="1" t="s">
        <v>83</v>
      </c>
      <c r="N878" s="1" t="s">
        <v>35</v>
      </c>
      <c r="P878" s="1" t="n">
        <v>113</v>
      </c>
      <c r="Q878" s="1" t="s">
        <v>36</v>
      </c>
      <c r="R878" s="1" t="s">
        <v>48</v>
      </c>
      <c r="S878" s="1" t="n">
        <v>1130101</v>
      </c>
      <c r="T878" s="1" t="s">
        <v>49</v>
      </c>
      <c r="U878" s="17" t="n">
        <v>1313.59</v>
      </c>
      <c r="W878" s="1" t="n">
        <v>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" t="n">
        <v>2</v>
      </c>
      <c r="B879" s="15" t="n">
        <v>46218</v>
      </c>
      <c r="C879" s="15" t="n">
        <v>46230</v>
      </c>
      <c r="D879" s="1" t="n">
        <v>1636</v>
      </c>
      <c r="E879" s="1" t="s">
        <v>85</v>
      </c>
      <c r="F879" s="1" t="n">
        <v>24</v>
      </c>
      <c r="G879" s="1" t="s">
        <v>77</v>
      </c>
      <c r="H879" s="1" t="n">
        <v>1110203</v>
      </c>
      <c r="I879" s="1" t="s">
        <v>108</v>
      </c>
      <c r="J879" s="1" t="n">
        <v>1403003</v>
      </c>
      <c r="L879" s="1" t="n">
        <v>188857</v>
      </c>
      <c r="M879" s="1" t="s">
        <v>83</v>
      </c>
      <c r="N879" s="1" t="s">
        <v>35</v>
      </c>
      <c r="P879" s="1" t="n">
        <v>113</v>
      </c>
      <c r="Q879" s="1" t="s">
        <v>36</v>
      </c>
      <c r="R879" s="1" t="s">
        <v>48</v>
      </c>
      <c r="S879" s="1" t="n">
        <v>1130101</v>
      </c>
      <c r="T879" s="1" t="s">
        <v>49</v>
      </c>
      <c r="U879" s="17" t="n">
        <v>1385.14</v>
      </c>
      <c r="W879" s="1" t="n">
        <v>0</v>
      </c>
      <c r="X879" s="1" t="s">
        <v>901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12.75" hidden="false" customHeight="true" outlineLevel="0" collapsed="false">
      <c r="A880" s="1" t="n">
        <v>2</v>
      </c>
      <c r="B880" s="15" t="n">
        <v>46219</v>
      </c>
      <c r="C880" s="15" t="n">
        <v>46230</v>
      </c>
      <c r="D880" s="1" t="n">
        <v>1636</v>
      </c>
      <c r="E880" s="1" t="s">
        <v>85</v>
      </c>
      <c r="F880" s="1" t="n">
        <v>24</v>
      </c>
      <c r="G880" s="1" t="s">
        <v>77</v>
      </c>
      <c r="H880" s="1" t="n">
        <v>1110203</v>
      </c>
      <c r="I880" s="1" t="s">
        <v>108</v>
      </c>
      <c r="J880" s="1" t="n">
        <v>1406447</v>
      </c>
      <c r="L880" s="1" t="n">
        <v>189383</v>
      </c>
      <c r="M880" s="1" t="s">
        <v>83</v>
      </c>
      <c r="N880" s="1" t="s">
        <v>35</v>
      </c>
      <c r="P880" s="1" t="n">
        <v>113</v>
      </c>
      <c r="Q880" s="1" t="s">
        <v>36</v>
      </c>
      <c r="R880" s="1" t="s">
        <v>48</v>
      </c>
      <c r="S880" s="1" t="n">
        <v>1130101</v>
      </c>
      <c r="T880" s="1" t="s">
        <v>49</v>
      </c>
      <c r="U880" s="17" t="n">
        <v>918.23</v>
      </c>
      <c r="W880" s="1" t="n">
        <v>0</v>
      </c>
      <c r="X880" s="1" t="s">
        <v>902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" t="n">
        <v>2</v>
      </c>
      <c r="B881" s="15" t="n">
        <v>46223</v>
      </c>
      <c r="C881" s="15" t="n">
        <v>46230</v>
      </c>
      <c r="D881" s="1" t="n">
        <v>48</v>
      </c>
      <c r="E881" s="1" t="s">
        <v>132</v>
      </c>
      <c r="F881" s="1" t="n">
        <v>34</v>
      </c>
      <c r="G881" s="1" t="s">
        <v>97</v>
      </c>
      <c r="H881" s="1" t="n">
        <v>2110101</v>
      </c>
      <c r="I881" s="1" t="s">
        <v>33</v>
      </c>
      <c r="J881" s="1" t="n">
        <v>1423704</v>
      </c>
      <c r="L881" s="1" t="n">
        <v>2550</v>
      </c>
      <c r="M881" s="1" t="s">
        <v>83</v>
      </c>
      <c r="N881" s="1" t="s">
        <v>54</v>
      </c>
      <c r="P881" s="1" t="n">
        <v>113</v>
      </c>
      <c r="Q881" s="1" t="s">
        <v>36</v>
      </c>
      <c r="R881" s="1" t="s">
        <v>48</v>
      </c>
      <c r="S881" s="1" t="n">
        <v>1130101</v>
      </c>
      <c r="T881" s="1" t="s">
        <v>49</v>
      </c>
      <c r="U881" s="17" t="n">
        <v>949</v>
      </c>
      <c r="W881" s="1" t="n">
        <v>0</v>
      </c>
      <c r="X881" s="1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" t="n">
        <v>2</v>
      </c>
      <c r="B882" s="15" t="n">
        <v>46223</v>
      </c>
      <c r="C882" s="15" t="n">
        <v>46230</v>
      </c>
      <c r="D882" s="1" t="n">
        <v>581</v>
      </c>
      <c r="E882" s="1" t="s">
        <v>126</v>
      </c>
      <c r="F882" s="1" t="n">
        <v>24</v>
      </c>
      <c r="G882" s="1" t="s">
        <v>77</v>
      </c>
      <c r="H882" s="1" t="n">
        <v>1110203</v>
      </c>
      <c r="I882" s="1" t="s">
        <v>108</v>
      </c>
      <c r="J882" s="1" t="n">
        <v>1424567</v>
      </c>
      <c r="L882" s="1" t="n">
        <v>190908</v>
      </c>
      <c r="M882" s="1" t="s">
        <v>83</v>
      </c>
      <c r="N882" s="1" t="s">
        <v>35</v>
      </c>
      <c r="P882" s="1" t="n">
        <v>113</v>
      </c>
      <c r="Q882" s="1" t="s">
        <v>36</v>
      </c>
      <c r="R882" s="1" t="s">
        <v>48</v>
      </c>
      <c r="S882" s="1" t="n">
        <v>1130101</v>
      </c>
      <c r="T882" s="1" t="s">
        <v>49</v>
      </c>
      <c r="U882" s="17" t="n">
        <v>199</v>
      </c>
      <c r="W882" s="1" t="n">
        <v>0</v>
      </c>
      <c r="X882" s="1" t="s">
        <v>903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12.75" hidden="false" customHeight="true" outlineLevel="0" collapsed="false">
      <c r="A883" s="1" t="n">
        <v>2</v>
      </c>
      <c r="B883" s="15" t="n">
        <v>46224</v>
      </c>
      <c r="C883" s="15" t="n">
        <v>46230</v>
      </c>
      <c r="D883" s="1" t="n">
        <v>1363</v>
      </c>
      <c r="E883" s="1" t="s">
        <v>171</v>
      </c>
      <c r="F883" s="1" t="n">
        <v>24</v>
      </c>
      <c r="G883" s="1" t="s">
        <v>77</v>
      </c>
      <c r="H883" s="1" t="n">
        <v>1110203</v>
      </c>
      <c r="I883" s="1" t="s">
        <v>108</v>
      </c>
      <c r="J883" s="1" t="n">
        <v>1427550</v>
      </c>
      <c r="L883" s="1" t="n">
        <v>190912</v>
      </c>
      <c r="M883" s="1" t="s">
        <v>83</v>
      </c>
      <c r="N883" s="1" t="s">
        <v>35</v>
      </c>
      <c r="P883" s="1" t="n">
        <v>113</v>
      </c>
      <c r="Q883" s="1" t="s">
        <v>36</v>
      </c>
      <c r="R883" s="1" t="s">
        <v>48</v>
      </c>
      <c r="S883" s="1" t="n">
        <v>1130101</v>
      </c>
      <c r="T883" s="1" t="s">
        <v>49</v>
      </c>
      <c r="U883" s="17" t="n">
        <v>179</v>
      </c>
      <c r="W883" s="1" t="n">
        <v>0</v>
      </c>
      <c r="X883" s="1" t="s">
        <v>904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12.75" hidden="false" customHeight="true" outlineLevel="0" collapsed="false">
      <c r="A884" s="1" t="n">
        <v>2</v>
      </c>
      <c r="B884" s="15" t="n">
        <v>46224</v>
      </c>
      <c r="C884" s="15" t="n">
        <v>46230</v>
      </c>
      <c r="D884" s="1" t="n">
        <v>1328</v>
      </c>
      <c r="E884" s="1" t="s">
        <v>92</v>
      </c>
      <c r="F884" s="1" t="n">
        <v>24</v>
      </c>
      <c r="G884" s="1" t="s">
        <v>77</v>
      </c>
      <c r="H884" s="1" t="n">
        <v>1110203</v>
      </c>
      <c r="I884" s="1" t="s">
        <v>108</v>
      </c>
      <c r="J884" s="1" t="n">
        <v>1427562</v>
      </c>
      <c r="L884" s="1" t="n">
        <v>190913</v>
      </c>
      <c r="M884" s="1" t="s">
        <v>83</v>
      </c>
      <c r="N884" s="1" t="s">
        <v>35</v>
      </c>
      <c r="P884" s="1" t="n">
        <v>113</v>
      </c>
      <c r="Q884" s="1" t="s">
        <v>36</v>
      </c>
      <c r="R884" s="1" t="s">
        <v>48</v>
      </c>
      <c r="S884" s="1" t="n">
        <v>1130101</v>
      </c>
      <c r="T884" s="1" t="s">
        <v>49</v>
      </c>
      <c r="U884" s="17" t="n">
        <v>232.05</v>
      </c>
      <c r="W884" s="1" t="n">
        <v>0</v>
      </c>
      <c r="X884" s="1" t="s">
        <v>905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" t="n">
        <v>2</v>
      </c>
      <c r="B885" s="15" t="n">
        <v>46226</v>
      </c>
      <c r="C885" s="15" t="n">
        <v>46230</v>
      </c>
      <c r="D885" s="1" t="n">
        <v>1899</v>
      </c>
      <c r="E885" s="1" t="s">
        <v>194</v>
      </c>
      <c r="F885" s="1" t="n">
        <v>24</v>
      </c>
      <c r="G885" s="1" t="s">
        <v>77</v>
      </c>
      <c r="H885" s="1" t="n">
        <v>1110203</v>
      </c>
      <c r="I885" s="1" t="s">
        <v>108</v>
      </c>
      <c r="J885" s="1" t="n">
        <v>1438993</v>
      </c>
      <c r="L885" s="1" t="n">
        <v>194448</v>
      </c>
      <c r="M885" s="1" t="s">
        <v>83</v>
      </c>
      <c r="N885" s="1" t="s">
        <v>35</v>
      </c>
      <c r="P885" s="1" t="n">
        <v>113</v>
      </c>
      <c r="Q885" s="1" t="s">
        <v>36</v>
      </c>
      <c r="R885" s="1" t="s">
        <v>48</v>
      </c>
      <c r="S885" s="1" t="n">
        <v>1130101</v>
      </c>
      <c r="T885" s="1" t="s">
        <v>49</v>
      </c>
      <c r="U885" s="17" t="n">
        <v>247.23</v>
      </c>
      <c r="W885" s="1" t="n">
        <v>0</v>
      </c>
      <c r="X885" s="1" t="s">
        <v>906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" t="n">
        <v>2</v>
      </c>
      <c r="B886" s="15" t="n">
        <v>46227</v>
      </c>
      <c r="C886" s="15" t="n">
        <v>46230</v>
      </c>
      <c r="D886" s="1" t="n">
        <v>10035</v>
      </c>
      <c r="E886" s="1" t="s">
        <v>96</v>
      </c>
      <c r="F886" s="1" t="n">
        <v>34</v>
      </c>
      <c r="G886" s="1" t="s">
        <v>97</v>
      </c>
      <c r="H886" s="1" t="n">
        <v>1110203</v>
      </c>
      <c r="I886" s="1" t="s">
        <v>108</v>
      </c>
      <c r="J886" s="1" t="n">
        <v>1443788</v>
      </c>
      <c r="L886" s="1" t="n">
        <v>195252</v>
      </c>
      <c r="M886" s="1" t="s">
        <v>83</v>
      </c>
      <c r="N886" s="1" t="s">
        <v>35</v>
      </c>
      <c r="P886" s="1" t="n">
        <v>113</v>
      </c>
      <c r="Q886" s="1" t="s">
        <v>36</v>
      </c>
      <c r="R886" s="1" t="s">
        <v>48</v>
      </c>
      <c r="S886" s="1" t="n">
        <v>1130101</v>
      </c>
      <c r="T886" s="1" t="s">
        <v>49</v>
      </c>
      <c r="U886" s="17" t="n">
        <v>270</v>
      </c>
      <c r="W886" s="1" t="n">
        <v>0</v>
      </c>
      <c r="X886" s="1" t="s">
        <v>907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" t="n">
        <v>2</v>
      </c>
      <c r="B887" s="15" t="n">
        <v>46230</v>
      </c>
      <c r="C887" s="15" t="n">
        <v>46230</v>
      </c>
      <c r="D887" s="1" t="n">
        <v>515</v>
      </c>
      <c r="E887" s="1" t="s">
        <v>143</v>
      </c>
      <c r="F887" s="1" t="n">
        <v>34</v>
      </c>
      <c r="G887" s="1" t="s">
        <v>97</v>
      </c>
      <c r="H887" s="1" t="n">
        <v>1110203</v>
      </c>
      <c r="I887" s="1" t="s">
        <v>108</v>
      </c>
      <c r="J887" s="1" t="n">
        <v>1464457</v>
      </c>
      <c r="L887" s="1" t="n">
        <v>198282</v>
      </c>
      <c r="M887" s="1" t="s">
        <v>83</v>
      </c>
      <c r="N887" s="1" t="s">
        <v>35</v>
      </c>
      <c r="P887" s="1" t="n">
        <v>102</v>
      </c>
      <c r="Q887" s="1" t="s">
        <v>282</v>
      </c>
      <c r="R887" s="1" t="s">
        <v>144</v>
      </c>
      <c r="S887" s="1" t="n">
        <v>4210504</v>
      </c>
      <c r="T887" s="1" t="s">
        <v>149</v>
      </c>
      <c r="U887" s="17" t="n">
        <v>165</v>
      </c>
      <c r="W887" s="1" t="n">
        <v>0</v>
      </c>
      <c r="X887" s="1" t="s">
        <v>908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" t="n">
        <v>2</v>
      </c>
      <c r="B888" s="15" t="n">
        <v>46231</v>
      </c>
      <c r="C888" s="15" t="n">
        <v>46230</v>
      </c>
      <c r="D888" s="1" t="n">
        <v>515</v>
      </c>
      <c r="E888" s="1" t="s">
        <v>143</v>
      </c>
      <c r="F888" s="1" t="n">
        <v>34</v>
      </c>
      <c r="G888" s="1" t="s">
        <v>97</v>
      </c>
      <c r="H888" s="1" t="n">
        <v>1110203</v>
      </c>
      <c r="I888" s="1" t="s">
        <v>108</v>
      </c>
      <c r="J888" s="1" t="n">
        <v>1464457</v>
      </c>
      <c r="L888" s="1" t="n">
        <v>198282</v>
      </c>
      <c r="M888" s="1" t="s">
        <v>74</v>
      </c>
      <c r="N888" s="1" t="s">
        <v>35</v>
      </c>
      <c r="P888" s="1" t="n">
        <v>102</v>
      </c>
      <c r="Q888" s="1" t="s">
        <v>282</v>
      </c>
      <c r="R888" s="1" t="s">
        <v>144</v>
      </c>
      <c r="S888" s="1" t="n">
        <v>4210504</v>
      </c>
      <c r="T888" s="1" t="s">
        <v>149</v>
      </c>
      <c r="U888" s="17" t="n">
        <v>165</v>
      </c>
      <c r="W888" s="1" t="n">
        <v>0</v>
      </c>
      <c r="X888" s="1" t="s">
        <v>908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" t="n">
        <v>2</v>
      </c>
      <c r="B889" s="15" t="n">
        <v>46230</v>
      </c>
      <c r="C889" s="15" t="n">
        <v>46230</v>
      </c>
      <c r="D889" s="1" t="n">
        <v>515</v>
      </c>
      <c r="E889" s="1" t="s">
        <v>143</v>
      </c>
      <c r="F889" s="1" t="n">
        <v>34</v>
      </c>
      <c r="G889" s="1" t="s">
        <v>97</v>
      </c>
      <c r="H889" s="1" t="n">
        <v>1110203</v>
      </c>
      <c r="I889" s="1" t="s">
        <v>108</v>
      </c>
      <c r="J889" s="1" t="n">
        <v>1464466</v>
      </c>
      <c r="L889" s="1" t="n">
        <v>198285</v>
      </c>
      <c r="M889" s="1" t="s">
        <v>83</v>
      </c>
      <c r="N889" s="1" t="s">
        <v>35</v>
      </c>
      <c r="P889" s="1" t="n">
        <v>102</v>
      </c>
      <c r="Q889" s="1" t="s">
        <v>282</v>
      </c>
      <c r="R889" s="1" t="s">
        <v>144</v>
      </c>
      <c r="S889" s="1" t="n">
        <v>4210502</v>
      </c>
      <c r="T889" s="1" t="s">
        <v>243</v>
      </c>
      <c r="U889" s="17" t="n">
        <v>1603.6</v>
      </c>
      <c r="W889" s="1" t="n">
        <v>0</v>
      </c>
      <c r="X889" s="1" t="s">
        <v>909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" t="n">
        <v>2</v>
      </c>
      <c r="B890" s="15" t="n">
        <v>46230</v>
      </c>
      <c r="C890" s="15" t="n">
        <v>46230</v>
      </c>
      <c r="D890" s="1" t="n">
        <v>17</v>
      </c>
      <c r="E890" s="1" t="s">
        <v>436</v>
      </c>
      <c r="F890" s="1" t="n">
        <v>48</v>
      </c>
      <c r="G890" s="1" t="s">
        <v>503</v>
      </c>
      <c r="H890" s="1" t="n">
        <v>1110203</v>
      </c>
      <c r="I890" s="1" t="s">
        <v>108</v>
      </c>
      <c r="J890" s="1" t="n">
        <v>1464636</v>
      </c>
      <c r="L890" s="1" t="n">
        <v>198325</v>
      </c>
      <c r="M890" s="1" t="s">
        <v>83</v>
      </c>
      <c r="N890" s="1" t="s">
        <v>35</v>
      </c>
      <c r="P890" s="1" t="n">
        <v>102</v>
      </c>
      <c r="Q890" s="1" t="s">
        <v>282</v>
      </c>
      <c r="R890" s="1" t="s">
        <v>43</v>
      </c>
      <c r="S890" s="1" t="n">
        <v>4220199</v>
      </c>
      <c r="T890" s="1" t="s">
        <v>44</v>
      </c>
      <c r="U890" s="17" t="n">
        <v>602.1</v>
      </c>
      <c r="W890" s="1" t="n">
        <v>0</v>
      </c>
      <c r="X890" s="1" t="s">
        <v>910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" t="n">
        <v>2</v>
      </c>
      <c r="B891" s="15" t="n">
        <v>46231</v>
      </c>
      <c r="C891" s="15" t="n">
        <v>46231</v>
      </c>
      <c r="D891" s="1" t="n">
        <v>847</v>
      </c>
      <c r="E891" s="1" t="s">
        <v>911</v>
      </c>
      <c r="F891" s="1" t="n">
        <v>24</v>
      </c>
      <c r="G891" s="1" t="s">
        <v>77</v>
      </c>
      <c r="H891" s="1" t="n">
        <v>1110203</v>
      </c>
      <c r="I891" s="1" t="s">
        <v>108</v>
      </c>
      <c r="J891" s="1" t="n">
        <v>1464541</v>
      </c>
      <c r="L891" s="1" t="n">
        <v>198302</v>
      </c>
      <c r="M891" s="1" t="s">
        <v>83</v>
      </c>
      <c r="N891" s="1" t="s">
        <v>35</v>
      </c>
      <c r="P891" s="1" t="n">
        <v>101</v>
      </c>
      <c r="Q891" s="1" t="s">
        <v>42</v>
      </c>
      <c r="R891" s="1" t="s">
        <v>56</v>
      </c>
      <c r="S891" s="1" t="n">
        <v>4210227</v>
      </c>
      <c r="T891" s="1" t="s">
        <v>63</v>
      </c>
      <c r="U891" s="17" t="n">
        <v>302.22</v>
      </c>
      <c r="W891" s="1" t="n">
        <v>0</v>
      </c>
      <c r="X891" s="1" t="s">
        <v>912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" t="n">
        <v>2</v>
      </c>
      <c r="B892" s="15" t="n">
        <v>46189</v>
      </c>
      <c r="C892" s="15" t="n">
        <v>46231</v>
      </c>
      <c r="D892" s="1" t="n">
        <v>957</v>
      </c>
      <c r="E892" s="1" t="s">
        <v>554</v>
      </c>
      <c r="F892" s="1" t="n">
        <v>24</v>
      </c>
      <c r="G892" s="1" t="s">
        <v>77</v>
      </c>
      <c r="H892" s="1" t="n">
        <v>2110101</v>
      </c>
      <c r="I892" s="1" t="s">
        <v>33</v>
      </c>
      <c r="J892" s="1" t="n">
        <v>1261052</v>
      </c>
      <c r="L892" s="1" t="n">
        <v>20499</v>
      </c>
      <c r="M892" s="1" t="s">
        <v>71</v>
      </c>
      <c r="N892" s="1" t="s">
        <v>54</v>
      </c>
      <c r="P892" s="1" t="n">
        <v>113</v>
      </c>
      <c r="Q892" s="1" t="s">
        <v>36</v>
      </c>
      <c r="R892" s="1" t="s">
        <v>48</v>
      </c>
      <c r="S892" s="1" t="n">
        <v>1130101</v>
      </c>
      <c r="T892" s="1" t="s">
        <v>49</v>
      </c>
      <c r="U892" s="17" t="n">
        <v>1589.28</v>
      </c>
      <c r="W892" s="1" t="n">
        <v>0</v>
      </c>
      <c r="X892" s="1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" t="n">
        <v>2</v>
      </c>
      <c r="B893" s="15" t="n">
        <v>46204</v>
      </c>
      <c r="C893" s="15" t="n">
        <v>46231</v>
      </c>
      <c r="D893" s="1" t="n">
        <v>1611</v>
      </c>
      <c r="E893" s="1" t="s">
        <v>156</v>
      </c>
      <c r="F893" s="1" t="n">
        <v>24</v>
      </c>
      <c r="G893" s="1" t="s">
        <v>77</v>
      </c>
      <c r="H893" s="1" t="n">
        <v>2110101</v>
      </c>
      <c r="I893" s="1" t="s">
        <v>33</v>
      </c>
      <c r="J893" s="1" t="n">
        <v>1333898</v>
      </c>
      <c r="L893" s="1" t="n">
        <v>1777487</v>
      </c>
      <c r="M893" s="1" t="s">
        <v>62</v>
      </c>
      <c r="N893" s="1" t="s">
        <v>54</v>
      </c>
      <c r="P893" s="1" t="n">
        <v>113</v>
      </c>
      <c r="Q893" s="1" t="s">
        <v>36</v>
      </c>
      <c r="R893" s="1" t="s">
        <v>48</v>
      </c>
      <c r="S893" s="1" t="n">
        <v>1130101</v>
      </c>
      <c r="T893" s="1" t="s">
        <v>49</v>
      </c>
      <c r="U893" s="17" t="n">
        <v>542.11</v>
      </c>
      <c r="W893" s="1" t="n">
        <v>0</v>
      </c>
      <c r="X893" s="1" t="s">
        <v>778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12.75" hidden="false" customHeight="true" outlineLevel="0" collapsed="false">
      <c r="A894" s="1" t="n">
        <v>2</v>
      </c>
      <c r="B894" s="15" t="n">
        <v>46230</v>
      </c>
      <c r="C894" s="15" t="n">
        <v>46231</v>
      </c>
      <c r="D894" s="1" t="n">
        <v>218</v>
      </c>
      <c r="E894" s="1" t="s">
        <v>723</v>
      </c>
      <c r="F894" s="1" t="n">
        <v>34</v>
      </c>
      <c r="G894" s="1" t="s">
        <v>97</v>
      </c>
      <c r="H894" s="1" t="n">
        <v>1110203</v>
      </c>
      <c r="I894" s="1" t="s">
        <v>108</v>
      </c>
      <c r="J894" s="1" t="n">
        <v>1459571</v>
      </c>
      <c r="L894" s="1" t="n">
        <v>197543</v>
      </c>
      <c r="M894" s="1" t="s">
        <v>83</v>
      </c>
      <c r="N894" s="1" t="s">
        <v>35</v>
      </c>
      <c r="P894" s="1" t="n">
        <v>101</v>
      </c>
      <c r="Q894" s="1" t="s">
        <v>42</v>
      </c>
      <c r="R894" s="1" t="s">
        <v>100</v>
      </c>
      <c r="S894" s="1" t="n">
        <v>4210301</v>
      </c>
      <c r="T894" s="1" t="s">
        <v>230</v>
      </c>
      <c r="U894" s="17" t="n">
        <v>261.72</v>
      </c>
      <c r="W894" s="1" t="n">
        <v>0</v>
      </c>
      <c r="X894" s="1" t="s">
        <v>913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</row>
    <row r="895" customFormat="false" ht="12.75" hidden="false" customHeight="true" outlineLevel="0" collapsed="false">
      <c r="A895" s="1" t="n">
        <v>2</v>
      </c>
      <c r="B895" s="15" t="n">
        <v>46230</v>
      </c>
      <c r="C895" s="15" t="n">
        <v>46231</v>
      </c>
      <c r="D895" s="1" t="n">
        <v>218</v>
      </c>
      <c r="E895" s="1" t="s">
        <v>723</v>
      </c>
      <c r="F895" s="1" t="n">
        <v>34</v>
      </c>
      <c r="G895" s="1" t="s">
        <v>97</v>
      </c>
      <c r="H895" s="1" t="n">
        <v>2110405</v>
      </c>
      <c r="I895" s="1" t="s">
        <v>41</v>
      </c>
      <c r="J895" s="1" t="n">
        <v>1459578</v>
      </c>
      <c r="L895" s="1" t="n">
        <v>197545</v>
      </c>
      <c r="M895" s="1" t="s">
        <v>83</v>
      </c>
      <c r="N895" s="1" t="s">
        <v>35</v>
      </c>
      <c r="P895" s="1" t="n">
        <v>101</v>
      </c>
      <c r="Q895" s="1" t="s">
        <v>42</v>
      </c>
      <c r="R895" s="1" t="s">
        <v>100</v>
      </c>
      <c r="S895" s="1" t="n">
        <v>4210301</v>
      </c>
      <c r="T895" s="1" t="s">
        <v>230</v>
      </c>
      <c r="U895" s="17" t="n">
        <v>267.87</v>
      </c>
      <c r="W895" s="1" t="n">
        <v>0</v>
      </c>
      <c r="X895" s="1" t="s">
        <v>914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" t="n">
        <v>2</v>
      </c>
      <c r="B896" s="15" t="n">
        <v>46214</v>
      </c>
      <c r="C896" s="15" t="n">
        <v>46231</v>
      </c>
      <c r="D896" s="1" t="n">
        <v>666</v>
      </c>
      <c r="E896" s="1" t="s">
        <v>381</v>
      </c>
      <c r="F896" s="1" t="n">
        <v>24</v>
      </c>
      <c r="G896" s="1" t="s">
        <v>77</v>
      </c>
      <c r="H896" s="1" t="n">
        <v>2110101</v>
      </c>
      <c r="I896" s="1" t="s">
        <v>33</v>
      </c>
      <c r="J896" s="1" t="n">
        <v>1381906</v>
      </c>
      <c r="L896" s="1" t="n">
        <v>7874</v>
      </c>
      <c r="M896" s="1" t="s">
        <v>62</v>
      </c>
      <c r="N896" s="1" t="s">
        <v>54</v>
      </c>
      <c r="P896" s="1" t="n">
        <v>113</v>
      </c>
      <c r="Q896" s="1" t="s">
        <v>36</v>
      </c>
      <c r="R896" s="1" t="s">
        <v>48</v>
      </c>
      <c r="S896" s="1" t="n">
        <v>1130101</v>
      </c>
      <c r="T896" s="1" t="s">
        <v>49</v>
      </c>
      <c r="U896" s="17" t="n">
        <v>378.88</v>
      </c>
      <c r="W896" s="1" t="n">
        <v>0</v>
      </c>
      <c r="X896" s="1" t="s">
        <v>785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12.75" hidden="false" customHeight="true" outlineLevel="0" collapsed="false">
      <c r="A897" s="1" t="n">
        <v>2</v>
      </c>
      <c r="B897" s="15" t="n">
        <v>46216</v>
      </c>
      <c r="C897" s="15" t="n">
        <v>46231</v>
      </c>
      <c r="D897" s="1" t="n">
        <v>1705</v>
      </c>
      <c r="E897" s="1" t="s">
        <v>119</v>
      </c>
      <c r="F897" s="1" t="n">
        <v>24</v>
      </c>
      <c r="G897" s="1" t="s">
        <v>77</v>
      </c>
      <c r="H897" s="1" t="n">
        <v>2110101</v>
      </c>
      <c r="I897" s="1" t="s">
        <v>33</v>
      </c>
      <c r="J897" s="1" t="n">
        <v>1393986</v>
      </c>
      <c r="L897" s="1" t="n">
        <v>1931230</v>
      </c>
      <c r="M897" s="1" t="s">
        <v>83</v>
      </c>
      <c r="N897" s="1" t="s">
        <v>54</v>
      </c>
      <c r="P897" s="1" t="n">
        <v>113</v>
      </c>
      <c r="Q897" s="1" t="s">
        <v>36</v>
      </c>
      <c r="R897" s="1" t="s">
        <v>48</v>
      </c>
      <c r="S897" s="1" t="n">
        <v>1130101</v>
      </c>
      <c r="T897" s="1" t="s">
        <v>49</v>
      </c>
      <c r="U897" s="17" t="n">
        <v>419.67</v>
      </c>
      <c r="W897" s="1" t="n">
        <v>0</v>
      </c>
      <c r="X897" s="1" t="s">
        <v>915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" t="n">
        <v>2</v>
      </c>
      <c r="B898" s="15" t="n">
        <v>46216</v>
      </c>
      <c r="C898" s="15" t="n">
        <v>46231</v>
      </c>
      <c r="D898" s="1" t="n">
        <v>1705</v>
      </c>
      <c r="E898" s="1" t="s">
        <v>119</v>
      </c>
      <c r="F898" s="1" t="n">
        <v>24</v>
      </c>
      <c r="G898" s="1" t="s">
        <v>77</v>
      </c>
      <c r="H898" s="1" t="n">
        <v>2110101</v>
      </c>
      <c r="I898" s="1" t="s">
        <v>33</v>
      </c>
      <c r="J898" s="1" t="n">
        <v>1393993</v>
      </c>
      <c r="L898" s="1" t="n">
        <v>1199257</v>
      </c>
      <c r="M898" s="1" t="s">
        <v>83</v>
      </c>
      <c r="N898" s="1" t="s">
        <v>54</v>
      </c>
      <c r="P898" s="1" t="n">
        <v>113</v>
      </c>
      <c r="Q898" s="1" t="s">
        <v>36</v>
      </c>
      <c r="R898" s="1" t="s">
        <v>48</v>
      </c>
      <c r="S898" s="1" t="n">
        <v>1130101</v>
      </c>
      <c r="T898" s="1" t="s">
        <v>49</v>
      </c>
      <c r="U898" s="17" t="n">
        <v>203.41</v>
      </c>
      <c r="W898" s="1" t="n">
        <v>0</v>
      </c>
      <c r="X898" s="1" t="s">
        <v>916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12.75" hidden="false" customHeight="true" outlineLevel="0" collapsed="false">
      <c r="A899" s="1" t="n">
        <v>2</v>
      </c>
      <c r="B899" s="15" t="n">
        <v>46216</v>
      </c>
      <c r="C899" s="15" t="n">
        <v>46231</v>
      </c>
      <c r="D899" s="1" t="n">
        <v>1705</v>
      </c>
      <c r="E899" s="1" t="s">
        <v>119</v>
      </c>
      <c r="F899" s="1" t="n">
        <v>24</v>
      </c>
      <c r="G899" s="1" t="s">
        <v>77</v>
      </c>
      <c r="H899" s="1" t="n">
        <v>2110101</v>
      </c>
      <c r="I899" s="1" t="s">
        <v>33</v>
      </c>
      <c r="J899" s="1" t="n">
        <v>1394011</v>
      </c>
      <c r="L899" s="1" t="n">
        <v>1199243</v>
      </c>
      <c r="M899" s="1" t="s">
        <v>83</v>
      </c>
      <c r="N899" s="1" t="s">
        <v>54</v>
      </c>
      <c r="P899" s="1" t="n">
        <v>113</v>
      </c>
      <c r="Q899" s="1" t="s">
        <v>36</v>
      </c>
      <c r="R899" s="1" t="s">
        <v>48</v>
      </c>
      <c r="S899" s="1" t="n">
        <v>1130101</v>
      </c>
      <c r="T899" s="1" t="s">
        <v>49</v>
      </c>
      <c r="U899" s="17" t="n">
        <v>106.21</v>
      </c>
      <c r="W899" s="1" t="n">
        <v>0</v>
      </c>
      <c r="X899" s="1" t="s">
        <v>917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" t="n">
        <v>2</v>
      </c>
      <c r="B900" s="15" t="n">
        <v>46217</v>
      </c>
      <c r="C900" s="15" t="n">
        <v>46231</v>
      </c>
      <c r="D900" s="1" t="n">
        <v>571</v>
      </c>
      <c r="E900" s="1" t="s">
        <v>918</v>
      </c>
      <c r="F900" s="1" t="n">
        <v>24</v>
      </c>
      <c r="G900" s="1" t="s">
        <v>77</v>
      </c>
      <c r="H900" s="1" t="n">
        <v>1110203</v>
      </c>
      <c r="I900" s="1" t="s">
        <v>108</v>
      </c>
      <c r="J900" s="1" t="n">
        <v>1398431</v>
      </c>
      <c r="L900" s="1" t="n">
        <v>188123</v>
      </c>
      <c r="M900" s="1" t="s">
        <v>83</v>
      </c>
      <c r="N900" s="1" t="s">
        <v>35</v>
      </c>
      <c r="P900" s="1" t="n">
        <v>113</v>
      </c>
      <c r="Q900" s="1" t="s">
        <v>36</v>
      </c>
      <c r="R900" s="1" t="s">
        <v>48</v>
      </c>
      <c r="S900" s="1" t="n">
        <v>1130101</v>
      </c>
      <c r="T900" s="1" t="s">
        <v>49</v>
      </c>
      <c r="U900" s="17" t="n">
        <v>406.11</v>
      </c>
      <c r="W900" s="1" t="n">
        <v>0</v>
      </c>
      <c r="X900" s="1" t="s">
        <v>919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" t="n">
        <v>2</v>
      </c>
      <c r="B901" s="15" t="n">
        <v>46219</v>
      </c>
      <c r="C901" s="15" t="n">
        <v>46231</v>
      </c>
      <c r="D901" s="1" t="n">
        <v>1749</v>
      </c>
      <c r="E901" s="1" t="s">
        <v>512</v>
      </c>
      <c r="F901" s="1" t="n">
        <v>24</v>
      </c>
      <c r="G901" s="1" t="s">
        <v>77</v>
      </c>
      <c r="H901" s="1" t="n">
        <v>1110203</v>
      </c>
      <c r="I901" s="1" t="s">
        <v>108</v>
      </c>
      <c r="J901" s="1" t="n">
        <v>1405849</v>
      </c>
      <c r="L901" s="1" t="n">
        <v>189248</v>
      </c>
      <c r="M901" s="1" t="s">
        <v>83</v>
      </c>
      <c r="N901" s="1" t="s">
        <v>35</v>
      </c>
      <c r="P901" s="1" t="n">
        <v>113</v>
      </c>
      <c r="Q901" s="1" t="s">
        <v>36</v>
      </c>
      <c r="R901" s="1" t="s">
        <v>48</v>
      </c>
      <c r="S901" s="1" t="n">
        <v>1130101</v>
      </c>
      <c r="T901" s="1" t="s">
        <v>49</v>
      </c>
      <c r="U901" s="17" t="n">
        <v>1501.2</v>
      </c>
      <c r="W901" s="1" t="n">
        <v>0</v>
      </c>
      <c r="X901" s="1" t="s">
        <v>920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" t="n">
        <v>2</v>
      </c>
      <c r="B902" s="15" t="n">
        <v>46219</v>
      </c>
      <c r="C902" s="15" t="n">
        <v>46231</v>
      </c>
      <c r="D902" s="1" t="n">
        <v>10009</v>
      </c>
      <c r="E902" s="1" t="s">
        <v>417</v>
      </c>
      <c r="F902" s="1" t="n">
        <v>24</v>
      </c>
      <c r="G902" s="1" t="s">
        <v>77</v>
      </c>
      <c r="H902" s="1" t="n">
        <v>1110203</v>
      </c>
      <c r="I902" s="1" t="s">
        <v>108</v>
      </c>
      <c r="J902" s="1" t="n">
        <v>1406030</v>
      </c>
      <c r="L902" s="1" t="n">
        <v>189281</v>
      </c>
      <c r="M902" s="1" t="s">
        <v>83</v>
      </c>
      <c r="N902" s="1" t="s">
        <v>35</v>
      </c>
      <c r="P902" s="1" t="n">
        <v>113</v>
      </c>
      <c r="Q902" s="1" t="s">
        <v>36</v>
      </c>
      <c r="R902" s="1" t="s">
        <v>48</v>
      </c>
      <c r="S902" s="1" t="n">
        <v>1130101</v>
      </c>
      <c r="T902" s="1" t="s">
        <v>49</v>
      </c>
      <c r="U902" s="17" t="n">
        <v>691.61</v>
      </c>
      <c r="W902" s="1" t="n">
        <v>0</v>
      </c>
      <c r="X902" s="1" t="s">
        <v>844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" t="n">
        <v>2</v>
      </c>
      <c r="B903" s="15" t="n">
        <v>46220</v>
      </c>
      <c r="C903" s="15" t="n">
        <v>46231</v>
      </c>
      <c r="D903" s="1" t="n">
        <v>1676</v>
      </c>
      <c r="E903" s="1" t="s">
        <v>633</v>
      </c>
      <c r="F903" s="1" t="n">
        <v>24</v>
      </c>
      <c r="G903" s="1" t="s">
        <v>77</v>
      </c>
      <c r="H903" s="1" t="n">
        <v>1110203</v>
      </c>
      <c r="I903" s="1" t="s">
        <v>108</v>
      </c>
      <c r="J903" s="1" t="n">
        <v>1410574</v>
      </c>
      <c r="L903" s="1" t="n">
        <v>190080</v>
      </c>
      <c r="M903" s="1" t="s">
        <v>83</v>
      </c>
      <c r="N903" s="1" t="s">
        <v>35</v>
      </c>
      <c r="P903" s="1" t="n">
        <v>113</v>
      </c>
      <c r="Q903" s="1" t="s">
        <v>36</v>
      </c>
      <c r="R903" s="1" t="s">
        <v>48</v>
      </c>
      <c r="S903" s="1" t="n">
        <v>1130101</v>
      </c>
      <c r="T903" s="1" t="s">
        <v>49</v>
      </c>
      <c r="U903" s="17" t="n">
        <v>505.57</v>
      </c>
      <c r="W903" s="1" t="n">
        <v>0</v>
      </c>
      <c r="X903" s="1" t="s">
        <v>921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" t="n">
        <v>2</v>
      </c>
      <c r="B904" s="15" t="n">
        <v>46228</v>
      </c>
      <c r="C904" s="15" t="n">
        <v>46231</v>
      </c>
      <c r="D904" s="1" t="n">
        <v>642</v>
      </c>
      <c r="E904" s="1" t="s">
        <v>130</v>
      </c>
      <c r="F904" s="1" t="n">
        <v>24</v>
      </c>
      <c r="G904" s="1" t="s">
        <v>77</v>
      </c>
      <c r="H904" s="1" t="n">
        <v>1110203</v>
      </c>
      <c r="I904" s="1" t="s">
        <v>108</v>
      </c>
      <c r="J904" s="1" t="n">
        <v>1448216</v>
      </c>
      <c r="L904" s="1" t="n">
        <v>196004</v>
      </c>
      <c r="M904" s="1" t="s">
        <v>83</v>
      </c>
      <c r="N904" s="1" t="s">
        <v>35</v>
      </c>
      <c r="P904" s="1" t="n">
        <v>113</v>
      </c>
      <c r="Q904" s="1" t="s">
        <v>36</v>
      </c>
      <c r="R904" s="1" t="s">
        <v>48</v>
      </c>
      <c r="S904" s="1" t="n">
        <v>1130101</v>
      </c>
      <c r="T904" s="1" t="s">
        <v>49</v>
      </c>
      <c r="U904" s="17" t="n">
        <v>168</v>
      </c>
      <c r="W904" s="1" t="n">
        <v>0</v>
      </c>
      <c r="X904" s="1" t="s">
        <v>922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12.75" hidden="false" customHeight="true" outlineLevel="0" collapsed="false">
      <c r="A905" s="1" t="n">
        <v>2</v>
      </c>
      <c r="B905" s="15" t="n">
        <v>46228</v>
      </c>
      <c r="C905" s="15" t="n">
        <v>46231</v>
      </c>
      <c r="D905" s="1" t="n">
        <v>1899</v>
      </c>
      <c r="E905" s="1" t="s">
        <v>194</v>
      </c>
      <c r="F905" s="1" t="n">
        <v>24</v>
      </c>
      <c r="G905" s="1" t="s">
        <v>77</v>
      </c>
      <c r="H905" s="1" t="n">
        <v>1110203</v>
      </c>
      <c r="I905" s="1" t="s">
        <v>108</v>
      </c>
      <c r="J905" s="1" t="n">
        <v>1448470</v>
      </c>
      <c r="L905" s="1" t="n">
        <v>196059</v>
      </c>
      <c r="M905" s="1" t="s">
        <v>83</v>
      </c>
      <c r="N905" s="1" t="s">
        <v>35</v>
      </c>
      <c r="P905" s="1" t="n">
        <v>113</v>
      </c>
      <c r="Q905" s="1" t="s">
        <v>36</v>
      </c>
      <c r="R905" s="1" t="s">
        <v>48</v>
      </c>
      <c r="S905" s="1" t="n">
        <v>1130101</v>
      </c>
      <c r="T905" s="1" t="s">
        <v>49</v>
      </c>
      <c r="U905" s="17" t="n">
        <v>239.7</v>
      </c>
      <c r="W905" s="1" t="n">
        <v>0</v>
      </c>
      <c r="X905" s="1" t="s">
        <v>923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12.75" hidden="false" customHeight="true" outlineLevel="0" collapsed="false">
      <c r="A906" s="1" t="n">
        <v>2</v>
      </c>
      <c r="B906" s="15" t="n">
        <v>46231</v>
      </c>
      <c r="C906" s="15" t="n">
        <v>46231</v>
      </c>
      <c r="D906" s="1" t="n">
        <v>48</v>
      </c>
      <c r="E906" s="1" t="s">
        <v>132</v>
      </c>
      <c r="F906" s="1" t="n">
        <v>34</v>
      </c>
      <c r="G906" s="1" t="s">
        <v>97</v>
      </c>
      <c r="H906" s="1" t="n">
        <v>2110101</v>
      </c>
      <c r="I906" s="1" t="s">
        <v>33</v>
      </c>
      <c r="J906" s="1" t="n">
        <v>1465066</v>
      </c>
      <c r="L906" s="1" t="n">
        <v>2568</v>
      </c>
      <c r="M906" s="1" t="s">
        <v>83</v>
      </c>
      <c r="N906" s="1" t="s">
        <v>54</v>
      </c>
      <c r="P906" s="1" t="n">
        <v>113</v>
      </c>
      <c r="Q906" s="1" t="s">
        <v>36</v>
      </c>
      <c r="R906" s="1" t="s">
        <v>48</v>
      </c>
      <c r="S906" s="1" t="n">
        <v>1130101</v>
      </c>
      <c r="T906" s="1" t="s">
        <v>49</v>
      </c>
      <c r="U906" s="17" t="n">
        <v>1389.41</v>
      </c>
      <c r="W906" s="1" t="n">
        <v>0</v>
      </c>
      <c r="X906" s="1" t="s">
        <v>221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" t="n">
        <v>2</v>
      </c>
      <c r="B907" s="15" t="n">
        <v>46231</v>
      </c>
      <c r="C907" s="15" t="n">
        <v>46231</v>
      </c>
      <c r="D907" s="1" t="n">
        <v>1037</v>
      </c>
      <c r="E907" s="1" t="s">
        <v>139</v>
      </c>
      <c r="F907" s="1" t="n">
        <v>34</v>
      </c>
      <c r="G907" s="1" t="s">
        <v>97</v>
      </c>
      <c r="H907" s="1" t="n">
        <v>1110203</v>
      </c>
      <c r="I907" s="1" t="s">
        <v>108</v>
      </c>
      <c r="J907" s="1" t="n">
        <v>1465100</v>
      </c>
      <c r="L907" s="1" t="n">
        <v>198379</v>
      </c>
      <c r="M907" s="1" t="s">
        <v>83</v>
      </c>
      <c r="N907" s="1" t="s">
        <v>35</v>
      </c>
      <c r="P907" s="1" t="n">
        <v>113</v>
      </c>
      <c r="Q907" s="1" t="s">
        <v>36</v>
      </c>
      <c r="R907" s="1" t="s">
        <v>48</v>
      </c>
      <c r="S907" s="1" t="n">
        <v>1130101</v>
      </c>
      <c r="T907" s="1" t="s">
        <v>49</v>
      </c>
      <c r="U907" s="17" t="n">
        <v>140</v>
      </c>
      <c r="W907" s="1" t="n">
        <v>0</v>
      </c>
      <c r="X907" s="1" t="s">
        <v>924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12.75" hidden="false" customHeight="true" outlineLevel="0" collapsed="false">
      <c r="A908" s="1" t="n">
        <v>2</v>
      </c>
      <c r="B908" s="15" t="n">
        <v>46231</v>
      </c>
      <c r="C908" s="15" t="n">
        <v>46231</v>
      </c>
      <c r="D908" s="1" t="n">
        <v>23</v>
      </c>
      <c r="E908" s="1" t="s">
        <v>236</v>
      </c>
      <c r="F908" s="1" t="n">
        <v>11</v>
      </c>
      <c r="G908" s="1" t="s">
        <v>501</v>
      </c>
      <c r="H908" s="1" t="n">
        <v>2110405</v>
      </c>
      <c r="I908" s="1" t="s">
        <v>41</v>
      </c>
      <c r="J908" s="1" t="n">
        <v>1509024</v>
      </c>
      <c r="L908" s="1" t="n">
        <v>205108</v>
      </c>
      <c r="M908" s="1" t="s">
        <v>83</v>
      </c>
      <c r="N908" s="1" t="s">
        <v>35</v>
      </c>
      <c r="P908" s="1" t="n">
        <v>113</v>
      </c>
      <c r="Q908" s="1" t="s">
        <v>36</v>
      </c>
      <c r="R908" s="1" t="s">
        <v>100</v>
      </c>
      <c r="S908" s="1" t="n">
        <v>4210301</v>
      </c>
      <c r="T908" s="1" t="s">
        <v>230</v>
      </c>
      <c r="U908" s="17" t="n">
        <v>250</v>
      </c>
      <c r="W908" s="1" t="n">
        <v>0</v>
      </c>
      <c r="X908" s="1" t="s">
        <v>925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</row>
    <row r="909" customFormat="false" ht="12.75" hidden="false" customHeight="true" outlineLevel="0" collapsed="false">
      <c r="A909" s="1" t="n">
        <v>2</v>
      </c>
      <c r="B909" s="15" t="n">
        <v>46230</v>
      </c>
      <c r="C909" s="15" t="n">
        <v>46232</v>
      </c>
      <c r="D909" s="1" t="n">
        <v>218</v>
      </c>
      <c r="E909" s="1" t="s">
        <v>723</v>
      </c>
      <c r="F909" s="1" t="n">
        <v>34</v>
      </c>
      <c r="G909" s="1" t="s">
        <v>97</v>
      </c>
      <c r="H909" s="1" t="n">
        <v>1110203</v>
      </c>
      <c r="I909" s="1" t="s">
        <v>108</v>
      </c>
      <c r="J909" s="1" t="n">
        <v>1459542</v>
      </c>
      <c r="L909" s="1" t="n">
        <v>197536</v>
      </c>
      <c r="M909" s="1" t="s">
        <v>83</v>
      </c>
      <c r="N909" s="1" t="s">
        <v>35</v>
      </c>
      <c r="P909" s="1" t="n">
        <v>101</v>
      </c>
      <c r="Q909" s="1" t="s">
        <v>42</v>
      </c>
      <c r="R909" s="1" t="s">
        <v>100</v>
      </c>
      <c r="S909" s="1" t="n">
        <v>4210301</v>
      </c>
      <c r="T909" s="1" t="s">
        <v>230</v>
      </c>
      <c r="U909" s="17" t="n">
        <v>207.18</v>
      </c>
      <c r="W909" s="1" t="n">
        <v>0</v>
      </c>
      <c r="X909" s="1" t="s">
        <v>926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</row>
    <row r="910" customFormat="false" ht="12.75" hidden="false" customHeight="true" outlineLevel="0" collapsed="false">
      <c r="A910" s="1" t="n">
        <v>2</v>
      </c>
      <c r="B910" s="15" t="n">
        <v>46211</v>
      </c>
      <c r="C910" s="15" t="n">
        <v>46232</v>
      </c>
      <c r="D910" s="1" t="n">
        <v>1921</v>
      </c>
      <c r="E910" s="1" t="s">
        <v>166</v>
      </c>
      <c r="F910" s="1" t="n">
        <v>24</v>
      </c>
      <c r="G910" s="1" t="s">
        <v>77</v>
      </c>
      <c r="H910" s="1" t="n">
        <v>2110101</v>
      </c>
      <c r="I910" s="1" t="s">
        <v>33</v>
      </c>
      <c r="J910" s="1" t="n">
        <v>1370224</v>
      </c>
      <c r="L910" s="1" t="n">
        <v>21032</v>
      </c>
      <c r="M910" s="1" t="s">
        <v>83</v>
      </c>
      <c r="N910" s="1" t="s">
        <v>54</v>
      </c>
      <c r="P910" s="1" t="n">
        <v>113</v>
      </c>
      <c r="Q910" s="1" t="s">
        <v>36</v>
      </c>
      <c r="R910" s="1" t="s">
        <v>48</v>
      </c>
      <c r="S910" s="1" t="n">
        <v>1130101</v>
      </c>
      <c r="T910" s="1" t="s">
        <v>49</v>
      </c>
      <c r="U910" s="17" t="n">
        <v>1213.69</v>
      </c>
      <c r="W910" s="1" t="n">
        <v>0</v>
      </c>
      <c r="X910" s="1" t="s">
        <v>927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12.75" hidden="false" customHeight="true" outlineLevel="0" collapsed="false">
      <c r="A911" s="1" t="n">
        <v>2</v>
      </c>
      <c r="B911" s="15" t="n">
        <v>46213</v>
      </c>
      <c r="C911" s="15" t="n">
        <v>46232</v>
      </c>
      <c r="D911" s="1" t="n">
        <v>1613</v>
      </c>
      <c r="E911" s="1" t="s">
        <v>94</v>
      </c>
      <c r="F911" s="1" t="n">
        <v>24</v>
      </c>
      <c r="G911" s="1" t="s">
        <v>77</v>
      </c>
      <c r="H911" s="1" t="n">
        <v>2110101</v>
      </c>
      <c r="I911" s="1" t="s">
        <v>33</v>
      </c>
      <c r="J911" s="1" t="n">
        <v>1376659</v>
      </c>
      <c r="L911" s="1" t="n">
        <v>1605936</v>
      </c>
      <c r="M911" s="1" t="s">
        <v>74</v>
      </c>
      <c r="N911" s="1" t="s">
        <v>54</v>
      </c>
      <c r="P911" s="1" t="n">
        <v>113</v>
      </c>
      <c r="Q911" s="1" t="s">
        <v>36</v>
      </c>
      <c r="R911" s="1" t="s">
        <v>48</v>
      </c>
      <c r="S911" s="1" t="n">
        <v>1130101</v>
      </c>
      <c r="T911" s="1" t="s">
        <v>49</v>
      </c>
      <c r="U911" s="17" t="n">
        <v>1025.06</v>
      </c>
      <c r="W911" s="1" t="n">
        <v>0</v>
      </c>
      <c r="X911" s="1" t="s">
        <v>854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12.75" hidden="false" customHeight="true" outlineLevel="0" collapsed="false">
      <c r="A912" s="1" t="n">
        <v>2</v>
      </c>
      <c r="B912" s="15" t="n">
        <v>46216</v>
      </c>
      <c r="C912" s="15" t="n">
        <v>46232</v>
      </c>
      <c r="D912" s="1" t="n">
        <v>10012</v>
      </c>
      <c r="E912" s="1" t="s">
        <v>160</v>
      </c>
      <c r="F912" s="1" t="n">
        <v>24</v>
      </c>
      <c r="G912" s="1" t="s">
        <v>77</v>
      </c>
      <c r="H912" s="1" t="n">
        <v>2110101</v>
      </c>
      <c r="I912" s="1" t="s">
        <v>33</v>
      </c>
      <c r="J912" s="1" t="n">
        <v>1393698</v>
      </c>
      <c r="L912" s="1" t="n">
        <v>1962669</v>
      </c>
      <c r="M912" s="1" t="s">
        <v>83</v>
      </c>
      <c r="N912" s="1" t="s">
        <v>54</v>
      </c>
      <c r="P912" s="1" t="n">
        <v>113</v>
      </c>
      <c r="Q912" s="1" t="s">
        <v>36</v>
      </c>
      <c r="R912" s="1" t="s">
        <v>48</v>
      </c>
      <c r="S912" s="1" t="n">
        <v>1130101</v>
      </c>
      <c r="T912" s="1" t="s">
        <v>49</v>
      </c>
      <c r="U912" s="17" t="n">
        <v>1504.05</v>
      </c>
      <c r="W912" s="1" t="n">
        <v>0</v>
      </c>
      <c r="X912" s="1" t="s">
        <v>928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12.75" hidden="false" customHeight="true" outlineLevel="0" collapsed="false">
      <c r="A913" s="1" t="n">
        <v>2</v>
      </c>
      <c r="B913" s="15" t="n">
        <v>46218</v>
      </c>
      <c r="C913" s="15" t="n">
        <v>46232</v>
      </c>
      <c r="D913" s="1" t="n">
        <v>1608</v>
      </c>
      <c r="E913" s="1" t="s">
        <v>201</v>
      </c>
      <c r="F913" s="1" t="n">
        <v>24</v>
      </c>
      <c r="G913" s="1" t="s">
        <v>77</v>
      </c>
      <c r="H913" s="1" t="n">
        <v>1110203</v>
      </c>
      <c r="I913" s="1" t="s">
        <v>108</v>
      </c>
      <c r="J913" s="1" t="n">
        <v>1401874</v>
      </c>
      <c r="L913" s="1" t="n">
        <v>188604</v>
      </c>
      <c r="M913" s="1" t="s">
        <v>83</v>
      </c>
      <c r="N913" s="1" t="s">
        <v>35</v>
      </c>
      <c r="P913" s="1" t="n">
        <v>113</v>
      </c>
      <c r="Q913" s="1" t="s">
        <v>36</v>
      </c>
      <c r="R913" s="1" t="s">
        <v>48</v>
      </c>
      <c r="S913" s="1" t="n">
        <v>1130101</v>
      </c>
      <c r="T913" s="1" t="s">
        <v>49</v>
      </c>
      <c r="U913" s="17" t="n">
        <v>1207.29</v>
      </c>
      <c r="W913" s="1" t="n">
        <v>0</v>
      </c>
      <c r="X913" s="1" t="s">
        <v>929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12.75" hidden="false" customHeight="true" outlineLevel="0" collapsed="false">
      <c r="A914" s="1" t="n">
        <v>2</v>
      </c>
      <c r="B914" s="15" t="n">
        <v>46218</v>
      </c>
      <c r="C914" s="15" t="n">
        <v>46232</v>
      </c>
      <c r="D914" s="1" t="n">
        <v>1815</v>
      </c>
      <c r="E914" s="1" t="s">
        <v>164</v>
      </c>
      <c r="F914" s="1" t="n">
        <v>24</v>
      </c>
      <c r="G914" s="1" t="s">
        <v>77</v>
      </c>
      <c r="H914" s="1" t="n">
        <v>1110203</v>
      </c>
      <c r="I914" s="1" t="s">
        <v>108</v>
      </c>
      <c r="J914" s="1" t="n">
        <v>1403056</v>
      </c>
      <c r="L914" s="1" t="n">
        <v>188873</v>
      </c>
      <c r="M914" s="1" t="s">
        <v>83</v>
      </c>
      <c r="N914" s="1" t="s">
        <v>35</v>
      </c>
      <c r="P914" s="1" t="n">
        <v>113</v>
      </c>
      <c r="Q914" s="1" t="s">
        <v>36</v>
      </c>
      <c r="R914" s="1" t="s">
        <v>48</v>
      </c>
      <c r="S914" s="1" t="n">
        <v>1130101</v>
      </c>
      <c r="T914" s="1" t="s">
        <v>49</v>
      </c>
      <c r="U914" s="17" t="n">
        <v>2806.49</v>
      </c>
      <c r="W914" s="1" t="n">
        <v>0</v>
      </c>
      <c r="X914" s="1" t="s">
        <v>857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12.75" hidden="false" customHeight="true" outlineLevel="0" collapsed="false">
      <c r="A915" s="1" t="n">
        <v>2</v>
      </c>
      <c r="B915" s="15" t="n">
        <v>46219</v>
      </c>
      <c r="C915" s="15" t="n">
        <v>46232</v>
      </c>
      <c r="D915" s="1" t="n">
        <v>1667</v>
      </c>
      <c r="E915" s="1" t="s">
        <v>82</v>
      </c>
      <c r="F915" s="1" t="n">
        <v>24</v>
      </c>
      <c r="G915" s="1" t="s">
        <v>77</v>
      </c>
      <c r="H915" s="1" t="n">
        <v>1110203</v>
      </c>
      <c r="I915" s="1" t="s">
        <v>108</v>
      </c>
      <c r="J915" s="1" t="n">
        <v>1405836</v>
      </c>
      <c r="L915" s="1" t="n">
        <v>189244</v>
      </c>
      <c r="M915" s="1" t="s">
        <v>83</v>
      </c>
      <c r="N915" s="1" t="s">
        <v>35</v>
      </c>
      <c r="P915" s="1" t="n">
        <v>113</v>
      </c>
      <c r="Q915" s="1" t="s">
        <v>36</v>
      </c>
      <c r="R915" s="1" t="s">
        <v>48</v>
      </c>
      <c r="S915" s="1" t="n">
        <v>1130101</v>
      </c>
      <c r="T915" s="1" t="s">
        <v>49</v>
      </c>
      <c r="U915" s="17" t="n">
        <v>560.56</v>
      </c>
      <c r="W915" s="1" t="n">
        <v>0</v>
      </c>
      <c r="X915" s="1" t="s">
        <v>930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12.75" hidden="false" customHeight="true" outlineLevel="0" collapsed="false">
      <c r="A916" s="1" t="n">
        <v>2</v>
      </c>
      <c r="B916" s="15" t="n">
        <v>46219</v>
      </c>
      <c r="C916" s="15" t="n">
        <v>46232</v>
      </c>
      <c r="D916" s="1" t="n">
        <v>1616</v>
      </c>
      <c r="E916" s="1" t="s">
        <v>80</v>
      </c>
      <c r="F916" s="1" t="n">
        <v>24</v>
      </c>
      <c r="G916" s="1" t="s">
        <v>77</v>
      </c>
      <c r="H916" s="1" t="n">
        <v>1110203</v>
      </c>
      <c r="I916" s="1" t="s">
        <v>108</v>
      </c>
      <c r="J916" s="1" t="n">
        <v>1406244</v>
      </c>
      <c r="L916" s="1" t="n">
        <v>189330</v>
      </c>
      <c r="M916" s="1" t="s">
        <v>83</v>
      </c>
      <c r="N916" s="1" t="s">
        <v>35</v>
      </c>
      <c r="P916" s="1" t="n">
        <v>113</v>
      </c>
      <c r="Q916" s="1" t="s">
        <v>36</v>
      </c>
      <c r="R916" s="1" t="s">
        <v>48</v>
      </c>
      <c r="S916" s="1" t="n">
        <v>1130101</v>
      </c>
      <c r="T916" s="1" t="s">
        <v>49</v>
      </c>
      <c r="U916" s="17" t="n">
        <v>607.57</v>
      </c>
      <c r="W916" s="1" t="n">
        <v>0</v>
      </c>
      <c r="X916" s="1" t="s">
        <v>931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" t="n">
        <v>2</v>
      </c>
      <c r="B917" s="15" t="n">
        <v>46219</v>
      </c>
      <c r="C917" s="15" t="n">
        <v>46232</v>
      </c>
      <c r="D917" s="1" t="n">
        <v>1699</v>
      </c>
      <c r="E917" s="1" t="s">
        <v>208</v>
      </c>
      <c r="F917" s="1" t="n">
        <v>24</v>
      </c>
      <c r="G917" s="1" t="s">
        <v>77</v>
      </c>
      <c r="H917" s="1" t="n">
        <v>1110203</v>
      </c>
      <c r="I917" s="1" t="s">
        <v>108</v>
      </c>
      <c r="J917" s="1" t="n">
        <v>1406625</v>
      </c>
      <c r="L917" s="1" t="n">
        <v>189423</v>
      </c>
      <c r="M917" s="1" t="s">
        <v>83</v>
      </c>
      <c r="N917" s="1" t="s">
        <v>35</v>
      </c>
      <c r="P917" s="1" t="n">
        <v>113</v>
      </c>
      <c r="Q917" s="1" t="s">
        <v>36</v>
      </c>
      <c r="R917" s="1" t="s">
        <v>48</v>
      </c>
      <c r="S917" s="1" t="n">
        <v>1130101</v>
      </c>
      <c r="T917" s="1" t="s">
        <v>49</v>
      </c>
      <c r="U917" s="17" t="n">
        <v>1021.83</v>
      </c>
      <c r="W917" s="1" t="n">
        <v>0</v>
      </c>
      <c r="X917" s="1" t="s">
        <v>858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" t="n">
        <v>2</v>
      </c>
      <c r="B918" s="15" t="n">
        <v>46220</v>
      </c>
      <c r="C918" s="15" t="n">
        <v>46232</v>
      </c>
      <c r="D918" s="1" t="n">
        <v>1613</v>
      </c>
      <c r="E918" s="1" t="s">
        <v>94</v>
      </c>
      <c r="F918" s="1" t="n">
        <v>24</v>
      </c>
      <c r="G918" s="1" t="s">
        <v>77</v>
      </c>
      <c r="H918" s="1" t="n">
        <v>1110203</v>
      </c>
      <c r="I918" s="1" t="s">
        <v>108</v>
      </c>
      <c r="J918" s="1" t="n">
        <v>1410728</v>
      </c>
      <c r="L918" s="1" t="n">
        <v>190119</v>
      </c>
      <c r="M918" s="1" t="s">
        <v>83</v>
      </c>
      <c r="N918" s="1" t="s">
        <v>35</v>
      </c>
      <c r="P918" s="1" t="n">
        <v>113</v>
      </c>
      <c r="Q918" s="1" t="s">
        <v>36</v>
      </c>
      <c r="R918" s="1" t="s">
        <v>48</v>
      </c>
      <c r="S918" s="1" t="n">
        <v>1130101</v>
      </c>
      <c r="T918" s="1" t="s">
        <v>49</v>
      </c>
      <c r="U918" s="17" t="n">
        <v>512.49</v>
      </c>
      <c r="W918" s="1" t="n">
        <v>0</v>
      </c>
      <c r="X918" s="1" t="s">
        <v>932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" t="n">
        <v>2</v>
      </c>
      <c r="B919" s="15" t="n">
        <v>46225</v>
      </c>
      <c r="C919" s="15" t="n">
        <v>46232</v>
      </c>
      <c r="D919" s="1" t="n">
        <v>1609</v>
      </c>
      <c r="E919" s="1" t="s">
        <v>90</v>
      </c>
      <c r="F919" s="1" t="n">
        <v>24</v>
      </c>
      <c r="G919" s="1" t="s">
        <v>77</v>
      </c>
      <c r="H919" s="1" t="n">
        <v>1110203</v>
      </c>
      <c r="I919" s="1" t="s">
        <v>108</v>
      </c>
      <c r="J919" s="1" t="n">
        <v>1435780</v>
      </c>
      <c r="L919" s="1" t="n">
        <v>193965</v>
      </c>
      <c r="M919" s="1" t="s">
        <v>83</v>
      </c>
      <c r="N919" s="1" t="s">
        <v>35</v>
      </c>
      <c r="P919" s="1" t="n">
        <v>113</v>
      </c>
      <c r="Q919" s="1" t="s">
        <v>36</v>
      </c>
      <c r="R919" s="1" t="s">
        <v>48</v>
      </c>
      <c r="S919" s="1" t="n">
        <v>1130101</v>
      </c>
      <c r="T919" s="1" t="s">
        <v>49</v>
      </c>
      <c r="U919" s="17" t="n">
        <v>409.65</v>
      </c>
      <c r="W919" s="1" t="n">
        <v>0</v>
      </c>
      <c r="X919" s="1" t="s">
        <v>933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12.75" hidden="false" customHeight="true" outlineLevel="0" collapsed="false">
      <c r="A920" s="1" t="n">
        <v>2</v>
      </c>
      <c r="B920" s="15" t="n">
        <v>46225</v>
      </c>
      <c r="C920" s="15" t="n">
        <v>46232</v>
      </c>
      <c r="D920" s="1" t="n">
        <v>1815</v>
      </c>
      <c r="E920" s="1" t="s">
        <v>164</v>
      </c>
      <c r="F920" s="1" t="n">
        <v>24</v>
      </c>
      <c r="G920" s="1" t="s">
        <v>77</v>
      </c>
      <c r="H920" s="1" t="n">
        <v>1110203</v>
      </c>
      <c r="I920" s="1" t="s">
        <v>108</v>
      </c>
      <c r="J920" s="1" t="n">
        <v>1436044</v>
      </c>
      <c r="L920" s="1" t="n">
        <v>194032</v>
      </c>
      <c r="M920" s="1" t="s">
        <v>83</v>
      </c>
      <c r="N920" s="1" t="s">
        <v>35</v>
      </c>
      <c r="P920" s="1" t="n">
        <v>113</v>
      </c>
      <c r="Q920" s="1" t="s">
        <v>36</v>
      </c>
      <c r="R920" s="1" t="s">
        <v>48</v>
      </c>
      <c r="S920" s="1" t="n">
        <v>1130101</v>
      </c>
      <c r="T920" s="1" t="s">
        <v>49</v>
      </c>
      <c r="U920" s="17" t="n">
        <v>1164.4</v>
      </c>
      <c r="W920" s="1" t="n">
        <v>0</v>
      </c>
      <c r="X920" s="1" t="s">
        <v>934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12.75" hidden="false" customHeight="true" outlineLevel="0" collapsed="false">
      <c r="A921" s="1" t="n">
        <v>2</v>
      </c>
      <c r="B921" s="15" t="n">
        <v>46232</v>
      </c>
      <c r="C921" s="15" t="n">
        <v>46232</v>
      </c>
      <c r="D921" s="1" t="n">
        <v>1721</v>
      </c>
      <c r="E921" s="1" t="s">
        <v>935</v>
      </c>
      <c r="F921" s="1" t="n">
        <v>13</v>
      </c>
      <c r="G921" s="1" t="s">
        <v>133</v>
      </c>
      <c r="H921" s="1" t="n">
        <v>1110203</v>
      </c>
      <c r="I921" s="1" t="s">
        <v>108</v>
      </c>
      <c r="J921" s="1" t="n">
        <v>1468990</v>
      </c>
      <c r="L921" s="1" t="n">
        <v>198997</v>
      </c>
      <c r="M921" s="1" t="s">
        <v>83</v>
      </c>
      <c r="N921" s="1" t="s">
        <v>35</v>
      </c>
      <c r="P921" s="1" t="n">
        <v>113</v>
      </c>
      <c r="Q921" s="1" t="s">
        <v>36</v>
      </c>
      <c r="R921" s="1" t="s">
        <v>48</v>
      </c>
      <c r="S921" s="1" t="n">
        <v>1130101</v>
      </c>
      <c r="T921" s="1" t="s">
        <v>49</v>
      </c>
      <c r="U921" s="17" t="n">
        <v>139</v>
      </c>
      <c r="W921" s="1" t="n">
        <v>139</v>
      </c>
      <c r="X921" s="1" t="s">
        <v>936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12.75" hidden="false" customHeight="true" outlineLevel="0" collapsed="false">
      <c r="A922" s="1" t="n">
        <v>2</v>
      </c>
      <c r="B922" s="15" t="n">
        <v>46230</v>
      </c>
      <c r="C922" s="15" t="n">
        <v>46233</v>
      </c>
      <c r="D922" s="1" t="n">
        <v>1807</v>
      </c>
      <c r="E922" s="1" t="s">
        <v>937</v>
      </c>
      <c r="F922" s="1" t="n">
        <v>24</v>
      </c>
      <c r="G922" s="1" t="s">
        <v>77</v>
      </c>
      <c r="H922" s="1" t="n">
        <v>1110203</v>
      </c>
      <c r="I922" s="1" t="s">
        <v>108</v>
      </c>
      <c r="J922" s="1" t="n">
        <v>1459304</v>
      </c>
      <c r="L922" s="1" t="n">
        <v>197500</v>
      </c>
      <c r="M922" s="1" t="s">
        <v>83</v>
      </c>
      <c r="N922" s="1" t="s">
        <v>35</v>
      </c>
      <c r="P922" s="1" t="n">
        <v>101</v>
      </c>
      <c r="Q922" s="1" t="s">
        <v>42</v>
      </c>
      <c r="R922" s="1" t="s">
        <v>454</v>
      </c>
      <c r="S922" s="1" t="n">
        <v>2110704</v>
      </c>
      <c r="T922" s="1" t="s">
        <v>938</v>
      </c>
      <c r="U922" s="17" t="n">
        <v>1575</v>
      </c>
      <c r="W922" s="1" t="n">
        <v>0</v>
      </c>
      <c r="X922" s="1" t="s">
        <v>939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</row>
    <row r="923" customFormat="false" ht="12.75" hidden="false" customHeight="true" outlineLevel="0" collapsed="false">
      <c r="A923" s="1" t="n">
        <v>2</v>
      </c>
      <c r="B923" s="15" t="n">
        <v>46198</v>
      </c>
      <c r="C923" s="15" t="n">
        <v>46233</v>
      </c>
      <c r="D923" s="1" t="n">
        <v>1218</v>
      </c>
      <c r="E923" s="1" t="s">
        <v>579</v>
      </c>
      <c r="F923" s="1" t="n">
        <v>24</v>
      </c>
      <c r="G923" s="1" t="s">
        <v>77</v>
      </c>
      <c r="H923" s="1" t="n">
        <v>2110101</v>
      </c>
      <c r="I923" s="1" t="s">
        <v>33</v>
      </c>
      <c r="J923" s="1" t="n">
        <v>1305945</v>
      </c>
      <c r="L923" s="1" t="n">
        <v>9495</v>
      </c>
      <c r="M923" s="1" t="s">
        <v>71</v>
      </c>
      <c r="N923" s="1" t="s">
        <v>54</v>
      </c>
      <c r="P923" s="1" t="n">
        <v>113</v>
      </c>
      <c r="Q923" s="1" t="s">
        <v>36</v>
      </c>
      <c r="R923" s="1" t="s">
        <v>48</v>
      </c>
      <c r="S923" s="1" t="n">
        <v>1130101</v>
      </c>
      <c r="T923" s="1" t="s">
        <v>49</v>
      </c>
      <c r="U923" s="17" t="n">
        <v>531.18</v>
      </c>
      <c r="W923" s="1" t="n">
        <v>0</v>
      </c>
      <c r="X923" s="1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12.75" hidden="false" customHeight="true" outlineLevel="0" collapsed="false">
      <c r="A924" s="1" t="n">
        <v>2</v>
      </c>
      <c r="B924" s="15" t="n">
        <v>46230</v>
      </c>
      <c r="C924" s="15" t="n">
        <v>46233</v>
      </c>
      <c r="D924" s="1" t="n">
        <v>1807</v>
      </c>
      <c r="E924" s="1" t="s">
        <v>937</v>
      </c>
      <c r="F924" s="1" t="n">
        <v>24</v>
      </c>
      <c r="G924" s="1" t="s">
        <v>77</v>
      </c>
      <c r="H924" s="1" t="n">
        <v>1110203</v>
      </c>
      <c r="I924" s="1" t="s">
        <v>108</v>
      </c>
      <c r="J924" s="1" t="n">
        <v>1459324</v>
      </c>
      <c r="L924" s="1" t="n">
        <v>197504</v>
      </c>
      <c r="M924" s="1" t="s">
        <v>83</v>
      </c>
      <c r="N924" s="1" t="s">
        <v>35</v>
      </c>
      <c r="P924" s="1" t="n">
        <v>101</v>
      </c>
      <c r="Q924" s="1" t="s">
        <v>42</v>
      </c>
      <c r="R924" s="1" t="s">
        <v>454</v>
      </c>
      <c r="S924" s="1" t="n">
        <v>2110712</v>
      </c>
      <c r="T924" s="1" t="s">
        <v>940</v>
      </c>
      <c r="U924" s="17" t="n">
        <v>945</v>
      </c>
      <c r="W924" s="1" t="n">
        <v>0</v>
      </c>
      <c r="X924" s="1" t="s">
        <v>941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</row>
    <row r="925" customFormat="false" ht="12.75" hidden="false" customHeight="true" outlineLevel="0" collapsed="false">
      <c r="A925" s="1" t="n">
        <v>2</v>
      </c>
      <c r="B925" s="15" t="n">
        <v>46213</v>
      </c>
      <c r="C925" s="15" t="n">
        <v>46233</v>
      </c>
      <c r="D925" s="1" t="n">
        <v>1107</v>
      </c>
      <c r="E925" s="1" t="s">
        <v>204</v>
      </c>
      <c r="F925" s="1" t="n">
        <v>24</v>
      </c>
      <c r="G925" s="1" t="s">
        <v>77</v>
      </c>
      <c r="H925" s="1" t="n">
        <v>2110101</v>
      </c>
      <c r="I925" s="1" t="s">
        <v>33</v>
      </c>
      <c r="J925" s="1" t="n">
        <v>1376909</v>
      </c>
      <c r="L925" s="1" t="n">
        <v>426652</v>
      </c>
      <c r="M925" s="1" t="s">
        <v>74</v>
      </c>
      <c r="N925" s="1" t="s">
        <v>54</v>
      </c>
      <c r="P925" s="1" t="n">
        <v>113</v>
      </c>
      <c r="Q925" s="1" t="s">
        <v>36</v>
      </c>
      <c r="R925" s="1" t="s">
        <v>48</v>
      </c>
      <c r="S925" s="1" t="n">
        <v>1130101</v>
      </c>
      <c r="T925" s="1" t="s">
        <v>49</v>
      </c>
      <c r="U925" s="17" t="n">
        <v>682.63</v>
      </c>
      <c r="W925" s="1" t="n">
        <v>0</v>
      </c>
      <c r="X925" s="1" t="s">
        <v>875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" t="n">
        <v>2</v>
      </c>
      <c r="B926" s="15" t="n">
        <v>46230</v>
      </c>
      <c r="C926" s="15" t="n">
        <v>46233</v>
      </c>
      <c r="D926" s="1" t="n">
        <v>218</v>
      </c>
      <c r="E926" s="1" t="s">
        <v>723</v>
      </c>
      <c r="F926" s="1" t="n">
        <v>34</v>
      </c>
      <c r="G926" s="1" t="s">
        <v>97</v>
      </c>
      <c r="H926" s="1" t="n">
        <v>1110203</v>
      </c>
      <c r="I926" s="1" t="s">
        <v>108</v>
      </c>
      <c r="J926" s="1" t="n">
        <v>1459566</v>
      </c>
      <c r="L926" s="1" t="n">
        <v>197540</v>
      </c>
      <c r="M926" s="1" t="s">
        <v>83</v>
      </c>
      <c r="N926" s="1" t="s">
        <v>35</v>
      </c>
      <c r="P926" s="1" t="n">
        <v>101</v>
      </c>
      <c r="Q926" s="1" t="s">
        <v>42</v>
      </c>
      <c r="R926" s="1" t="s">
        <v>100</v>
      </c>
      <c r="S926" s="1" t="n">
        <v>4210301</v>
      </c>
      <c r="T926" s="1" t="s">
        <v>230</v>
      </c>
      <c r="U926" s="17" t="n">
        <v>260.64</v>
      </c>
      <c r="W926" s="1" t="n">
        <v>0</v>
      </c>
      <c r="X926" s="1" t="s">
        <v>942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</row>
    <row r="927" customFormat="false" ht="12.75" hidden="false" customHeight="true" outlineLevel="0" collapsed="false">
      <c r="A927" s="1" t="n">
        <v>2</v>
      </c>
      <c r="B927" s="15" t="n">
        <v>46212</v>
      </c>
      <c r="C927" s="15" t="n">
        <v>46233</v>
      </c>
      <c r="D927" s="1" t="n">
        <v>1612</v>
      </c>
      <c r="E927" s="1" t="s">
        <v>76</v>
      </c>
      <c r="F927" s="1" t="n">
        <v>24</v>
      </c>
      <c r="G927" s="1" t="s">
        <v>77</v>
      </c>
      <c r="H927" s="1" t="n">
        <v>2110101</v>
      </c>
      <c r="I927" s="1" t="s">
        <v>33</v>
      </c>
      <c r="J927" s="1" t="n">
        <v>1374035</v>
      </c>
      <c r="L927" s="1" t="n">
        <v>2299705</v>
      </c>
      <c r="M927" s="1" t="s">
        <v>74</v>
      </c>
      <c r="N927" s="1" t="s">
        <v>54</v>
      </c>
      <c r="P927" s="1" t="n">
        <v>113</v>
      </c>
      <c r="Q927" s="1" t="s">
        <v>36</v>
      </c>
      <c r="R927" s="1" t="s">
        <v>48</v>
      </c>
      <c r="S927" s="1" t="n">
        <v>1130101</v>
      </c>
      <c r="T927" s="1" t="s">
        <v>49</v>
      </c>
      <c r="U927" s="17" t="n">
        <v>658.6</v>
      </c>
      <c r="W927" s="1" t="n">
        <v>0</v>
      </c>
      <c r="X927" s="1" t="s">
        <v>871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12.75" hidden="false" customHeight="true" outlineLevel="0" collapsed="false">
      <c r="A928" s="1" t="n">
        <v>2</v>
      </c>
      <c r="B928" s="15" t="n">
        <v>46212</v>
      </c>
      <c r="C928" s="15" t="n">
        <v>46233</v>
      </c>
      <c r="D928" s="1" t="n">
        <v>1612</v>
      </c>
      <c r="E928" s="1" t="s">
        <v>76</v>
      </c>
      <c r="F928" s="1" t="n">
        <v>24</v>
      </c>
      <c r="G928" s="1" t="s">
        <v>77</v>
      </c>
      <c r="H928" s="1" t="n">
        <v>2110101</v>
      </c>
      <c r="I928" s="1" t="s">
        <v>33</v>
      </c>
      <c r="J928" s="1" t="n">
        <v>1374249</v>
      </c>
      <c r="L928" s="1" t="n">
        <v>2299703</v>
      </c>
      <c r="M928" s="1" t="s">
        <v>74</v>
      </c>
      <c r="N928" s="1" t="s">
        <v>54</v>
      </c>
      <c r="P928" s="1" t="n">
        <v>113</v>
      </c>
      <c r="Q928" s="1" t="s">
        <v>36</v>
      </c>
      <c r="R928" s="1" t="s">
        <v>48</v>
      </c>
      <c r="S928" s="1" t="n">
        <v>1130101</v>
      </c>
      <c r="T928" s="1" t="s">
        <v>49</v>
      </c>
      <c r="U928" s="17" t="n">
        <v>377.46</v>
      </c>
      <c r="W928" s="1" t="n">
        <v>0</v>
      </c>
      <c r="X928" s="1" t="s">
        <v>872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12.75" hidden="false" customHeight="true" outlineLevel="0" collapsed="false">
      <c r="A929" s="1" t="n">
        <v>2</v>
      </c>
      <c r="B929" s="15" t="n">
        <v>46213</v>
      </c>
      <c r="C929" s="15" t="n">
        <v>46233</v>
      </c>
      <c r="D929" s="1" t="n">
        <v>1667</v>
      </c>
      <c r="E929" s="1" t="s">
        <v>82</v>
      </c>
      <c r="F929" s="1" t="n">
        <v>24</v>
      </c>
      <c r="G929" s="1" t="s">
        <v>77</v>
      </c>
      <c r="H929" s="1" t="n">
        <v>2110101</v>
      </c>
      <c r="I929" s="1" t="s">
        <v>33</v>
      </c>
      <c r="J929" s="1" t="n">
        <v>1376812</v>
      </c>
      <c r="L929" s="1" t="n">
        <v>396261</v>
      </c>
      <c r="M929" s="1" t="s">
        <v>74</v>
      </c>
      <c r="N929" s="1" t="s">
        <v>54</v>
      </c>
      <c r="P929" s="1" t="n">
        <v>113</v>
      </c>
      <c r="Q929" s="1" t="s">
        <v>36</v>
      </c>
      <c r="R929" s="1" t="s">
        <v>48</v>
      </c>
      <c r="S929" s="1" t="n">
        <v>1130101</v>
      </c>
      <c r="T929" s="1" t="s">
        <v>49</v>
      </c>
      <c r="U929" s="17" t="n">
        <v>321.77</v>
      </c>
      <c r="W929" s="1" t="n">
        <v>0</v>
      </c>
      <c r="X929" s="1" t="s">
        <v>874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12.75" hidden="false" customHeight="true" outlineLevel="0" collapsed="false">
      <c r="A930" s="1" t="n">
        <v>2</v>
      </c>
      <c r="B930" s="15" t="n">
        <v>46214</v>
      </c>
      <c r="C930" s="15" t="n">
        <v>46233</v>
      </c>
      <c r="D930" s="1" t="n">
        <v>1842</v>
      </c>
      <c r="E930" s="1" t="s">
        <v>943</v>
      </c>
      <c r="F930" s="1" t="n">
        <v>24</v>
      </c>
      <c r="G930" s="1" t="s">
        <v>77</v>
      </c>
      <c r="H930" s="1" t="n">
        <v>1110203</v>
      </c>
      <c r="I930" s="1" t="s">
        <v>108</v>
      </c>
      <c r="J930" s="1" t="n">
        <v>1381793</v>
      </c>
      <c r="L930" s="1" t="n">
        <v>186023</v>
      </c>
      <c r="M930" s="1" t="s">
        <v>83</v>
      </c>
      <c r="N930" s="1" t="s">
        <v>35</v>
      </c>
      <c r="P930" s="1" t="n">
        <v>113</v>
      </c>
      <c r="Q930" s="1" t="s">
        <v>36</v>
      </c>
      <c r="R930" s="1" t="s">
        <v>56</v>
      </c>
      <c r="S930" s="1" t="n">
        <v>4210229</v>
      </c>
      <c r="T930" s="1" t="s">
        <v>944</v>
      </c>
      <c r="U930" s="17" t="n">
        <v>215</v>
      </c>
      <c r="W930" s="1" t="n">
        <v>0</v>
      </c>
      <c r="X930" s="1" t="s">
        <v>945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</row>
    <row r="931" customFormat="false" ht="12.75" hidden="false" customHeight="true" outlineLevel="0" collapsed="false">
      <c r="A931" s="1" t="n">
        <v>2</v>
      </c>
      <c r="B931" s="15" t="n">
        <v>46219</v>
      </c>
      <c r="C931" s="15" t="n">
        <v>46233</v>
      </c>
      <c r="D931" s="1" t="n">
        <v>1705</v>
      </c>
      <c r="E931" s="1" t="s">
        <v>119</v>
      </c>
      <c r="F931" s="1" t="n">
        <v>24</v>
      </c>
      <c r="G931" s="1" t="s">
        <v>77</v>
      </c>
      <c r="H931" s="1" t="n">
        <v>1110203</v>
      </c>
      <c r="I931" s="1" t="s">
        <v>108</v>
      </c>
      <c r="J931" s="1" t="n">
        <v>1405774</v>
      </c>
      <c r="L931" s="1" t="n">
        <v>189224</v>
      </c>
      <c r="M931" s="1" t="s">
        <v>83</v>
      </c>
      <c r="N931" s="1" t="s">
        <v>35</v>
      </c>
      <c r="P931" s="1" t="n">
        <v>113</v>
      </c>
      <c r="Q931" s="1" t="s">
        <v>36</v>
      </c>
      <c r="R931" s="1" t="s">
        <v>48</v>
      </c>
      <c r="S931" s="1" t="n">
        <v>1130101</v>
      </c>
      <c r="T931" s="1" t="s">
        <v>49</v>
      </c>
      <c r="U931" s="17" t="n">
        <v>2028.67</v>
      </c>
      <c r="W931" s="1" t="n">
        <v>0</v>
      </c>
      <c r="X931" s="1" t="s">
        <v>946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" t="n">
        <v>2</v>
      </c>
      <c r="B932" s="15" t="n">
        <v>46219</v>
      </c>
      <c r="C932" s="15" t="n">
        <v>46233</v>
      </c>
      <c r="D932" s="1" t="n">
        <v>1705</v>
      </c>
      <c r="E932" s="1" t="s">
        <v>119</v>
      </c>
      <c r="F932" s="1" t="n">
        <v>24</v>
      </c>
      <c r="G932" s="1" t="s">
        <v>77</v>
      </c>
      <c r="H932" s="1" t="n">
        <v>1110203</v>
      </c>
      <c r="I932" s="1" t="s">
        <v>108</v>
      </c>
      <c r="J932" s="1" t="n">
        <v>1405777</v>
      </c>
      <c r="L932" s="1" t="n">
        <v>189226</v>
      </c>
      <c r="M932" s="1" t="s">
        <v>83</v>
      </c>
      <c r="N932" s="1" t="s">
        <v>35</v>
      </c>
      <c r="P932" s="1" t="n">
        <v>113</v>
      </c>
      <c r="Q932" s="1" t="s">
        <v>36</v>
      </c>
      <c r="R932" s="1" t="s">
        <v>48</v>
      </c>
      <c r="S932" s="1" t="n">
        <v>1130101</v>
      </c>
      <c r="T932" s="1" t="s">
        <v>49</v>
      </c>
      <c r="U932" s="17" t="n">
        <v>1194.17</v>
      </c>
      <c r="W932" s="1" t="n">
        <v>0</v>
      </c>
      <c r="X932" s="1" t="s">
        <v>946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" t="n">
        <v>2</v>
      </c>
      <c r="B933" s="15" t="n">
        <v>46219</v>
      </c>
      <c r="C933" s="15" t="n">
        <v>46233</v>
      </c>
      <c r="D933" s="1" t="n">
        <v>1718</v>
      </c>
      <c r="E933" s="1" t="s">
        <v>199</v>
      </c>
      <c r="F933" s="1" t="n">
        <v>24</v>
      </c>
      <c r="G933" s="1" t="s">
        <v>77</v>
      </c>
      <c r="H933" s="1" t="n">
        <v>1110203</v>
      </c>
      <c r="I933" s="1" t="s">
        <v>108</v>
      </c>
      <c r="J933" s="1" t="n">
        <v>1407317</v>
      </c>
      <c r="L933" s="1" t="n">
        <v>189603</v>
      </c>
      <c r="M933" s="1" t="s">
        <v>83</v>
      </c>
      <c r="N933" s="1" t="s">
        <v>35</v>
      </c>
      <c r="P933" s="1" t="n">
        <v>113</v>
      </c>
      <c r="Q933" s="1" t="s">
        <v>36</v>
      </c>
      <c r="R933" s="1" t="s">
        <v>48</v>
      </c>
      <c r="S933" s="1" t="n">
        <v>1130101</v>
      </c>
      <c r="T933" s="1" t="s">
        <v>49</v>
      </c>
      <c r="U933" s="17" t="n">
        <v>580.89</v>
      </c>
      <c r="W933" s="1" t="n">
        <v>0</v>
      </c>
      <c r="X933" s="1" t="s">
        <v>947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12.75" hidden="false" customHeight="true" outlineLevel="0" collapsed="false">
      <c r="A934" s="1" t="n">
        <v>2</v>
      </c>
      <c r="B934" s="15" t="n">
        <v>46226</v>
      </c>
      <c r="C934" s="15" t="n">
        <v>46233</v>
      </c>
      <c r="D934" s="1" t="n">
        <v>1024</v>
      </c>
      <c r="E934" s="1" t="s">
        <v>412</v>
      </c>
      <c r="F934" s="1" t="n">
        <v>24</v>
      </c>
      <c r="G934" s="1" t="s">
        <v>77</v>
      </c>
      <c r="H934" s="1" t="n">
        <v>1110203</v>
      </c>
      <c r="I934" s="1" t="s">
        <v>108</v>
      </c>
      <c r="J934" s="1" t="n">
        <v>1439994</v>
      </c>
      <c r="L934" s="1" t="n">
        <v>194706</v>
      </c>
      <c r="M934" s="1" t="s">
        <v>83</v>
      </c>
      <c r="N934" s="1" t="s">
        <v>35</v>
      </c>
      <c r="P934" s="1" t="n">
        <v>113</v>
      </c>
      <c r="Q934" s="1" t="s">
        <v>36</v>
      </c>
      <c r="R934" s="1" t="s">
        <v>48</v>
      </c>
      <c r="S934" s="1" t="n">
        <v>1130101</v>
      </c>
      <c r="T934" s="1" t="s">
        <v>49</v>
      </c>
      <c r="U934" s="17" t="n">
        <v>305</v>
      </c>
      <c r="W934" s="1" t="n">
        <v>0</v>
      </c>
      <c r="X934" s="1" t="s">
        <v>948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12.75" hidden="false" customHeight="true" outlineLevel="0" collapsed="false">
      <c r="A935" s="1" t="n">
        <v>2</v>
      </c>
      <c r="B935" s="15" t="n">
        <v>46233</v>
      </c>
      <c r="C935" s="15" t="n">
        <v>46233</v>
      </c>
      <c r="D935" s="1" t="n">
        <v>48</v>
      </c>
      <c r="E935" s="1" t="s">
        <v>132</v>
      </c>
      <c r="F935" s="1" t="n">
        <v>13</v>
      </c>
      <c r="G935" s="1" t="s">
        <v>133</v>
      </c>
      <c r="H935" s="1" t="n">
        <v>2110101</v>
      </c>
      <c r="I935" s="1" t="s">
        <v>33</v>
      </c>
      <c r="J935" s="1" t="n">
        <v>1473455</v>
      </c>
      <c r="L935" s="1" t="n">
        <v>2571</v>
      </c>
      <c r="M935" s="1" t="s">
        <v>83</v>
      </c>
      <c r="N935" s="1" t="s">
        <v>54</v>
      </c>
      <c r="P935" s="1" t="n">
        <v>113</v>
      </c>
      <c r="Q935" s="1" t="s">
        <v>36</v>
      </c>
      <c r="R935" s="1" t="s">
        <v>48</v>
      </c>
      <c r="S935" s="1" t="n">
        <v>1130101</v>
      </c>
      <c r="T935" s="1" t="s">
        <v>49</v>
      </c>
      <c r="U935" s="17" t="n">
        <v>196</v>
      </c>
      <c r="W935" s="1" t="n">
        <v>0</v>
      </c>
      <c r="X935" s="1" t="s">
        <v>949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" t="n">
        <v>2</v>
      </c>
      <c r="B936" s="15" t="n">
        <v>46233</v>
      </c>
      <c r="C936" s="15" t="n">
        <v>46233</v>
      </c>
      <c r="D936" s="1" t="n">
        <v>48</v>
      </c>
      <c r="E936" s="1" t="s">
        <v>132</v>
      </c>
      <c r="F936" s="1" t="n">
        <v>13</v>
      </c>
      <c r="G936" s="1" t="s">
        <v>133</v>
      </c>
      <c r="H936" s="1" t="n">
        <v>2110101</v>
      </c>
      <c r="I936" s="1" t="s">
        <v>33</v>
      </c>
      <c r="J936" s="1" t="n">
        <v>1473466</v>
      </c>
      <c r="L936" s="1" t="n">
        <v>2572</v>
      </c>
      <c r="M936" s="1" t="s">
        <v>83</v>
      </c>
      <c r="N936" s="1" t="s">
        <v>54</v>
      </c>
      <c r="P936" s="1" t="n">
        <v>113</v>
      </c>
      <c r="Q936" s="1" t="s">
        <v>36</v>
      </c>
      <c r="R936" s="1" t="s">
        <v>48</v>
      </c>
      <c r="S936" s="1" t="n">
        <v>1130101</v>
      </c>
      <c r="T936" s="1" t="s">
        <v>49</v>
      </c>
      <c r="U936" s="17" t="n">
        <v>210</v>
      </c>
      <c r="W936" s="1" t="n">
        <v>210</v>
      </c>
      <c r="X936" s="1" t="s">
        <v>950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" t="n">
        <v>2</v>
      </c>
      <c r="B937" s="15" t="n">
        <v>46233</v>
      </c>
      <c r="C937" s="15" t="n">
        <v>46233</v>
      </c>
      <c r="D937" s="1" t="n">
        <v>1783</v>
      </c>
      <c r="E937" s="1" t="s">
        <v>320</v>
      </c>
      <c r="F937" s="1" t="n">
        <v>13</v>
      </c>
      <c r="G937" s="1" t="s">
        <v>133</v>
      </c>
      <c r="H937" s="1" t="n">
        <v>1110203</v>
      </c>
      <c r="I937" s="1" t="s">
        <v>108</v>
      </c>
      <c r="J937" s="1" t="n">
        <v>1473878</v>
      </c>
      <c r="L937" s="1" t="n">
        <v>199796</v>
      </c>
      <c r="M937" s="1" t="s">
        <v>83</v>
      </c>
      <c r="N937" s="1" t="s">
        <v>35</v>
      </c>
      <c r="P937" s="1" t="n">
        <v>113</v>
      </c>
      <c r="Q937" s="1" t="s">
        <v>36</v>
      </c>
      <c r="R937" s="1" t="s">
        <v>48</v>
      </c>
      <c r="S937" s="1" t="n">
        <v>1130101</v>
      </c>
      <c r="T937" s="1" t="s">
        <v>49</v>
      </c>
      <c r="U937" s="17" t="n">
        <v>160.32</v>
      </c>
      <c r="W937" s="1" t="n">
        <v>160.32</v>
      </c>
      <c r="X937" s="1" t="s">
        <v>951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" t="n">
        <v>2</v>
      </c>
      <c r="B938" s="15" t="n">
        <v>46233</v>
      </c>
      <c r="C938" s="15" t="n">
        <v>46233</v>
      </c>
      <c r="D938" s="1" t="n">
        <v>12</v>
      </c>
      <c r="E938" s="1" t="s">
        <v>40</v>
      </c>
      <c r="F938" s="1" t="n">
        <v>34</v>
      </c>
      <c r="G938" s="1" t="s">
        <v>97</v>
      </c>
      <c r="H938" s="1" t="n">
        <v>1110203</v>
      </c>
      <c r="I938" s="1" t="s">
        <v>108</v>
      </c>
      <c r="J938" s="1" t="n">
        <v>1495478</v>
      </c>
      <c r="L938" s="1" t="n">
        <v>202805</v>
      </c>
      <c r="M938" s="1" t="s">
        <v>83</v>
      </c>
      <c r="N938" s="1" t="s">
        <v>35</v>
      </c>
      <c r="P938" s="1" t="n">
        <v>102</v>
      </c>
      <c r="Q938" s="1" t="s">
        <v>282</v>
      </c>
      <c r="R938" s="1" t="s">
        <v>100</v>
      </c>
      <c r="S938" s="1" t="n">
        <v>4210301</v>
      </c>
      <c r="T938" s="1" t="s">
        <v>230</v>
      </c>
      <c r="U938" s="17" t="n">
        <v>600</v>
      </c>
      <c r="W938" s="1" t="n">
        <v>0</v>
      </c>
      <c r="X938" s="1" t="s">
        <v>952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" t="n">
        <v>2</v>
      </c>
      <c r="B939" s="15" t="n">
        <v>46212</v>
      </c>
      <c r="C939" s="15" t="n">
        <v>46234</v>
      </c>
      <c r="D939" s="1" t="n">
        <v>1718</v>
      </c>
      <c r="E939" s="1" t="s">
        <v>199</v>
      </c>
      <c r="F939" s="1" t="n">
        <v>24</v>
      </c>
      <c r="G939" s="1" t="s">
        <v>77</v>
      </c>
      <c r="H939" s="1" t="n">
        <v>2110101</v>
      </c>
      <c r="I939" s="1" t="s">
        <v>33</v>
      </c>
      <c r="J939" s="1" t="n">
        <v>1374907</v>
      </c>
      <c r="L939" s="1" t="n">
        <v>681127</v>
      </c>
      <c r="M939" s="1" t="s">
        <v>74</v>
      </c>
      <c r="N939" s="1" t="s">
        <v>54</v>
      </c>
      <c r="P939" s="1" t="n">
        <v>113</v>
      </c>
      <c r="Q939" s="1" t="s">
        <v>36</v>
      </c>
      <c r="R939" s="1" t="s">
        <v>48</v>
      </c>
      <c r="S939" s="1" t="n">
        <v>1130101</v>
      </c>
      <c r="T939" s="1" t="s">
        <v>49</v>
      </c>
      <c r="U939" s="17" t="n">
        <v>509.25</v>
      </c>
      <c r="W939" s="1" t="n">
        <v>0</v>
      </c>
      <c r="X939" s="1" t="s">
        <v>886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" t="n">
        <v>2</v>
      </c>
      <c r="B940" s="15" t="n">
        <v>46213</v>
      </c>
      <c r="C940" s="15" t="n">
        <v>46234</v>
      </c>
      <c r="D940" s="1" t="n">
        <v>1708</v>
      </c>
      <c r="E940" s="1" t="s">
        <v>245</v>
      </c>
      <c r="F940" s="1" t="n">
        <v>24</v>
      </c>
      <c r="G940" s="1" t="s">
        <v>77</v>
      </c>
      <c r="H940" s="1" t="n">
        <v>2110101</v>
      </c>
      <c r="I940" s="1" t="s">
        <v>33</v>
      </c>
      <c r="J940" s="1" t="n">
        <v>1377397</v>
      </c>
      <c r="L940" s="1" t="n">
        <v>262932</v>
      </c>
      <c r="M940" s="1" t="s">
        <v>83</v>
      </c>
      <c r="N940" s="1" t="s">
        <v>54</v>
      </c>
      <c r="P940" s="1" t="n">
        <v>113</v>
      </c>
      <c r="Q940" s="1" t="s">
        <v>36</v>
      </c>
      <c r="R940" s="1" t="s">
        <v>48</v>
      </c>
      <c r="S940" s="1" t="n">
        <v>1130101</v>
      </c>
      <c r="T940" s="1" t="s">
        <v>49</v>
      </c>
      <c r="U940" s="17" t="n">
        <v>1123.86</v>
      </c>
      <c r="W940" s="1" t="n">
        <v>0</v>
      </c>
      <c r="X940" s="1" t="s">
        <v>953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12.75" hidden="false" customHeight="true" outlineLevel="0" collapsed="false">
      <c r="A941" s="1" t="n">
        <v>2</v>
      </c>
      <c r="B941" s="15" t="n">
        <v>46216</v>
      </c>
      <c r="C941" s="15" t="n">
        <v>46234</v>
      </c>
      <c r="D941" s="1" t="n">
        <v>1675</v>
      </c>
      <c r="E941" s="1" t="s">
        <v>263</v>
      </c>
      <c r="F941" s="1" t="n">
        <v>24</v>
      </c>
      <c r="G941" s="1" t="s">
        <v>77</v>
      </c>
      <c r="H941" s="1" t="n">
        <v>2110101</v>
      </c>
      <c r="I941" s="1" t="s">
        <v>33</v>
      </c>
      <c r="J941" s="1" t="n">
        <v>1394185</v>
      </c>
      <c r="L941" s="1" t="n">
        <v>501201</v>
      </c>
      <c r="M941" s="1" t="s">
        <v>74</v>
      </c>
      <c r="N941" s="1" t="s">
        <v>54</v>
      </c>
      <c r="P941" s="1" t="n">
        <v>113</v>
      </c>
      <c r="Q941" s="1" t="s">
        <v>36</v>
      </c>
      <c r="R941" s="1" t="s">
        <v>48</v>
      </c>
      <c r="S941" s="1" t="n">
        <v>1130101</v>
      </c>
      <c r="T941" s="1" t="s">
        <v>49</v>
      </c>
      <c r="U941" s="17" t="n">
        <v>2112.99</v>
      </c>
      <c r="W941" s="1" t="n">
        <v>0</v>
      </c>
      <c r="X941" s="1" t="s">
        <v>887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12.75" hidden="false" customHeight="true" outlineLevel="0" collapsed="false">
      <c r="A942" s="1" t="n">
        <v>2</v>
      </c>
      <c r="B942" s="15" t="n">
        <v>46217</v>
      </c>
      <c r="C942" s="15" t="n">
        <v>46234</v>
      </c>
      <c r="D942" s="1" t="n">
        <v>1611</v>
      </c>
      <c r="E942" s="1" t="s">
        <v>156</v>
      </c>
      <c r="F942" s="1" t="n">
        <v>24</v>
      </c>
      <c r="G942" s="1" t="s">
        <v>77</v>
      </c>
      <c r="H942" s="1" t="n">
        <v>1110203</v>
      </c>
      <c r="I942" s="1" t="s">
        <v>108</v>
      </c>
      <c r="J942" s="1" t="n">
        <v>1397328</v>
      </c>
      <c r="L942" s="1" t="n">
        <v>187913</v>
      </c>
      <c r="M942" s="1" t="s">
        <v>83</v>
      </c>
      <c r="N942" s="1" t="s">
        <v>35</v>
      </c>
      <c r="P942" s="1" t="n">
        <v>113</v>
      </c>
      <c r="Q942" s="1" t="s">
        <v>36</v>
      </c>
      <c r="R942" s="1" t="s">
        <v>48</v>
      </c>
      <c r="S942" s="1" t="n">
        <v>1130101</v>
      </c>
      <c r="T942" s="1" t="s">
        <v>49</v>
      </c>
      <c r="U942" s="17" t="n">
        <v>278.28</v>
      </c>
      <c r="W942" s="1" t="n">
        <v>0</v>
      </c>
      <c r="X942" s="1" t="s">
        <v>954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12.75" hidden="false" customHeight="true" outlineLevel="0" collapsed="false">
      <c r="A943" s="1" t="n">
        <v>2</v>
      </c>
      <c r="B943" s="15" t="n">
        <v>46220</v>
      </c>
      <c r="C943" s="15" t="n">
        <v>46234</v>
      </c>
      <c r="D943" s="1" t="n">
        <v>1675</v>
      </c>
      <c r="E943" s="1" t="s">
        <v>263</v>
      </c>
      <c r="F943" s="1" t="n">
        <v>24</v>
      </c>
      <c r="G943" s="1" t="s">
        <v>77</v>
      </c>
      <c r="H943" s="1" t="n">
        <v>1110203</v>
      </c>
      <c r="I943" s="1" t="s">
        <v>108</v>
      </c>
      <c r="J943" s="1" t="n">
        <v>1410478</v>
      </c>
      <c r="L943" s="1" t="n">
        <v>190062</v>
      </c>
      <c r="M943" s="1" t="s">
        <v>83</v>
      </c>
      <c r="N943" s="1" t="s">
        <v>35</v>
      </c>
      <c r="P943" s="1" t="n">
        <v>113</v>
      </c>
      <c r="Q943" s="1" t="s">
        <v>36</v>
      </c>
      <c r="R943" s="1" t="s">
        <v>48</v>
      </c>
      <c r="S943" s="1" t="n">
        <v>1130101</v>
      </c>
      <c r="T943" s="1" t="s">
        <v>49</v>
      </c>
      <c r="U943" s="17" t="n">
        <v>308.88</v>
      </c>
      <c r="W943" s="1" t="n">
        <v>0</v>
      </c>
      <c r="X943" s="1" t="s">
        <v>955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12.75" hidden="false" customHeight="true" outlineLevel="0" collapsed="false">
      <c r="A944" s="1" t="n">
        <v>2</v>
      </c>
      <c r="B944" s="15" t="n">
        <v>46221</v>
      </c>
      <c r="C944" s="15" t="n">
        <v>46234</v>
      </c>
      <c r="D944" s="1" t="n">
        <v>1683</v>
      </c>
      <c r="E944" s="1" t="s">
        <v>369</v>
      </c>
      <c r="F944" s="1" t="n">
        <v>34</v>
      </c>
      <c r="G944" s="1" t="s">
        <v>97</v>
      </c>
      <c r="H944" s="1" t="n">
        <v>1110203</v>
      </c>
      <c r="I944" s="1" t="s">
        <v>108</v>
      </c>
      <c r="J944" s="1" t="n">
        <v>1414678</v>
      </c>
      <c r="L944" s="1" t="n">
        <v>190717</v>
      </c>
      <c r="M944" s="1" t="s">
        <v>83</v>
      </c>
      <c r="N944" s="1" t="s">
        <v>35</v>
      </c>
      <c r="P944" s="1" t="n">
        <v>113</v>
      </c>
      <c r="Q944" s="1" t="s">
        <v>36</v>
      </c>
      <c r="R944" s="1" t="s">
        <v>48</v>
      </c>
      <c r="S944" s="1" t="n">
        <v>1130101</v>
      </c>
      <c r="T944" s="1" t="s">
        <v>49</v>
      </c>
      <c r="U944" s="17" t="n">
        <v>97.5</v>
      </c>
      <c r="W944" s="1" t="n">
        <v>0</v>
      </c>
      <c r="X944" s="1" t="s">
        <v>956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12.75" hidden="false" customHeight="true" outlineLevel="0" collapsed="false">
      <c r="A945" s="1" t="n">
        <v>2</v>
      </c>
      <c r="B945" s="15" t="n">
        <v>46221</v>
      </c>
      <c r="C945" s="15" t="n">
        <v>46234</v>
      </c>
      <c r="D945" s="1" t="n">
        <v>1636</v>
      </c>
      <c r="E945" s="1" t="s">
        <v>85</v>
      </c>
      <c r="F945" s="1" t="n">
        <v>24</v>
      </c>
      <c r="G945" s="1" t="s">
        <v>77</v>
      </c>
      <c r="H945" s="1" t="n">
        <v>1110203</v>
      </c>
      <c r="I945" s="1" t="s">
        <v>108</v>
      </c>
      <c r="J945" s="1" t="n">
        <v>1414727</v>
      </c>
      <c r="L945" s="1" t="n">
        <v>190725</v>
      </c>
      <c r="M945" s="1" t="s">
        <v>83</v>
      </c>
      <c r="N945" s="1" t="s">
        <v>35</v>
      </c>
      <c r="P945" s="1" t="n">
        <v>113</v>
      </c>
      <c r="Q945" s="1" t="s">
        <v>36</v>
      </c>
      <c r="R945" s="1" t="s">
        <v>48</v>
      </c>
      <c r="S945" s="1" t="n">
        <v>1130101</v>
      </c>
      <c r="T945" s="1" t="s">
        <v>49</v>
      </c>
      <c r="U945" s="17" t="n">
        <v>159.4</v>
      </c>
      <c r="W945" s="1" t="n">
        <v>0</v>
      </c>
      <c r="X945" s="1" t="s">
        <v>957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12.75" hidden="false" customHeight="true" outlineLevel="0" collapsed="false">
      <c r="A946" s="1" t="n">
        <v>2</v>
      </c>
      <c r="B946" s="15" t="n">
        <v>46223</v>
      </c>
      <c r="C946" s="15" t="n">
        <v>46234</v>
      </c>
      <c r="D946" s="1" t="n">
        <v>1683</v>
      </c>
      <c r="E946" s="1" t="s">
        <v>369</v>
      </c>
      <c r="F946" s="1" t="n">
        <v>34</v>
      </c>
      <c r="G946" s="1" t="s">
        <v>97</v>
      </c>
      <c r="H946" s="1" t="n">
        <v>2110101</v>
      </c>
      <c r="I946" s="1" t="s">
        <v>33</v>
      </c>
      <c r="J946" s="1" t="n">
        <v>1423683</v>
      </c>
      <c r="L946" s="1" t="n">
        <v>190891</v>
      </c>
      <c r="M946" s="1" t="s">
        <v>83</v>
      </c>
      <c r="N946" s="1" t="s">
        <v>35</v>
      </c>
      <c r="P946" s="1" t="n">
        <v>113</v>
      </c>
      <c r="Q946" s="1" t="s">
        <v>36</v>
      </c>
      <c r="R946" s="1" t="s">
        <v>48</v>
      </c>
      <c r="S946" s="1" t="n">
        <v>1130101</v>
      </c>
      <c r="T946" s="1" t="s">
        <v>49</v>
      </c>
      <c r="U946" s="17" t="n">
        <v>137</v>
      </c>
      <c r="W946" s="1" t="n">
        <v>0</v>
      </c>
      <c r="X946" s="1" t="s">
        <v>958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" t="n">
        <v>2</v>
      </c>
      <c r="B947" s="15" t="n">
        <v>46224</v>
      </c>
      <c r="C947" s="15" t="n">
        <v>46234</v>
      </c>
      <c r="D947" s="1" t="n">
        <v>1683</v>
      </c>
      <c r="E947" s="1" t="s">
        <v>369</v>
      </c>
      <c r="F947" s="1" t="n">
        <v>34</v>
      </c>
      <c r="G947" s="1" t="s">
        <v>97</v>
      </c>
      <c r="H947" s="1" t="n">
        <v>1110203</v>
      </c>
      <c r="I947" s="1" t="s">
        <v>108</v>
      </c>
      <c r="J947" s="1" t="n">
        <v>1427580</v>
      </c>
      <c r="L947" s="1" t="n">
        <v>190915</v>
      </c>
      <c r="M947" s="1" t="s">
        <v>83</v>
      </c>
      <c r="N947" s="1" t="s">
        <v>35</v>
      </c>
      <c r="P947" s="1" t="n">
        <v>113</v>
      </c>
      <c r="Q947" s="1" t="s">
        <v>36</v>
      </c>
      <c r="R947" s="1" t="s">
        <v>48</v>
      </c>
      <c r="S947" s="1" t="n">
        <v>1130101</v>
      </c>
      <c r="T947" s="1" t="s">
        <v>49</v>
      </c>
      <c r="U947" s="17" t="n">
        <v>151</v>
      </c>
      <c r="W947" s="1" t="n">
        <v>0</v>
      </c>
      <c r="X947" s="1" t="s">
        <v>959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" t="n">
        <v>2</v>
      </c>
      <c r="B948" s="15" t="n">
        <v>46226</v>
      </c>
      <c r="C948" s="15" t="n">
        <v>46234</v>
      </c>
      <c r="D948" s="1" t="n">
        <v>1683</v>
      </c>
      <c r="E948" s="1" t="s">
        <v>369</v>
      </c>
      <c r="F948" s="1" t="n">
        <v>34</v>
      </c>
      <c r="G948" s="1" t="s">
        <v>97</v>
      </c>
      <c r="H948" s="1" t="n">
        <v>1110203</v>
      </c>
      <c r="I948" s="1" t="s">
        <v>108</v>
      </c>
      <c r="J948" s="1" t="n">
        <v>1438809</v>
      </c>
      <c r="L948" s="1" t="n">
        <v>194390</v>
      </c>
      <c r="M948" s="1" t="s">
        <v>83</v>
      </c>
      <c r="N948" s="1" t="s">
        <v>35</v>
      </c>
      <c r="P948" s="1" t="n">
        <v>113</v>
      </c>
      <c r="Q948" s="1" t="s">
        <v>36</v>
      </c>
      <c r="R948" s="1" t="s">
        <v>48</v>
      </c>
      <c r="S948" s="1" t="n">
        <v>1130101</v>
      </c>
      <c r="T948" s="1" t="s">
        <v>49</v>
      </c>
      <c r="U948" s="17" t="n">
        <v>130.5</v>
      </c>
      <c r="W948" s="1" t="n">
        <v>0</v>
      </c>
      <c r="X948" s="1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" t="n">
        <v>2</v>
      </c>
      <c r="B949" s="15" t="n">
        <v>46227</v>
      </c>
      <c r="C949" s="15" t="n">
        <v>46234</v>
      </c>
      <c r="D949" s="1" t="n">
        <v>1642</v>
      </c>
      <c r="E949" s="1" t="s">
        <v>210</v>
      </c>
      <c r="F949" s="1" t="n">
        <v>24</v>
      </c>
      <c r="G949" s="1" t="s">
        <v>77</v>
      </c>
      <c r="H949" s="1" t="n">
        <v>1110203</v>
      </c>
      <c r="I949" s="1" t="s">
        <v>108</v>
      </c>
      <c r="J949" s="1" t="n">
        <v>1443653</v>
      </c>
      <c r="L949" s="1" t="n">
        <v>195231</v>
      </c>
      <c r="M949" s="1" t="s">
        <v>83</v>
      </c>
      <c r="N949" s="1" t="s">
        <v>35</v>
      </c>
      <c r="P949" s="1" t="n">
        <v>113</v>
      </c>
      <c r="Q949" s="1" t="s">
        <v>36</v>
      </c>
      <c r="R949" s="1" t="s">
        <v>48</v>
      </c>
      <c r="S949" s="1" t="n">
        <v>1130101</v>
      </c>
      <c r="T949" s="1" t="s">
        <v>49</v>
      </c>
      <c r="U949" s="17" t="n">
        <v>254</v>
      </c>
      <c r="W949" s="1" t="n">
        <v>0</v>
      </c>
      <c r="X949" s="1" t="s">
        <v>960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" t="n">
        <v>2</v>
      </c>
      <c r="B950" s="15" t="n">
        <v>46227</v>
      </c>
      <c r="C950" s="15" t="n">
        <v>46234</v>
      </c>
      <c r="D950" s="1" t="n">
        <v>1608</v>
      </c>
      <c r="E950" s="1" t="s">
        <v>201</v>
      </c>
      <c r="F950" s="1" t="n">
        <v>24</v>
      </c>
      <c r="G950" s="1" t="s">
        <v>77</v>
      </c>
      <c r="H950" s="1" t="n">
        <v>1110203</v>
      </c>
      <c r="I950" s="1" t="s">
        <v>108</v>
      </c>
      <c r="J950" s="1" t="n">
        <v>1443665</v>
      </c>
      <c r="L950" s="1" t="n">
        <v>195236</v>
      </c>
      <c r="M950" s="1" t="s">
        <v>83</v>
      </c>
      <c r="N950" s="1" t="s">
        <v>35</v>
      </c>
      <c r="P950" s="1" t="n">
        <v>113</v>
      </c>
      <c r="Q950" s="1" t="s">
        <v>36</v>
      </c>
      <c r="R950" s="1" t="s">
        <v>48</v>
      </c>
      <c r="S950" s="1" t="n">
        <v>1130101</v>
      </c>
      <c r="T950" s="1" t="s">
        <v>49</v>
      </c>
      <c r="U950" s="17" t="n">
        <v>590.09</v>
      </c>
      <c r="W950" s="1" t="n">
        <v>0</v>
      </c>
      <c r="X950" s="1" t="s">
        <v>961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12.75" hidden="false" customHeight="true" outlineLevel="0" collapsed="false">
      <c r="A951" s="1" t="n">
        <v>2</v>
      </c>
      <c r="B951" s="15" t="n">
        <v>46227</v>
      </c>
      <c r="C951" s="15" t="n">
        <v>46234</v>
      </c>
      <c r="D951" s="1" t="n">
        <v>1666</v>
      </c>
      <c r="E951" s="1" t="s">
        <v>206</v>
      </c>
      <c r="F951" s="1" t="n">
        <v>24</v>
      </c>
      <c r="G951" s="1" t="s">
        <v>77</v>
      </c>
      <c r="H951" s="1" t="n">
        <v>1110203</v>
      </c>
      <c r="I951" s="1" t="s">
        <v>108</v>
      </c>
      <c r="J951" s="1" t="n">
        <v>1443858</v>
      </c>
      <c r="L951" s="1" t="n">
        <v>195263</v>
      </c>
      <c r="M951" s="1" t="s">
        <v>83</v>
      </c>
      <c r="N951" s="1" t="s">
        <v>35</v>
      </c>
      <c r="P951" s="1" t="n">
        <v>113</v>
      </c>
      <c r="Q951" s="1" t="s">
        <v>36</v>
      </c>
      <c r="R951" s="1" t="s">
        <v>48</v>
      </c>
      <c r="S951" s="1" t="n">
        <v>1130101</v>
      </c>
      <c r="T951" s="1" t="s">
        <v>49</v>
      </c>
      <c r="U951" s="17" t="n">
        <v>6361.07</v>
      </c>
      <c r="W951" s="1" t="n">
        <v>0</v>
      </c>
      <c r="X951" s="1" t="s">
        <v>962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12.75" hidden="false" customHeight="true" outlineLevel="0" collapsed="false">
      <c r="A952" s="1" t="n">
        <v>2</v>
      </c>
      <c r="B952" s="15" t="n">
        <v>46227</v>
      </c>
      <c r="C952" s="15" t="n">
        <v>46234</v>
      </c>
      <c r="D952" s="1" t="n">
        <v>1683</v>
      </c>
      <c r="E952" s="1" t="s">
        <v>369</v>
      </c>
      <c r="F952" s="1" t="n">
        <v>34</v>
      </c>
      <c r="G952" s="1" t="s">
        <v>97</v>
      </c>
      <c r="H952" s="1" t="n">
        <v>1110203</v>
      </c>
      <c r="I952" s="1" t="s">
        <v>108</v>
      </c>
      <c r="J952" s="1" t="n">
        <v>1444720</v>
      </c>
      <c r="L952" s="1" t="n">
        <v>195456</v>
      </c>
      <c r="M952" s="1" t="s">
        <v>83</v>
      </c>
      <c r="N952" s="1" t="s">
        <v>35</v>
      </c>
      <c r="P952" s="1" t="n">
        <v>113</v>
      </c>
      <c r="Q952" s="1" t="s">
        <v>36</v>
      </c>
      <c r="R952" s="1" t="s">
        <v>48</v>
      </c>
      <c r="S952" s="1" t="n">
        <v>1130101</v>
      </c>
      <c r="T952" s="1" t="s">
        <v>49</v>
      </c>
      <c r="U952" s="17" t="n">
        <v>71.5</v>
      </c>
      <c r="W952" s="1" t="n">
        <v>0</v>
      </c>
      <c r="X952" s="1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" t="n">
        <v>2</v>
      </c>
      <c r="B953" s="15" t="n">
        <v>46227</v>
      </c>
      <c r="C953" s="15" t="n">
        <v>46234</v>
      </c>
      <c r="D953" s="1" t="n">
        <v>22</v>
      </c>
      <c r="E953" s="1" t="s">
        <v>238</v>
      </c>
      <c r="F953" s="1" t="n">
        <v>34</v>
      </c>
      <c r="G953" s="1" t="s">
        <v>97</v>
      </c>
      <c r="H953" s="1" t="n">
        <v>1110203</v>
      </c>
      <c r="I953" s="1" t="s">
        <v>108</v>
      </c>
      <c r="J953" s="1" t="n">
        <v>1444975</v>
      </c>
      <c r="L953" s="1" t="n">
        <v>195525</v>
      </c>
      <c r="M953" s="1" t="s">
        <v>83</v>
      </c>
      <c r="N953" s="1" t="s">
        <v>35</v>
      </c>
      <c r="P953" s="1" t="n">
        <v>101</v>
      </c>
      <c r="Q953" s="1" t="s">
        <v>42</v>
      </c>
      <c r="R953" s="1" t="s">
        <v>100</v>
      </c>
      <c r="S953" s="1" t="n">
        <v>4210304</v>
      </c>
      <c r="T953" s="1" t="s">
        <v>963</v>
      </c>
      <c r="U953" s="17" t="n">
        <v>2355.82</v>
      </c>
      <c r="W953" s="1" t="n">
        <v>0</v>
      </c>
      <c r="X953" s="1" t="s">
        <v>964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" t="n">
        <v>2</v>
      </c>
      <c r="B954" s="15" t="n">
        <v>46230</v>
      </c>
      <c r="C954" s="15" t="n">
        <v>46234</v>
      </c>
      <c r="D954" s="1" t="n">
        <v>10018</v>
      </c>
      <c r="E954" s="1" t="s">
        <v>220</v>
      </c>
      <c r="F954" s="1" t="n">
        <v>34</v>
      </c>
      <c r="G954" s="1" t="s">
        <v>97</v>
      </c>
      <c r="H954" s="1" t="n">
        <v>1110203</v>
      </c>
      <c r="I954" s="1" t="s">
        <v>108</v>
      </c>
      <c r="J954" s="1" t="n">
        <v>1458308</v>
      </c>
      <c r="L954" s="1" t="n">
        <v>197244</v>
      </c>
      <c r="M954" s="1" t="s">
        <v>83</v>
      </c>
      <c r="N954" s="1" t="s">
        <v>35</v>
      </c>
      <c r="P954" s="1" t="n">
        <v>113</v>
      </c>
      <c r="Q954" s="1" t="s">
        <v>36</v>
      </c>
      <c r="R954" s="1" t="s">
        <v>48</v>
      </c>
      <c r="S954" s="1" t="n">
        <v>1130101</v>
      </c>
      <c r="T954" s="1" t="s">
        <v>49</v>
      </c>
      <c r="U954" s="17" t="n">
        <v>950</v>
      </c>
      <c r="W954" s="1" t="n">
        <v>0</v>
      </c>
      <c r="X954" s="1" t="s">
        <v>965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" t="n">
        <v>2</v>
      </c>
      <c r="B955" s="15" t="n">
        <v>46230</v>
      </c>
      <c r="C955" s="15" t="n">
        <v>46234</v>
      </c>
      <c r="D955" s="1" t="n">
        <v>1683</v>
      </c>
      <c r="E955" s="1" t="s">
        <v>369</v>
      </c>
      <c r="F955" s="1" t="n">
        <v>34</v>
      </c>
      <c r="G955" s="1" t="s">
        <v>97</v>
      </c>
      <c r="H955" s="1" t="n">
        <v>1110203</v>
      </c>
      <c r="I955" s="1" t="s">
        <v>108</v>
      </c>
      <c r="J955" s="1" t="n">
        <v>1458309</v>
      </c>
      <c r="L955" s="1" t="n">
        <v>197250</v>
      </c>
      <c r="M955" s="1" t="s">
        <v>83</v>
      </c>
      <c r="N955" s="1" t="s">
        <v>35</v>
      </c>
      <c r="P955" s="1" t="n">
        <v>113</v>
      </c>
      <c r="Q955" s="1" t="s">
        <v>36</v>
      </c>
      <c r="R955" s="1" t="s">
        <v>48</v>
      </c>
      <c r="S955" s="1" t="n">
        <v>1130101</v>
      </c>
      <c r="T955" s="1" t="s">
        <v>49</v>
      </c>
      <c r="U955" s="17" t="n">
        <v>158</v>
      </c>
      <c r="W955" s="1" t="n">
        <v>0</v>
      </c>
      <c r="X955" s="1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12.75" hidden="false" customHeight="true" outlineLevel="0" collapsed="false">
      <c r="A956" s="1" t="n">
        <v>2</v>
      </c>
      <c r="B956" s="15" t="n">
        <v>46231</v>
      </c>
      <c r="C956" s="15" t="n">
        <v>46234</v>
      </c>
      <c r="D956" s="1" t="n">
        <v>1683</v>
      </c>
      <c r="E956" s="1" t="s">
        <v>369</v>
      </c>
      <c r="F956" s="1" t="n">
        <v>34</v>
      </c>
      <c r="G956" s="1" t="s">
        <v>97</v>
      </c>
      <c r="H956" s="1" t="n">
        <v>1110203</v>
      </c>
      <c r="I956" s="1" t="s">
        <v>108</v>
      </c>
      <c r="J956" s="1" t="n">
        <v>1464423</v>
      </c>
      <c r="L956" s="1" t="n">
        <v>198275</v>
      </c>
      <c r="M956" s="1" t="s">
        <v>83</v>
      </c>
      <c r="N956" s="1" t="s">
        <v>35</v>
      </c>
      <c r="P956" s="1" t="n">
        <v>113</v>
      </c>
      <c r="Q956" s="1" t="s">
        <v>36</v>
      </c>
      <c r="R956" s="1" t="s">
        <v>48</v>
      </c>
      <c r="S956" s="1" t="n">
        <v>1130101</v>
      </c>
      <c r="T956" s="1" t="s">
        <v>49</v>
      </c>
      <c r="U956" s="17" t="n">
        <v>54</v>
      </c>
      <c r="W956" s="1" t="n">
        <v>0</v>
      </c>
      <c r="X956" s="1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" t="n">
        <v>2</v>
      </c>
      <c r="B957" s="15" t="n">
        <v>46232</v>
      </c>
      <c r="C957" s="15" t="n">
        <v>46234</v>
      </c>
      <c r="D957" s="1" t="n">
        <v>1683</v>
      </c>
      <c r="E957" s="1" t="s">
        <v>369</v>
      </c>
      <c r="F957" s="1" t="n">
        <v>34</v>
      </c>
      <c r="G957" s="1" t="s">
        <v>97</v>
      </c>
      <c r="H957" s="1" t="n">
        <v>1110203</v>
      </c>
      <c r="I957" s="1" t="s">
        <v>108</v>
      </c>
      <c r="J957" s="1" t="n">
        <v>1469141</v>
      </c>
      <c r="L957" s="1" t="n">
        <v>199026</v>
      </c>
      <c r="M957" s="1" t="s">
        <v>83</v>
      </c>
      <c r="N957" s="1" t="s">
        <v>35</v>
      </c>
      <c r="P957" s="1" t="n">
        <v>113</v>
      </c>
      <c r="Q957" s="1" t="s">
        <v>36</v>
      </c>
      <c r="R957" s="1" t="s">
        <v>48</v>
      </c>
      <c r="S957" s="1" t="n">
        <v>1130101</v>
      </c>
      <c r="T957" s="1" t="s">
        <v>49</v>
      </c>
      <c r="U957" s="17" t="n">
        <v>129.5</v>
      </c>
      <c r="W957" s="1" t="n">
        <v>0</v>
      </c>
      <c r="X957" s="1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" t="n">
        <v>2</v>
      </c>
      <c r="B958" s="15" t="n">
        <v>46234</v>
      </c>
      <c r="C958" s="15" t="n">
        <v>46234</v>
      </c>
      <c r="D958" s="1" t="n">
        <v>10047</v>
      </c>
      <c r="E958" s="1" t="s">
        <v>627</v>
      </c>
      <c r="F958" s="1" t="n">
        <v>24</v>
      </c>
      <c r="G958" s="1" t="s">
        <v>77</v>
      </c>
      <c r="H958" s="1" t="n">
        <v>1110203</v>
      </c>
      <c r="I958" s="1" t="s">
        <v>108</v>
      </c>
      <c r="J958" s="1" t="n">
        <v>1478012</v>
      </c>
      <c r="L958" s="1" t="n">
        <v>103272</v>
      </c>
      <c r="M958" s="1" t="s">
        <v>83</v>
      </c>
      <c r="N958" s="1" t="s">
        <v>35</v>
      </c>
      <c r="P958" s="1" t="n">
        <v>101</v>
      </c>
      <c r="Q958" s="1" t="s">
        <v>42</v>
      </c>
      <c r="R958" s="1" t="s">
        <v>48</v>
      </c>
      <c r="S958" s="1" t="n">
        <v>1130101</v>
      </c>
      <c r="T958" s="1" t="s">
        <v>49</v>
      </c>
      <c r="U958" s="17" t="n">
        <v>2.94</v>
      </c>
      <c r="W958" s="1" t="n">
        <v>0</v>
      </c>
      <c r="X958" s="1" t="s">
        <v>966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" t="n">
        <v>2</v>
      </c>
      <c r="B959" s="15" t="n">
        <v>46234</v>
      </c>
      <c r="C959" s="15" t="n">
        <v>46234</v>
      </c>
      <c r="D959" s="1" t="n">
        <v>1642</v>
      </c>
      <c r="E959" s="1" t="s">
        <v>210</v>
      </c>
      <c r="F959" s="1" t="n">
        <v>24</v>
      </c>
      <c r="G959" s="1" t="s">
        <v>77</v>
      </c>
      <c r="H959" s="1" t="n">
        <v>1110203</v>
      </c>
      <c r="I959" s="1" t="s">
        <v>108</v>
      </c>
      <c r="J959" s="1" t="n">
        <v>1478227</v>
      </c>
      <c r="L959" s="1" t="n">
        <v>200551</v>
      </c>
      <c r="M959" s="1" t="s">
        <v>83</v>
      </c>
      <c r="N959" s="1" t="s">
        <v>35</v>
      </c>
      <c r="P959" s="1" t="n">
        <v>113</v>
      </c>
      <c r="Q959" s="1" t="s">
        <v>36</v>
      </c>
      <c r="R959" s="1" t="s">
        <v>48</v>
      </c>
      <c r="S959" s="1" t="n">
        <v>1130101</v>
      </c>
      <c r="T959" s="1" t="s">
        <v>49</v>
      </c>
      <c r="U959" s="17" t="n">
        <v>296.49</v>
      </c>
      <c r="W959" s="1" t="n">
        <v>0</v>
      </c>
      <c r="X959" s="1" t="s">
        <v>967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12.75" hidden="false" customHeight="true" outlineLevel="0" collapsed="false">
      <c r="A960" s="1" t="n">
        <v>2</v>
      </c>
      <c r="B960" s="15" t="n">
        <v>46234</v>
      </c>
      <c r="C960" s="15" t="n">
        <v>46234</v>
      </c>
      <c r="D960" s="1" t="n">
        <v>1683</v>
      </c>
      <c r="E960" s="1" t="s">
        <v>369</v>
      </c>
      <c r="F960" s="1" t="n">
        <v>34</v>
      </c>
      <c r="G960" s="1" t="s">
        <v>97</v>
      </c>
      <c r="H960" s="1" t="n">
        <v>1110203</v>
      </c>
      <c r="I960" s="1" t="s">
        <v>108</v>
      </c>
      <c r="J960" s="1" t="n">
        <v>1478661</v>
      </c>
      <c r="L960" s="1" t="n">
        <v>200648</v>
      </c>
      <c r="M960" s="1" t="s">
        <v>83</v>
      </c>
      <c r="N960" s="1" t="s">
        <v>35</v>
      </c>
      <c r="P960" s="1" t="n">
        <v>113</v>
      </c>
      <c r="Q960" s="1" t="s">
        <v>36</v>
      </c>
      <c r="R960" s="1" t="s">
        <v>48</v>
      </c>
      <c r="S960" s="1" t="n">
        <v>1130101</v>
      </c>
      <c r="T960" s="1" t="s">
        <v>49</v>
      </c>
      <c r="U960" s="17" t="n">
        <v>125</v>
      </c>
      <c r="W960" s="1" t="n">
        <v>0</v>
      </c>
      <c r="X960" s="1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" t="n">
        <v>2</v>
      </c>
      <c r="B961" s="15" t="n">
        <v>46234</v>
      </c>
      <c r="C961" s="15" t="n">
        <v>46234</v>
      </c>
      <c r="D961" s="1" t="n">
        <v>48</v>
      </c>
      <c r="E961" s="1" t="s">
        <v>132</v>
      </c>
      <c r="F961" s="1" t="n">
        <v>34</v>
      </c>
      <c r="G961" s="1" t="s">
        <v>97</v>
      </c>
      <c r="H961" s="1" t="n">
        <v>2110101</v>
      </c>
      <c r="I961" s="1" t="s">
        <v>33</v>
      </c>
      <c r="J961" s="1" t="n">
        <v>1479031</v>
      </c>
      <c r="L961" s="1" t="n">
        <v>2578</v>
      </c>
      <c r="M961" s="1" t="s">
        <v>83</v>
      </c>
      <c r="N961" s="1" t="s">
        <v>54</v>
      </c>
      <c r="P961" s="1" t="n">
        <v>113</v>
      </c>
      <c r="Q961" s="1" t="s">
        <v>36</v>
      </c>
      <c r="R961" s="1" t="s">
        <v>48</v>
      </c>
      <c r="S961" s="1" t="n">
        <v>1130101</v>
      </c>
      <c r="T961" s="1" t="s">
        <v>49</v>
      </c>
      <c r="U961" s="17" t="n">
        <v>1612.25</v>
      </c>
      <c r="W961" s="1" t="n">
        <v>0</v>
      </c>
      <c r="X961" s="1" t="s">
        <v>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" t="n">
        <v>2</v>
      </c>
      <c r="B962" s="15" t="n">
        <v>46234</v>
      </c>
      <c r="C962" s="15" t="n">
        <v>46234</v>
      </c>
      <c r="D962" s="1" t="n">
        <v>1037</v>
      </c>
      <c r="E962" s="1" t="s">
        <v>139</v>
      </c>
      <c r="F962" s="1" t="n">
        <v>34</v>
      </c>
      <c r="G962" s="1" t="s">
        <v>97</v>
      </c>
      <c r="H962" s="1" t="n">
        <v>1110203</v>
      </c>
      <c r="I962" s="1" t="s">
        <v>108</v>
      </c>
      <c r="J962" s="1" t="n">
        <v>1479056</v>
      </c>
      <c r="L962" s="1" t="n">
        <v>200715</v>
      </c>
      <c r="M962" s="1" t="s">
        <v>83</v>
      </c>
      <c r="N962" s="1" t="s">
        <v>35</v>
      </c>
      <c r="P962" s="1" t="n">
        <v>113</v>
      </c>
      <c r="Q962" s="1" t="s">
        <v>36</v>
      </c>
      <c r="R962" s="1" t="s">
        <v>48</v>
      </c>
      <c r="S962" s="1" t="n">
        <v>1130101</v>
      </c>
      <c r="T962" s="1" t="s">
        <v>49</v>
      </c>
      <c r="U962" s="17" t="n">
        <v>370</v>
      </c>
      <c r="W962" s="1" t="n">
        <v>0</v>
      </c>
      <c r="X962" s="1" t="s">
        <v>968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12.75" hidden="false" customHeight="true" outlineLevel="0" collapsed="false">
      <c r="A963" s="1" t="n">
        <v>2</v>
      </c>
      <c r="B963" s="15" t="n">
        <v>46234</v>
      </c>
      <c r="C963" s="15" t="n">
        <v>46234</v>
      </c>
      <c r="D963" s="1" t="n">
        <v>10096</v>
      </c>
      <c r="E963" s="1" t="s">
        <v>552</v>
      </c>
      <c r="F963" s="1" t="n">
        <v>13</v>
      </c>
      <c r="G963" s="1" t="s">
        <v>133</v>
      </c>
      <c r="H963" s="1" t="n">
        <v>1110203</v>
      </c>
      <c r="I963" s="1" t="s">
        <v>108</v>
      </c>
      <c r="J963" s="1" t="n">
        <v>1482230</v>
      </c>
      <c r="L963" s="1" t="n">
        <v>201194</v>
      </c>
      <c r="M963" s="1" t="s">
        <v>83</v>
      </c>
      <c r="N963" s="1" t="s">
        <v>35</v>
      </c>
      <c r="P963" s="1" t="n">
        <v>113</v>
      </c>
      <c r="Q963" s="1" t="s">
        <v>36</v>
      </c>
      <c r="R963" s="1" t="s">
        <v>48</v>
      </c>
      <c r="S963" s="1" t="n">
        <v>1130101</v>
      </c>
      <c r="T963" s="1" t="s">
        <v>49</v>
      </c>
      <c r="U963" s="17" t="n">
        <v>140</v>
      </c>
      <c r="W963" s="1" t="n">
        <v>140</v>
      </c>
      <c r="X963" s="1" t="s">
        <v>969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12.75" hidden="false" customHeight="true" outlineLevel="0" collapsed="false">
      <c r="A964" s="1" t="n">
        <v>2</v>
      </c>
      <c r="B964" s="15" t="n">
        <v>45992</v>
      </c>
      <c r="C964" s="15" t="n">
        <v>46235</v>
      </c>
      <c r="D964" s="1" t="n">
        <v>983</v>
      </c>
      <c r="E964" s="1" t="s">
        <v>31</v>
      </c>
      <c r="F964" s="1" t="n">
        <v>47</v>
      </c>
      <c r="G964" s="1" t="s">
        <v>32</v>
      </c>
      <c r="H964" s="1" t="n">
        <v>2110101</v>
      </c>
      <c r="I964" s="1" t="s">
        <v>33</v>
      </c>
      <c r="J964" s="1" t="n">
        <v>361903</v>
      </c>
      <c r="L964" s="1" t="n">
        <v>47174</v>
      </c>
      <c r="M964" s="1" t="s">
        <v>970</v>
      </c>
      <c r="N964" s="1" t="s">
        <v>35</v>
      </c>
      <c r="P964" s="1" t="n">
        <v>113</v>
      </c>
      <c r="Q964" s="1" t="s">
        <v>36</v>
      </c>
      <c r="R964" s="1" t="s">
        <v>37</v>
      </c>
      <c r="S964" s="1" t="n">
        <v>1240103</v>
      </c>
      <c r="T964" s="1" t="s">
        <v>38</v>
      </c>
      <c r="U964" s="17" t="n">
        <v>1898</v>
      </c>
      <c r="W964" s="1" t="n">
        <v>0</v>
      </c>
      <c r="X964" s="1" t="s">
        <v>971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12.75" hidden="false" customHeight="true" outlineLevel="0" collapsed="false">
      <c r="A965" s="1" t="n">
        <v>2</v>
      </c>
      <c r="B965" s="15" t="n">
        <v>46230</v>
      </c>
      <c r="C965" s="15" t="n">
        <v>46235</v>
      </c>
      <c r="D965" s="1" t="n">
        <v>1625</v>
      </c>
      <c r="E965" s="1" t="s">
        <v>248</v>
      </c>
      <c r="F965" s="1" t="n">
        <v>24</v>
      </c>
      <c r="G965" s="1" t="s">
        <v>77</v>
      </c>
      <c r="H965" s="1" t="n">
        <v>1110203</v>
      </c>
      <c r="I965" s="1" t="s">
        <v>108</v>
      </c>
      <c r="J965" s="1" t="n">
        <v>1459682</v>
      </c>
      <c r="L965" s="1" t="n">
        <v>197569</v>
      </c>
      <c r="M965" s="1" t="s">
        <v>83</v>
      </c>
      <c r="N965" s="1" t="s">
        <v>35</v>
      </c>
      <c r="P965" s="1" t="n">
        <v>113</v>
      </c>
      <c r="Q965" s="1" t="s">
        <v>36</v>
      </c>
      <c r="R965" s="1" t="s">
        <v>48</v>
      </c>
      <c r="S965" s="1" t="n">
        <v>1130101</v>
      </c>
      <c r="T965" s="1" t="s">
        <v>49</v>
      </c>
      <c r="U965" s="17" t="n">
        <v>4958.1</v>
      </c>
      <c r="W965" s="1" t="n">
        <v>0</v>
      </c>
      <c r="X965" s="1" t="s">
        <v>972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12.75" hidden="false" customHeight="true" outlineLevel="0" collapsed="false">
      <c r="A966" s="1" t="n">
        <v>2</v>
      </c>
      <c r="B966" s="15" t="n">
        <v>46055</v>
      </c>
      <c r="C966" s="15" t="n">
        <v>46235</v>
      </c>
      <c r="D966" s="1" t="n">
        <v>10039</v>
      </c>
      <c r="E966" s="1" t="s">
        <v>70</v>
      </c>
      <c r="F966" s="1" t="n">
        <v>47</v>
      </c>
      <c r="G966" s="1" t="s">
        <v>32</v>
      </c>
      <c r="H966" s="1" t="n">
        <v>2110405</v>
      </c>
      <c r="I966" s="1" t="s">
        <v>41</v>
      </c>
      <c r="J966" s="1" t="n">
        <v>846832</v>
      </c>
      <c r="L966" s="1" t="n">
        <v>111506</v>
      </c>
      <c r="M966" s="1" t="s">
        <v>47</v>
      </c>
      <c r="N966" s="1" t="s">
        <v>35</v>
      </c>
      <c r="P966" s="1" t="n">
        <v>113</v>
      </c>
      <c r="Q966" s="1" t="s">
        <v>36</v>
      </c>
      <c r="R966" s="1" t="s">
        <v>56</v>
      </c>
      <c r="S966" s="1" t="n">
        <v>4210227</v>
      </c>
      <c r="T966" s="1" t="s">
        <v>63</v>
      </c>
      <c r="U966" s="17" t="n">
        <v>378.82</v>
      </c>
      <c r="W966" s="1" t="n">
        <v>0</v>
      </c>
      <c r="X966" s="1" t="s">
        <v>973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" t="n">
        <v>2</v>
      </c>
      <c r="B967" s="15" t="n">
        <v>46196</v>
      </c>
      <c r="C967" s="15" t="n">
        <v>46235</v>
      </c>
      <c r="D967" s="1" t="n">
        <v>875</v>
      </c>
      <c r="E967" s="1" t="s">
        <v>73</v>
      </c>
      <c r="F967" s="1" t="n">
        <v>47</v>
      </c>
      <c r="G967" s="1" t="s">
        <v>32</v>
      </c>
      <c r="H967" s="1" t="n">
        <v>2110101</v>
      </c>
      <c r="I967" s="1" t="s">
        <v>33</v>
      </c>
      <c r="J967" s="1" t="n">
        <v>1295066</v>
      </c>
      <c r="L967" s="1" t="n">
        <v>173322</v>
      </c>
      <c r="M967" s="1" t="s">
        <v>74</v>
      </c>
      <c r="N967" s="1" t="s">
        <v>35</v>
      </c>
      <c r="P967" s="1" t="n">
        <v>113</v>
      </c>
      <c r="Q967" s="1" t="s">
        <v>36</v>
      </c>
      <c r="R967" s="1" t="s">
        <v>48</v>
      </c>
      <c r="S967" s="1" t="n">
        <v>1130101</v>
      </c>
      <c r="T967" s="1" t="s">
        <v>49</v>
      </c>
      <c r="U967" s="17" t="n">
        <v>1290.17</v>
      </c>
      <c r="W967" s="1" t="n">
        <v>0</v>
      </c>
      <c r="X967" s="1" t="s">
        <v>974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" t="n">
        <v>2</v>
      </c>
      <c r="B968" s="15" t="n">
        <v>46196</v>
      </c>
      <c r="C968" s="15" t="n">
        <v>46235</v>
      </c>
      <c r="D968" s="1" t="n">
        <v>796</v>
      </c>
      <c r="E968" s="1" t="s">
        <v>616</v>
      </c>
      <c r="F968" s="1" t="n">
        <v>47</v>
      </c>
      <c r="G968" s="1" t="s">
        <v>32</v>
      </c>
      <c r="H968" s="1" t="n">
        <v>2110101</v>
      </c>
      <c r="I968" s="1" t="s">
        <v>33</v>
      </c>
      <c r="J968" s="1" t="n">
        <v>1295074</v>
      </c>
      <c r="L968" s="1" t="n">
        <v>173327</v>
      </c>
      <c r="M968" s="1" t="s">
        <v>74</v>
      </c>
      <c r="N968" s="1" t="s">
        <v>35</v>
      </c>
      <c r="P968" s="1" t="n">
        <v>113</v>
      </c>
      <c r="Q968" s="1" t="s">
        <v>36</v>
      </c>
      <c r="R968" s="1" t="s">
        <v>48</v>
      </c>
      <c r="S968" s="1" t="n">
        <v>1130101</v>
      </c>
      <c r="T968" s="1" t="s">
        <v>49</v>
      </c>
      <c r="U968" s="17" t="n">
        <v>683.06</v>
      </c>
      <c r="W968" s="1" t="n">
        <v>0</v>
      </c>
      <c r="X968" s="1" t="s">
        <v>975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12.75" hidden="false" customHeight="true" outlineLevel="0" collapsed="false">
      <c r="A969" s="1" t="n">
        <v>2</v>
      </c>
      <c r="B969" s="15" t="n">
        <v>46196</v>
      </c>
      <c r="C969" s="15" t="n">
        <v>46235</v>
      </c>
      <c r="D969" s="1" t="n">
        <v>10080</v>
      </c>
      <c r="E969" s="1" t="s">
        <v>620</v>
      </c>
      <c r="F969" s="1" t="n">
        <v>47</v>
      </c>
      <c r="G969" s="1" t="s">
        <v>32</v>
      </c>
      <c r="H969" s="1" t="n">
        <v>2110101</v>
      </c>
      <c r="I969" s="1" t="s">
        <v>33</v>
      </c>
      <c r="J969" s="1" t="n">
        <v>1295126</v>
      </c>
      <c r="L969" s="1" t="n">
        <v>173344</v>
      </c>
      <c r="M969" s="1" t="s">
        <v>74</v>
      </c>
      <c r="N969" s="1" t="s">
        <v>35</v>
      </c>
      <c r="P969" s="1" t="n">
        <v>113</v>
      </c>
      <c r="Q969" s="1" t="s">
        <v>36</v>
      </c>
      <c r="R969" s="1" t="s">
        <v>48</v>
      </c>
      <c r="S969" s="1" t="n">
        <v>1130101</v>
      </c>
      <c r="T969" s="1" t="s">
        <v>49</v>
      </c>
      <c r="U969" s="17" t="n">
        <v>351.53</v>
      </c>
      <c r="W969" s="1" t="n">
        <v>0</v>
      </c>
      <c r="X969" s="1" t="s">
        <v>976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" t="n">
        <v>2</v>
      </c>
      <c r="B970" s="15" t="n">
        <v>46197</v>
      </c>
      <c r="C970" s="15" t="n">
        <v>46235</v>
      </c>
      <c r="D970" s="1" t="n">
        <v>607</v>
      </c>
      <c r="E970" s="1" t="s">
        <v>254</v>
      </c>
      <c r="F970" s="1" t="n">
        <v>24</v>
      </c>
      <c r="G970" s="1" t="s">
        <v>77</v>
      </c>
      <c r="H970" s="1" t="n">
        <v>2110101</v>
      </c>
      <c r="I970" s="1" t="s">
        <v>33</v>
      </c>
      <c r="J970" s="1" t="n">
        <v>1300232</v>
      </c>
      <c r="L970" s="1" t="n">
        <v>10860</v>
      </c>
      <c r="M970" s="1" t="s">
        <v>62</v>
      </c>
      <c r="N970" s="1" t="s">
        <v>54</v>
      </c>
      <c r="P970" s="1" t="n">
        <v>113</v>
      </c>
      <c r="Q970" s="1" t="s">
        <v>36</v>
      </c>
      <c r="R970" s="1" t="s">
        <v>48</v>
      </c>
      <c r="S970" s="1" t="n">
        <v>1130101</v>
      </c>
      <c r="T970" s="1" t="s">
        <v>49</v>
      </c>
      <c r="U970" s="17" t="n">
        <v>1361.81</v>
      </c>
      <c r="W970" s="1" t="n">
        <v>0</v>
      </c>
      <c r="X970" s="1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12.75" hidden="false" customHeight="true" outlineLevel="0" collapsed="false">
      <c r="A971" s="1" t="n">
        <v>2</v>
      </c>
      <c r="B971" s="15" t="n">
        <v>46226</v>
      </c>
      <c r="C971" s="15" t="n">
        <v>46235</v>
      </c>
      <c r="D971" s="1" t="n">
        <v>1723</v>
      </c>
      <c r="E971" s="1" t="s">
        <v>332</v>
      </c>
      <c r="F971" s="1" t="n">
        <v>24</v>
      </c>
      <c r="G971" s="1" t="s">
        <v>77</v>
      </c>
      <c r="H971" s="1" t="n">
        <v>1110203</v>
      </c>
      <c r="I971" s="1" t="s">
        <v>108</v>
      </c>
      <c r="J971" s="1" t="n">
        <v>1439261</v>
      </c>
      <c r="L971" s="1" t="n">
        <v>194516</v>
      </c>
      <c r="M971" s="1" t="s">
        <v>83</v>
      </c>
      <c r="N971" s="1" t="s">
        <v>35</v>
      </c>
      <c r="P971" s="1" t="n">
        <v>113</v>
      </c>
      <c r="Q971" s="1" t="s">
        <v>36</v>
      </c>
      <c r="R971" s="1" t="s">
        <v>48</v>
      </c>
      <c r="S971" s="1" t="n">
        <v>1130101</v>
      </c>
      <c r="T971" s="1" t="s">
        <v>49</v>
      </c>
      <c r="U971" s="17" t="n">
        <v>3811.4</v>
      </c>
      <c r="W971" s="1" t="n">
        <v>0</v>
      </c>
      <c r="X971" s="1" t="s">
        <v>977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" t="n">
        <v>2</v>
      </c>
      <c r="B972" s="15" t="n">
        <v>46230</v>
      </c>
      <c r="C972" s="15" t="n">
        <v>46235</v>
      </c>
      <c r="D972" s="1" t="n">
        <v>754</v>
      </c>
      <c r="E972" s="1" t="s">
        <v>128</v>
      </c>
      <c r="F972" s="1" t="n">
        <v>24</v>
      </c>
      <c r="G972" s="1" t="s">
        <v>77</v>
      </c>
      <c r="H972" s="1" t="n">
        <v>1110203</v>
      </c>
      <c r="I972" s="1" t="s">
        <v>108</v>
      </c>
      <c r="J972" s="1" t="n">
        <v>1458315</v>
      </c>
      <c r="L972" s="1" t="n">
        <v>197252</v>
      </c>
      <c r="M972" s="1" t="s">
        <v>83</v>
      </c>
      <c r="N972" s="1" t="s">
        <v>35</v>
      </c>
      <c r="P972" s="1" t="n">
        <v>113</v>
      </c>
      <c r="Q972" s="1" t="s">
        <v>36</v>
      </c>
      <c r="R972" s="1" t="s">
        <v>48</v>
      </c>
      <c r="S972" s="1" t="n">
        <v>1130101</v>
      </c>
      <c r="T972" s="1" t="s">
        <v>49</v>
      </c>
      <c r="U972" s="17" t="n">
        <v>528</v>
      </c>
      <c r="W972" s="1" t="n">
        <v>0</v>
      </c>
      <c r="X972" s="1" t="s">
        <v>978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" t="n">
        <v>2</v>
      </c>
      <c r="B973" s="15" t="n">
        <v>46235</v>
      </c>
      <c r="C973" s="15" t="n">
        <v>46235</v>
      </c>
      <c r="D973" s="1" t="n">
        <v>73</v>
      </c>
      <c r="E973" s="1" t="s">
        <v>99</v>
      </c>
      <c r="F973" s="1" t="n">
        <v>34</v>
      </c>
      <c r="G973" s="1" t="s">
        <v>97</v>
      </c>
      <c r="H973" s="1" t="n">
        <v>1110203</v>
      </c>
      <c r="I973" s="1" t="s">
        <v>108</v>
      </c>
      <c r="J973" s="1" t="n">
        <v>1493507</v>
      </c>
      <c r="L973" s="1" t="n">
        <v>202583</v>
      </c>
      <c r="M973" s="1" t="s">
        <v>83</v>
      </c>
      <c r="N973" s="1" t="s">
        <v>35</v>
      </c>
      <c r="P973" s="1" t="n">
        <v>113</v>
      </c>
      <c r="Q973" s="1" t="s">
        <v>36</v>
      </c>
      <c r="R973" s="1" t="s">
        <v>100</v>
      </c>
      <c r="S973" s="1" t="n">
        <v>4210309</v>
      </c>
      <c r="T973" s="1" t="s">
        <v>101</v>
      </c>
      <c r="U973" s="17" t="n">
        <v>260</v>
      </c>
      <c r="W973" s="1" t="n">
        <v>0</v>
      </c>
      <c r="X973" s="1" t="s">
        <v>979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" t="n">
        <v>2</v>
      </c>
      <c r="B974" s="15" t="n">
        <v>46235</v>
      </c>
      <c r="C974" s="15" t="n">
        <v>46235</v>
      </c>
      <c r="D974" s="1" t="n">
        <v>21</v>
      </c>
      <c r="E974" s="1" t="s">
        <v>103</v>
      </c>
      <c r="F974" s="1" t="n">
        <v>34</v>
      </c>
      <c r="G974" s="1" t="s">
        <v>97</v>
      </c>
      <c r="H974" s="1" t="n">
        <v>1110203</v>
      </c>
      <c r="I974" s="1" t="s">
        <v>108</v>
      </c>
      <c r="J974" s="1" t="n">
        <v>1493508</v>
      </c>
      <c r="L974" s="1" t="n">
        <v>202584</v>
      </c>
      <c r="M974" s="1" t="s">
        <v>83</v>
      </c>
      <c r="N974" s="1" t="s">
        <v>35</v>
      </c>
      <c r="P974" s="1" t="n">
        <v>113</v>
      </c>
      <c r="Q974" s="1" t="s">
        <v>36</v>
      </c>
      <c r="R974" s="1" t="s">
        <v>100</v>
      </c>
      <c r="S974" s="1" t="n">
        <v>4210309</v>
      </c>
      <c r="T974" s="1" t="s">
        <v>101</v>
      </c>
      <c r="U974" s="17" t="n">
        <v>260</v>
      </c>
      <c r="W974" s="1" t="n">
        <v>0</v>
      </c>
      <c r="X974" s="1" t="s">
        <v>979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" t="n">
        <v>2</v>
      </c>
      <c r="B975" s="15" t="n">
        <v>46235</v>
      </c>
      <c r="C975" s="15" t="n">
        <v>46235</v>
      </c>
      <c r="D975" s="1" t="n">
        <v>18</v>
      </c>
      <c r="E975" s="1" t="s">
        <v>105</v>
      </c>
      <c r="F975" s="1" t="n">
        <v>34</v>
      </c>
      <c r="G975" s="1" t="s">
        <v>97</v>
      </c>
      <c r="H975" s="1" t="n">
        <v>1110203</v>
      </c>
      <c r="I975" s="1" t="s">
        <v>108</v>
      </c>
      <c r="J975" s="1" t="n">
        <v>1493512</v>
      </c>
      <c r="L975" s="1" t="n">
        <v>202585</v>
      </c>
      <c r="M975" s="1" t="s">
        <v>83</v>
      </c>
      <c r="N975" s="1" t="s">
        <v>35</v>
      </c>
      <c r="P975" s="1" t="n">
        <v>113</v>
      </c>
      <c r="Q975" s="1" t="s">
        <v>36</v>
      </c>
      <c r="R975" s="1" t="s">
        <v>100</v>
      </c>
      <c r="S975" s="1" t="n">
        <v>4210309</v>
      </c>
      <c r="T975" s="1" t="s">
        <v>101</v>
      </c>
      <c r="U975" s="17" t="n">
        <v>260</v>
      </c>
      <c r="W975" s="1" t="n">
        <v>0</v>
      </c>
      <c r="X975" s="1" t="s">
        <v>979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</row>
    <row r="976" customFormat="false" ht="12.75" hidden="false" customHeight="true" outlineLevel="0" collapsed="false">
      <c r="A976" s="1" t="n">
        <v>2</v>
      </c>
      <c r="B976" s="15" t="n">
        <v>46230</v>
      </c>
      <c r="C976" s="15" t="n">
        <v>46237</v>
      </c>
      <c r="D976" s="1" t="n">
        <v>1631</v>
      </c>
      <c r="E976" s="1" t="s">
        <v>266</v>
      </c>
      <c r="F976" s="1" t="n">
        <v>24</v>
      </c>
      <c r="G976" s="1" t="s">
        <v>77</v>
      </c>
      <c r="H976" s="1" t="n">
        <v>1110203</v>
      </c>
      <c r="I976" s="1" t="s">
        <v>108</v>
      </c>
      <c r="J976" s="1" t="n">
        <v>1459264</v>
      </c>
      <c r="L976" s="1" t="n">
        <v>197493</v>
      </c>
      <c r="M976" s="1" t="s">
        <v>83</v>
      </c>
      <c r="N976" s="1" t="s">
        <v>35</v>
      </c>
      <c r="P976" s="1" t="n">
        <v>113</v>
      </c>
      <c r="Q976" s="1" t="s">
        <v>36</v>
      </c>
      <c r="R976" s="1" t="s">
        <v>48</v>
      </c>
      <c r="S976" s="1" t="n">
        <v>1130101</v>
      </c>
      <c r="T976" s="1" t="s">
        <v>49</v>
      </c>
      <c r="U976" s="17" t="n">
        <v>272.52</v>
      </c>
      <c r="W976" s="1" t="n">
        <v>0</v>
      </c>
      <c r="X976" s="1" t="s">
        <v>980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12.75" hidden="false" customHeight="true" outlineLevel="0" collapsed="false">
      <c r="A977" s="1" t="n">
        <v>2</v>
      </c>
      <c r="B977" s="15" t="n">
        <v>46230</v>
      </c>
      <c r="C977" s="15" t="n">
        <v>46237</v>
      </c>
      <c r="D977" s="1" t="n">
        <v>1363</v>
      </c>
      <c r="E977" s="1" t="s">
        <v>171</v>
      </c>
      <c r="F977" s="1" t="n">
        <v>24</v>
      </c>
      <c r="G977" s="1" t="s">
        <v>77</v>
      </c>
      <c r="H977" s="1" t="n">
        <v>1110203</v>
      </c>
      <c r="I977" s="1" t="s">
        <v>108</v>
      </c>
      <c r="J977" s="1" t="n">
        <v>1459559</v>
      </c>
      <c r="L977" s="1" t="n">
        <v>197539</v>
      </c>
      <c r="M977" s="1" t="s">
        <v>83</v>
      </c>
      <c r="N977" s="1" t="s">
        <v>35</v>
      </c>
      <c r="P977" s="1" t="n">
        <v>113</v>
      </c>
      <c r="Q977" s="1" t="s">
        <v>36</v>
      </c>
      <c r="R977" s="1" t="s">
        <v>48</v>
      </c>
      <c r="S977" s="1" t="n">
        <v>1130101</v>
      </c>
      <c r="T977" s="1" t="s">
        <v>49</v>
      </c>
      <c r="U977" s="17" t="n">
        <v>125</v>
      </c>
      <c r="W977" s="1" t="n">
        <v>0</v>
      </c>
      <c r="X977" s="1" t="s">
        <v>981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12.75" hidden="false" customHeight="true" outlineLevel="0" collapsed="false">
      <c r="A978" s="1" t="n">
        <v>2</v>
      </c>
      <c r="B978" s="15" t="n">
        <v>46216</v>
      </c>
      <c r="C978" s="15" t="n">
        <v>46237</v>
      </c>
      <c r="D978" s="1" t="n">
        <v>1626</v>
      </c>
      <c r="E978" s="1" t="s">
        <v>82</v>
      </c>
      <c r="F978" s="1" t="n">
        <v>24</v>
      </c>
      <c r="G978" s="1" t="s">
        <v>77</v>
      </c>
      <c r="H978" s="1" t="n">
        <v>2110101</v>
      </c>
      <c r="I978" s="1" t="s">
        <v>33</v>
      </c>
      <c r="J978" s="1" t="n">
        <v>1393879</v>
      </c>
      <c r="L978" s="1" t="n">
        <v>312916</v>
      </c>
      <c r="M978" s="1" t="s">
        <v>62</v>
      </c>
      <c r="N978" s="1" t="s">
        <v>54</v>
      </c>
      <c r="P978" s="1" t="n">
        <v>113</v>
      </c>
      <c r="Q978" s="1" t="s">
        <v>36</v>
      </c>
      <c r="R978" s="1" t="s">
        <v>48</v>
      </c>
      <c r="S978" s="1" t="n">
        <v>1130101</v>
      </c>
      <c r="T978" s="1" t="s">
        <v>49</v>
      </c>
      <c r="U978" s="17" t="n">
        <v>368.06</v>
      </c>
      <c r="W978" s="1" t="n">
        <v>0</v>
      </c>
      <c r="X978" s="1" t="s">
        <v>827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12.75" hidden="false" customHeight="true" outlineLevel="0" collapsed="false">
      <c r="A979" s="1" t="n">
        <v>2</v>
      </c>
      <c r="B979" s="15" t="n">
        <v>46217</v>
      </c>
      <c r="C979" s="15" t="n">
        <v>46237</v>
      </c>
      <c r="D979" s="1" t="n">
        <v>1612</v>
      </c>
      <c r="E979" s="1" t="s">
        <v>76</v>
      </c>
      <c r="F979" s="1" t="n">
        <v>24</v>
      </c>
      <c r="G979" s="1" t="s">
        <v>77</v>
      </c>
      <c r="H979" s="1" t="n">
        <v>1110203</v>
      </c>
      <c r="I979" s="1" t="s">
        <v>108</v>
      </c>
      <c r="J979" s="1" t="n">
        <v>1397698</v>
      </c>
      <c r="L979" s="1" t="n">
        <v>188008</v>
      </c>
      <c r="M979" s="1" t="s">
        <v>83</v>
      </c>
      <c r="N979" s="1" t="s">
        <v>35</v>
      </c>
      <c r="P979" s="1" t="n">
        <v>113</v>
      </c>
      <c r="Q979" s="1" t="s">
        <v>36</v>
      </c>
      <c r="R979" s="1" t="s">
        <v>48</v>
      </c>
      <c r="S979" s="1" t="n">
        <v>1130101</v>
      </c>
      <c r="T979" s="1" t="s">
        <v>49</v>
      </c>
      <c r="U979" s="17" t="n">
        <v>550.37</v>
      </c>
      <c r="W979" s="1" t="n">
        <v>0</v>
      </c>
      <c r="X979" s="1" t="s">
        <v>982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12.75" hidden="false" customHeight="true" outlineLevel="0" collapsed="false">
      <c r="A980" s="1" t="n">
        <v>2</v>
      </c>
      <c r="B980" s="15" t="n">
        <v>46218</v>
      </c>
      <c r="C980" s="15" t="n">
        <v>46237</v>
      </c>
      <c r="D980" s="1" t="n">
        <v>1636</v>
      </c>
      <c r="E980" s="1" t="s">
        <v>85</v>
      </c>
      <c r="F980" s="1" t="n">
        <v>24</v>
      </c>
      <c r="G980" s="1" t="s">
        <v>77</v>
      </c>
      <c r="H980" s="1" t="n">
        <v>1110203</v>
      </c>
      <c r="I980" s="1" t="s">
        <v>108</v>
      </c>
      <c r="J980" s="1" t="n">
        <v>1402499</v>
      </c>
      <c r="L980" s="1" t="n">
        <v>188735</v>
      </c>
      <c r="M980" s="1" t="s">
        <v>83</v>
      </c>
      <c r="N980" s="1" t="s">
        <v>35</v>
      </c>
      <c r="P980" s="1" t="n">
        <v>113</v>
      </c>
      <c r="Q980" s="1" t="s">
        <v>36</v>
      </c>
      <c r="R980" s="1" t="s">
        <v>48</v>
      </c>
      <c r="S980" s="1" t="n">
        <v>1130101</v>
      </c>
      <c r="T980" s="1" t="s">
        <v>49</v>
      </c>
      <c r="U980" s="17" t="n">
        <v>1315.48</v>
      </c>
      <c r="W980" s="1" t="n">
        <v>0</v>
      </c>
      <c r="X980" s="1" t="s">
        <v>983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12.75" hidden="false" customHeight="true" outlineLevel="0" collapsed="false">
      <c r="A981" s="1" t="n">
        <v>2</v>
      </c>
      <c r="B981" s="15" t="n">
        <v>46218</v>
      </c>
      <c r="C981" s="15" t="n">
        <v>46237</v>
      </c>
      <c r="D981" s="1" t="n">
        <v>1636</v>
      </c>
      <c r="E981" s="1" t="s">
        <v>85</v>
      </c>
      <c r="F981" s="1" t="n">
        <v>24</v>
      </c>
      <c r="G981" s="1" t="s">
        <v>77</v>
      </c>
      <c r="H981" s="1" t="n">
        <v>1110203</v>
      </c>
      <c r="I981" s="1" t="s">
        <v>108</v>
      </c>
      <c r="J981" s="1" t="n">
        <v>1403005</v>
      </c>
      <c r="L981" s="1" t="n">
        <v>188858</v>
      </c>
      <c r="M981" s="1" t="s">
        <v>83</v>
      </c>
      <c r="N981" s="1" t="s">
        <v>35</v>
      </c>
      <c r="P981" s="1" t="n">
        <v>113</v>
      </c>
      <c r="Q981" s="1" t="s">
        <v>36</v>
      </c>
      <c r="R981" s="1" t="s">
        <v>48</v>
      </c>
      <c r="S981" s="1" t="n">
        <v>1130101</v>
      </c>
      <c r="T981" s="1" t="s">
        <v>49</v>
      </c>
      <c r="U981" s="17" t="n">
        <v>1387.05</v>
      </c>
      <c r="W981" s="1" t="n">
        <v>0</v>
      </c>
      <c r="X981" s="1" t="s">
        <v>901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12.75" hidden="false" customHeight="true" outlineLevel="0" collapsed="false">
      <c r="A982" s="1" t="n">
        <v>2</v>
      </c>
      <c r="B982" s="15" t="n">
        <v>46219</v>
      </c>
      <c r="C982" s="15" t="n">
        <v>46237</v>
      </c>
      <c r="D982" s="1" t="n">
        <v>1636</v>
      </c>
      <c r="E982" s="1" t="s">
        <v>85</v>
      </c>
      <c r="F982" s="1" t="n">
        <v>24</v>
      </c>
      <c r="G982" s="1" t="s">
        <v>77</v>
      </c>
      <c r="H982" s="1" t="n">
        <v>1110203</v>
      </c>
      <c r="I982" s="1" t="s">
        <v>108</v>
      </c>
      <c r="J982" s="1" t="n">
        <v>1406470</v>
      </c>
      <c r="L982" s="1" t="n">
        <v>189390</v>
      </c>
      <c r="M982" s="1" t="s">
        <v>83</v>
      </c>
      <c r="N982" s="1" t="s">
        <v>35</v>
      </c>
      <c r="P982" s="1" t="n">
        <v>113</v>
      </c>
      <c r="Q982" s="1" t="s">
        <v>36</v>
      </c>
      <c r="R982" s="1" t="s">
        <v>48</v>
      </c>
      <c r="S982" s="1" t="n">
        <v>1130101</v>
      </c>
      <c r="T982" s="1" t="s">
        <v>49</v>
      </c>
      <c r="U982" s="17" t="n">
        <v>920.12</v>
      </c>
      <c r="W982" s="1" t="n">
        <v>0</v>
      </c>
      <c r="X982" s="1" t="s">
        <v>902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" t="n">
        <v>2</v>
      </c>
      <c r="B983" s="15" t="n">
        <v>46223</v>
      </c>
      <c r="C983" s="15" t="n">
        <v>46237</v>
      </c>
      <c r="D983" s="1" t="n">
        <v>1601</v>
      </c>
      <c r="E983" s="1" t="s">
        <v>175</v>
      </c>
      <c r="F983" s="1" t="n">
        <v>24</v>
      </c>
      <c r="G983" s="1" t="s">
        <v>77</v>
      </c>
      <c r="H983" s="1" t="n">
        <v>1110203</v>
      </c>
      <c r="I983" s="1" t="s">
        <v>108</v>
      </c>
      <c r="J983" s="1" t="n">
        <v>1424074</v>
      </c>
      <c r="L983" s="1" t="n">
        <v>190897</v>
      </c>
      <c r="M983" s="1" t="s">
        <v>83</v>
      </c>
      <c r="N983" s="1" t="s">
        <v>35</v>
      </c>
      <c r="P983" s="1" t="n">
        <v>113</v>
      </c>
      <c r="Q983" s="1" t="s">
        <v>36</v>
      </c>
      <c r="R983" s="1" t="s">
        <v>48</v>
      </c>
      <c r="S983" s="1" t="n">
        <v>1130101</v>
      </c>
      <c r="T983" s="1" t="s">
        <v>49</v>
      </c>
      <c r="U983" s="17" t="n">
        <v>676.97</v>
      </c>
      <c r="W983" s="1" t="n">
        <v>0</v>
      </c>
      <c r="X983" s="1" t="s">
        <v>984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12.75" hidden="false" customHeight="true" outlineLevel="0" collapsed="false">
      <c r="A984" s="1" t="n">
        <v>2</v>
      </c>
      <c r="B984" s="15" t="n">
        <v>46230</v>
      </c>
      <c r="C984" s="15" t="n">
        <v>46237</v>
      </c>
      <c r="D984" s="1" t="n">
        <v>1269</v>
      </c>
      <c r="E984" s="1" t="s">
        <v>985</v>
      </c>
      <c r="F984" s="1" t="n">
        <v>24</v>
      </c>
      <c r="G984" s="1" t="s">
        <v>77</v>
      </c>
      <c r="H984" s="1" t="n">
        <v>1110203</v>
      </c>
      <c r="I984" s="1" t="s">
        <v>108</v>
      </c>
      <c r="J984" s="1" t="n">
        <v>1458373</v>
      </c>
      <c r="L984" s="1" t="n">
        <v>197275</v>
      </c>
      <c r="M984" s="1" t="s">
        <v>83</v>
      </c>
      <c r="N984" s="1" t="s">
        <v>35</v>
      </c>
      <c r="P984" s="1" t="n">
        <v>113</v>
      </c>
      <c r="Q984" s="1" t="s">
        <v>36</v>
      </c>
      <c r="R984" s="1" t="s">
        <v>48</v>
      </c>
      <c r="S984" s="1" t="n">
        <v>1130101</v>
      </c>
      <c r="T984" s="1" t="s">
        <v>49</v>
      </c>
      <c r="U984" s="17" t="n">
        <v>778</v>
      </c>
      <c r="W984" s="1" t="n">
        <v>0</v>
      </c>
      <c r="X984" s="1" t="s">
        <v>986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" t="n">
        <v>2</v>
      </c>
      <c r="B985" s="15" t="n">
        <v>46231</v>
      </c>
      <c r="C985" s="15" t="n">
        <v>46237</v>
      </c>
      <c r="D985" s="1" t="n">
        <v>1292</v>
      </c>
      <c r="E985" s="1" t="s">
        <v>188</v>
      </c>
      <c r="F985" s="1" t="n">
        <v>24</v>
      </c>
      <c r="G985" s="1" t="s">
        <v>77</v>
      </c>
      <c r="H985" s="1" t="n">
        <v>1110203</v>
      </c>
      <c r="I985" s="1" t="s">
        <v>108</v>
      </c>
      <c r="J985" s="1" t="n">
        <v>1464433</v>
      </c>
      <c r="L985" s="1" t="n">
        <v>198276</v>
      </c>
      <c r="M985" s="1" t="s">
        <v>83</v>
      </c>
      <c r="N985" s="1" t="s">
        <v>35</v>
      </c>
      <c r="P985" s="1" t="n">
        <v>113</v>
      </c>
      <c r="Q985" s="1" t="s">
        <v>36</v>
      </c>
      <c r="R985" s="1" t="s">
        <v>48</v>
      </c>
      <c r="S985" s="1" t="n">
        <v>1130101</v>
      </c>
      <c r="T985" s="1" t="s">
        <v>49</v>
      </c>
      <c r="U985" s="17" t="n">
        <v>505.5</v>
      </c>
      <c r="W985" s="1" t="n">
        <v>0</v>
      </c>
      <c r="X985" s="1" t="s">
        <v>987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" t="n">
        <v>2</v>
      </c>
      <c r="B986" s="15" t="n">
        <v>46231</v>
      </c>
      <c r="C986" s="15" t="n">
        <v>46237</v>
      </c>
      <c r="D986" s="1" t="n">
        <v>1328</v>
      </c>
      <c r="E986" s="1" t="s">
        <v>92</v>
      </c>
      <c r="F986" s="1" t="n">
        <v>24</v>
      </c>
      <c r="G986" s="1" t="s">
        <v>77</v>
      </c>
      <c r="H986" s="1" t="n">
        <v>1110203</v>
      </c>
      <c r="I986" s="1" t="s">
        <v>108</v>
      </c>
      <c r="J986" s="1" t="n">
        <v>1464443</v>
      </c>
      <c r="L986" s="1" t="n">
        <v>198279</v>
      </c>
      <c r="M986" s="1" t="s">
        <v>83</v>
      </c>
      <c r="N986" s="1" t="s">
        <v>35</v>
      </c>
      <c r="P986" s="1" t="n">
        <v>113</v>
      </c>
      <c r="Q986" s="1" t="s">
        <v>36</v>
      </c>
      <c r="R986" s="1" t="s">
        <v>48</v>
      </c>
      <c r="S986" s="1" t="n">
        <v>1130101</v>
      </c>
      <c r="T986" s="1" t="s">
        <v>49</v>
      </c>
      <c r="U986" s="17" t="n">
        <v>244</v>
      </c>
      <c r="W986" s="1" t="n">
        <v>0</v>
      </c>
      <c r="X986" s="1" t="s">
        <v>988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12.75" hidden="false" customHeight="true" outlineLevel="0" collapsed="false">
      <c r="A987" s="1" t="n">
        <v>2</v>
      </c>
      <c r="B987" s="15" t="n">
        <v>46233</v>
      </c>
      <c r="C987" s="15" t="n">
        <v>46237</v>
      </c>
      <c r="D987" s="1" t="n">
        <v>642</v>
      </c>
      <c r="E987" s="1" t="s">
        <v>130</v>
      </c>
      <c r="F987" s="1" t="n">
        <v>24</v>
      </c>
      <c r="G987" s="1" t="s">
        <v>77</v>
      </c>
      <c r="H987" s="1" t="n">
        <v>1110203</v>
      </c>
      <c r="I987" s="1" t="s">
        <v>108</v>
      </c>
      <c r="J987" s="1" t="n">
        <v>1472583</v>
      </c>
      <c r="L987" s="1" t="n">
        <v>199510</v>
      </c>
      <c r="M987" s="1" t="s">
        <v>83</v>
      </c>
      <c r="N987" s="1" t="s">
        <v>35</v>
      </c>
      <c r="P987" s="1" t="n">
        <v>113</v>
      </c>
      <c r="Q987" s="1" t="s">
        <v>36</v>
      </c>
      <c r="R987" s="1" t="s">
        <v>48</v>
      </c>
      <c r="S987" s="1" t="n">
        <v>1130101</v>
      </c>
      <c r="T987" s="1" t="s">
        <v>49</v>
      </c>
      <c r="U987" s="17" t="n">
        <v>180</v>
      </c>
      <c r="W987" s="1" t="n">
        <v>0</v>
      </c>
      <c r="X987" s="1" t="s">
        <v>989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12.75" hidden="false" customHeight="true" outlineLevel="0" collapsed="false">
      <c r="A988" s="1" t="n">
        <v>2</v>
      </c>
      <c r="B988" s="15" t="n">
        <v>46233</v>
      </c>
      <c r="C988" s="15" t="n">
        <v>46237</v>
      </c>
      <c r="D988" s="1" t="n">
        <v>1899</v>
      </c>
      <c r="E988" s="1" t="s">
        <v>194</v>
      </c>
      <c r="F988" s="1" t="n">
        <v>24</v>
      </c>
      <c r="G988" s="1" t="s">
        <v>77</v>
      </c>
      <c r="H988" s="1" t="n">
        <v>1110203</v>
      </c>
      <c r="I988" s="1" t="s">
        <v>108</v>
      </c>
      <c r="J988" s="1" t="n">
        <v>1472608</v>
      </c>
      <c r="L988" s="1" t="n">
        <v>199512</v>
      </c>
      <c r="M988" s="1" t="s">
        <v>83</v>
      </c>
      <c r="N988" s="1" t="s">
        <v>35</v>
      </c>
      <c r="P988" s="1" t="n">
        <v>113</v>
      </c>
      <c r="Q988" s="1" t="s">
        <v>36</v>
      </c>
      <c r="R988" s="1" t="s">
        <v>48</v>
      </c>
      <c r="S988" s="1" t="n">
        <v>1130101</v>
      </c>
      <c r="T988" s="1" t="s">
        <v>49</v>
      </c>
      <c r="U988" s="17" t="n">
        <v>284.7</v>
      </c>
      <c r="W988" s="1" t="n">
        <v>0</v>
      </c>
      <c r="X988" s="1" t="s">
        <v>990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12.75" hidden="false" customHeight="true" outlineLevel="0" collapsed="false">
      <c r="A989" s="1" t="n">
        <v>2</v>
      </c>
      <c r="B989" s="15" t="n">
        <v>46234</v>
      </c>
      <c r="C989" s="15" t="n">
        <v>46237</v>
      </c>
      <c r="D989" s="1" t="n">
        <v>10035</v>
      </c>
      <c r="E989" s="1" t="s">
        <v>96</v>
      </c>
      <c r="F989" s="1" t="n">
        <v>34</v>
      </c>
      <c r="G989" s="1" t="s">
        <v>97</v>
      </c>
      <c r="H989" s="1" t="n">
        <v>1110203</v>
      </c>
      <c r="I989" s="1" t="s">
        <v>108</v>
      </c>
      <c r="J989" s="1" t="n">
        <v>1477872</v>
      </c>
      <c r="L989" s="1" t="n">
        <v>200494</v>
      </c>
      <c r="M989" s="1" t="s">
        <v>83</v>
      </c>
      <c r="N989" s="1" t="s">
        <v>35</v>
      </c>
      <c r="P989" s="1" t="n">
        <v>113</v>
      </c>
      <c r="Q989" s="1" t="s">
        <v>36</v>
      </c>
      <c r="R989" s="1" t="s">
        <v>48</v>
      </c>
      <c r="S989" s="1" t="n">
        <v>1130101</v>
      </c>
      <c r="T989" s="1" t="s">
        <v>49</v>
      </c>
      <c r="U989" s="17" t="n">
        <v>228</v>
      </c>
      <c r="W989" s="1" t="n">
        <v>0</v>
      </c>
      <c r="X989" s="1" t="s">
        <v>991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" t="n">
        <v>2</v>
      </c>
      <c r="B990" s="15" t="n">
        <v>46237</v>
      </c>
      <c r="C990" s="15" t="n">
        <v>46237</v>
      </c>
      <c r="D990" s="1" t="n">
        <v>48</v>
      </c>
      <c r="E990" s="1" t="s">
        <v>132</v>
      </c>
      <c r="F990" s="1" t="n">
        <v>13</v>
      </c>
      <c r="G990" s="1" t="s">
        <v>133</v>
      </c>
      <c r="H990" s="1" t="n">
        <v>2110101</v>
      </c>
      <c r="I990" s="1" t="s">
        <v>33</v>
      </c>
      <c r="J990" s="1" t="n">
        <v>1493407</v>
      </c>
      <c r="L990" s="1" t="n">
        <v>2581</v>
      </c>
      <c r="M990" s="1" t="s">
        <v>83</v>
      </c>
      <c r="N990" s="1" t="s">
        <v>54</v>
      </c>
      <c r="P990" s="1" t="n">
        <v>113</v>
      </c>
      <c r="Q990" s="1" t="s">
        <v>36</v>
      </c>
      <c r="R990" s="1" t="s">
        <v>48</v>
      </c>
      <c r="S990" s="1" t="n">
        <v>1130101</v>
      </c>
      <c r="T990" s="1" t="s">
        <v>49</v>
      </c>
      <c r="U990" s="17" t="n">
        <v>280</v>
      </c>
      <c r="W990" s="1" t="n">
        <v>0</v>
      </c>
      <c r="X990" s="1" t="s">
        <v>992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" t="n">
        <v>2</v>
      </c>
      <c r="B991" s="15" t="n">
        <v>46237</v>
      </c>
      <c r="C991" s="15" t="n">
        <v>46237</v>
      </c>
      <c r="D991" s="1" t="n">
        <v>48</v>
      </c>
      <c r="E991" s="1" t="s">
        <v>132</v>
      </c>
      <c r="F991" s="1" t="n">
        <v>13</v>
      </c>
      <c r="G991" s="1" t="s">
        <v>133</v>
      </c>
      <c r="H991" s="1" t="n">
        <v>2110101</v>
      </c>
      <c r="I991" s="1" t="s">
        <v>33</v>
      </c>
      <c r="J991" s="1" t="n">
        <v>1493427</v>
      </c>
      <c r="L991" s="1" t="n">
        <v>2582</v>
      </c>
      <c r="M991" s="1" t="s">
        <v>83</v>
      </c>
      <c r="N991" s="1" t="s">
        <v>54</v>
      </c>
      <c r="P991" s="1" t="n">
        <v>113</v>
      </c>
      <c r="Q991" s="1" t="s">
        <v>36</v>
      </c>
      <c r="R991" s="1" t="s">
        <v>48</v>
      </c>
      <c r="S991" s="1" t="n">
        <v>1130101</v>
      </c>
      <c r="T991" s="1" t="s">
        <v>49</v>
      </c>
      <c r="U991" s="17" t="n">
        <v>210</v>
      </c>
      <c r="W991" s="1" t="n">
        <v>210</v>
      </c>
      <c r="X991" s="1" t="s">
        <v>993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2</v>
      </c>
      <c r="B992" s="15" t="n">
        <v>46214</v>
      </c>
      <c r="C992" s="15" t="n">
        <v>46238</v>
      </c>
      <c r="D992" s="1" t="n">
        <v>666</v>
      </c>
      <c r="E992" s="1" t="s">
        <v>381</v>
      </c>
      <c r="F992" s="1" t="n">
        <v>24</v>
      </c>
      <c r="G992" s="1" t="s">
        <v>77</v>
      </c>
      <c r="H992" s="1" t="n">
        <v>2110101</v>
      </c>
      <c r="I992" s="1" t="s">
        <v>33</v>
      </c>
      <c r="J992" s="1" t="n">
        <v>1381906</v>
      </c>
      <c r="L992" s="1" t="n">
        <v>7874</v>
      </c>
      <c r="M992" s="1" t="s">
        <v>71</v>
      </c>
      <c r="N992" s="1" t="s">
        <v>54</v>
      </c>
      <c r="P992" s="1" t="n">
        <v>113</v>
      </c>
      <c r="Q992" s="1" t="s">
        <v>36</v>
      </c>
      <c r="R992" s="1" t="s">
        <v>48</v>
      </c>
      <c r="S992" s="1" t="n">
        <v>1130101</v>
      </c>
      <c r="T992" s="1" t="s">
        <v>49</v>
      </c>
      <c r="U992" s="17" t="n">
        <v>378.88</v>
      </c>
      <c r="W992" s="1" t="n">
        <v>378.88</v>
      </c>
      <c r="X992" s="1" t="s">
        <v>785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2</v>
      </c>
      <c r="B993" s="15" t="n">
        <v>46218</v>
      </c>
      <c r="C993" s="15" t="n">
        <v>46238</v>
      </c>
      <c r="D993" s="1" t="n">
        <v>1637</v>
      </c>
      <c r="E993" s="1" t="s">
        <v>764</v>
      </c>
      <c r="F993" s="1" t="n">
        <v>24</v>
      </c>
      <c r="G993" s="1" t="s">
        <v>77</v>
      </c>
      <c r="H993" s="1" t="n">
        <v>2110405</v>
      </c>
      <c r="I993" s="1" t="s">
        <v>41</v>
      </c>
      <c r="J993" s="1" t="n">
        <v>1401287</v>
      </c>
      <c r="L993" s="1" t="n">
        <v>188467</v>
      </c>
      <c r="M993" s="1" t="s">
        <v>83</v>
      </c>
      <c r="N993" s="1" t="s">
        <v>35</v>
      </c>
      <c r="P993" s="1" t="n">
        <v>113</v>
      </c>
      <c r="Q993" s="1" t="s">
        <v>36</v>
      </c>
      <c r="R993" s="1" t="s">
        <v>48</v>
      </c>
      <c r="S993" s="1" t="n">
        <v>1130101</v>
      </c>
      <c r="T993" s="1" t="s">
        <v>49</v>
      </c>
      <c r="U993" s="17" t="n">
        <v>479.64</v>
      </c>
      <c r="W993" s="1" t="n">
        <v>479.64</v>
      </c>
      <c r="X993" s="1" t="s">
        <v>994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2</v>
      </c>
      <c r="B994" s="15" t="n">
        <v>46219</v>
      </c>
      <c r="C994" s="15" t="n">
        <v>46238</v>
      </c>
      <c r="D994" s="1" t="n">
        <v>10009</v>
      </c>
      <c r="E994" s="1" t="s">
        <v>417</v>
      </c>
      <c r="F994" s="1" t="n">
        <v>24</v>
      </c>
      <c r="G994" s="1" t="s">
        <v>77</v>
      </c>
      <c r="H994" s="1" t="n">
        <v>2110405</v>
      </c>
      <c r="I994" s="1" t="s">
        <v>41</v>
      </c>
      <c r="J994" s="1" t="n">
        <v>1406034</v>
      </c>
      <c r="L994" s="1" t="n">
        <v>189282</v>
      </c>
      <c r="M994" s="1" t="s">
        <v>83</v>
      </c>
      <c r="N994" s="1" t="s">
        <v>35</v>
      </c>
      <c r="P994" s="1" t="n">
        <v>113</v>
      </c>
      <c r="Q994" s="1" t="s">
        <v>36</v>
      </c>
      <c r="R994" s="1" t="s">
        <v>48</v>
      </c>
      <c r="S994" s="1" t="n">
        <v>1130101</v>
      </c>
      <c r="T994" s="1" t="s">
        <v>49</v>
      </c>
      <c r="U994" s="17" t="n">
        <v>691.62</v>
      </c>
      <c r="W994" s="1" t="n">
        <v>691.62</v>
      </c>
      <c r="X994" s="1" t="s">
        <v>844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2</v>
      </c>
      <c r="B995" s="15" t="n">
        <v>46220</v>
      </c>
      <c r="C995" s="15" t="n">
        <v>46238</v>
      </c>
      <c r="D995" s="1" t="n">
        <v>1676</v>
      </c>
      <c r="E995" s="1" t="s">
        <v>633</v>
      </c>
      <c r="F995" s="1" t="n">
        <v>24</v>
      </c>
      <c r="G995" s="1" t="s">
        <v>77</v>
      </c>
      <c r="H995" s="1" t="n">
        <v>2110405</v>
      </c>
      <c r="I995" s="1" t="s">
        <v>41</v>
      </c>
      <c r="J995" s="1" t="n">
        <v>1410577</v>
      </c>
      <c r="L995" s="1" t="n">
        <v>190085</v>
      </c>
      <c r="M995" s="1" t="s">
        <v>83</v>
      </c>
      <c r="N995" s="1" t="s">
        <v>35</v>
      </c>
      <c r="P995" s="1" t="n">
        <v>113</v>
      </c>
      <c r="Q995" s="1" t="s">
        <v>36</v>
      </c>
      <c r="R995" s="1" t="s">
        <v>48</v>
      </c>
      <c r="S995" s="1" t="n">
        <v>1130101</v>
      </c>
      <c r="T995" s="1" t="s">
        <v>49</v>
      </c>
      <c r="U995" s="17" t="n">
        <v>505.58</v>
      </c>
      <c r="W995" s="1" t="n">
        <v>505.58</v>
      </c>
      <c r="X995" s="1" t="s">
        <v>921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2</v>
      </c>
      <c r="B996" s="15" t="n">
        <v>46223</v>
      </c>
      <c r="C996" s="15" t="n">
        <v>46238</v>
      </c>
      <c r="D996" s="1" t="n">
        <v>1705</v>
      </c>
      <c r="E996" s="1" t="s">
        <v>119</v>
      </c>
      <c r="F996" s="1" t="n">
        <v>24</v>
      </c>
      <c r="G996" s="1" t="s">
        <v>77</v>
      </c>
      <c r="H996" s="1" t="n">
        <v>2110405</v>
      </c>
      <c r="I996" s="1" t="s">
        <v>41</v>
      </c>
      <c r="J996" s="1" t="n">
        <v>1424528</v>
      </c>
      <c r="L996" s="1" t="n">
        <v>190903</v>
      </c>
      <c r="M996" s="1" t="s">
        <v>83</v>
      </c>
      <c r="N996" s="1" t="s">
        <v>35</v>
      </c>
      <c r="P996" s="1" t="n">
        <v>113</v>
      </c>
      <c r="Q996" s="1" t="s">
        <v>36</v>
      </c>
      <c r="R996" s="1" t="s">
        <v>48</v>
      </c>
      <c r="S996" s="1" t="n">
        <v>1130101</v>
      </c>
      <c r="T996" s="1" t="s">
        <v>49</v>
      </c>
      <c r="U996" s="17" t="n">
        <v>53.95</v>
      </c>
      <c r="W996" s="1" t="n">
        <v>53.95</v>
      </c>
      <c r="X996" s="1" t="s">
        <v>995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2</v>
      </c>
      <c r="B997" s="15" t="n">
        <v>46223</v>
      </c>
      <c r="C997" s="15" t="n">
        <v>46238</v>
      </c>
      <c r="D997" s="1" t="n">
        <v>1705</v>
      </c>
      <c r="E997" s="1" t="s">
        <v>119</v>
      </c>
      <c r="F997" s="1" t="n">
        <v>24</v>
      </c>
      <c r="G997" s="1" t="s">
        <v>77</v>
      </c>
      <c r="H997" s="1" t="n">
        <v>2110405</v>
      </c>
      <c r="I997" s="1" t="s">
        <v>41</v>
      </c>
      <c r="J997" s="1" t="n">
        <v>1424532</v>
      </c>
      <c r="L997" s="1" t="n">
        <v>190904</v>
      </c>
      <c r="M997" s="1" t="s">
        <v>83</v>
      </c>
      <c r="N997" s="1" t="s">
        <v>35</v>
      </c>
      <c r="P997" s="1" t="n">
        <v>113</v>
      </c>
      <c r="Q997" s="1" t="s">
        <v>36</v>
      </c>
      <c r="R997" s="1" t="s">
        <v>48</v>
      </c>
      <c r="S997" s="1" t="n">
        <v>1130101</v>
      </c>
      <c r="T997" s="1" t="s">
        <v>49</v>
      </c>
      <c r="U997" s="17" t="n">
        <v>637.11</v>
      </c>
      <c r="W997" s="1" t="n">
        <v>637.11</v>
      </c>
      <c r="X997" s="1" t="s">
        <v>996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2</v>
      </c>
      <c r="B998" s="15" t="n">
        <v>46225</v>
      </c>
      <c r="C998" s="15" t="n">
        <v>46238</v>
      </c>
      <c r="D998" s="1" t="n">
        <v>1608</v>
      </c>
      <c r="E998" s="1" t="s">
        <v>201</v>
      </c>
      <c r="F998" s="1" t="n">
        <v>24</v>
      </c>
      <c r="G998" s="1" t="s">
        <v>77</v>
      </c>
      <c r="H998" s="1" t="n">
        <v>2110405</v>
      </c>
      <c r="I998" s="1" t="s">
        <v>41</v>
      </c>
      <c r="J998" s="1" t="n">
        <v>1434778</v>
      </c>
      <c r="L998" s="1" t="n">
        <v>193756</v>
      </c>
      <c r="M998" s="1" t="s">
        <v>83</v>
      </c>
      <c r="N998" s="1" t="s">
        <v>35</v>
      </c>
      <c r="P998" s="1" t="n">
        <v>113</v>
      </c>
      <c r="Q998" s="1" t="s">
        <v>36</v>
      </c>
      <c r="R998" s="1" t="s">
        <v>48</v>
      </c>
      <c r="S998" s="1" t="n">
        <v>1130101</v>
      </c>
      <c r="T998" s="1" t="s">
        <v>49</v>
      </c>
      <c r="U998" s="17" t="n">
        <v>554.4</v>
      </c>
      <c r="W998" s="1" t="n">
        <v>554.4</v>
      </c>
      <c r="X998" s="1" t="s">
        <v>997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2</v>
      </c>
      <c r="B999" s="15" t="n">
        <v>46231</v>
      </c>
      <c r="C999" s="15" t="n">
        <v>46238</v>
      </c>
      <c r="D999" s="1" t="n">
        <v>1642</v>
      </c>
      <c r="E999" s="1" t="s">
        <v>210</v>
      </c>
      <c r="F999" s="1" t="n">
        <v>24</v>
      </c>
      <c r="G999" s="1" t="s">
        <v>77</v>
      </c>
      <c r="H999" s="1" t="n">
        <v>2110405</v>
      </c>
      <c r="I999" s="1" t="s">
        <v>41</v>
      </c>
      <c r="J999" s="1" t="n">
        <v>1464440</v>
      </c>
      <c r="L999" s="1" t="n">
        <v>198277</v>
      </c>
      <c r="M999" s="1" t="s">
        <v>83</v>
      </c>
      <c r="N999" s="1" t="s">
        <v>35</v>
      </c>
      <c r="P999" s="1" t="n">
        <v>113</v>
      </c>
      <c r="Q999" s="1" t="s">
        <v>36</v>
      </c>
      <c r="R999" s="1" t="s">
        <v>48</v>
      </c>
      <c r="S999" s="1" t="n">
        <v>1130101</v>
      </c>
      <c r="T999" s="1" t="s">
        <v>49</v>
      </c>
      <c r="U999" s="17" t="n">
        <v>355.62</v>
      </c>
      <c r="W999" s="1" t="n">
        <v>355.62</v>
      </c>
      <c r="X999" s="1" t="s">
        <v>998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2</v>
      </c>
      <c r="B1000" s="15" t="n">
        <v>46235</v>
      </c>
      <c r="C1000" s="15" t="n">
        <v>46238</v>
      </c>
      <c r="D1000" s="1" t="n">
        <v>642</v>
      </c>
      <c r="E1000" s="1" t="s">
        <v>130</v>
      </c>
      <c r="F1000" s="1" t="n">
        <v>24</v>
      </c>
      <c r="G1000" s="1" t="s">
        <v>77</v>
      </c>
      <c r="H1000" s="1" t="n">
        <v>2110405</v>
      </c>
      <c r="I1000" s="1" t="s">
        <v>41</v>
      </c>
      <c r="J1000" s="1" t="n">
        <v>1481858</v>
      </c>
      <c r="L1000" s="1" t="n">
        <v>201136</v>
      </c>
      <c r="M1000" s="1" t="s">
        <v>83</v>
      </c>
      <c r="N1000" s="1" t="s">
        <v>35</v>
      </c>
      <c r="P1000" s="1" t="n">
        <v>113</v>
      </c>
      <c r="Q1000" s="1" t="s">
        <v>36</v>
      </c>
      <c r="R1000" s="1" t="s">
        <v>48</v>
      </c>
      <c r="S1000" s="1" t="n">
        <v>1130101</v>
      </c>
      <c r="T1000" s="1" t="s">
        <v>49</v>
      </c>
      <c r="U1000" s="17" t="n">
        <v>180</v>
      </c>
      <c r="W1000" s="1" t="n">
        <v>180</v>
      </c>
      <c r="X1000" s="1" t="s">
        <v>999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2</v>
      </c>
      <c r="B1001" s="15" t="n">
        <v>46238</v>
      </c>
      <c r="C1001" s="15" t="n">
        <v>46238</v>
      </c>
      <c r="D1001" s="1" t="n">
        <v>862</v>
      </c>
      <c r="E1001" s="1" t="s">
        <v>284</v>
      </c>
      <c r="F1001" s="1" t="n">
        <v>24</v>
      </c>
      <c r="G1001" s="1" t="s">
        <v>77</v>
      </c>
      <c r="H1001" s="1" t="n">
        <v>2110405</v>
      </c>
      <c r="I1001" s="1" t="s">
        <v>41</v>
      </c>
      <c r="J1001" s="1" t="n">
        <v>1498421</v>
      </c>
      <c r="L1001" s="1" t="n">
        <v>202608</v>
      </c>
      <c r="M1001" s="1" t="s">
        <v>83</v>
      </c>
      <c r="N1001" s="1" t="s">
        <v>35</v>
      </c>
      <c r="P1001" s="1" t="n">
        <v>101</v>
      </c>
      <c r="Q1001" s="1" t="s">
        <v>42</v>
      </c>
      <c r="R1001" s="1" t="s">
        <v>56</v>
      </c>
      <c r="S1001" s="1" t="n">
        <v>4210233</v>
      </c>
      <c r="T1001" s="1" t="s">
        <v>186</v>
      </c>
      <c r="U1001" s="17" t="n">
        <v>270.9</v>
      </c>
      <c r="W1001" s="1" t="n">
        <v>270.9</v>
      </c>
      <c r="X1001" s="1" t="s">
        <v>1000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2</v>
      </c>
      <c r="B1002" s="15" t="n">
        <v>46238</v>
      </c>
      <c r="C1002" s="15" t="n">
        <v>46238</v>
      </c>
      <c r="D1002" s="1" t="n">
        <v>48</v>
      </c>
      <c r="E1002" s="1" t="s">
        <v>132</v>
      </c>
      <c r="F1002" s="1" t="n">
        <v>34</v>
      </c>
      <c r="G1002" s="1" t="s">
        <v>97</v>
      </c>
      <c r="H1002" s="1" t="n">
        <v>2110101</v>
      </c>
      <c r="I1002" s="1" t="s">
        <v>33</v>
      </c>
      <c r="J1002" s="1" t="n">
        <v>1500211</v>
      </c>
      <c r="L1002" s="1" t="n">
        <v>2585</v>
      </c>
      <c r="M1002" s="1" t="s">
        <v>83</v>
      </c>
      <c r="N1002" s="1" t="s">
        <v>54</v>
      </c>
      <c r="P1002" s="1" t="n">
        <v>113</v>
      </c>
      <c r="Q1002" s="1" t="s">
        <v>36</v>
      </c>
      <c r="R1002" s="1" t="s">
        <v>48</v>
      </c>
      <c r="S1002" s="1" t="n">
        <v>1130101</v>
      </c>
      <c r="T1002" s="1" t="s">
        <v>49</v>
      </c>
      <c r="U1002" s="17" t="n">
        <v>1910</v>
      </c>
      <c r="W1002" s="1" t="n">
        <v>1910</v>
      </c>
      <c r="X1002" s="1" t="s">
        <v>1001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2</v>
      </c>
      <c r="B1003" s="15" t="n">
        <v>46238</v>
      </c>
      <c r="C1003" s="15" t="n">
        <v>46238</v>
      </c>
      <c r="D1003" s="1" t="n">
        <v>1037</v>
      </c>
      <c r="E1003" s="1" t="s">
        <v>139</v>
      </c>
      <c r="F1003" s="1" t="n">
        <v>34</v>
      </c>
      <c r="G1003" s="1" t="s">
        <v>97</v>
      </c>
      <c r="H1003" s="1" t="n">
        <v>2110405</v>
      </c>
      <c r="I1003" s="1" t="s">
        <v>41</v>
      </c>
      <c r="J1003" s="1" t="n">
        <v>1500239</v>
      </c>
      <c r="L1003" s="1" t="n">
        <v>203659</v>
      </c>
      <c r="M1003" s="1" t="s">
        <v>83</v>
      </c>
      <c r="N1003" s="1" t="s">
        <v>35</v>
      </c>
      <c r="P1003" s="1" t="n">
        <v>113</v>
      </c>
      <c r="Q1003" s="1" t="s">
        <v>36</v>
      </c>
      <c r="R1003" s="1" t="s">
        <v>48</v>
      </c>
      <c r="S1003" s="1" t="n">
        <v>1130101</v>
      </c>
      <c r="T1003" s="1" t="s">
        <v>49</v>
      </c>
      <c r="U1003" s="17" t="n">
        <v>380</v>
      </c>
      <c r="W1003" s="1" t="n">
        <v>380</v>
      </c>
      <c r="X1003" s="1" t="s">
        <v>1002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2</v>
      </c>
      <c r="B1004" s="15" t="n">
        <v>46238</v>
      </c>
      <c r="C1004" s="15" t="n">
        <v>46238</v>
      </c>
      <c r="D1004" s="1" t="n">
        <v>1961</v>
      </c>
      <c r="E1004" s="1" t="s">
        <v>135</v>
      </c>
      <c r="F1004" s="1" t="n">
        <v>34</v>
      </c>
      <c r="G1004" s="1" t="s">
        <v>97</v>
      </c>
      <c r="H1004" s="1" t="n">
        <v>2110405</v>
      </c>
      <c r="I1004" s="1" t="s">
        <v>41</v>
      </c>
      <c r="J1004" s="1" t="n">
        <v>1500425</v>
      </c>
      <c r="L1004" s="1" t="n">
        <v>203688</v>
      </c>
      <c r="M1004" s="1" t="s">
        <v>83</v>
      </c>
      <c r="N1004" s="1" t="s">
        <v>35</v>
      </c>
      <c r="P1004" s="1" t="n">
        <v>101</v>
      </c>
      <c r="Q1004" s="1" t="s">
        <v>42</v>
      </c>
      <c r="R1004" s="1" t="s">
        <v>100</v>
      </c>
      <c r="S1004" s="1" t="n">
        <v>4210310</v>
      </c>
      <c r="T1004" s="1" t="s">
        <v>136</v>
      </c>
      <c r="U1004" s="17" t="n">
        <v>100</v>
      </c>
      <c r="W1004" s="1" t="n">
        <v>100</v>
      </c>
      <c r="X1004" s="1" t="s">
        <v>1003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2</v>
      </c>
      <c r="B1005" s="15" t="n">
        <v>46238</v>
      </c>
      <c r="C1005" s="15" t="n">
        <v>46238</v>
      </c>
      <c r="D1005" s="1" t="n">
        <v>48</v>
      </c>
      <c r="E1005" s="1" t="s">
        <v>132</v>
      </c>
      <c r="F1005" s="1" t="n">
        <v>34</v>
      </c>
      <c r="G1005" s="1" t="s">
        <v>97</v>
      </c>
      <c r="H1005" s="1" t="n">
        <v>2110101</v>
      </c>
      <c r="I1005" s="1" t="s">
        <v>33</v>
      </c>
      <c r="J1005" s="1" t="n">
        <v>1503895</v>
      </c>
      <c r="L1005" s="1" t="n">
        <v>408</v>
      </c>
      <c r="M1005" s="1" t="s">
        <v>83</v>
      </c>
      <c r="N1005" s="1" t="s">
        <v>317</v>
      </c>
      <c r="P1005" s="1" t="n">
        <v>101</v>
      </c>
      <c r="Q1005" s="1" t="s">
        <v>42</v>
      </c>
      <c r="R1005" s="1" t="s">
        <v>318</v>
      </c>
      <c r="S1005" s="1" t="n">
        <v>2110101</v>
      </c>
      <c r="T1005" s="1" t="s">
        <v>33</v>
      </c>
      <c r="U1005" s="17" t="n">
        <v>2290</v>
      </c>
      <c r="W1005" s="1" t="n">
        <v>2290</v>
      </c>
      <c r="X1005" s="1" t="s">
        <v>1004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2</v>
      </c>
      <c r="B1006" s="15" t="n">
        <v>46238</v>
      </c>
      <c r="C1006" s="15" t="n">
        <v>46238</v>
      </c>
      <c r="D1006" s="1" t="n">
        <v>515</v>
      </c>
      <c r="E1006" s="1" t="s">
        <v>143</v>
      </c>
      <c r="F1006" s="1" t="n">
        <v>34</v>
      </c>
      <c r="G1006" s="1" t="s">
        <v>97</v>
      </c>
      <c r="H1006" s="1" t="n">
        <v>2110405</v>
      </c>
      <c r="I1006" s="1" t="s">
        <v>41</v>
      </c>
      <c r="J1006" s="1" t="n">
        <v>1504762</v>
      </c>
      <c r="L1006" s="1" t="n">
        <v>204417</v>
      </c>
      <c r="M1006" s="1" t="s">
        <v>83</v>
      </c>
      <c r="N1006" s="1" t="s">
        <v>35</v>
      </c>
      <c r="P1006" s="1" t="n">
        <v>102</v>
      </c>
      <c r="Q1006" s="1" t="s">
        <v>282</v>
      </c>
      <c r="R1006" s="1" t="s">
        <v>144</v>
      </c>
      <c r="S1006" s="1" t="n">
        <v>4210504</v>
      </c>
      <c r="T1006" s="1" t="s">
        <v>149</v>
      </c>
      <c r="U1006" s="17" t="n">
        <v>3.92</v>
      </c>
      <c r="W1006" s="1" t="n">
        <v>3.92</v>
      </c>
      <c r="X1006" s="1" t="s">
        <v>1005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2</v>
      </c>
      <c r="B1007" s="15" t="n">
        <v>46238</v>
      </c>
      <c r="C1007" s="15" t="n">
        <v>46238</v>
      </c>
      <c r="D1007" s="1" t="n">
        <v>515</v>
      </c>
      <c r="E1007" s="1" t="s">
        <v>143</v>
      </c>
      <c r="F1007" s="1" t="n">
        <v>34</v>
      </c>
      <c r="G1007" s="1" t="s">
        <v>97</v>
      </c>
      <c r="H1007" s="1" t="n">
        <v>2110405</v>
      </c>
      <c r="I1007" s="1" t="s">
        <v>41</v>
      </c>
      <c r="J1007" s="1" t="n">
        <v>1504763</v>
      </c>
      <c r="L1007" s="1" t="n">
        <v>204422</v>
      </c>
      <c r="M1007" s="1" t="s">
        <v>83</v>
      </c>
      <c r="N1007" s="1" t="s">
        <v>35</v>
      </c>
      <c r="P1007" s="1" t="n">
        <v>102</v>
      </c>
      <c r="Q1007" s="1" t="s">
        <v>282</v>
      </c>
      <c r="R1007" s="1" t="s">
        <v>144</v>
      </c>
      <c r="S1007" s="1" t="n">
        <v>4210504</v>
      </c>
      <c r="T1007" s="1" t="s">
        <v>149</v>
      </c>
      <c r="U1007" s="17" t="n">
        <v>76.71</v>
      </c>
      <c r="W1007" s="1" t="n">
        <v>76.71</v>
      </c>
      <c r="X1007" s="1" t="s">
        <v>1006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2</v>
      </c>
      <c r="B1008" s="15" t="n">
        <v>46238</v>
      </c>
      <c r="C1008" s="15" t="n">
        <v>46238</v>
      </c>
      <c r="D1008" s="1" t="n">
        <v>515</v>
      </c>
      <c r="E1008" s="1" t="s">
        <v>143</v>
      </c>
      <c r="F1008" s="1" t="n">
        <v>34</v>
      </c>
      <c r="G1008" s="1" t="s">
        <v>97</v>
      </c>
      <c r="H1008" s="1" t="n">
        <v>2110405</v>
      </c>
      <c r="I1008" s="1" t="s">
        <v>41</v>
      </c>
      <c r="J1008" s="1" t="n">
        <v>1504785</v>
      </c>
      <c r="L1008" s="1" t="n">
        <v>204428</v>
      </c>
      <c r="M1008" s="1" t="s">
        <v>83</v>
      </c>
      <c r="N1008" s="1" t="s">
        <v>35</v>
      </c>
      <c r="P1008" s="1" t="n">
        <v>102</v>
      </c>
      <c r="Q1008" s="1" t="s">
        <v>282</v>
      </c>
      <c r="R1008" s="1" t="s">
        <v>144</v>
      </c>
      <c r="S1008" s="1" t="n">
        <v>4210505</v>
      </c>
      <c r="T1008" s="1" t="s">
        <v>145</v>
      </c>
      <c r="U1008" s="17" t="n">
        <v>107.27</v>
      </c>
      <c r="W1008" s="1" t="n">
        <v>107.27</v>
      </c>
      <c r="X1008" s="1" t="s">
        <v>1007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2</v>
      </c>
      <c r="B1009" s="15" t="n">
        <v>46238</v>
      </c>
      <c r="C1009" s="15" t="n">
        <v>46238</v>
      </c>
      <c r="D1009" s="1" t="n">
        <v>515</v>
      </c>
      <c r="E1009" s="1" t="s">
        <v>143</v>
      </c>
      <c r="F1009" s="1" t="n">
        <v>34</v>
      </c>
      <c r="G1009" s="1" t="s">
        <v>97</v>
      </c>
      <c r="H1009" s="1" t="n">
        <v>2110405</v>
      </c>
      <c r="I1009" s="1" t="s">
        <v>41</v>
      </c>
      <c r="J1009" s="1" t="n">
        <v>1504793</v>
      </c>
      <c r="L1009" s="1" t="n">
        <v>204432</v>
      </c>
      <c r="M1009" s="1" t="s">
        <v>83</v>
      </c>
      <c r="N1009" s="1" t="s">
        <v>35</v>
      </c>
      <c r="P1009" s="1" t="n">
        <v>102</v>
      </c>
      <c r="Q1009" s="1" t="s">
        <v>282</v>
      </c>
      <c r="R1009" s="1" t="s">
        <v>144</v>
      </c>
      <c r="S1009" s="1" t="n">
        <v>4210505</v>
      </c>
      <c r="T1009" s="1" t="s">
        <v>145</v>
      </c>
      <c r="U1009" s="17" t="n">
        <v>327.4</v>
      </c>
      <c r="W1009" s="1" t="n">
        <v>327.4</v>
      </c>
      <c r="X1009" s="1" t="s">
        <v>1008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2</v>
      </c>
      <c r="B1010" s="15" t="n">
        <v>46238</v>
      </c>
      <c r="C1010" s="15" t="n">
        <v>46238</v>
      </c>
      <c r="D1010" s="1" t="n">
        <v>515</v>
      </c>
      <c r="E1010" s="1" t="s">
        <v>143</v>
      </c>
      <c r="F1010" s="1" t="n">
        <v>34</v>
      </c>
      <c r="G1010" s="1" t="s">
        <v>97</v>
      </c>
      <c r="H1010" s="1" t="n">
        <v>2110405</v>
      </c>
      <c r="I1010" s="1" t="s">
        <v>41</v>
      </c>
      <c r="J1010" s="1" t="n">
        <v>1504794</v>
      </c>
      <c r="L1010" s="1" t="n">
        <v>204434</v>
      </c>
      <c r="M1010" s="1" t="s">
        <v>83</v>
      </c>
      <c r="N1010" s="1" t="s">
        <v>35</v>
      </c>
      <c r="P1010" s="1" t="n">
        <v>102</v>
      </c>
      <c r="Q1010" s="1" t="s">
        <v>282</v>
      </c>
      <c r="R1010" s="1" t="s">
        <v>144</v>
      </c>
      <c r="S1010" s="1" t="n">
        <v>4210505</v>
      </c>
      <c r="T1010" s="1" t="s">
        <v>145</v>
      </c>
      <c r="U1010" s="17" t="n">
        <v>421.04</v>
      </c>
      <c r="W1010" s="1" t="n">
        <v>421.04</v>
      </c>
      <c r="X1010" s="1" t="s">
        <v>1009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2</v>
      </c>
      <c r="B1011" s="15" t="n">
        <v>46238</v>
      </c>
      <c r="C1011" s="15" t="n">
        <v>46238</v>
      </c>
      <c r="D1011" s="1" t="n">
        <v>515</v>
      </c>
      <c r="E1011" s="1" t="s">
        <v>143</v>
      </c>
      <c r="F1011" s="1" t="n">
        <v>34</v>
      </c>
      <c r="G1011" s="1" t="s">
        <v>97</v>
      </c>
      <c r="H1011" s="1" t="n">
        <v>2110405</v>
      </c>
      <c r="I1011" s="1" t="s">
        <v>41</v>
      </c>
      <c r="J1011" s="1" t="n">
        <v>1504797</v>
      </c>
      <c r="L1011" s="1" t="n">
        <v>204435</v>
      </c>
      <c r="M1011" s="1" t="s">
        <v>83</v>
      </c>
      <c r="N1011" s="1" t="s">
        <v>35</v>
      </c>
      <c r="P1011" s="1" t="n">
        <v>102</v>
      </c>
      <c r="Q1011" s="1" t="s">
        <v>282</v>
      </c>
      <c r="R1011" s="1" t="s">
        <v>144</v>
      </c>
      <c r="S1011" s="1" t="n">
        <v>4210504</v>
      </c>
      <c r="T1011" s="1" t="s">
        <v>149</v>
      </c>
      <c r="U1011" s="17" t="n">
        <v>527.9</v>
      </c>
      <c r="W1011" s="1" t="n">
        <v>527.9</v>
      </c>
      <c r="X1011" s="1" t="s">
        <v>1010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2</v>
      </c>
      <c r="B1012" s="15" t="n">
        <v>46205</v>
      </c>
      <c r="C1012" s="15" t="n">
        <v>46239</v>
      </c>
      <c r="D1012" s="1" t="n">
        <v>1217</v>
      </c>
      <c r="E1012" s="1" t="s">
        <v>690</v>
      </c>
      <c r="F1012" s="1" t="n">
        <v>24</v>
      </c>
      <c r="G1012" s="1" t="s">
        <v>77</v>
      </c>
      <c r="H1012" s="1" t="n">
        <v>2110101</v>
      </c>
      <c r="I1012" s="1" t="s">
        <v>33</v>
      </c>
      <c r="J1012" s="1" t="n">
        <v>1339965</v>
      </c>
      <c r="L1012" s="1" t="n">
        <v>4467</v>
      </c>
      <c r="M1012" s="1" t="s">
        <v>71</v>
      </c>
      <c r="N1012" s="1" t="s">
        <v>54</v>
      </c>
      <c r="P1012" s="1" t="n">
        <v>113</v>
      </c>
      <c r="Q1012" s="1" t="s">
        <v>36</v>
      </c>
      <c r="R1012" s="1" t="s">
        <v>48</v>
      </c>
      <c r="S1012" s="1" t="n">
        <v>1130101</v>
      </c>
      <c r="T1012" s="1" t="s">
        <v>49</v>
      </c>
      <c r="U1012" s="17" t="n">
        <v>819.53</v>
      </c>
      <c r="W1012" s="1" t="n">
        <v>0</v>
      </c>
      <c r="X1012" s="1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2</v>
      </c>
      <c r="B1013" s="15" t="n">
        <v>46209</v>
      </c>
      <c r="C1013" s="15" t="n">
        <v>46239</v>
      </c>
      <c r="D1013" s="1" t="n">
        <v>1768</v>
      </c>
      <c r="E1013" s="1" t="s">
        <v>345</v>
      </c>
      <c r="F1013" s="1" t="n">
        <v>34</v>
      </c>
      <c r="G1013" s="1" t="s">
        <v>97</v>
      </c>
      <c r="H1013" s="1" t="n">
        <v>1110202</v>
      </c>
      <c r="I1013" s="1" t="s">
        <v>346</v>
      </c>
      <c r="J1013" s="1" t="n">
        <v>628286</v>
      </c>
      <c r="L1013" s="1" t="n">
        <v>81552</v>
      </c>
      <c r="M1013" s="1" t="s">
        <v>47</v>
      </c>
      <c r="N1013" s="1" t="s">
        <v>35</v>
      </c>
      <c r="P1013" s="1" t="n">
        <v>102</v>
      </c>
      <c r="Q1013" s="1" t="s">
        <v>282</v>
      </c>
      <c r="R1013" s="1" t="s">
        <v>56</v>
      </c>
      <c r="S1013" s="1" t="n">
        <v>4210202</v>
      </c>
      <c r="T1013" s="1" t="s">
        <v>347</v>
      </c>
      <c r="U1013" s="17" t="n">
        <v>2431.5</v>
      </c>
      <c r="W1013" s="1" t="n">
        <v>0</v>
      </c>
      <c r="X1013" s="1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2</v>
      </c>
      <c r="B1014" s="15" t="n">
        <v>46216</v>
      </c>
      <c r="C1014" s="15" t="n">
        <v>46239</v>
      </c>
      <c r="D1014" s="1" t="n">
        <v>10012</v>
      </c>
      <c r="E1014" s="1" t="s">
        <v>160</v>
      </c>
      <c r="F1014" s="1" t="n">
        <v>24</v>
      </c>
      <c r="G1014" s="1" t="s">
        <v>77</v>
      </c>
      <c r="H1014" s="1" t="n">
        <v>2110101</v>
      </c>
      <c r="I1014" s="1" t="s">
        <v>33</v>
      </c>
      <c r="J1014" s="1" t="n">
        <v>1393698</v>
      </c>
      <c r="L1014" s="1" t="n">
        <v>1962669</v>
      </c>
      <c r="M1014" s="1" t="s">
        <v>74</v>
      </c>
      <c r="N1014" s="1" t="s">
        <v>54</v>
      </c>
      <c r="P1014" s="1" t="n">
        <v>113</v>
      </c>
      <c r="Q1014" s="1" t="s">
        <v>36</v>
      </c>
      <c r="R1014" s="1" t="s">
        <v>48</v>
      </c>
      <c r="S1014" s="1" t="n">
        <v>1130101</v>
      </c>
      <c r="T1014" s="1" t="s">
        <v>49</v>
      </c>
      <c r="U1014" s="17" t="n">
        <v>1504.05</v>
      </c>
      <c r="W1014" s="1" t="n">
        <v>0</v>
      </c>
      <c r="X1014" s="1" t="s">
        <v>928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2</v>
      </c>
      <c r="B1015" s="15" t="n">
        <v>46218</v>
      </c>
      <c r="C1015" s="15" t="n">
        <v>46239</v>
      </c>
      <c r="D1015" s="1" t="n">
        <v>1136</v>
      </c>
      <c r="E1015" s="1" t="s">
        <v>1011</v>
      </c>
      <c r="F1015" s="1" t="n">
        <v>24</v>
      </c>
      <c r="G1015" s="1" t="s">
        <v>77</v>
      </c>
      <c r="H1015" s="1" t="n">
        <v>1110203</v>
      </c>
      <c r="I1015" s="1" t="s">
        <v>108</v>
      </c>
      <c r="J1015" s="1" t="n">
        <v>1401333</v>
      </c>
      <c r="L1015" s="1" t="n">
        <v>188482</v>
      </c>
      <c r="M1015" s="1" t="s">
        <v>83</v>
      </c>
      <c r="N1015" s="1" t="s">
        <v>35</v>
      </c>
      <c r="P1015" s="1" t="n">
        <v>113</v>
      </c>
      <c r="Q1015" s="1" t="s">
        <v>36</v>
      </c>
      <c r="R1015" s="1" t="s">
        <v>48</v>
      </c>
      <c r="S1015" s="1" t="n">
        <v>1130101</v>
      </c>
      <c r="T1015" s="1" t="s">
        <v>49</v>
      </c>
      <c r="U1015" s="17" t="n">
        <v>665.28</v>
      </c>
      <c r="W1015" s="1" t="n">
        <v>0</v>
      </c>
      <c r="X1015" s="1" t="s">
        <v>1012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2</v>
      </c>
      <c r="B1016" s="15" t="n">
        <v>46218</v>
      </c>
      <c r="C1016" s="15" t="n">
        <v>46239</v>
      </c>
      <c r="D1016" s="1" t="n">
        <v>10010</v>
      </c>
      <c r="E1016" s="1" t="s">
        <v>728</v>
      </c>
      <c r="F1016" s="1" t="n">
        <v>24</v>
      </c>
      <c r="G1016" s="1" t="s">
        <v>77</v>
      </c>
      <c r="H1016" s="1" t="n">
        <v>1110203</v>
      </c>
      <c r="I1016" s="1" t="s">
        <v>108</v>
      </c>
      <c r="J1016" s="1" t="n">
        <v>1401340</v>
      </c>
      <c r="L1016" s="1" t="n">
        <v>188485</v>
      </c>
      <c r="M1016" s="1" t="s">
        <v>83</v>
      </c>
      <c r="N1016" s="1" t="s">
        <v>35</v>
      </c>
      <c r="P1016" s="1" t="n">
        <v>113</v>
      </c>
      <c r="Q1016" s="1" t="s">
        <v>36</v>
      </c>
      <c r="R1016" s="1" t="s">
        <v>48</v>
      </c>
      <c r="S1016" s="1" t="n">
        <v>1130101</v>
      </c>
      <c r="T1016" s="1" t="s">
        <v>49</v>
      </c>
      <c r="U1016" s="17" t="n">
        <v>306.48</v>
      </c>
      <c r="W1016" s="1" t="n">
        <v>0</v>
      </c>
      <c r="X1016" s="1" t="s">
        <v>1013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" t="n">
        <v>2</v>
      </c>
      <c r="B1017" s="15" t="n">
        <v>46218</v>
      </c>
      <c r="C1017" s="15" t="n">
        <v>46239</v>
      </c>
      <c r="D1017" s="1" t="n">
        <v>1608</v>
      </c>
      <c r="E1017" s="1" t="s">
        <v>201</v>
      </c>
      <c r="F1017" s="1" t="n">
        <v>24</v>
      </c>
      <c r="G1017" s="1" t="s">
        <v>77</v>
      </c>
      <c r="H1017" s="1" t="n">
        <v>1110203</v>
      </c>
      <c r="I1017" s="1" t="s">
        <v>108</v>
      </c>
      <c r="J1017" s="1" t="n">
        <v>1401884</v>
      </c>
      <c r="L1017" s="1" t="n">
        <v>188607</v>
      </c>
      <c r="M1017" s="1" t="s">
        <v>83</v>
      </c>
      <c r="N1017" s="1" t="s">
        <v>35</v>
      </c>
      <c r="P1017" s="1" t="n">
        <v>113</v>
      </c>
      <c r="Q1017" s="1" t="s">
        <v>36</v>
      </c>
      <c r="R1017" s="1" t="s">
        <v>48</v>
      </c>
      <c r="S1017" s="1" t="n">
        <v>1130101</v>
      </c>
      <c r="T1017" s="1" t="s">
        <v>49</v>
      </c>
      <c r="U1017" s="17" t="n">
        <v>1207.28</v>
      </c>
      <c r="W1017" s="1" t="n">
        <v>0</v>
      </c>
      <c r="X1017" s="1" t="s">
        <v>929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2</v>
      </c>
      <c r="B1018" s="15" t="n">
        <v>46218</v>
      </c>
      <c r="C1018" s="15" t="n">
        <v>46239</v>
      </c>
      <c r="D1018" s="1" t="n">
        <v>1815</v>
      </c>
      <c r="E1018" s="1" t="s">
        <v>164</v>
      </c>
      <c r="F1018" s="1" t="n">
        <v>24</v>
      </c>
      <c r="G1018" s="1" t="s">
        <v>77</v>
      </c>
      <c r="H1018" s="1" t="n">
        <v>1110203</v>
      </c>
      <c r="I1018" s="1" t="s">
        <v>108</v>
      </c>
      <c r="J1018" s="1" t="n">
        <v>1403062</v>
      </c>
      <c r="L1018" s="1" t="n">
        <v>188874</v>
      </c>
      <c r="M1018" s="1" t="s">
        <v>83</v>
      </c>
      <c r="N1018" s="1" t="s">
        <v>35</v>
      </c>
      <c r="P1018" s="1" t="n">
        <v>113</v>
      </c>
      <c r="Q1018" s="1" t="s">
        <v>36</v>
      </c>
      <c r="R1018" s="1" t="s">
        <v>48</v>
      </c>
      <c r="S1018" s="1" t="n">
        <v>1130101</v>
      </c>
      <c r="T1018" s="1" t="s">
        <v>49</v>
      </c>
      <c r="U1018" s="17" t="n">
        <v>2806.5</v>
      </c>
      <c r="W1018" s="1" t="n">
        <v>0</v>
      </c>
      <c r="X1018" s="1" t="s">
        <v>857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2</v>
      </c>
      <c r="B1019" s="15" t="n">
        <v>46219</v>
      </c>
      <c r="C1019" s="15" t="n">
        <v>46239</v>
      </c>
      <c r="D1019" s="1" t="n">
        <v>1616</v>
      </c>
      <c r="E1019" s="1" t="s">
        <v>80</v>
      </c>
      <c r="F1019" s="1" t="n">
        <v>24</v>
      </c>
      <c r="G1019" s="1" t="s">
        <v>77</v>
      </c>
      <c r="H1019" s="1" t="n">
        <v>1110203</v>
      </c>
      <c r="I1019" s="1" t="s">
        <v>108</v>
      </c>
      <c r="J1019" s="1" t="n">
        <v>1406257</v>
      </c>
      <c r="L1019" s="1" t="n">
        <v>189335</v>
      </c>
      <c r="M1019" s="1" t="s">
        <v>83</v>
      </c>
      <c r="N1019" s="1" t="s">
        <v>35</v>
      </c>
      <c r="P1019" s="1" t="n">
        <v>113</v>
      </c>
      <c r="Q1019" s="1" t="s">
        <v>36</v>
      </c>
      <c r="R1019" s="1" t="s">
        <v>48</v>
      </c>
      <c r="S1019" s="1" t="n">
        <v>1130101</v>
      </c>
      <c r="T1019" s="1" t="s">
        <v>49</v>
      </c>
      <c r="U1019" s="17" t="n">
        <v>607.58</v>
      </c>
      <c r="W1019" s="1" t="n">
        <v>0</v>
      </c>
      <c r="X1019" s="1" t="s">
        <v>931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2</v>
      </c>
      <c r="B1020" s="15" t="n">
        <v>46219</v>
      </c>
      <c r="C1020" s="15" t="n">
        <v>46239</v>
      </c>
      <c r="D1020" s="1" t="n">
        <v>1699</v>
      </c>
      <c r="E1020" s="1" t="s">
        <v>208</v>
      </c>
      <c r="F1020" s="1" t="n">
        <v>24</v>
      </c>
      <c r="G1020" s="1" t="s">
        <v>77</v>
      </c>
      <c r="H1020" s="1" t="n">
        <v>1110203</v>
      </c>
      <c r="I1020" s="1" t="s">
        <v>108</v>
      </c>
      <c r="J1020" s="1" t="n">
        <v>1406627</v>
      </c>
      <c r="L1020" s="1" t="n">
        <v>189424</v>
      </c>
      <c r="M1020" s="1" t="s">
        <v>83</v>
      </c>
      <c r="N1020" s="1" t="s">
        <v>35</v>
      </c>
      <c r="P1020" s="1" t="n">
        <v>113</v>
      </c>
      <c r="Q1020" s="1" t="s">
        <v>36</v>
      </c>
      <c r="R1020" s="1" t="s">
        <v>48</v>
      </c>
      <c r="S1020" s="1" t="n">
        <v>1130101</v>
      </c>
      <c r="T1020" s="1" t="s">
        <v>49</v>
      </c>
      <c r="U1020" s="17" t="n">
        <v>1021.84</v>
      </c>
      <c r="W1020" s="1" t="n">
        <v>0</v>
      </c>
      <c r="X1020" s="1" t="s">
        <v>858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2</v>
      </c>
      <c r="B1021" s="15" t="n">
        <v>46220</v>
      </c>
      <c r="C1021" s="15" t="n">
        <v>46239</v>
      </c>
      <c r="D1021" s="1" t="n">
        <v>1613</v>
      </c>
      <c r="E1021" s="1" t="s">
        <v>94</v>
      </c>
      <c r="F1021" s="1" t="n">
        <v>24</v>
      </c>
      <c r="G1021" s="1" t="s">
        <v>77</v>
      </c>
      <c r="H1021" s="1" t="n">
        <v>1110203</v>
      </c>
      <c r="I1021" s="1" t="s">
        <v>108</v>
      </c>
      <c r="J1021" s="1" t="n">
        <v>1410738</v>
      </c>
      <c r="L1021" s="1" t="n">
        <v>190120</v>
      </c>
      <c r="M1021" s="1" t="s">
        <v>83</v>
      </c>
      <c r="N1021" s="1" t="s">
        <v>35</v>
      </c>
      <c r="P1021" s="1" t="n">
        <v>113</v>
      </c>
      <c r="Q1021" s="1" t="s">
        <v>36</v>
      </c>
      <c r="R1021" s="1" t="s">
        <v>48</v>
      </c>
      <c r="S1021" s="1" t="n">
        <v>1130101</v>
      </c>
      <c r="T1021" s="1" t="s">
        <v>49</v>
      </c>
      <c r="U1021" s="17" t="n">
        <v>512.49</v>
      </c>
      <c r="W1021" s="1" t="n">
        <v>0</v>
      </c>
      <c r="X1021" s="1" t="s">
        <v>932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2</v>
      </c>
      <c r="B1022" s="15" t="n">
        <v>46225</v>
      </c>
      <c r="C1022" s="15" t="n">
        <v>46239</v>
      </c>
      <c r="D1022" s="1" t="n">
        <v>1635</v>
      </c>
      <c r="E1022" s="1" t="s">
        <v>117</v>
      </c>
      <c r="F1022" s="1" t="n">
        <v>24</v>
      </c>
      <c r="G1022" s="1" t="s">
        <v>77</v>
      </c>
      <c r="H1022" s="1" t="n">
        <v>2110405</v>
      </c>
      <c r="I1022" s="1" t="s">
        <v>41</v>
      </c>
      <c r="J1022" s="1" t="n">
        <v>1435985</v>
      </c>
      <c r="L1022" s="1" t="n">
        <v>194025</v>
      </c>
      <c r="M1022" s="1" t="s">
        <v>83</v>
      </c>
      <c r="N1022" s="1" t="s">
        <v>35</v>
      </c>
      <c r="P1022" s="1" t="n">
        <v>113</v>
      </c>
      <c r="Q1022" s="1" t="s">
        <v>36</v>
      </c>
      <c r="R1022" s="1" t="s">
        <v>48</v>
      </c>
      <c r="S1022" s="1" t="n">
        <v>1130101</v>
      </c>
      <c r="T1022" s="1" t="s">
        <v>49</v>
      </c>
      <c r="U1022" s="17" t="n">
        <v>109.52</v>
      </c>
      <c r="W1022" s="1" t="n">
        <v>0</v>
      </c>
      <c r="X1022" s="1" t="s">
        <v>1014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2</v>
      </c>
      <c r="B1023" s="15" t="n">
        <v>46225</v>
      </c>
      <c r="C1023" s="15" t="n">
        <v>46239</v>
      </c>
      <c r="D1023" s="1" t="n">
        <v>1815</v>
      </c>
      <c r="E1023" s="1" t="s">
        <v>164</v>
      </c>
      <c r="F1023" s="1" t="n">
        <v>24</v>
      </c>
      <c r="G1023" s="1" t="s">
        <v>77</v>
      </c>
      <c r="H1023" s="1" t="n">
        <v>1110203</v>
      </c>
      <c r="I1023" s="1" t="s">
        <v>108</v>
      </c>
      <c r="J1023" s="1" t="n">
        <v>1436047</v>
      </c>
      <c r="L1023" s="1" t="n">
        <v>194034</v>
      </c>
      <c r="M1023" s="1" t="s">
        <v>83</v>
      </c>
      <c r="N1023" s="1" t="s">
        <v>35</v>
      </c>
      <c r="P1023" s="1" t="n">
        <v>113</v>
      </c>
      <c r="Q1023" s="1" t="s">
        <v>36</v>
      </c>
      <c r="R1023" s="1" t="s">
        <v>48</v>
      </c>
      <c r="S1023" s="1" t="n">
        <v>1130101</v>
      </c>
      <c r="T1023" s="1" t="s">
        <v>49</v>
      </c>
      <c r="U1023" s="17" t="n">
        <v>1164.4</v>
      </c>
      <c r="W1023" s="1" t="n">
        <v>0</v>
      </c>
      <c r="X1023" s="1" t="s">
        <v>934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2</v>
      </c>
      <c r="B1024" s="15" t="n">
        <v>46227</v>
      </c>
      <c r="C1024" s="15" t="n">
        <v>46239</v>
      </c>
      <c r="D1024" s="1" t="n">
        <v>1613</v>
      </c>
      <c r="E1024" s="1" t="s">
        <v>94</v>
      </c>
      <c r="F1024" s="1" t="n">
        <v>24</v>
      </c>
      <c r="G1024" s="1" t="s">
        <v>77</v>
      </c>
      <c r="H1024" s="1" t="n">
        <v>1110203</v>
      </c>
      <c r="I1024" s="1" t="s">
        <v>108</v>
      </c>
      <c r="J1024" s="1" t="n">
        <v>1443755</v>
      </c>
      <c r="L1024" s="1" t="n">
        <v>195248</v>
      </c>
      <c r="M1024" s="1" t="s">
        <v>83</v>
      </c>
      <c r="N1024" s="1" t="s">
        <v>35</v>
      </c>
      <c r="P1024" s="1" t="n">
        <v>113</v>
      </c>
      <c r="Q1024" s="1" t="s">
        <v>36</v>
      </c>
      <c r="R1024" s="1" t="s">
        <v>48</v>
      </c>
      <c r="S1024" s="1" t="n">
        <v>1130101</v>
      </c>
      <c r="T1024" s="1" t="s">
        <v>49</v>
      </c>
      <c r="U1024" s="17" t="n">
        <v>395.62</v>
      </c>
      <c r="W1024" s="1" t="n">
        <v>0</v>
      </c>
      <c r="X1024" s="1" t="s">
        <v>1015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2</v>
      </c>
      <c r="B1025" s="15" t="n">
        <v>46233</v>
      </c>
      <c r="C1025" s="15" t="n">
        <v>46239</v>
      </c>
      <c r="D1025" s="1" t="n">
        <v>1625</v>
      </c>
      <c r="E1025" s="1" t="s">
        <v>248</v>
      </c>
      <c r="F1025" s="1" t="n">
        <v>24</v>
      </c>
      <c r="G1025" s="1" t="s">
        <v>77</v>
      </c>
      <c r="H1025" s="1" t="n">
        <v>1110203</v>
      </c>
      <c r="I1025" s="1" t="s">
        <v>108</v>
      </c>
      <c r="J1025" s="1" t="n">
        <v>1472784</v>
      </c>
      <c r="L1025" s="1" t="n">
        <v>199543</v>
      </c>
      <c r="M1025" s="1" t="s">
        <v>83</v>
      </c>
      <c r="N1025" s="1" t="s">
        <v>35</v>
      </c>
      <c r="P1025" s="1" t="n">
        <v>113</v>
      </c>
      <c r="Q1025" s="1" t="s">
        <v>36</v>
      </c>
      <c r="R1025" s="1" t="s">
        <v>48</v>
      </c>
      <c r="S1025" s="1" t="n">
        <v>1130101</v>
      </c>
      <c r="T1025" s="1" t="s">
        <v>49</v>
      </c>
      <c r="U1025" s="17" t="n">
        <v>3840</v>
      </c>
      <c r="W1025" s="1" t="n">
        <v>0</v>
      </c>
      <c r="X1025" s="1" t="s">
        <v>1016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" t="n">
        <v>2</v>
      </c>
      <c r="B1026" s="15" t="n">
        <v>46233</v>
      </c>
      <c r="C1026" s="15" t="n">
        <v>46239</v>
      </c>
      <c r="D1026" s="1" t="n">
        <v>1778</v>
      </c>
      <c r="E1026" s="1" t="s">
        <v>191</v>
      </c>
      <c r="F1026" s="1" t="n">
        <v>24</v>
      </c>
      <c r="G1026" s="1" t="s">
        <v>77</v>
      </c>
      <c r="H1026" s="1" t="n">
        <v>1110203</v>
      </c>
      <c r="I1026" s="1" t="s">
        <v>108</v>
      </c>
      <c r="J1026" s="1" t="n">
        <v>1474004</v>
      </c>
      <c r="L1026" s="1" t="n">
        <v>199826</v>
      </c>
      <c r="M1026" s="1" t="s">
        <v>83</v>
      </c>
      <c r="N1026" s="1" t="s">
        <v>35</v>
      </c>
      <c r="P1026" s="1" t="n">
        <v>113</v>
      </c>
      <c r="Q1026" s="1" t="s">
        <v>36</v>
      </c>
      <c r="R1026" s="1" t="s">
        <v>56</v>
      </c>
      <c r="S1026" s="1" t="n">
        <v>4210207</v>
      </c>
      <c r="T1026" s="1" t="s">
        <v>192</v>
      </c>
      <c r="U1026" s="17" t="n">
        <v>620.88</v>
      </c>
      <c r="W1026" s="1" t="n">
        <v>0</v>
      </c>
      <c r="X1026" s="1" t="s">
        <v>193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2</v>
      </c>
      <c r="B1027" s="15" t="n">
        <v>46234</v>
      </c>
      <c r="C1027" s="15" t="n">
        <v>46239</v>
      </c>
      <c r="D1027" s="1" t="n">
        <v>581</v>
      </c>
      <c r="E1027" s="1" t="s">
        <v>126</v>
      </c>
      <c r="F1027" s="1" t="n">
        <v>24</v>
      </c>
      <c r="G1027" s="1" t="s">
        <v>77</v>
      </c>
      <c r="H1027" s="1" t="n">
        <v>1110203</v>
      </c>
      <c r="I1027" s="1" t="s">
        <v>108</v>
      </c>
      <c r="J1027" s="1" t="n">
        <v>1477772</v>
      </c>
      <c r="L1027" s="1" t="n">
        <v>200463</v>
      </c>
      <c r="M1027" s="1" t="s">
        <v>83</v>
      </c>
      <c r="N1027" s="1" t="s">
        <v>35</v>
      </c>
      <c r="P1027" s="1" t="n">
        <v>113</v>
      </c>
      <c r="Q1027" s="1" t="s">
        <v>36</v>
      </c>
      <c r="R1027" s="1" t="s">
        <v>48</v>
      </c>
      <c r="S1027" s="1" t="n">
        <v>1130101</v>
      </c>
      <c r="T1027" s="1" t="s">
        <v>49</v>
      </c>
      <c r="U1027" s="17" t="n">
        <v>266</v>
      </c>
      <c r="W1027" s="1" t="n">
        <v>0</v>
      </c>
      <c r="X1027" s="1" t="s">
        <v>1017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2</v>
      </c>
      <c r="B1028" s="15" t="n">
        <v>46239</v>
      </c>
      <c r="C1028" s="15" t="n">
        <v>46239</v>
      </c>
      <c r="D1028" s="1" t="n">
        <v>48</v>
      </c>
      <c r="E1028" s="1" t="s">
        <v>132</v>
      </c>
      <c r="F1028" s="1" t="n">
        <v>13</v>
      </c>
      <c r="G1028" s="1" t="s">
        <v>133</v>
      </c>
      <c r="H1028" s="1" t="n">
        <v>2110101</v>
      </c>
      <c r="I1028" s="1" t="s">
        <v>33</v>
      </c>
      <c r="J1028" s="1" t="n">
        <v>1503494</v>
      </c>
      <c r="L1028" s="1" t="n">
        <v>2586</v>
      </c>
      <c r="M1028" s="1" t="s">
        <v>83</v>
      </c>
      <c r="N1028" s="1" t="s">
        <v>54</v>
      </c>
      <c r="P1028" s="1" t="n">
        <v>113</v>
      </c>
      <c r="Q1028" s="1" t="s">
        <v>36</v>
      </c>
      <c r="R1028" s="1" t="s">
        <v>48</v>
      </c>
      <c r="S1028" s="1" t="n">
        <v>1130101</v>
      </c>
      <c r="T1028" s="1" t="s">
        <v>49</v>
      </c>
      <c r="U1028" s="17" t="n">
        <v>210</v>
      </c>
      <c r="W1028" s="1" t="n">
        <v>0</v>
      </c>
      <c r="X1028" s="1" t="s">
        <v>1018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2</v>
      </c>
      <c r="B1029" s="15" t="n">
        <v>46239</v>
      </c>
      <c r="C1029" s="15" t="n">
        <v>46239</v>
      </c>
      <c r="D1029" s="1" t="n">
        <v>10096</v>
      </c>
      <c r="E1029" s="1" t="s">
        <v>552</v>
      </c>
      <c r="F1029" s="1" t="n">
        <v>13</v>
      </c>
      <c r="G1029" s="1" t="s">
        <v>133</v>
      </c>
      <c r="H1029" s="1" t="n">
        <v>2110405</v>
      </c>
      <c r="I1029" s="1" t="s">
        <v>41</v>
      </c>
      <c r="J1029" s="1" t="n">
        <v>1508129</v>
      </c>
      <c r="L1029" s="1" t="n">
        <v>204882</v>
      </c>
      <c r="M1029" s="1" t="s">
        <v>83</v>
      </c>
      <c r="N1029" s="1" t="s">
        <v>35</v>
      </c>
      <c r="P1029" s="1" t="n">
        <v>113</v>
      </c>
      <c r="Q1029" s="1" t="s">
        <v>36</v>
      </c>
      <c r="R1029" s="1" t="s">
        <v>48</v>
      </c>
      <c r="S1029" s="1" t="n">
        <v>1130101</v>
      </c>
      <c r="T1029" s="1" t="s">
        <v>49</v>
      </c>
      <c r="U1029" s="17" t="n">
        <v>200</v>
      </c>
      <c r="W1029" s="1" t="n">
        <v>200</v>
      </c>
      <c r="X1029" s="1" t="s">
        <v>1019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2</v>
      </c>
      <c r="B1030" s="15" t="n">
        <v>46239</v>
      </c>
      <c r="C1030" s="15" t="n">
        <v>46239</v>
      </c>
      <c r="D1030" s="1" t="n">
        <v>52</v>
      </c>
      <c r="E1030" s="1" t="s">
        <v>229</v>
      </c>
      <c r="F1030" s="1" t="n">
        <v>34</v>
      </c>
      <c r="G1030" s="1" t="s">
        <v>97</v>
      </c>
      <c r="H1030" s="1" t="n">
        <v>2110405</v>
      </c>
      <c r="I1030" s="1" t="s">
        <v>41</v>
      </c>
      <c r="J1030" s="1" t="n">
        <v>1508630</v>
      </c>
      <c r="L1030" s="1" t="n">
        <v>204972</v>
      </c>
      <c r="M1030" s="1" t="s">
        <v>83</v>
      </c>
      <c r="N1030" s="1" t="s">
        <v>35</v>
      </c>
      <c r="P1030" s="1" t="n">
        <v>113</v>
      </c>
      <c r="Q1030" s="1" t="s">
        <v>36</v>
      </c>
      <c r="R1030" s="1" t="s">
        <v>100</v>
      </c>
      <c r="S1030" s="1" t="n">
        <v>4210301</v>
      </c>
      <c r="T1030" s="1" t="s">
        <v>230</v>
      </c>
      <c r="U1030" s="17" t="n">
        <v>488.26</v>
      </c>
      <c r="W1030" s="1" t="n">
        <v>0</v>
      </c>
      <c r="X1030" s="1" t="s">
        <v>1020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2</v>
      </c>
      <c r="B1031" s="15" t="n">
        <v>46239</v>
      </c>
      <c r="C1031" s="15" t="n">
        <v>46239</v>
      </c>
      <c r="D1031" s="1" t="n">
        <v>52</v>
      </c>
      <c r="E1031" s="1" t="s">
        <v>229</v>
      </c>
      <c r="F1031" s="1" t="n">
        <v>7</v>
      </c>
      <c r="G1031" s="1" t="s">
        <v>232</v>
      </c>
      <c r="H1031" s="1" t="n">
        <v>2110405</v>
      </c>
      <c r="I1031" s="1" t="s">
        <v>41</v>
      </c>
      <c r="J1031" s="1" t="n">
        <v>1508664</v>
      </c>
      <c r="L1031" s="1" t="n">
        <v>205002</v>
      </c>
      <c r="M1031" s="1" t="s">
        <v>83</v>
      </c>
      <c r="N1031" s="1" t="s">
        <v>35</v>
      </c>
      <c r="P1031" s="1" t="n">
        <v>113</v>
      </c>
      <c r="Q1031" s="1" t="s">
        <v>36</v>
      </c>
      <c r="R1031" s="1" t="s">
        <v>100</v>
      </c>
      <c r="S1031" s="1" t="n">
        <v>4210301</v>
      </c>
      <c r="T1031" s="1" t="s">
        <v>230</v>
      </c>
      <c r="U1031" s="17" t="n">
        <v>487.61</v>
      </c>
      <c r="W1031" s="1" t="n">
        <v>0</v>
      </c>
      <c r="X1031" s="1" t="s">
        <v>1021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2</v>
      </c>
      <c r="B1032" s="15" t="n">
        <v>46239</v>
      </c>
      <c r="C1032" s="15" t="n">
        <v>46239</v>
      </c>
      <c r="D1032" s="1" t="n">
        <v>340</v>
      </c>
      <c r="E1032" s="1" t="s">
        <v>235</v>
      </c>
      <c r="F1032" s="1" t="n">
        <v>34</v>
      </c>
      <c r="G1032" s="1" t="s">
        <v>97</v>
      </c>
      <c r="H1032" s="1" t="n">
        <v>2110405</v>
      </c>
      <c r="I1032" s="1" t="s">
        <v>41</v>
      </c>
      <c r="J1032" s="1" t="n">
        <v>1509008</v>
      </c>
      <c r="L1032" s="1" t="n">
        <v>205103</v>
      </c>
      <c r="M1032" s="1" t="s">
        <v>83</v>
      </c>
      <c r="N1032" s="1" t="s">
        <v>35</v>
      </c>
      <c r="P1032" s="1" t="n">
        <v>113</v>
      </c>
      <c r="Q1032" s="1" t="s">
        <v>36</v>
      </c>
      <c r="R1032" s="1" t="s">
        <v>100</v>
      </c>
      <c r="S1032" s="1" t="n">
        <v>4210301</v>
      </c>
      <c r="T1032" s="1" t="s">
        <v>230</v>
      </c>
      <c r="U1032" s="17" t="n">
        <v>1400.04</v>
      </c>
      <c r="W1032" s="1" t="n">
        <v>0</v>
      </c>
      <c r="X1032" s="1" t="s">
        <v>1020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2</v>
      </c>
      <c r="B1033" s="15" t="n">
        <v>46239</v>
      </c>
      <c r="C1033" s="15" t="n">
        <v>46239</v>
      </c>
      <c r="D1033" s="1" t="n">
        <v>340</v>
      </c>
      <c r="E1033" s="1" t="s">
        <v>235</v>
      </c>
      <c r="F1033" s="1" t="n">
        <v>7</v>
      </c>
      <c r="G1033" s="1" t="s">
        <v>232</v>
      </c>
      <c r="H1033" s="1" t="n">
        <v>2110405</v>
      </c>
      <c r="I1033" s="1" t="s">
        <v>41</v>
      </c>
      <c r="J1033" s="1" t="n">
        <v>1509011</v>
      </c>
      <c r="L1033" s="1" t="n">
        <v>205104</v>
      </c>
      <c r="M1033" s="1" t="s">
        <v>83</v>
      </c>
      <c r="N1033" s="1" t="s">
        <v>35</v>
      </c>
      <c r="P1033" s="1" t="n">
        <v>113</v>
      </c>
      <c r="Q1033" s="1" t="s">
        <v>36</v>
      </c>
      <c r="R1033" s="1" t="s">
        <v>100</v>
      </c>
      <c r="S1033" s="1" t="n">
        <v>4210301</v>
      </c>
      <c r="T1033" s="1" t="s">
        <v>230</v>
      </c>
      <c r="U1033" s="17" t="n">
        <v>92</v>
      </c>
      <c r="W1033" s="1" t="n">
        <v>0</v>
      </c>
      <c r="X1033" s="1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2</v>
      </c>
      <c r="B1034" s="15" t="n">
        <v>46239</v>
      </c>
      <c r="C1034" s="15" t="n">
        <v>46239</v>
      </c>
      <c r="D1034" s="1" t="n">
        <v>23</v>
      </c>
      <c r="E1034" s="1" t="s">
        <v>236</v>
      </c>
      <c r="F1034" s="1" t="n">
        <v>7</v>
      </c>
      <c r="G1034" s="1" t="s">
        <v>232</v>
      </c>
      <c r="H1034" s="1" t="n">
        <v>2110405</v>
      </c>
      <c r="I1034" s="1" t="s">
        <v>41</v>
      </c>
      <c r="J1034" s="1" t="n">
        <v>1509023</v>
      </c>
      <c r="L1034" s="1" t="n">
        <v>205107</v>
      </c>
      <c r="M1034" s="1" t="s">
        <v>83</v>
      </c>
      <c r="N1034" s="1" t="s">
        <v>35</v>
      </c>
      <c r="P1034" s="1" t="n">
        <v>113</v>
      </c>
      <c r="Q1034" s="1" t="s">
        <v>36</v>
      </c>
      <c r="R1034" s="1" t="s">
        <v>100</v>
      </c>
      <c r="S1034" s="1" t="n">
        <v>4210301</v>
      </c>
      <c r="T1034" s="1" t="s">
        <v>230</v>
      </c>
      <c r="U1034" s="17" t="n">
        <v>675.8</v>
      </c>
      <c r="W1034" s="1" t="n">
        <v>0</v>
      </c>
      <c r="X1034" s="1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2</v>
      </c>
      <c r="B1035" s="15" t="n">
        <v>46239</v>
      </c>
      <c r="C1035" s="15" t="n">
        <v>46239</v>
      </c>
      <c r="D1035" s="1" t="n">
        <v>73</v>
      </c>
      <c r="E1035" s="1" t="s">
        <v>99</v>
      </c>
      <c r="F1035" s="1" t="n">
        <v>34</v>
      </c>
      <c r="G1035" s="1" t="s">
        <v>97</v>
      </c>
      <c r="H1035" s="1" t="n">
        <v>2110405</v>
      </c>
      <c r="I1035" s="1" t="s">
        <v>41</v>
      </c>
      <c r="J1035" s="1" t="n">
        <v>1509064</v>
      </c>
      <c r="L1035" s="1" t="n">
        <v>205112</v>
      </c>
      <c r="M1035" s="1" t="s">
        <v>83</v>
      </c>
      <c r="N1035" s="1" t="s">
        <v>35</v>
      </c>
      <c r="P1035" s="1" t="n">
        <v>113</v>
      </c>
      <c r="Q1035" s="1" t="s">
        <v>36</v>
      </c>
      <c r="R1035" s="1" t="s">
        <v>100</v>
      </c>
      <c r="S1035" s="1" t="n">
        <v>4210301</v>
      </c>
      <c r="T1035" s="1" t="s">
        <v>230</v>
      </c>
      <c r="U1035" s="17" t="n">
        <v>1499.7</v>
      </c>
      <c r="W1035" s="1" t="n">
        <v>0</v>
      </c>
      <c r="X1035" s="1" t="s">
        <v>1020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2</v>
      </c>
      <c r="B1036" s="15" t="n">
        <v>46239</v>
      </c>
      <c r="C1036" s="15" t="n">
        <v>46239</v>
      </c>
      <c r="D1036" s="1" t="n">
        <v>73</v>
      </c>
      <c r="E1036" s="1" t="s">
        <v>99</v>
      </c>
      <c r="F1036" s="1" t="n">
        <v>7</v>
      </c>
      <c r="G1036" s="1" t="s">
        <v>232</v>
      </c>
      <c r="H1036" s="1" t="n">
        <v>2110405</v>
      </c>
      <c r="I1036" s="1" t="s">
        <v>41</v>
      </c>
      <c r="J1036" s="1" t="n">
        <v>1509070</v>
      </c>
      <c r="L1036" s="1" t="n">
        <v>205117</v>
      </c>
      <c r="M1036" s="1" t="s">
        <v>83</v>
      </c>
      <c r="N1036" s="1" t="s">
        <v>35</v>
      </c>
      <c r="P1036" s="1" t="n">
        <v>113</v>
      </c>
      <c r="Q1036" s="1" t="s">
        <v>36</v>
      </c>
      <c r="R1036" s="1" t="s">
        <v>100</v>
      </c>
      <c r="S1036" s="1" t="n">
        <v>4210301</v>
      </c>
      <c r="T1036" s="1" t="s">
        <v>230</v>
      </c>
      <c r="U1036" s="17" t="n">
        <v>71.69</v>
      </c>
      <c r="W1036" s="1" t="n">
        <v>0</v>
      </c>
      <c r="X1036" s="1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2</v>
      </c>
      <c r="B1037" s="15" t="n">
        <v>46239</v>
      </c>
      <c r="C1037" s="15" t="n">
        <v>46239</v>
      </c>
      <c r="D1037" s="1" t="n">
        <v>12</v>
      </c>
      <c r="E1037" s="1" t="s">
        <v>40</v>
      </c>
      <c r="F1037" s="1" t="n">
        <v>34</v>
      </c>
      <c r="G1037" s="1" t="s">
        <v>97</v>
      </c>
      <c r="H1037" s="1" t="n">
        <v>2110405</v>
      </c>
      <c r="I1037" s="1" t="s">
        <v>41</v>
      </c>
      <c r="J1037" s="1" t="n">
        <v>1509085</v>
      </c>
      <c r="L1037" s="1" t="n">
        <v>205118</v>
      </c>
      <c r="M1037" s="1" t="s">
        <v>83</v>
      </c>
      <c r="N1037" s="1" t="s">
        <v>35</v>
      </c>
      <c r="P1037" s="1" t="n">
        <v>113</v>
      </c>
      <c r="Q1037" s="1" t="s">
        <v>36</v>
      </c>
      <c r="R1037" s="1" t="s">
        <v>100</v>
      </c>
      <c r="S1037" s="1" t="n">
        <v>4210301</v>
      </c>
      <c r="T1037" s="1" t="s">
        <v>230</v>
      </c>
      <c r="U1037" s="17" t="n">
        <v>328.62</v>
      </c>
      <c r="W1037" s="1" t="n">
        <v>0</v>
      </c>
      <c r="X1037" s="1" t="s">
        <v>1020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2</v>
      </c>
      <c r="B1038" s="15" t="n">
        <v>46239</v>
      </c>
      <c r="C1038" s="15" t="n">
        <v>46239</v>
      </c>
      <c r="D1038" s="1" t="n">
        <v>12</v>
      </c>
      <c r="E1038" s="1" t="s">
        <v>40</v>
      </c>
      <c r="F1038" s="1" t="n">
        <v>7</v>
      </c>
      <c r="G1038" s="1" t="s">
        <v>232</v>
      </c>
      <c r="H1038" s="1" t="n">
        <v>2110405</v>
      </c>
      <c r="I1038" s="1" t="s">
        <v>41</v>
      </c>
      <c r="J1038" s="1" t="n">
        <v>1509091</v>
      </c>
      <c r="L1038" s="1" t="n">
        <v>205120</v>
      </c>
      <c r="M1038" s="1" t="s">
        <v>83</v>
      </c>
      <c r="N1038" s="1" t="s">
        <v>35</v>
      </c>
      <c r="P1038" s="1" t="n">
        <v>113</v>
      </c>
      <c r="Q1038" s="1" t="s">
        <v>36</v>
      </c>
      <c r="R1038" s="1" t="s">
        <v>100</v>
      </c>
      <c r="S1038" s="1" t="n">
        <v>4210301</v>
      </c>
      <c r="T1038" s="1" t="s">
        <v>230</v>
      </c>
      <c r="U1038" s="17" t="n">
        <v>401.97</v>
      </c>
      <c r="W1038" s="1" t="n">
        <v>0</v>
      </c>
      <c r="X1038" s="1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2</v>
      </c>
      <c r="B1039" s="15" t="n">
        <v>46239</v>
      </c>
      <c r="C1039" s="15" t="n">
        <v>46239</v>
      </c>
      <c r="D1039" s="1" t="n">
        <v>22</v>
      </c>
      <c r="E1039" s="1" t="s">
        <v>238</v>
      </c>
      <c r="F1039" s="1" t="n">
        <v>34</v>
      </c>
      <c r="G1039" s="1" t="s">
        <v>97</v>
      </c>
      <c r="H1039" s="1" t="n">
        <v>2110405</v>
      </c>
      <c r="I1039" s="1" t="s">
        <v>41</v>
      </c>
      <c r="J1039" s="1" t="n">
        <v>1509107</v>
      </c>
      <c r="L1039" s="1" t="n">
        <v>205123</v>
      </c>
      <c r="M1039" s="1" t="s">
        <v>83</v>
      </c>
      <c r="N1039" s="1" t="s">
        <v>35</v>
      </c>
      <c r="P1039" s="1" t="n">
        <v>113</v>
      </c>
      <c r="Q1039" s="1" t="s">
        <v>36</v>
      </c>
      <c r="R1039" s="1" t="s">
        <v>100</v>
      </c>
      <c r="S1039" s="1" t="n">
        <v>4210301</v>
      </c>
      <c r="T1039" s="1" t="s">
        <v>230</v>
      </c>
      <c r="U1039" s="17" t="n">
        <v>1681.03</v>
      </c>
      <c r="W1039" s="1" t="n">
        <v>0</v>
      </c>
      <c r="X1039" s="1" t="s">
        <v>1020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2</v>
      </c>
      <c r="B1040" s="15" t="n">
        <v>46239</v>
      </c>
      <c r="C1040" s="15" t="n">
        <v>46239</v>
      </c>
      <c r="D1040" s="1" t="n">
        <v>1979</v>
      </c>
      <c r="E1040" s="1" t="s">
        <v>239</v>
      </c>
      <c r="F1040" s="1" t="n">
        <v>34</v>
      </c>
      <c r="G1040" s="1" t="s">
        <v>97</v>
      </c>
      <c r="H1040" s="1" t="n">
        <v>2110405</v>
      </c>
      <c r="I1040" s="1" t="s">
        <v>41</v>
      </c>
      <c r="J1040" s="1" t="n">
        <v>1509109</v>
      </c>
      <c r="L1040" s="1" t="n">
        <v>205126</v>
      </c>
      <c r="M1040" s="1" t="s">
        <v>83</v>
      </c>
      <c r="N1040" s="1" t="s">
        <v>35</v>
      </c>
      <c r="P1040" s="1" t="n">
        <v>113</v>
      </c>
      <c r="Q1040" s="1" t="s">
        <v>36</v>
      </c>
      <c r="R1040" s="1" t="s">
        <v>100</v>
      </c>
      <c r="S1040" s="1" t="n">
        <v>4210301</v>
      </c>
      <c r="T1040" s="1" t="s">
        <v>230</v>
      </c>
      <c r="U1040" s="17" t="n">
        <v>1021.2</v>
      </c>
      <c r="W1040" s="1" t="n">
        <v>0</v>
      </c>
      <c r="X1040" s="1" t="s">
        <v>1020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2</v>
      </c>
      <c r="B1041" s="15" t="n">
        <v>46239</v>
      </c>
      <c r="C1041" s="15" t="n">
        <v>46239</v>
      </c>
      <c r="D1041" s="1" t="n">
        <v>1979</v>
      </c>
      <c r="E1041" s="1" t="s">
        <v>239</v>
      </c>
      <c r="F1041" s="1" t="n">
        <v>7</v>
      </c>
      <c r="G1041" s="1" t="s">
        <v>232</v>
      </c>
      <c r="H1041" s="1" t="n">
        <v>2110405</v>
      </c>
      <c r="I1041" s="1" t="s">
        <v>41</v>
      </c>
      <c r="J1041" s="1" t="n">
        <v>1509112</v>
      </c>
      <c r="L1041" s="1" t="n">
        <v>205129</v>
      </c>
      <c r="M1041" s="1" t="s">
        <v>83</v>
      </c>
      <c r="N1041" s="1" t="s">
        <v>35</v>
      </c>
      <c r="P1041" s="1" t="n">
        <v>113</v>
      </c>
      <c r="Q1041" s="1" t="s">
        <v>36</v>
      </c>
      <c r="R1041" s="1" t="s">
        <v>100</v>
      </c>
      <c r="S1041" s="1" t="n">
        <v>4210301</v>
      </c>
      <c r="T1041" s="1" t="s">
        <v>230</v>
      </c>
      <c r="U1041" s="17" t="n">
        <v>214.98</v>
      </c>
      <c r="W1041" s="1" t="n">
        <v>0</v>
      </c>
      <c r="X1041" s="1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2</v>
      </c>
      <c r="B1042" s="15" t="n">
        <v>46239</v>
      </c>
      <c r="C1042" s="15" t="n">
        <v>46239</v>
      </c>
      <c r="D1042" s="1" t="n">
        <v>21</v>
      </c>
      <c r="E1042" s="1" t="s">
        <v>103</v>
      </c>
      <c r="F1042" s="1" t="n">
        <v>34</v>
      </c>
      <c r="G1042" s="1" t="s">
        <v>97</v>
      </c>
      <c r="H1042" s="1" t="n">
        <v>2110405</v>
      </c>
      <c r="I1042" s="1" t="s">
        <v>41</v>
      </c>
      <c r="J1042" s="1" t="n">
        <v>1509119</v>
      </c>
      <c r="L1042" s="1" t="n">
        <v>205132</v>
      </c>
      <c r="M1042" s="1" t="s">
        <v>83</v>
      </c>
      <c r="N1042" s="1" t="s">
        <v>35</v>
      </c>
      <c r="P1042" s="1" t="n">
        <v>113</v>
      </c>
      <c r="Q1042" s="1" t="s">
        <v>36</v>
      </c>
      <c r="R1042" s="1" t="s">
        <v>100</v>
      </c>
      <c r="S1042" s="1" t="n">
        <v>4210301</v>
      </c>
      <c r="T1042" s="1" t="s">
        <v>230</v>
      </c>
      <c r="U1042" s="17" t="n">
        <v>442.76</v>
      </c>
      <c r="W1042" s="1" t="n">
        <v>0</v>
      </c>
      <c r="X1042" s="1" t="s">
        <v>1020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2</v>
      </c>
      <c r="B1043" s="15" t="n">
        <v>46239</v>
      </c>
      <c r="C1043" s="15" t="n">
        <v>46239</v>
      </c>
      <c r="D1043" s="1" t="n">
        <v>21</v>
      </c>
      <c r="E1043" s="1" t="s">
        <v>103</v>
      </c>
      <c r="F1043" s="1" t="n">
        <v>7</v>
      </c>
      <c r="G1043" s="1" t="s">
        <v>232</v>
      </c>
      <c r="H1043" s="1" t="n">
        <v>2110405</v>
      </c>
      <c r="I1043" s="1" t="s">
        <v>41</v>
      </c>
      <c r="J1043" s="1" t="n">
        <v>1509120</v>
      </c>
      <c r="L1043" s="1" t="n">
        <v>205134</v>
      </c>
      <c r="M1043" s="1" t="s">
        <v>83</v>
      </c>
      <c r="N1043" s="1" t="s">
        <v>35</v>
      </c>
      <c r="P1043" s="1" t="n">
        <v>113</v>
      </c>
      <c r="Q1043" s="1" t="s">
        <v>36</v>
      </c>
      <c r="R1043" s="1" t="s">
        <v>100</v>
      </c>
      <c r="S1043" s="1" t="n">
        <v>4210301</v>
      </c>
      <c r="T1043" s="1" t="s">
        <v>230</v>
      </c>
      <c r="U1043" s="17" t="n">
        <v>299.87</v>
      </c>
      <c r="W1043" s="1" t="n">
        <v>0</v>
      </c>
      <c r="X1043" s="1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2</v>
      </c>
      <c r="B1044" s="15" t="n">
        <v>46239</v>
      </c>
      <c r="C1044" s="15" t="n">
        <v>46239</v>
      </c>
      <c r="D1044" s="1" t="n">
        <v>18</v>
      </c>
      <c r="E1044" s="1" t="s">
        <v>105</v>
      </c>
      <c r="F1044" s="1" t="n">
        <v>7</v>
      </c>
      <c r="G1044" s="1" t="s">
        <v>232</v>
      </c>
      <c r="H1044" s="1" t="n">
        <v>2110405</v>
      </c>
      <c r="I1044" s="1" t="s">
        <v>41</v>
      </c>
      <c r="J1044" s="1" t="n">
        <v>1509126</v>
      </c>
      <c r="L1044" s="1" t="n">
        <v>205138</v>
      </c>
      <c r="M1044" s="1" t="s">
        <v>83</v>
      </c>
      <c r="N1044" s="1" t="s">
        <v>35</v>
      </c>
      <c r="P1044" s="1" t="n">
        <v>113</v>
      </c>
      <c r="Q1044" s="1" t="s">
        <v>36</v>
      </c>
      <c r="R1044" s="1" t="s">
        <v>100</v>
      </c>
      <c r="S1044" s="1" t="n">
        <v>4210301</v>
      </c>
      <c r="T1044" s="1" t="s">
        <v>230</v>
      </c>
      <c r="U1044" s="17" t="n">
        <v>467.17</v>
      </c>
      <c r="W1044" s="1" t="n">
        <v>0</v>
      </c>
      <c r="X1044" s="1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2</v>
      </c>
      <c r="B1045" s="15" t="n">
        <v>46239</v>
      </c>
      <c r="C1045" s="15" t="n">
        <v>46239</v>
      </c>
      <c r="D1045" s="1" t="n">
        <v>16</v>
      </c>
      <c r="E1045" s="1" t="s">
        <v>240</v>
      </c>
      <c r="F1045" s="1" t="n">
        <v>7</v>
      </c>
      <c r="G1045" s="1" t="s">
        <v>232</v>
      </c>
      <c r="H1045" s="1" t="n">
        <v>2110405</v>
      </c>
      <c r="I1045" s="1" t="s">
        <v>41</v>
      </c>
      <c r="J1045" s="1" t="n">
        <v>1509141</v>
      </c>
      <c r="L1045" s="1" t="n">
        <v>205141</v>
      </c>
      <c r="M1045" s="1" t="s">
        <v>83</v>
      </c>
      <c r="N1045" s="1" t="s">
        <v>35</v>
      </c>
      <c r="P1045" s="1" t="n">
        <v>113</v>
      </c>
      <c r="Q1045" s="1" t="s">
        <v>36</v>
      </c>
      <c r="R1045" s="1" t="s">
        <v>100</v>
      </c>
      <c r="S1045" s="1" t="n">
        <v>4210301</v>
      </c>
      <c r="T1045" s="1" t="s">
        <v>230</v>
      </c>
      <c r="U1045" s="17" t="n">
        <v>208.61</v>
      </c>
      <c r="W1045" s="1" t="n">
        <v>0</v>
      </c>
      <c r="X1045" s="1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2</v>
      </c>
      <c r="B1046" s="15" t="n">
        <v>46239</v>
      </c>
      <c r="C1046" s="15" t="n">
        <v>46239</v>
      </c>
      <c r="D1046" s="1" t="n">
        <v>515</v>
      </c>
      <c r="E1046" s="1" t="s">
        <v>143</v>
      </c>
      <c r="F1046" s="1" t="n">
        <v>34</v>
      </c>
      <c r="G1046" s="1" t="s">
        <v>97</v>
      </c>
      <c r="H1046" s="1" t="n">
        <v>2110405</v>
      </c>
      <c r="I1046" s="1" t="s">
        <v>41</v>
      </c>
      <c r="J1046" s="1" t="n">
        <v>1509221</v>
      </c>
      <c r="L1046" s="1" t="n">
        <v>205157</v>
      </c>
      <c r="M1046" s="1" t="s">
        <v>83</v>
      </c>
      <c r="N1046" s="1" t="s">
        <v>35</v>
      </c>
      <c r="P1046" s="1" t="n">
        <v>102</v>
      </c>
      <c r="Q1046" s="1" t="s">
        <v>282</v>
      </c>
      <c r="R1046" s="1" t="s">
        <v>144</v>
      </c>
      <c r="S1046" s="1" t="n">
        <v>4210502</v>
      </c>
      <c r="T1046" s="1" t="s">
        <v>243</v>
      </c>
      <c r="U1046" s="17" t="n">
        <v>2356.13</v>
      </c>
      <c r="W1046" s="1" t="n">
        <v>0</v>
      </c>
      <c r="X1046" s="1" t="s">
        <v>1022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2</v>
      </c>
      <c r="B1047" s="15" t="n">
        <v>46239</v>
      </c>
      <c r="C1047" s="15" t="n">
        <v>46239</v>
      </c>
      <c r="D1047" s="1" t="n">
        <v>16</v>
      </c>
      <c r="E1047" s="1" t="s">
        <v>240</v>
      </c>
      <c r="F1047" s="1" t="n">
        <v>34</v>
      </c>
      <c r="G1047" s="1" t="s">
        <v>97</v>
      </c>
      <c r="H1047" s="1" t="n">
        <v>2110405</v>
      </c>
      <c r="I1047" s="1" t="s">
        <v>41</v>
      </c>
      <c r="J1047" s="1" t="n">
        <v>1509239</v>
      </c>
      <c r="L1047" s="1" t="n">
        <v>205164</v>
      </c>
      <c r="M1047" s="1" t="s">
        <v>83</v>
      </c>
      <c r="N1047" s="1" t="s">
        <v>35</v>
      </c>
      <c r="P1047" s="1" t="n">
        <v>102</v>
      </c>
      <c r="Q1047" s="1" t="s">
        <v>282</v>
      </c>
      <c r="R1047" s="1" t="s">
        <v>100</v>
      </c>
      <c r="S1047" s="1" t="n">
        <v>4210301</v>
      </c>
      <c r="T1047" s="1" t="s">
        <v>230</v>
      </c>
      <c r="U1047" s="17" t="n">
        <v>500</v>
      </c>
      <c r="W1047" s="1" t="n">
        <v>0</v>
      </c>
      <c r="X1047" s="1" t="s">
        <v>1023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2</v>
      </c>
      <c r="B1048" s="15" t="n">
        <v>46230</v>
      </c>
      <c r="C1048" s="15" t="n">
        <v>46240</v>
      </c>
      <c r="D1048" s="1" t="n">
        <v>1621</v>
      </c>
      <c r="E1048" s="1" t="s">
        <v>212</v>
      </c>
      <c r="F1048" s="1" t="n">
        <v>24</v>
      </c>
      <c r="G1048" s="1" t="s">
        <v>77</v>
      </c>
      <c r="H1048" s="1" t="n">
        <v>1110203</v>
      </c>
      <c r="I1048" s="1" t="s">
        <v>108</v>
      </c>
      <c r="J1048" s="1" t="n">
        <v>1459311</v>
      </c>
      <c r="L1048" s="1" t="n">
        <v>197502</v>
      </c>
      <c r="M1048" s="1" t="s">
        <v>83</v>
      </c>
      <c r="N1048" s="1" t="s">
        <v>35</v>
      </c>
      <c r="P1048" s="1" t="n">
        <v>113</v>
      </c>
      <c r="Q1048" s="1" t="s">
        <v>36</v>
      </c>
      <c r="R1048" s="1" t="s">
        <v>48</v>
      </c>
      <c r="S1048" s="1" t="n">
        <v>1130101</v>
      </c>
      <c r="T1048" s="1" t="s">
        <v>49</v>
      </c>
      <c r="U1048" s="17" t="n">
        <v>305.98</v>
      </c>
      <c r="W1048" s="1" t="n">
        <v>305.98</v>
      </c>
      <c r="X1048" s="1" t="s">
        <v>1024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2</v>
      </c>
      <c r="B1049" s="15" t="n">
        <v>46212</v>
      </c>
      <c r="C1049" s="15" t="n">
        <v>46240</v>
      </c>
      <c r="D1049" s="1" t="n">
        <v>1612</v>
      </c>
      <c r="E1049" s="1" t="s">
        <v>76</v>
      </c>
      <c r="F1049" s="1" t="n">
        <v>24</v>
      </c>
      <c r="G1049" s="1" t="s">
        <v>77</v>
      </c>
      <c r="H1049" s="1" t="n">
        <v>2110101</v>
      </c>
      <c r="I1049" s="1" t="s">
        <v>33</v>
      </c>
      <c r="J1049" s="1" t="n">
        <v>1374035</v>
      </c>
      <c r="L1049" s="1" t="n">
        <v>2299705</v>
      </c>
      <c r="M1049" s="1" t="s">
        <v>62</v>
      </c>
      <c r="N1049" s="1" t="s">
        <v>54</v>
      </c>
      <c r="P1049" s="1" t="n">
        <v>113</v>
      </c>
      <c r="Q1049" s="1" t="s">
        <v>36</v>
      </c>
      <c r="R1049" s="1" t="s">
        <v>48</v>
      </c>
      <c r="S1049" s="1" t="n">
        <v>1130101</v>
      </c>
      <c r="T1049" s="1" t="s">
        <v>49</v>
      </c>
      <c r="U1049" s="17" t="n">
        <v>658.6</v>
      </c>
      <c r="W1049" s="1" t="n">
        <v>658.6</v>
      </c>
      <c r="X1049" s="1" t="s">
        <v>871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2</v>
      </c>
      <c r="B1050" s="15" t="n">
        <v>46212</v>
      </c>
      <c r="C1050" s="15" t="n">
        <v>46240</v>
      </c>
      <c r="D1050" s="1" t="n">
        <v>1612</v>
      </c>
      <c r="E1050" s="1" t="s">
        <v>76</v>
      </c>
      <c r="F1050" s="1" t="n">
        <v>24</v>
      </c>
      <c r="G1050" s="1" t="s">
        <v>77</v>
      </c>
      <c r="H1050" s="1" t="n">
        <v>2110101</v>
      </c>
      <c r="I1050" s="1" t="s">
        <v>33</v>
      </c>
      <c r="J1050" s="1" t="n">
        <v>1374249</v>
      </c>
      <c r="L1050" s="1" t="n">
        <v>2299703</v>
      </c>
      <c r="M1050" s="1" t="s">
        <v>62</v>
      </c>
      <c r="N1050" s="1" t="s">
        <v>54</v>
      </c>
      <c r="P1050" s="1" t="n">
        <v>113</v>
      </c>
      <c r="Q1050" s="1" t="s">
        <v>36</v>
      </c>
      <c r="R1050" s="1" t="s">
        <v>48</v>
      </c>
      <c r="S1050" s="1" t="n">
        <v>1130101</v>
      </c>
      <c r="T1050" s="1" t="s">
        <v>49</v>
      </c>
      <c r="U1050" s="17" t="n">
        <v>377.46</v>
      </c>
      <c r="W1050" s="1" t="n">
        <v>377.46</v>
      </c>
      <c r="X1050" s="1" t="s">
        <v>872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2</v>
      </c>
      <c r="B1051" s="15" t="n">
        <v>46213</v>
      </c>
      <c r="C1051" s="15" t="n">
        <v>46240</v>
      </c>
      <c r="D1051" s="1" t="n">
        <v>1107</v>
      </c>
      <c r="E1051" s="1" t="s">
        <v>204</v>
      </c>
      <c r="F1051" s="1" t="n">
        <v>24</v>
      </c>
      <c r="G1051" s="1" t="s">
        <v>77</v>
      </c>
      <c r="H1051" s="1" t="n">
        <v>2110101</v>
      </c>
      <c r="I1051" s="1" t="s">
        <v>33</v>
      </c>
      <c r="J1051" s="1" t="n">
        <v>1376909</v>
      </c>
      <c r="L1051" s="1" t="n">
        <v>426652</v>
      </c>
      <c r="M1051" s="1" t="s">
        <v>62</v>
      </c>
      <c r="N1051" s="1" t="s">
        <v>54</v>
      </c>
      <c r="P1051" s="1" t="n">
        <v>113</v>
      </c>
      <c r="Q1051" s="1" t="s">
        <v>36</v>
      </c>
      <c r="R1051" s="1" t="s">
        <v>48</v>
      </c>
      <c r="S1051" s="1" t="n">
        <v>1130101</v>
      </c>
      <c r="T1051" s="1" t="s">
        <v>49</v>
      </c>
      <c r="U1051" s="17" t="n">
        <v>682.63</v>
      </c>
      <c r="W1051" s="1" t="n">
        <v>682.63</v>
      </c>
      <c r="X1051" s="1" t="s">
        <v>875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2</v>
      </c>
      <c r="B1052" s="15" t="n">
        <v>46219</v>
      </c>
      <c r="C1052" s="15" t="n">
        <v>46240</v>
      </c>
      <c r="D1052" s="1" t="n">
        <v>1718</v>
      </c>
      <c r="E1052" s="1" t="s">
        <v>199</v>
      </c>
      <c r="F1052" s="1" t="n">
        <v>24</v>
      </c>
      <c r="G1052" s="1" t="s">
        <v>77</v>
      </c>
      <c r="H1052" s="1" t="n">
        <v>1110203</v>
      </c>
      <c r="I1052" s="1" t="s">
        <v>108</v>
      </c>
      <c r="J1052" s="1" t="n">
        <v>1407321</v>
      </c>
      <c r="L1052" s="1" t="n">
        <v>189605</v>
      </c>
      <c r="M1052" s="1" t="s">
        <v>83</v>
      </c>
      <c r="N1052" s="1" t="s">
        <v>35</v>
      </c>
      <c r="P1052" s="1" t="n">
        <v>113</v>
      </c>
      <c r="Q1052" s="1" t="s">
        <v>36</v>
      </c>
      <c r="R1052" s="1" t="s">
        <v>48</v>
      </c>
      <c r="S1052" s="1" t="n">
        <v>1130101</v>
      </c>
      <c r="T1052" s="1" t="s">
        <v>49</v>
      </c>
      <c r="U1052" s="17" t="n">
        <v>580.89</v>
      </c>
      <c r="W1052" s="1" t="n">
        <v>580.89</v>
      </c>
      <c r="X1052" s="1" t="s">
        <v>947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" t="n">
        <v>2</v>
      </c>
      <c r="B1053" s="15" t="n">
        <v>46223</v>
      </c>
      <c r="C1053" s="15" t="n">
        <v>46240</v>
      </c>
      <c r="D1053" s="1" t="n">
        <v>1624</v>
      </c>
      <c r="E1053" s="1" t="s">
        <v>300</v>
      </c>
      <c r="F1053" s="1" t="n">
        <v>24</v>
      </c>
      <c r="G1053" s="1" t="s">
        <v>77</v>
      </c>
      <c r="H1053" s="1" t="n">
        <v>1110203</v>
      </c>
      <c r="I1053" s="1" t="s">
        <v>108</v>
      </c>
      <c r="J1053" s="1" t="n">
        <v>1423731</v>
      </c>
      <c r="L1053" s="1" t="n">
        <v>190892</v>
      </c>
      <c r="M1053" s="1" t="s">
        <v>83</v>
      </c>
      <c r="N1053" s="1" t="s">
        <v>35</v>
      </c>
      <c r="P1053" s="1" t="n">
        <v>113</v>
      </c>
      <c r="Q1053" s="1" t="s">
        <v>36</v>
      </c>
      <c r="R1053" s="1" t="s">
        <v>48</v>
      </c>
      <c r="S1053" s="1" t="n">
        <v>1130101</v>
      </c>
      <c r="T1053" s="1" t="s">
        <v>49</v>
      </c>
      <c r="U1053" s="17" t="n">
        <v>381</v>
      </c>
      <c r="W1053" s="1" t="n">
        <v>381</v>
      </c>
      <c r="X1053" s="1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" t="n">
        <v>2</v>
      </c>
      <c r="B1054" s="15" t="n">
        <v>46232</v>
      </c>
      <c r="C1054" s="15" t="n">
        <v>46240</v>
      </c>
      <c r="D1054" s="1" t="n">
        <v>1739</v>
      </c>
      <c r="E1054" s="1" t="s">
        <v>1026</v>
      </c>
      <c r="F1054" s="1" t="n">
        <v>24</v>
      </c>
      <c r="G1054" s="1" t="s">
        <v>77</v>
      </c>
      <c r="H1054" s="1" t="n">
        <v>1110203</v>
      </c>
      <c r="I1054" s="1" t="s">
        <v>108</v>
      </c>
      <c r="J1054" s="1" t="n">
        <v>1468979</v>
      </c>
      <c r="L1054" s="1" t="n">
        <v>198994</v>
      </c>
      <c r="M1054" s="1" t="s">
        <v>83</v>
      </c>
      <c r="N1054" s="1" t="s">
        <v>35</v>
      </c>
      <c r="P1054" s="1" t="n">
        <v>113</v>
      </c>
      <c r="Q1054" s="1" t="s">
        <v>36</v>
      </c>
      <c r="R1054" s="1" t="s">
        <v>48</v>
      </c>
      <c r="S1054" s="1" t="n">
        <v>1130101</v>
      </c>
      <c r="T1054" s="1" t="s">
        <v>49</v>
      </c>
      <c r="U1054" s="17" t="n">
        <v>306.18</v>
      </c>
      <c r="W1054" s="1" t="n">
        <v>306.18</v>
      </c>
      <c r="X1054" s="1" t="s">
        <v>1027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" t="n">
        <v>2</v>
      </c>
      <c r="B1055" s="15" t="n">
        <v>46225</v>
      </c>
      <c r="C1055" s="15" t="n">
        <v>46240</v>
      </c>
      <c r="D1055" s="1" t="n">
        <v>1152</v>
      </c>
      <c r="E1055" s="1" t="s">
        <v>718</v>
      </c>
      <c r="F1055" s="1" t="n">
        <v>24</v>
      </c>
      <c r="G1055" s="1" t="s">
        <v>77</v>
      </c>
      <c r="H1055" s="1" t="n">
        <v>1110203</v>
      </c>
      <c r="I1055" s="1" t="s">
        <v>108</v>
      </c>
      <c r="J1055" s="1" t="n">
        <v>1435813</v>
      </c>
      <c r="L1055" s="1" t="n">
        <v>193974</v>
      </c>
      <c r="M1055" s="1" t="s">
        <v>83</v>
      </c>
      <c r="N1055" s="1" t="s">
        <v>35</v>
      </c>
      <c r="P1055" s="1" t="n">
        <v>113</v>
      </c>
      <c r="Q1055" s="1" t="s">
        <v>36</v>
      </c>
      <c r="R1055" s="1" t="s">
        <v>48</v>
      </c>
      <c r="S1055" s="1" t="n">
        <v>1130101</v>
      </c>
      <c r="T1055" s="1" t="s">
        <v>49</v>
      </c>
      <c r="U1055" s="17" t="n">
        <v>1040</v>
      </c>
      <c r="W1055" s="1" t="n">
        <v>1040</v>
      </c>
      <c r="X1055" s="1" t="s">
        <v>1028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" t="n">
        <v>2</v>
      </c>
      <c r="B1056" s="15" t="n">
        <v>46225</v>
      </c>
      <c r="C1056" s="15" t="n">
        <v>46240</v>
      </c>
      <c r="D1056" s="1" t="n">
        <v>1705</v>
      </c>
      <c r="E1056" s="1" t="s">
        <v>119</v>
      </c>
      <c r="F1056" s="1" t="n">
        <v>24</v>
      </c>
      <c r="G1056" s="1" t="s">
        <v>77</v>
      </c>
      <c r="H1056" s="1" t="n">
        <v>1110203</v>
      </c>
      <c r="I1056" s="1" t="s">
        <v>108</v>
      </c>
      <c r="J1056" s="1" t="n">
        <v>1435833</v>
      </c>
      <c r="L1056" s="1" t="n">
        <v>193984</v>
      </c>
      <c r="M1056" s="1" t="s">
        <v>83</v>
      </c>
      <c r="N1056" s="1" t="s">
        <v>35</v>
      </c>
      <c r="P1056" s="1" t="n">
        <v>113</v>
      </c>
      <c r="Q1056" s="1" t="s">
        <v>36</v>
      </c>
      <c r="R1056" s="1" t="s">
        <v>48</v>
      </c>
      <c r="S1056" s="1" t="n">
        <v>1130101</v>
      </c>
      <c r="T1056" s="1" t="s">
        <v>49</v>
      </c>
      <c r="U1056" s="17" t="n">
        <v>1717.19</v>
      </c>
      <c r="W1056" s="1" t="n">
        <v>1717.19</v>
      </c>
      <c r="X1056" s="1" t="s">
        <v>1029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" t="n">
        <v>2</v>
      </c>
      <c r="B1057" s="15" t="n">
        <v>46225</v>
      </c>
      <c r="C1057" s="15" t="n">
        <v>46240</v>
      </c>
      <c r="D1057" s="1" t="n">
        <v>1705</v>
      </c>
      <c r="E1057" s="1" t="s">
        <v>119</v>
      </c>
      <c r="F1057" s="1" t="n">
        <v>24</v>
      </c>
      <c r="G1057" s="1" t="s">
        <v>77</v>
      </c>
      <c r="H1057" s="1" t="n">
        <v>1110203</v>
      </c>
      <c r="I1057" s="1" t="s">
        <v>108</v>
      </c>
      <c r="J1057" s="1" t="n">
        <v>1435843</v>
      </c>
      <c r="L1057" s="1" t="n">
        <v>193986</v>
      </c>
      <c r="M1057" s="1" t="s">
        <v>83</v>
      </c>
      <c r="N1057" s="1" t="s">
        <v>35</v>
      </c>
      <c r="P1057" s="1" t="n">
        <v>113</v>
      </c>
      <c r="Q1057" s="1" t="s">
        <v>36</v>
      </c>
      <c r="R1057" s="1" t="s">
        <v>48</v>
      </c>
      <c r="S1057" s="1" t="n">
        <v>1130101</v>
      </c>
      <c r="T1057" s="1" t="s">
        <v>49</v>
      </c>
      <c r="U1057" s="17" t="n">
        <v>203.42</v>
      </c>
      <c r="W1057" s="1" t="n">
        <v>203.42</v>
      </c>
      <c r="X1057" s="1" t="s">
        <v>1030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" t="n">
        <v>2</v>
      </c>
      <c r="B1058" s="15" t="n">
        <v>46233</v>
      </c>
      <c r="C1058" s="15" t="n">
        <v>46240</v>
      </c>
      <c r="D1058" s="1" t="n">
        <v>1609</v>
      </c>
      <c r="E1058" s="1" t="s">
        <v>90</v>
      </c>
      <c r="F1058" s="1" t="n">
        <v>24</v>
      </c>
      <c r="G1058" s="1" t="s">
        <v>77</v>
      </c>
      <c r="H1058" s="1" t="n">
        <v>1110203</v>
      </c>
      <c r="I1058" s="1" t="s">
        <v>108</v>
      </c>
      <c r="J1058" s="1" t="n">
        <v>1472930</v>
      </c>
      <c r="L1058" s="1" t="n">
        <v>199578</v>
      </c>
      <c r="M1058" s="1" t="s">
        <v>83</v>
      </c>
      <c r="N1058" s="1" t="s">
        <v>35</v>
      </c>
      <c r="P1058" s="1" t="n">
        <v>113</v>
      </c>
      <c r="Q1058" s="1" t="s">
        <v>36</v>
      </c>
      <c r="R1058" s="1" t="s">
        <v>48</v>
      </c>
      <c r="S1058" s="1" t="n">
        <v>1130101</v>
      </c>
      <c r="T1058" s="1" t="s">
        <v>49</v>
      </c>
      <c r="U1058" s="17" t="n">
        <v>524.65</v>
      </c>
      <c r="W1058" s="1" t="n">
        <v>524.65</v>
      </c>
      <c r="X1058" s="1" t="s">
        <v>1031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" t="n">
        <v>2</v>
      </c>
      <c r="B1059" s="15" t="n">
        <v>46233</v>
      </c>
      <c r="C1059" s="15" t="n">
        <v>46240</v>
      </c>
      <c r="D1059" s="1" t="n">
        <v>10018</v>
      </c>
      <c r="E1059" s="1" t="s">
        <v>220</v>
      </c>
      <c r="F1059" s="1" t="n">
        <v>34</v>
      </c>
      <c r="G1059" s="1" t="s">
        <v>97</v>
      </c>
      <c r="H1059" s="1" t="n">
        <v>1110203</v>
      </c>
      <c r="I1059" s="1" t="s">
        <v>108</v>
      </c>
      <c r="J1059" s="1" t="n">
        <v>1473982</v>
      </c>
      <c r="L1059" s="1" t="n">
        <v>199815</v>
      </c>
      <c r="M1059" s="1" t="s">
        <v>83</v>
      </c>
      <c r="N1059" s="1" t="s">
        <v>35</v>
      </c>
      <c r="P1059" s="1" t="n">
        <v>113</v>
      </c>
      <c r="Q1059" s="1" t="s">
        <v>36</v>
      </c>
      <c r="R1059" s="1" t="s">
        <v>48</v>
      </c>
      <c r="S1059" s="1" t="n">
        <v>1130101</v>
      </c>
      <c r="T1059" s="1" t="s">
        <v>49</v>
      </c>
      <c r="U1059" s="17" t="n">
        <v>733.78</v>
      </c>
      <c r="W1059" s="1" t="n">
        <v>733.78</v>
      </c>
      <c r="X1059" s="1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" t="n">
        <v>2</v>
      </c>
      <c r="B1060" s="15" t="n">
        <v>46235</v>
      </c>
      <c r="C1060" s="15" t="n">
        <v>46240</v>
      </c>
      <c r="D1060" s="1" t="n">
        <v>1899</v>
      </c>
      <c r="E1060" s="1" t="s">
        <v>194</v>
      </c>
      <c r="F1060" s="1" t="n">
        <v>24</v>
      </c>
      <c r="G1060" s="1" t="s">
        <v>77</v>
      </c>
      <c r="H1060" s="1" t="n">
        <v>1110203</v>
      </c>
      <c r="I1060" s="1" t="s">
        <v>108</v>
      </c>
      <c r="J1060" s="1" t="n">
        <v>1481877</v>
      </c>
      <c r="L1060" s="1" t="n">
        <v>201140</v>
      </c>
      <c r="M1060" s="1" t="s">
        <v>83</v>
      </c>
      <c r="N1060" s="1" t="s">
        <v>35</v>
      </c>
      <c r="P1060" s="1" t="n">
        <v>113</v>
      </c>
      <c r="Q1060" s="1" t="s">
        <v>36</v>
      </c>
      <c r="R1060" s="1" t="s">
        <v>48</v>
      </c>
      <c r="S1060" s="1" t="n">
        <v>1130101</v>
      </c>
      <c r="T1060" s="1" t="s">
        <v>49</v>
      </c>
      <c r="U1060" s="17" t="n">
        <v>357.1</v>
      </c>
      <c r="W1060" s="1" t="n">
        <v>357.1</v>
      </c>
      <c r="X1060" s="1" t="s">
        <v>1032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" t="n">
        <v>2</v>
      </c>
      <c r="B1061" s="15" t="n">
        <v>46238</v>
      </c>
      <c r="C1061" s="15" t="n">
        <v>46240</v>
      </c>
      <c r="D1061" s="1" t="n">
        <v>642</v>
      </c>
      <c r="E1061" s="1" t="s">
        <v>130</v>
      </c>
      <c r="F1061" s="1" t="n">
        <v>24</v>
      </c>
      <c r="G1061" s="1" t="s">
        <v>77</v>
      </c>
      <c r="H1061" s="1" t="n">
        <v>1110203</v>
      </c>
      <c r="I1061" s="1" t="s">
        <v>108</v>
      </c>
      <c r="J1061" s="1" t="n">
        <v>1499220</v>
      </c>
      <c r="L1061" s="1" t="n">
        <v>203399</v>
      </c>
      <c r="M1061" s="1" t="s">
        <v>83</v>
      </c>
      <c r="N1061" s="1" t="s">
        <v>35</v>
      </c>
      <c r="P1061" s="1" t="n">
        <v>113</v>
      </c>
      <c r="Q1061" s="1" t="s">
        <v>36</v>
      </c>
      <c r="R1061" s="1" t="s">
        <v>48</v>
      </c>
      <c r="S1061" s="1" t="n">
        <v>1130101</v>
      </c>
      <c r="T1061" s="1" t="s">
        <v>49</v>
      </c>
      <c r="U1061" s="17" t="n">
        <v>180</v>
      </c>
      <c r="W1061" s="1" t="n">
        <v>180</v>
      </c>
      <c r="X1061" s="1" t="s">
        <v>1033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" t="n">
        <v>2</v>
      </c>
      <c r="B1062" s="15" t="n">
        <v>46240</v>
      </c>
      <c r="C1062" s="15" t="n">
        <v>46240</v>
      </c>
      <c r="D1062" s="1" t="n">
        <v>10092</v>
      </c>
      <c r="E1062" s="1" t="s">
        <v>725</v>
      </c>
      <c r="F1062" s="1" t="n">
        <v>13</v>
      </c>
      <c r="G1062" s="1" t="s">
        <v>133</v>
      </c>
      <c r="H1062" s="1" t="n">
        <v>2110405</v>
      </c>
      <c r="I1062" s="1" t="s">
        <v>41</v>
      </c>
      <c r="J1062" s="1" t="n">
        <v>1508293</v>
      </c>
      <c r="L1062" s="1" t="n">
        <v>204907</v>
      </c>
      <c r="M1062" s="1" t="s">
        <v>83</v>
      </c>
      <c r="N1062" s="1" t="s">
        <v>35</v>
      </c>
      <c r="P1062" s="1" t="n">
        <v>113</v>
      </c>
      <c r="Q1062" s="1" t="s">
        <v>36</v>
      </c>
      <c r="R1062" s="1" t="s">
        <v>48</v>
      </c>
      <c r="S1062" s="1" t="n">
        <v>1130101</v>
      </c>
      <c r="T1062" s="1" t="s">
        <v>49</v>
      </c>
      <c r="U1062" s="17" t="n">
        <v>136.5</v>
      </c>
      <c r="W1062" s="1" t="n">
        <v>136.5</v>
      </c>
      <c r="X1062" s="1" t="s">
        <v>1034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" t="n">
        <v>2</v>
      </c>
      <c r="B1063" s="15" t="n">
        <v>46240</v>
      </c>
      <c r="C1063" s="15" t="n">
        <v>46240</v>
      </c>
      <c r="D1063" s="1" t="n">
        <v>48</v>
      </c>
      <c r="E1063" s="1" t="s">
        <v>132</v>
      </c>
      <c r="F1063" s="1" t="n">
        <v>13</v>
      </c>
      <c r="G1063" s="1" t="s">
        <v>133</v>
      </c>
      <c r="H1063" s="1" t="n">
        <v>2110101</v>
      </c>
      <c r="I1063" s="1" t="s">
        <v>33</v>
      </c>
      <c r="J1063" s="1" t="n">
        <v>1509485</v>
      </c>
      <c r="L1063" s="1" t="n">
        <v>2589</v>
      </c>
      <c r="M1063" s="1" t="s">
        <v>83</v>
      </c>
      <c r="N1063" s="1" t="s">
        <v>54</v>
      </c>
      <c r="P1063" s="1" t="n">
        <v>113</v>
      </c>
      <c r="Q1063" s="1" t="s">
        <v>36</v>
      </c>
      <c r="R1063" s="1" t="s">
        <v>48</v>
      </c>
      <c r="S1063" s="1" t="n">
        <v>1130101</v>
      </c>
      <c r="T1063" s="1" t="s">
        <v>49</v>
      </c>
      <c r="U1063" s="17" t="n">
        <v>300</v>
      </c>
      <c r="W1063" s="1" t="n">
        <v>300</v>
      </c>
      <c r="X1063" s="1" t="s">
        <v>1035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" t="n">
        <v>2</v>
      </c>
      <c r="B1064" s="15" t="n">
        <v>46231</v>
      </c>
      <c r="C1064" s="15" t="n">
        <v>46241</v>
      </c>
      <c r="D1064" s="1" t="n">
        <v>1723</v>
      </c>
      <c r="E1064" s="1" t="s">
        <v>332</v>
      </c>
      <c r="F1064" s="1" t="n">
        <v>24</v>
      </c>
      <c r="G1064" s="1" t="s">
        <v>77</v>
      </c>
      <c r="H1064" s="1" t="n">
        <v>2110405</v>
      </c>
      <c r="I1064" s="1" t="s">
        <v>41</v>
      </c>
      <c r="J1064" s="1" t="n">
        <v>1464594</v>
      </c>
      <c r="L1064" s="1" t="n">
        <v>198316</v>
      </c>
      <c r="M1064" s="1" t="s">
        <v>83</v>
      </c>
      <c r="N1064" s="1" t="s">
        <v>35</v>
      </c>
      <c r="P1064" s="1" t="n">
        <v>113</v>
      </c>
      <c r="Q1064" s="1" t="s">
        <v>36</v>
      </c>
      <c r="R1064" s="1" t="s">
        <v>48</v>
      </c>
      <c r="S1064" s="1" t="n">
        <v>1130101</v>
      </c>
      <c r="T1064" s="1" t="s">
        <v>49</v>
      </c>
      <c r="U1064" s="17" t="n">
        <v>1262.8</v>
      </c>
      <c r="W1064" s="1" t="n">
        <v>1262.8</v>
      </c>
      <c r="X1064" s="1" t="s">
        <v>1036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" t="n">
        <v>2</v>
      </c>
      <c r="B1065" s="15" t="n">
        <v>46212</v>
      </c>
      <c r="C1065" s="15" t="n">
        <v>46241</v>
      </c>
      <c r="D1065" s="1" t="n">
        <v>1718</v>
      </c>
      <c r="E1065" s="1" t="s">
        <v>199</v>
      </c>
      <c r="F1065" s="1" t="n">
        <v>24</v>
      </c>
      <c r="G1065" s="1" t="s">
        <v>77</v>
      </c>
      <c r="H1065" s="1" t="n">
        <v>2110101</v>
      </c>
      <c r="I1065" s="1" t="s">
        <v>33</v>
      </c>
      <c r="J1065" s="1" t="n">
        <v>1374907</v>
      </c>
      <c r="L1065" s="1" t="n">
        <v>681127</v>
      </c>
      <c r="M1065" s="1" t="s">
        <v>62</v>
      </c>
      <c r="N1065" s="1" t="s">
        <v>54</v>
      </c>
      <c r="P1065" s="1" t="n">
        <v>113</v>
      </c>
      <c r="Q1065" s="1" t="s">
        <v>36</v>
      </c>
      <c r="R1065" s="1" t="s">
        <v>48</v>
      </c>
      <c r="S1065" s="1" t="n">
        <v>1130101</v>
      </c>
      <c r="T1065" s="1" t="s">
        <v>49</v>
      </c>
      <c r="U1065" s="17" t="n">
        <v>509.25</v>
      </c>
      <c r="W1065" s="1" t="n">
        <v>509.25</v>
      </c>
      <c r="X1065" s="1" t="s">
        <v>886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" t="n">
        <v>2</v>
      </c>
      <c r="B1066" s="15" t="n">
        <v>46217</v>
      </c>
      <c r="C1066" s="15" t="n">
        <v>46241</v>
      </c>
      <c r="D1066" s="1" t="n">
        <v>1611</v>
      </c>
      <c r="E1066" s="1" t="s">
        <v>156</v>
      </c>
      <c r="F1066" s="1" t="n">
        <v>24</v>
      </c>
      <c r="G1066" s="1" t="s">
        <v>77</v>
      </c>
      <c r="H1066" s="1" t="n">
        <v>2110405</v>
      </c>
      <c r="I1066" s="1" t="s">
        <v>41</v>
      </c>
      <c r="J1066" s="1" t="n">
        <v>1397337</v>
      </c>
      <c r="L1066" s="1" t="n">
        <v>187915</v>
      </c>
      <c r="M1066" s="1" t="s">
        <v>83</v>
      </c>
      <c r="N1066" s="1" t="s">
        <v>35</v>
      </c>
      <c r="P1066" s="1" t="n">
        <v>113</v>
      </c>
      <c r="Q1066" s="1" t="s">
        <v>36</v>
      </c>
      <c r="R1066" s="1" t="s">
        <v>48</v>
      </c>
      <c r="S1066" s="1" t="n">
        <v>1130101</v>
      </c>
      <c r="T1066" s="1" t="s">
        <v>49</v>
      </c>
      <c r="U1066" s="17" t="n">
        <v>278.28</v>
      </c>
      <c r="W1066" s="1" t="n">
        <v>278.28</v>
      </c>
      <c r="X1066" s="1" t="s">
        <v>954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" t="n">
        <v>2</v>
      </c>
      <c r="B1067" s="15" t="n">
        <v>46221</v>
      </c>
      <c r="C1067" s="15" t="n">
        <v>46241</v>
      </c>
      <c r="D1067" s="1" t="n">
        <v>1402</v>
      </c>
      <c r="E1067" s="1" t="s">
        <v>1037</v>
      </c>
      <c r="F1067" s="1" t="n">
        <v>24</v>
      </c>
      <c r="G1067" s="1" t="s">
        <v>77</v>
      </c>
      <c r="H1067" s="1" t="n">
        <v>2110405</v>
      </c>
      <c r="I1067" s="1" t="s">
        <v>41</v>
      </c>
      <c r="J1067" s="1" t="n">
        <v>1414989</v>
      </c>
      <c r="L1067" s="1" t="n">
        <v>190765</v>
      </c>
      <c r="M1067" s="1" t="s">
        <v>83</v>
      </c>
      <c r="N1067" s="1" t="s">
        <v>35</v>
      </c>
      <c r="P1067" s="1" t="n">
        <v>113</v>
      </c>
      <c r="Q1067" s="1" t="s">
        <v>36</v>
      </c>
      <c r="R1067" s="1" t="s">
        <v>56</v>
      </c>
      <c r="S1067" s="1" t="n">
        <v>4210299</v>
      </c>
      <c r="T1067" s="1" t="s">
        <v>115</v>
      </c>
      <c r="U1067" s="17" t="n">
        <v>1109.15</v>
      </c>
      <c r="W1067" s="1" t="n">
        <v>1109.15</v>
      </c>
      <c r="X1067" s="1" t="s">
        <v>1038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" t="n">
        <v>2</v>
      </c>
      <c r="B1068" s="15" t="n">
        <v>46227</v>
      </c>
      <c r="C1068" s="15" t="n">
        <v>46241</v>
      </c>
      <c r="D1068" s="1" t="n">
        <v>1666</v>
      </c>
      <c r="E1068" s="1" t="s">
        <v>206</v>
      </c>
      <c r="F1068" s="1" t="n">
        <v>24</v>
      </c>
      <c r="G1068" s="1" t="s">
        <v>77</v>
      </c>
      <c r="H1068" s="1" t="n">
        <v>2110405</v>
      </c>
      <c r="I1068" s="1" t="s">
        <v>41</v>
      </c>
      <c r="J1068" s="1" t="n">
        <v>1443864</v>
      </c>
      <c r="L1068" s="1" t="n">
        <v>195265</v>
      </c>
      <c r="M1068" s="1" t="s">
        <v>83</v>
      </c>
      <c r="N1068" s="1" t="s">
        <v>35</v>
      </c>
      <c r="P1068" s="1" t="n">
        <v>113</v>
      </c>
      <c r="Q1068" s="1" t="s">
        <v>36</v>
      </c>
      <c r="R1068" s="1" t="s">
        <v>48</v>
      </c>
      <c r="S1068" s="1" t="n">
        <v>1130101</v>
      </c>
      <c r="T1068" s="1" t="s">
        <v>49</v>
      </c>
      <c r="U1068" s="17" t="n">
        <v>6221.08</v>
      </c>
      <c r="W1068" s="1" t="n">
        <v>6221.08</v>
      </c>
      <c r="X1068" s="1" t="s">
        <v>962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" t="n">
        <v>2</v>
      </c>
      <c r="B1069" s="15" t="n">
        <v>46227</v>
      </c>
      <c r="C1069" s="15" t="n">
        <v>46241</v>
      </c>
      <c r="D1069" s="1" t="n">
        <v>1700</v>
      </c>
      <c r="E1069" s="1" t="s">
        <v>1039</v>
      </c>
      <c r="F1069" s="1" t="n">
        <v>24</v>
      </c>
      <c r="G1069" s="1" t="s">
        <v>77</v>
      </c>
      <c r="H1069" s="1" t="n">
        <v>2110405</v>
      </c>
      <c r="I1069" s="1" t="s">
        <v>41</v>
      </c>
      <c r="J1069" s="1" t="n">
        <v>1444956</v>
      </c>
      <c r="L1069" s="1" t="n">
        <v>195512</v>
      </c>
      <c r="M1069" s="1" t="s">
        <v>83</v>
      </c>
      <c r="N1069" s="1" t="s">
        <v>35</v>
      </c>
      <c r="P1069" s="1" t="n">
        <v>113</v>
      </c>
      <c r="Q1069" s="1" t="s">
        <v>36</v>
      </c>
      <c r="R1069" s="1" t="s">
        <v>48</v>
      </c>
      <c r="S1069" s="1" t="n">
        <v>1130101</v>
      </c>
      <c r="T1069" s="1" t="s">
        <v>49</v>
      </c>
      <c r="U1069" s="17" t="n">
        <v>690</v>
      </c>
      <c r="W1069" s="1" t="n">
        <v>690</v>
      </c>
      <c r="X1069" s="1" t="s">
        <v>1040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" t="n">
        <v>2</v>
      </c>
      <c r="B1070" s="15" t="n">
        <v>46228</v>
      </c>
      <c r="C1070" s="15" t="n">
        <v>46241</v>
      </c>
      <c r="D1070" s="1" t="n">
        <v>1643</v>
      </c>
      <c r="E1070" s="1" t="s">
        <v>181</v>
      </c>
      <c r="F1070" s="1" t="n">
        <v>24</v>
      </c>
      <c r="G1070" s="1" t="s">
        <v>77</v>
      </c>
      <c r="H1070" s="1" t="n">
        <v>2110405</v>
      </c>
      <c r="I1070" s="1" t="s">
        <v>41</v>
      </c>
      <c r="J1070" s="1" t="n">
        <v>1448223</v>
      </c>
      <c r="L1070" s="1" t="n">
        <v>196009</v>
      </c>
      <c r="M1070" s="1" t="s">
        <v>83</v>
      </c>
      <c r="N1070" s="1" t="s">
        <v>35</v>
      </c>
      <c r="P1070" s="1" t="n">
        <v>113</v>
      </c>
      <c r="Q1070" s="1" t="s">
        <v>36</v>
      </c>
      <c r="R1070" s="1" t="s">
        <v>48</v>
      </c>
      <c r="S1070" s="1" t="n">
        <v>1130101</v>
      </c>
      <c r="T1070" s="1" t="s">
        <v>49</v>
      </c>
      <c r="U1070" s="17" t="n">
        <v>228</v>
      </c>
      <c r="W1070" s="1" t="n">
        <v>228</v>
      </c>
      <c r="X1070" s="1" t="s">
        <v>1041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" t="n">
        <v>2</v>
      </c>
      <c r="B1071" s="15" t="n">
        <v>46228</v>
      </c>
      <c r="C1071" s="15" t="n">
        <v>46241</v>
      </c>
      <c r="D1071" s="1" t="n">
        <v>1635</v>
      </c>
      <c r="E1071" s="1" t="s">
        <v>117</v>
      </c>
      <c r="F1071" s="1" t="n">
        <v>24</v>
      </c>
      <c r="G1071" s="1" t="s">
        <v>77</v>
      </c>
      <c r="H1071" s="1" t="n">
        <v>2110405</v>
      </c>
      <c r="I1071" s="1" t="s">
        <v>41</v>
      </c>
      <c r="J1071" s="1" t="n">
        <v>1448481</v>
      </c>
      <c r="L1071" s="1" t="n">
        <v>196060</v>
      </c>
      <c r="M1071" s="1" t="s">
        <v>83</v>
      </c>
      <c r="N1071" s="1" t="s">
        <v>35</v>
      </c>
      <c r="P1071" s="1" t="n">
        <v>113</v>
      </c>
      <c r="Q1071" s="1" t="s">
        <v>36</v>
      </c>
      <c r="R1071" s="1" t="s">
        <v>48</v>
      </c>
      <c r="S1071" s="1" t="n">
        <v>1130101</v>
      </c>
      <c r="T1071" s="1" t="s">
        <v>49</v>
      </c>
      <c r="U1071" s="17" t="n">
        <v>740.52</v>
      </c>
      <c r="W1071" s="1" t="n">
        <v>740.52</v>
      </c>
      <c r="X1071" s="1" t="s">
        <v>1042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" t="n">
        <v>2</v>
      </c>
      <c r="B1072" s="15" t="n">
        <v>46232</v>
      </c>
      <c r="C1072" s="15" t="n">
        <v>46241</v>
      </c>
      <c r="D1072" s="1" t="n">
        <v>1932</v>
      </c>
      <c r="E1072" s="1" t="s">
        <v>256</v>
      </c>
      <c r="F1072" s="1" t="n">
        <v>34</v>
      </c>
      <c r="G1072" s="1" t="s">
        <v>97</v>
      </c>
      <c r="H1072" s="1" t="n">
        <v>2110405</v>
      </c>
      <c r="I1072" s="1" t="s">
        <v>41</v>
      </c>
      <c r="J1072" s="1" t="n">
        <v>1469462</v>
      </c>
      <c r="L1072" s="1" t="n">
        <v>199057</v>
      </c>
      <c r="M1072" s="1" t="s">
        <v>83</v>
      </c>
      <c r="N1072" s="1" t="s">
        <v>35</v>
      </c>
      <c r="P1072" s="1" t="n">
        <v>101</v>
      </c>
      <c r="Q1072" s="1" t="s">
        <v>42</v>
      </c>
      <c r="R1072" s="1" t="s">
        <v>100</v>
      </c>
      <c r="S1072" s="1" t="n">
        <v>4210315</v>
      </c>
      <c r="T1072" s="1" t="s">
        <v>257</v>
      </c>
      <c r="U1072" s="17" t="n">
        <v>119.97</v>
      </c>
      <c r="W1072" s="1" t="n">
        <v>119.97</v>
      </c>
      <c r="X1072" s="1" t="s">
        <v>1043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" t="n">
        <v>2</v>
      </c>
      <c r="B1073" s="15" t="n">
        <v>46234</v>
      </c>
      <c r="C1073" s="15" t="n">
        <v>46241</v>
      </c>
      <c r="D1073" s="1" t="n">
        <v>1608</v>
      </c>
      <c r="E1073" s="1" t="s">
        <v>201</v>
      </c>
      <c r="F1073" s="1" t="n">
        <v>24</v>
      </c>
      <c r="G1073" s="1" t="s">
        <v>77</v>
      </c>
      <c r="H1073" s="1" t="n">
        <v>2110405</v>
      </c>
      <c r="I1073" s="1" t="s">
        <v>41</v>
      </c>
      <c r="J1073" s="1" t="n">
        <v>1477793</v>
      </c>
      <c r="L1073" s="1" t="n">
        <v>200474</v>
      </c>
      <c r="M1073" s="1" t="s">
        <v>83</v>
      </c>
      <c r="N1073" s="1" t="s">
        <v>35</v>
      </c>
      <c r="P1073" s="1" t="n">
        <v>113</v>
      </c>
      <c r="Q1073" s="1" t="s">
        <v>36</v>
      </c>
      <c r="R1073" s="1" t="s">
        <v>48</v>
      </c>
      <c r="S1073" s="1" t="n">
        <v>1130101</v>
      </c>
      <c r="T1073" s="1" t="s">
        <v>49</v>
      </c>
      <c r="U1073" s="17" t="n">
        <v>328.14</v>
      </c>
      <c r="W1073" s="1" t="n">
        <v>328.14</v>
      </c>
      <c r="X1073" s="1" t="s">
        <v>1044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" t="n">
        <v>2</v>
      </c>
      <c r="B1074" s="15" t="n">
        <v>46241</v>
      </c>
      <c r="C1074" s="15" t="n">
        <v>46241</v>
      </c>
      <c r="D1074" s="1" t="n">
        <v>48</v>
      </c>
      <c r="E1074" s="1" t="s">
        <v>132</v>
      </c>
      <c r="F1074" s="1" t="n">
        <v>13</v>
      </c>
      <c r="G1074" s="1" t="s">
        <v>133</v>
      </c>
      <c r="H1074" s="1" t="n">
        <v>2110101</v>
      </c>
      <c r="I1074" s="1" t="s">
        <v>33</v>
      </c>
      <c r="J1074" s="1" t="n">
        <v>1513987</v>
      </c>
      <c r="L1074" s="1" t="n">
        <v>2590</v>
      </c>
      <c r="M1074" s="1" t="s">
        <v>83</v>
      </c>
      <c r="N1074" s="1" t="s">
        <v>54</v>
      </c>
      <c r="P1074" s="1" t="n">
        <v>113</v>
      </c>
      <c r="Q1074" s="1" t="s">
        <v>36</v>
      </c>
      <c r="R1074" s="1" t="s">
        <v>48</v>
      </c>
      <c r="S1074" s="1" t="n">
        <v>1130101</v>
      </c>
      <c r="T1074" s="1" t="s">
        <v>49</v>
      </c>
      <c r="U1074" s="17" t="n">
        <v>300</v>
      </c>
      <c r="W1074" s="1" t="n">
        <v>300</v>
      </c>
      <c r="X1074" s="1" t="s">
        <v>1045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" t="n">
        <v>2</v>
      </c>
      <c r="B1075" s="15" t="n">
        <v>46241</v>
      </c>
      <c r="C1075" s="15" t="n">
        <v>46241</v>
      </c>
      <c r="D1075" s="1" t="n">
        <v>48</v>
      </c>
      <c r="E1075" s="1" t="s">
        <v>132</v>
      </c>
      <c r="F1075" s="1" t="n">
        <v>34</v>
      </c>
      <c r="G1075" s="1" t="s">
        <v>97</v>
      </c>
      <c r="H1075" s="1" t="n">
        <v>2110101</v>
      </c>
      <c r="I1075" s="1" t="s">
        <v>33</v>
      </c>
      <c r="J1075" s="1" t="n">
        <v>1514649</v>
      </c>
      <c r="L1075" s="1" t="n">
        <v>2594</v>
      </c>
      <c r="M1075" s="1" t="s">
        <v>83</v>
      </c>
      <c r="N1075" s="1" t="s">
        <v>54</v>
      </c>
      <c r="P1075" s="1" t="n">
        <v>113</v>
      </c>
      <c r="Q1075" s="1" t="s">
        <v>36</v>
      </c>
      <c r="R1075" s="1" t="s">
        <v>48</v>
      </c>
      <c r="S1075" s="1" t="n">
        <v>1130101</v>
      </c>
      <c r="T1075" s="1" t="s">
        <v>49</v>
      </c>
      <c r="U1075" s="17" t="n">
        <v>175</v>
      </c>
      <c r="W1075" s="1" t="n">
        <v>175</v>
      </c>
      <c r="X1075" s="1" t="s">
        <v>1046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" t="n">
        <v>2</v>
      </c>
      <c r="B1076" s="15" t="n">
        <v>46241</v>
      </c>
      <c r="C1076" s="15" t="n">
        <v>46241</v>
      </c>
      <c r="D1076" s="1" t="n">
        <v>48</v>
      </c>
      <c r="E1076" s="1" t="s">
        <v>132</v>
      </c>
      <c r="F1076" s="1" t="n">
        <v>34</v>
      </c>
      <c r="G1076" s="1" t="s">
        <v>97</v>
      </c>
      <c r="H1076" s="1" t="n">
        <v>2110101</v>
      </c>
      <c r="I1076" s="1" t="s">
        <v>33</v>
      </c>
      <c r="J1076" s="1" t="n">
        <v>1514680</v>
      </c>
      <c r="L1076" s="1" t="n">
        <v>2595</v>
      </c>
      <c r="M1076" s="1" t="s">
        <v>83</v>
      </c>
      <c r="N1076" s="1" t="s">
        <v>54</v>
      </c>
      <c r="P1076" s="1" t="n">
        <v>113</v>
      </c>
      <c r="Q1076" s="1" t="s">
        <v>36</v>
      </c>
      <c r="R1076" s="1" t="s">
        <v>48</v>
      </c>
      <c r="S1076" s="1" t="n">
        <v>1130101</v>
      </c>
      <c r="T1076" s="1" t="s">
        <v>49</v>
      </c>
      <c r="U1076" s="17" t="n">
        <v>1848.86</v>
      </c>
      <c r="W1076" s="1" t="n">
        <v>1848.86</v>
      </c>
      <c r="X1076" s="1" t="s">
        <v>1047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" t="n">
        <v>2</v>
      </c>
      <c r="B1077" s="15" t="n">
        <v>46241</v>
      </c>
      <c r="C1077" s="15" t="n">
        <v>46241</v>
      </c>
      <c r="D1077" s="1" t="n">
        <v>1037</v>
      </c>
      <c r="E1077" s="1" t="s">
        <v>139</v>
      </c>
      <c r="F1077" s="1" t="n">
        <v>34</v>
      </c>
      <c r="G1077" s="1" t="s">
        <v>97</v>
      </c>
      <c r="H1077" s="1" t="n">
        <v>2110405</v>
      </c>
      <c r="I1077" s="1" t="s">
        <v>41</v>
      </c>
      <c r="J1077" s="1" t="n">
        <v>1514697</v>
      </c>
      <c r="L1077" s="1" t="n">
        <v>206062</v>
      </c>
      <c r="M1077" s="1" t="s">
        <v>83</v>
      </c>
      <c r="N1077" s="1" t="s">
        <v>35</v>
      </c>
      <c r="P1077" s="1" t="n">
        <v>113</v>
      </c>
      <c r="Q1077" s="1" t="s">
        <v>36</v>
      </c>
      <c r="R1077" s="1" t="s">
        <v>48</v>
      </c>
      <c r="S1077" s="1" t="n">
        <v>1130101</v>
      </c>
      <c r="T1077" s="1" t="s">
        <v>49</v>
      </c>
      <c r="U1077" s="17" t="n">
        <v>320</v>
      </c>
      <c r="W1077" s="1" t="n">
        <v>320</v>
      </c>
      <c r="X1077" s="1" t="s">
        <v>1048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" t="n">
        <v>2</v>
      </c>
      <c r="B1078" s="15" t="n">
        <v>46225</v>
      </c>
      <c r="C1078" s="15" t="n">
        <v>46242</v>
      </c>
      <c r="D1078" s="1" t="n">
        <v>1672</v>
      </c>
      <c r="E1078" s="1" t="s">
        <v>302</v>
      </c>
      <c r="F1078" s="1" t="n">
        <v>24</v>
      </c>
      <c r="G1078" s="1" t="s">
        <v>77</v>
      </c>
      <c r="H1078" s="1" t="n">
        <v>2110405</v>
      </c>
      <c r="I1078" s="1" t="s">
        <v>41</v>
      </c>
      <c r="J1078" s="1" t="n">
        <v>1435902</v>
      </c>
      <c r="L1078" s="1" t="n">
        <v>194002</v>
      </c>
      <c r="M1078" s="1" t="s">
        <v>83</v>
      </c>
      <c r="N1078" s="1" t="s">
        <v>35</v>
      </c>
      <c r="P1078" s="1" t="n">
        <v>113</v>
      </c>
      <c r="Q1078" s="1" t="s">
        <v>36</v>
      </c>
      <c r="R1078" s="1" t="s">
        <v>48</v>
      </c>
      <c r="S1078" s="1" t="n">
        <v>1130101</v>
      </c>
      <c r="T1078" s="1" t="s">
        <v>49</v>
      </c>
      <c r="U1078" s="17" t="n">
        <v>1821.1</v>
      </c>
      <c r="W1078" s="1" t="n">
        <v>1821.1</v>
      </c>
      <c r="X1078" s="1" t="s">
        <v>1049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" t="n">
        <v>2</v>
      </c>
      <c r="B1079" s="15" t="n">
        <v>46226</v>
      </c>
      <c r="C1079" s="15" t="n">
        <v>46242</v>
      </c>
      <c r="D1079" s="1" t="n">
        <v>1659</v>
      </c>
      <c r="E1079" s="1" t="s">
        <v>197</v>
      </c>
      <c r="F1079" s="1" t="n">
        <v>24</v>
      </c>
      <c r="G1079" s="1" t="s">
        <v>77</v>
      </c>
      <c r="H1079" s="1" t="n">
        <v>2110405</v>
      </c>
      <c r="I1079" s="1" t="s">
        <v>41</v>
      </c>
      <c r="J1079" s="1" t="n">
        <v>1439433</v>
      </c>
      <c r="L1079" s="1" t="n">
        <v>194549</v>
      </c>
      <c r="M1079" s="1" t="s">
        <v>83</v>
      </c>
      <c r="N1079" s="1" t="s">
        <v>35</v>
      </c>
      <c r="P1079" s="1" t="n">
        <v>113</v>
      </c>
      <c r="Q1079" s="1" t="s">
        <v>36</v>
      </c>
      <c r="R1079" s="1" t="s">
        <v>48</v>
      </c>
      <c r="S1079" s="1" t="n">
        <v>1130101</v>
      </c>
      <c r="T1079" s="1" t="s">
        <v>49</v>
      </c>
      <c r="U1079" s="17" t="n">
        <v>1006.04</v>
      </c>
      <c r="W1079" s="1" t="n">
        <v>1006.04</v>
      </c>
      <c r="X1079" s="1" t="s">
        <v>1050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" t="n">
        <v>2</v>
      </c>
      <c r="B1080" s="15" t="n">
        <v>46237</v>
      </c>
      <c r="C1080" s="15" t="n">
        <v>46242</v>
      </c>
      <c r="D1080" s="1" t="n">
        <v>1815</v>
      </c>
      <c r="E1080" s="1" t="s">
        <v>164</v>
      </c>
      <c r="F1080" s="1" t="n">
        <v>24</v>
      </c>
      <c r="G1080" s="1" t="s">
        <v>77</v>
      </c>
      <c r="H1080" s="1" t="n">
        <v>2110405</v>
      </c>
      <c r="I1080" s="1" t="s">
        <v>41</v>
      </c>
      <c r="J1080" s="1" t="n">
        <v>1493125</v>
      </c>
      <c r="L1080" s="1" t="n">
        <v>202488</v>
      </c>
      <c r="M1080" s="1" t="s">
        <v>83</v>
      </c>
      <c r="N1080" s="1" t="s">
        <v>35</v>
      </c>
      <c r="P1080" s="1" t="n">
        <v>113</v>
      </c>
      <c r="Q1080" s="1" t="s">
        <v>36</v>
      </c>
      <c r="R1080" s="1" t="s">
        <v>48</v>
      </c>
      <c r="S1080" s="1" t="n">
        <v>1130101</v>
      </c>
      <c r="T1080" s="1" t="s">
        <v>49</v>
      </c>
      <c r="U1080" s="17" t="n">
        <v>439.5</v>
      </c>
      <c r="W1080" s="1" t="n">
        <v>439.5</v>
      </c>
      <c r="X1080" s="1" t="s">
        <v>1051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" t="n">
        <v>2</v>
      </c>
      <c r="B1081" s="15" t="n">
        <v>46237</v>
      </c>
      <c r="C1081" s="15" t="n">
        <v>46242</v>
      </c>
      <c r="D1081" s="1" t="n">
        <v>1695</v>
      </c>
      <c r="E1081" s="1" t="s">
        <v>351</v>
      </c>
      <c r="F1081" s="1" t="n">
        <v>24</v>
      </c>
      <c r="G1081" s="1" t="s">
        <v>77</v>
      </c>
      <c r="H1081" s="1" t="n">
        <v>2110405</v>
      </c>
      <c r="I1081" s="1" t="s">
        <v>41</v>
      </c>
      <c r="J1081" s="1" t="n">
        <v>1493381</v>
      </c>
      <c r="L1081" s="1" t="n">
        <v>202553</v>
      </c>
      <c r="M1081" s="1" t="s">
        <v>83</v>
      </c>
      <c r="N1081" s="1" t="s">
        <v>35</v>
      </c>
      <c r="P1081" s="1" t="n">
        <v>113</v>
      </c>
      <c r="Q1081" s="1" t="s">
        <v>36</v>
      </c>
      <c r="R1081" s="1" t="s">
        <v>48</v>
      </c>
      <c r="S1081" s="1" t="n">
        <v>1130101</v>
      </c>
      <c r="T1081" s="1" t="s">
        <v>49</v>
      </c>
      <c r="U1081" s="17" t="n">
        <v>1563.41</v>
      </c>
      <c r="W1081" s="1" t="n">
        <v>1563.41</v>
      </c>
      <c r="X1081" s="1" t="s">
        <v>1052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" t="n">
        <v>2</v>
      </c>
      <c r="B1082" s="15" t="n">
        <v>46237</v>
      </c>
      <c r="C1082" s="15" t="n">
        <v>46242</v>
      </c>
      <c r="D1082" s="1" t="n">
        <v>754</v>
      </c>
      <c r="E1082" s="1" t="s">
        <v>128</v>
      </c>
      <c r="F1082" s="1" t="n">
        <v>24</v>
      </c>
      <c r="G1082" s="1" t="s">
        <v>77</v>
      </c>
      <c r="H1082" s="1" t="n">
        <v>2110405</v>
      </c>
      <c r="I1082" s="1" t="s">
        <v>41</v>
      </c>
      <c r="J1082" s="1" t="n">
        <v>1495072</v>
      </c>
      <c r="L1082" s="1" t="n">
        <v>202733</v>
      </c>
      <c r="M1082" s="1" t="s">
        <v>83</v>
      </c>
      <c r="N1082" s="1" t="s">
        <v>35</v>
      </c>
      <c r="P1082" s="1" t="n">
        <v>113</v>
      </c>
      <c r="Q1082" s="1" t="s">
        <v>36</v>
      </c>
      <c r="R1082" s="1" t="s">
        <v>48</v>
      </c>
      <c r="S1082" s="1" t="n">
        <v>1130101</v>
      </c>
      <c r="T1082" s="1" t="s">
        <v>49</v>
      </c>
      <c r="U1082" s="17" t="n">
        <v>3277.5</v>
      </c>
      <c r="W1082" s="1" t="n">
        <v>3277.5</v>
      </c>
      <c r="X1082" s="1" t="s">
        <v>1053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" t="n">
        <v>2</v>
      </c>
      <c r="B1083" s="15" t="n">
        <v>46242</v>
      </c>
      <c r="C1083" s="15" t="n">
        <v>46242</v>
      </c>
      <c r="D1083" s="1" t="n">
        <v>10096</v>
      </c>
      <c r="E1083" s="1" t="s">
        <v>552</v>
      </c>
      <c r="F1083" s="1" t="n">
        <v>13</v>
      </c>
      <c r="G1083" s="1" t="s">
        <v>133</v>
      </c>
      <c r="H1083" s="1" t="n">
        <v>2110405</v>
      </c>
      <c r="I1083" s="1" t="s">
        <v>41</v>
      </c>
      <c r="J1083" s="1" t="n">
        <v>1528797</v>
      </c>
      <c r="L1083" s="1" t="n">
        <v>207868</v>
      </c>
      <c r="M1083" s="1" t="s">
        <v>83</v>
      </c>
      <c r="N1083" s="1" t="s">
        <v>35</v>
      </c>
      <c r="P1083" s="1" t="n">
        <v>113</v>
      </c>
      <c r="Q1083" s="1" t="s">
        <v>36</v>
      </c>
      <c r="R1083" s="1" t="s">
        <v>48</v>
      </c>
      <c r="S1083" s="1" t="n">
        <v>1130101</v>
      </c>
      <c r="T1083" s="1" t="s">
        <v>49</v>
      </c>
      <c r="U1083" s="17" t="n">
        <v>200</v>
      </c>
      <c r="W1083" s="1" t="n">
        <v>200</v>
      </c>
      <c r="X1083" s="1" t="s">
        <v>1054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" t="n">
        <v>2</v>
      </c>
      <c r="B1084" s="15" t="n">
        <v>46153</v>
      </c>
      <c r="C1084" s="15" t="n">
        <v>46243</v>
      </c>
      <c r="D1084" s="1" t="n">
        <v>10006</v>
      </c>
      <c r="E1084" s="1" t="s">
        <v>185</v>
      </c>
      <c r="F1084" s="1" t="n">
        <v>46</v>
      </c>
      <c r="G1084" s="1" t="s">
        <v>285</v>
      </c>
      <c r="H1084" s="1" t="n">
        <v>2110405</v>
      </c>
      <c r="I1084" s="1" t="s">
        <v>41</v>
      </c>
      <c r="J1084" s="1" t="n">
        <v>1230712</v>
      </c>
      <c r="L1084" s="1" t="n">
        <v>163750</v>
      </c>
      <c r="M1084" s="1" t="s">
        <v>62</v>
      </c>
      <c r="N1084" s="1" t="s">
        <v>35</v>
      </c>
      <c r="P1084" s="1" t="n">
        <v>101</v>
      </c>
      <c r="Q1084" s="1" t="s">
        <v>42</v>
      </c>
      <c r="R1084" s="1" t="s">
        <v>56</v>
      </c>
      <c r="S1084" s="1" t="n">
        <v>4210232</v>
      </c>
      <c r="T1084" s="1" t="s">
        <v>286</v>
      </c>
      <c r="U1084" s="17" t="n">
        <v>415.26</v>
      </c>
      <c r="W1084" s="1" t="n">
        <v>415.26</v>
      </c>
      <c r="X1084" s="1" t="s">
        <v>316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" t="n">
        <v>2</v>
      </c>
      <c r="B1085" s="15" t="n">
        <v>46216</v>
      </c>
      <c r="C1085" s="15" t="n">
        <v>46243</v>
      </c>
      <c r="D1085" s="1" t="n">
        <v>1636</v>
      </c>
      <c r="E1085" s="1" t="s">
        <v>85</v>
      </c>
      <c r="F1085" s="1" t="n">
        <v>24</v>
      </c>
      <c r="G1085" s="1" t="s">
        <v>77</v>
      </c>
      <c r="H1085" s="1" t="n">
        <v>2110405</v>
      </c>
      <c r="I1085" s="1" t="s">
        <v>41</v>
      </c>
      <c r="J1085" s="1" t="n">
        <v>1393186</v>
      </c>
      <c r="L1085" s="1" t="n">
        <v>187324</v>
      </c>
      <c r="M1085" s="1" t="s">
        <v>83</v>
      </c>
      <c r="N1085" s="1" t="s">
        <v>35</v>
      </c>
      <c r="P1085" s="1" t="n">
        <v>113</v>
      </c>
      <c r="Q1085" s="1" t="s">
        <v>36</v>
      </c>
      <c r="R1085" s="1" t="s">
        <v>56</v>
      </c>
      <c r="S1085" s="1" t="n">
        <v>4210227</v>
      </c>
      <c r="T1085" s="1" t="s">
        <v>63</v>
      </c>
      <c r="U1085" s="17" t="n">
        <v>292.39</v>
      </c>
      <c r="W1085" s="1" t="n">
        <v>292.39</v>
      </c>
      <c r="X1085" s="1" t="s">
        <v>1055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" t="n">
        <v>2</v>
      </c>
      <c r="B1086" s="15" t="n">
        <v>46078</v>
      </c>
      <c r="C1086" s="15" t="n">
        <v>46244</v>
      </c>
      <c r="D1086" s="1" t="n">
        <v>1869</v>
      </c>
      <c r="E1086" s="1" t="s">
        <v>288</v>
      </c>
      <c r="F1086" s="1" t="n">
        <v>46</v>
      </c>
      <c r="G1086" s="1" t="s">
        <v>285</v>
      </c>
      <c r="H1086" s="1" t="n">
        <v>2110101</v>
      </c>
      <c r="I1086" s="1" t="s">
        <v>33</v>
      </c>
      <c r="J1086" s="1" t="n">
        <v>717667</v>
      </c>
      <c r="L1086" s="1" t="n">
        <v>93850</v>
      </c>
      <c r="M1086" s="1" t="s">
        <v>47</v>
      </c>
      <c r="N1086" s="1" t="s">
        <v>35</v>
      </c>
      <c r="P1086" s="1" t="n">
        <v>113</v>
      </c>
      <c r="Q1086" s="1" t="s">
        <v>36</v>
      </c>
      <c r="R1086" s="1" t="s">
        <v>56</v>
      </c>
      <c r="S1086" s="1" t="n">
        <v>4210227</v>
      </c>
      <c r="T1086" s="1" t="s">
        <v>63</v>
      </c>
      <c r="U1086" s="17" t="n">
        <v>283.66</v>
      </c>
      <c r="W1086" s="1" t="n">
        <v>283.66</v>
      </c>
      <c r="X1086" s="1" t="s">
        <v>1056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" t="n">
        <v>2</v>
      </c>
      <c r="B1087" s="15" t="n">
        <v>46153</v>
      </c>
      <c r="C1087" s="15" t="n">
        <v>46244</v>
      </c>
      <c r="D1087" s="1" t="n">
        <v>1176</v>
      </c>
      <c r="E1087" s="1" t="s">
        <v>294</v>
      </c>
      <c r="F1087" s="1" t="n">
        <v>24</v>
      </c>
      <c r="G1087" s="1" t="s">
        <v>77</v>
      </c>
      <c r="H1087" s="1" t="n">
        <v>2110405</v>
      </c>
      <c r="I1087" s="1" t="s">
        <v>41</v>
      </c>
      <c r="J1087" s="1" t="n">
        <v>1083394</v>
      </c>
      <c r="L1087" s="1" t="n">
        <v>143444</v>
      </c>
      <c r="M1087" s="1" t="s">
        <v>71</v>
      </c>
      <c r="N1087" s="1" t="s">
        <v>35</v>
      </c>
      <c r="P1087" s="1" t="n">
        <v>101</v>
      </c>
      <c r="Q1087" s="1" t="s">
        <v>42</v>
      </c>
      <c r="R1087" s="1" t="s">
        <v>295</v>
      </c>
      <c r="S1087" s="1" t="n">
        <v>2110901</v>
      </c>
      <c r="T1087" s="1" t="s">
        <v>296</v>
      </c>
      <c r="U1087" s="17" t="n">
        <v>2340.56</v>
      </c>
      <c r="W1087" s="1" t="n">
        <v>2340.56</v>
      </c>
      <c r="X1087" s="1" t="s">
        <v>1057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" t="n">
        <v>2</v>
      </c>
      <c r="B1088" s="15" t="n">
        <v>46183</v>
      </c>
      <c r="C1088" s="15" t="n">
        <v>46244</v>
      </c>
      <c r="D1088" s="1" t="n">
        <v>1100</v>
      </c>
      <c r="E1088" s="1" t="s">
        <v>290</v>
      </c>
      <c r="F1088" s="1" t="n">
        <v>46</v>
      </c>
      <c r="G1088" s="1" t="s">
        <v>285</v>
      </c>
      <c r="H1088" s="1" t="n">
        <v>2110101</v>
      </c>
      <c r="I1088" s="1" t="s">
        <v>33</v>
      </c>
      <c r="J1088" s="1" t="n">
        <v>1230732</v>
      </c>
      <c r="L1088" s="1" t="n">
        <v>1399</v>
      </c>
      <c r="M1088" s="1" t="s">
        <v>62</v>
      </c>
      <c r="N1088" s="1" t="s">
        <v>317</v>
      </c>
      <c r="P1088" s="1" t="n">
        <v>101</v>
      </c>
      <c r="Q1088" s="1" t="s">
        <v>42</v>
      </c>
      <c r="R1088" s="1" t="s">
        <v>318</v>
      </c>
      <c r="S1088" s="1" t="n">
        <v>2110101</v>
      </c>
      <c r="T1088" s="1" t="s">
        <v>33</v>
      </c>
      <c r="U1088" s="17" t="n">
        <v>226.66</v>
      </c>
      <c r="W1088" s="1" t="n">
        <v>226.66</v>
      </c>
      <c r="X1088" s="1" t="s">
        <v>1058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" t="n">
        <v>2</v>
      </c>
      <c r="B1089" s="15" t="n">
        <v>46230</v>
      </c>
      <c r="C1089" s="15" t="n">
        <v>46244</v>
      </c>
      <c r="D1089" s="1" t="n">
        <v>513</v>
      </c>
      <c r="E1089" s="1" t="s">
        <v>314</v>
      </c>
      <c r="F1089" s="1" t="n">
        <v>24</v>
      </c>
      <c r="G1089" s="1" t="s">
        <v>77</v>
      </c>
      <c r="H1089" s="1" t="n">
        <v>2110405</v>
      </c>
      <c r="I1089" s="1" t="s">
        <v>41</v>
      </c>
      <c r="J1089" s="1" t="n">
        <v>1459285</v>
      </c>
      <c r="L1089" s="1" t="n">
        <v>197498</v>
      </c>
      <c r="M1089" s="1" t="s">
        <v>83</v>
      </c>
      <c r="N1089" s="1" t="s">
        <v>35</v>
      </c>
      <c r="P1089" s="1" t="n">
        <v>101</v>
      </c>
      <c r="Q1089" s="1" t="s">
        <v>42</v>
      </c>
      <c r="R1089" s="1" t="s">
        <v>100</v>
      </c>
      <c r="S1089" s="1" t="n">
        <v>4210315</v>
      </c>
      <c r="T1089" s="1" t="s">
        <v>257</v>
      </c>
      <c r="U1089" s="17" t="n">
        <v>160</v>
      </c>
      <c r="W1089" s="1" t="n">
        <v>160</v>
      </c>
      <c r="X1089" s="1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" t="n">
        <v>2</v>
      </c>
      <c r="B1090" s="15" t="n">
        <v>46198</v>
      </c>
      <c r="C1090" s="15" t="n">
        <v>46244</v>
      </c>
      <c r="D1090" s="1" t="n">
        <v>1218</v>
      </c>
      <c r="E1090" s="1" t="s">
        <v>579</v>
      </c>
      <c r="F1090" s="1" t="n">
        <v>24</v>
      </c>
      <c r="G1090" s="1" t="s">
        <v>77</v>
      </c>
      <c r="H1090" s="1" t="n">
        <v>2110101</v>
      </c>
      <c r="I1090" s="1" t="s">
        <v>33</v>
      </c>
      <c r="J1090" s="1" t="n">
        <v>1305945</v>
      </c>
      <c r="L1090" s="1" t="n">
        <v>9495</v>
      </c>
      <c r="M1090" s="1" t="s">
        <v>53</v>
      </c>
      <c r="N1090" s="1" t="s">
        <v>54</v>
      </c>
      <c r="P1090" s="1" t="n">
        <v>113</v>
      </c>
      <c r="Q1090" s="1" t="s">
        <v>36</v>
      </c>
      <c r="R1090" s="1" t="s">
        <v>48</v>
      </c>
      <c r="S1090" s="1" t="n">
        <v>1130101</v>
      </c>
      <c r="T1090" s="1" t="s">
        <v>49</v>
      </c>
      <c r="U1090" s="17" t="n">
        <v>531.18</v>
      </c>
      <c r="W1090" s="1" t="n">
        <v>531.18</v>
      </c>
      <c r="X1090" s="1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" t="n">
        <v>2</v>
      </c>
      <c r="B1091" s="15" t="n">
        <v>46211</v>
      </c>
      <c r="C1091" s="15" t="n">
        <v>46244</v>
      </c>
      <c r="D1091" s="1" t="n">
        <v>33</v>
      </c>
      <c r="E1091" s="1" t="s">
        <v>272</v>
      </c>
      <c r="F1091" s="1" t="n">
        <v>34</v>
      </c>
      <c r="G1091" s="1" t="s">
        <v>97</v>
      </c>
      <c r="H1091" s="1" t="n">
        <v>2110405</v>
      </c>
      <c r="I1091" s="1" t="s">
        <v>41</v>
      </c>
      <c r="J1091" s="1" t="n">
        <v>1370733</v>
      </c>
      <c r="L1091" s="1" t="n">
        <v>184338</v>
      </c>
      <c r="M1091" s="1" t="s">
        <v>83</v>
      </c>
      <c r="N1091" s="1" t="s">
        <v>35</v>
      </c>
      <c r="P1091" s="1" t="n">
        <v>101</v>
      </c>
      <c r="Q1091" s="1" t="s">
        <v>42</v>
      </c>
      <c r="R1091" s="1" t="s">
        <v>56</v>
      </c>
      <c r="S1091" s="1" t="n">
        <v>4210222</v>
      </c>
      <c r="T1091" s="1" t="s">
        <v>1059</v>
      </c>
      <c r="U1091" s="17" t="n">
        <v>666.67</v>
      </c>
      <c r="W1091" s="1" t="n">
        <v>666.67</v>
      </c>
      <c r="X1091" s="1" t="s">
        <v>1060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" t="n">
        <v>2</v>
      </c>
      <c r="B1092" s="15" t="n">
        <v>46218</v>
      </c>
      <c r="C1092" s="15" t="n">
        <v>46244</v>
      </c>
      <c r="D1092" s="1" t="n">
        <v>1636</v>
      </c>
      <c r="E1092" s="1" t="s">
        <v>85</v>
      </c>
      <c r="F1092" s="1" t="n">
        <v>24</v>
      </c>
      <c r="G1092" s="1" t="s">
        <v>77</v>
      </c>
      <c r="H1092" s="1" t="n">
        <v>2110405</v>
      </c>
      <c r="I1092" s="1" t="s">
        <v>41</v>
      </c>
      <c r="J1092" s="1" t="n">
        <v>1402501</v>
      </c>
      <c r="L1092" s="1" t="n">
        <v>188736</v>
      </c>
      <c r="M1092" s="1" t="s">
        <v>83</v>
      </c>
      <c r="N1092" s="1" t="s">
        <v>35</v>
      </c>
      <c r="P1092" s="1" t="n">
        <v>113</v>
      </c>
      <c r="Q1092" s="1" t="s">
        <v>36</v>
      </c>
      <c r="R1092" s="1" t="s">
        <v>48</v>
      </c>
      <c r="S1092" s="1" t="n">
        <v>1130101</v>
      </c>
      <c r="T1092" s="1" t="s">
        <v>49</v>
      </c>
      <c r="U1092" s="17" t="n">
        <v>1315.48</v>
      </c>
      <c r="W1092" s="1" t="n">
        <v>1315.48</v>
      </c>
      <c r="X1092" s="1" t="s">
        <v>983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" t="n">
        <v>2</v>
      </c>
      <c r="B1093" s="15" t="n">
        <v>46218</v>
      </c>
      <c r="C1093" s="15" t="n">
        <v>46244</v>
      </c>
      <c r="D1093" s="1" t="n">
        <v>1636</v>
      </c>
      <c r="E1093" s="1" t="s">
        <v>85</v>
      </c>
      <c r="F1093" s="1" t="n">
        <v>24</v>
      </c>
      <c r="G1093" s="1" t="s">
        <v>77</v>
      </c>
      <c r="H1093" s="1" t="n">
        <v>2110405</v>
      </c>
      <c r="I1093" s="1" t="s">
        <v>41</v>
      </c>
      <c r="J1093" s="1" t="n">
        <v>1403006</v>
      </c>
      <c r="L1093" s="1" t="n">
        <v>188859</v>
      </c>
      <c r="M1093" s="1" t="s">
        <v>83</v>
      </c>
      <c r="N1093" s="1" t="s">
        <v>35</v>
      </c>
      <c r="P1093" s="1" t="n">
        <v>113</v>
      </c>
      <c r="Q1093" s="1" t="s">
        <v>36</v>
      </c>
      <c r="R1093" s="1" t="s">
        <v>48</v>
      </c>
      <c r="S1093" s="1" t="n">
        <v>1130101</v>
      </c>
      <c r="T1093" s="1" t="s">
        <v>49</v>
      </c>
      <c r="U1093" s="17" t="n">
        <v>1387.05</v>
      </c>
      <c r="W1093" s="1" t="n">
        <v>1387.05</v>
      </c>
      <c r="X1093" s="1" t="s">
        <v>901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" t="n">
        <v>2</v>
      </c>
      <c r="B1094" s="15" t="n">
        <v>46219</v>
      </c>
      <c r="C1094" s="15" t="n">
        <v>46244</v>
      </c>
      <c r="D1094" s="1" t="n">
        <v>1636</v>
      </c>
      <c r="E1094" s="1" t="s">
        <v>85</v>
      </c>
      <c r="F1094" s="1" t="n">
        <v>24</v>
      </c>
      <c r="G1094" s="1" t="s">
        <v>77</v>
      </c>
      <c r="H1094" s="1" t="n">
        <v>2110405</v>
      </c>
      <c r="I1094" s="1" t="s">
        <v>41</v>
      </c>
      <c r="J1094" s="1" t="n">
        <v>1406454</v>
      </c>
      <c r="L1094" s="1" t="n">
        <v>189386</v>
      </c>
      <c r="M1094" s="1" t="s">
        <v>83</v>
      </c>
      <c r="N1094" s="1" t="s">
        <v>35</v>
      </c>
      <c r="P1094" s="1" t="n">
        <v>113</v>
      </c>
      <c r="Q1094" s="1" t="s">
        <v>36</v>
      </c>
      <c r="R1094" s="1" t="s">
        <v>48</v>
      </c>
      <c r="S1094" s="1" t="n">
        <v>1130101</v>
      </c>
      <c r="T1094" s="1" t="s">
        <v>49</v>
      </c>
      <c r="U1094" s="17" t="n">
        <v>920.12</v>
      </c>
      <c r="W1094" s="1" t="n">
        <v>920.12</v>
      </c>
      <c r="X1094" s="1" t="s">
        <v>902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" t="n">
        <v>2</v>
      </c>
      <c r="B1095" s="15" t="n">
        <v>46221</v>
      </c>
      <c r="C1095" s="15" t="n">
        <v>46244</v>
      </c>
      <c r="D1095" s="1" t="n">
        <v>1671</v>
      </c>
      <c r="E1095" s="1" t="s">
        <v>88</v>
      </c>
      <c r="F1095" s="1" t="n">
        <v>24</v>
      </c>
      <c r="G1095" s="1" t="s">
        <v>77</v>
      </c>
      <c r="H1095" s="1" t="n">
        <v>2110405</v>
      </c>
      <c r="I1095" s="1" t="s">
        <v>41</v>
      </c>
      <c r="J1095" s="1" t="n">
        <v>1415173</v>
      </c>
      <c r="L1095" s="1" t="n">
        <v>190798</v>
      </c>
      <c r="M1095" s="1" t="s">
        <v>83</v>
      </c>
      <c r="N1095" s="1" t="s">
        <v>35</v>
      </c>
      <c r="P1095" s="1" t="n">
        <v>113</v>
      </c>
      <c r="Q1095" s="1" t="s">
        <v>36</v>
      </c>
      <c r="R1095" s="1" t="s">
        <v>48</v>
      </c>
      <c r="S1095" s="1" t="n">
        <v>1130101</v>
      </c>
      <c r="T1095" s="1" t="s">
        <v>49</v>
      </c>
      <c r="U1095" s="17" t="n">
        <v>823.61</v>
      </c>
      <c r="W1095" s="1" t="n">
        <v>823.61</v>
      </c>
      <c r="X1095" s="1" t="s">
        <v>1061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" t="n">
        <v>2</v>
      </c>
      <c r="B1096" s="15" t="n">
        <v>46221</v>
      </c>
      <c r="C1096" s="15" t="n">
        <v>46244</v>
      </c>
      <c r="D1096" s="1" t="n">
        <v>1671</v>
      </c>
      <c r="E1096" s="1" t="s">
        <v>88</v>
      </c>
      <c r="F1096" s="1" t="n">
        <v>24</v>
      </c>
      <c r="G1096" s="1" t="s">
        <v>77</v>
      </c>
      <c r="H1096" s="1" t="n">
        <v>2110405</v>
      </c>
      <c r="I1096" s="1" t="s">
        <v>41</v>
      </c>
      <c r="J1096" s="1" t="n">
        <v>1415222</v>
      </c>
      <c r="L1096" s="1" t="n">
        <v>190799</v>
      </c>
      <c r="M1096" s="1" t="s">
        <v>83</v>
      </c>
      <c r="N1096" s="1" t="s">
        <v>35</v>
      </c>
      <c r="P1096" s="1" t="n">
        <v>113</v>
      </c>
      <c r="Q1096" s="1" t="s">
        <v>36</v>
      </c>
      <c r="R1096" s="1" t="s">
        <v>48</v>
      </c>
      <c r="S1096" s="1" t="n">
        <v>1130101</v>
      </c>
      <c r="T1096" s="1" t="s">
        <v>49</v>
      </c>
      <c r="U1096" s="17" t="n">
        <v>1472.09</v>
      </c>
      <c r="W1096" s="1" t="n">
        <v>1472.09</v>
      </c>
      <c r="X1096" s="1" t="s">
        <v>1062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" t="n">
        <v>2</v>
      </c>
      <c r="B1097" s="15" t="n">
        <v>46221</v>
      </c>
      <c r="C1097" s="15" t="n">
        <v>46244</v>
      </c>
      <c r="D1097" s="1" t="n">
        <v>1671</v>
      </c>
      <c r="E1097" s="1" t="s">
        <v>88</v>
      </c>
      <c r="F1097" s="1" t="n">
        <v>24</v>
      </c>
      <c r="G1097" s="1" t="s">
        <v>77</v>
      </c>
      <c r="H1097" s="1" t="n">
        <v>2110405</v>
      </c>
      <c r="I1097" s="1" t="s">
        <v>41</v>
      </c>
      <c r="J1097" s="1" t="n">
        <v>1415252</v>
      </c>
      <c r="L1097" s="1" t="n">
        <v>190805</v>
      </c>
      <c r="M1097" s="1" t="s">
        <v>83</v>
      </c>
      <c r="N1097" s="1" t="s">
        <v>35</v>
      </c>
      <c r="P1097" s="1" t="n">
        <v>113</v>
      </c>
      <c r="Q1097" s="1" t="s">
        <v>36</v>
      </c>
      <c r="R1097" s="1" t="s">
        <v>48</v>
      </c>
      <c r="S1097" s="1" t="n">
        <v>1130101</v>
      </c>
      <c r="T1097" s="1" t="s">
        <v>49</v>
      </c>
      <c r="U1097" s="17" t="n">
        <v>1413.72</v>
      </c>
      <c r="W1097" s="1" t="n">
        <v>1413.72</v>
      </c>
      <c r="X1097" s="1" t="s">
        <v>1063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" t="n">
        <v>2</v>
      </c>
      <c r="B1098" s="15" t="n">
        <v>46221</v>
      </c>
      <c r="C1098" s="15" t="n">
        <v>46244</v>
      </c>
      <c r="D1098" s="1" t="n">
        <v>1671</v>
      </c>
      <c r="E1098" s="1" t="s">
        <v>88</v>
      </c>
      <c r="F1098" s="1" t="n">
        <v>24</v>
      </c>
      <c r="G1098" s="1" t="s">
        <v>77</v>
      </c>
      <c r="H1098" s="1" t="n">
        <v>2110405</v>
      </c>
      <c r="I1098" s="1" t="s">
        <v>41</v>
      </c>
      <c r="J1098" s="1" t="n">
        <v>1415265</v>
      </c>
      <c r="L1098" s="1" t="n">
        <v>190811</v>
      </c>
      <c r="M1098" s="1" t="s">
        <v>83</v>
      </c>
      <c r="N1098" s="1" t="s">
        <v>35</v>
      </c>
      <c r="P1098" s="1" t="n">
        <v>113</v>
      </c>
      <c r="Q1098" s="1" t="s">
        <v>36</v>
      </c>
      <c r="R1098" s="1" t="s">
        <v>48</v>
      </c>
      <c r="S1098" s="1" t="n">
        <v>1130101</v>
      </c>
      <c r="T1098" s="1" t="s">
        <v>49</v>
      </c>
      <c r="U1098" s="17" t="n">
        <v>1142.36</v>
      </c>
      <c r="W1098" s="1" t="n">
        <v>1142.36</v>
      </c>
      <c r="X1098" s="1" t="s">
        <v>1064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" t="n">
        <v>2</v>
      </c>
      <c r="B1099" s="15" t="n">
        <v>46223</v>
      </c>
      <c r="C1099" s="15" t="n">
        <v>46244</v>
      </c>
      <c r="D1099" s="1" t="n">
        <v>1601</v>
      </c>
      <c r="E1099" s="1" t="s">
        <v>175</v>
      </c>
      <c r="F1099" s="1" t="n">
        <v>24</v>
      </c>
      <c r="G1099" s="1" t="s">
        <v>77</v>
      </c>
      <c r="H1099" s="1" t="n">
        <v>2110405</v>
      </c>
      <c r="I1099" s="1" t="s">
        <v>41</v>
      </c>
      <c r="J1099" s="1" t="n">
        <v>1424091</v>
      </c>
      <c r="L1099" s="1" t="n">
        <v>190898</v>
      </c>
      <c r="M1099" s="1" t="s">
        <v>83</v>
      </c>
      <c r="N1099" s="1" t="s">
        <v>35</v>
      </c>
      <c r="P1099" s="1" t="n">
        <v>113</v>
      </c>
      <c r="Q1099" s="1" t="s">
        <v>36</v>
      </c>
      <c r="R1099" s="1" t="s">
        <v>48</v>
      </c>
      <c r="S1099" s="1" t="n">
        <v>1130101</v>
      </c>
      <c r="T1099" s="1" t="s">
        <v>49</v>
      </c>
      <c r="U1099" s="17" t="n">
        <v>676.97</v>
      </c>
      <c r="W1099" s="1" t="n">
        <v>676.97</v>
      </c>
      <c r="X1099" s="1" t="s">
        <v>984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" t="n">
        <v>2</v>
      </c>
      <c r="B1100" s="15" t="n">
        <v>46223</v>
      </c>
      <c r="C1100" s="15" t="n">
        <v>46244</v>
      </c>
      <c r="D1100" s="1" t="n">
        <v>607</v>
      </c>
      <c r="E1100" s="1" t="s">
        <v>254</v>
      </c>
      <c r="F1100" s="1" t="n">
        <v>24</v>
      </c>
      <c r="G1100" s="1" t="s">
        <v>77</v>
      </c>
      <c r="H1100" s="1" t="n">
        <v>2110405</v>
      </c>
      <c r="I1100" s="1" t="s">
        <v>41</v>
      </c>
      <c r="J1100" s="1" t="n">
        <v>1424634</v>
      </c>
      <c r="L1100" s="1" t="n">
        <v>190909</v>
      </c>
      <c r="M1100" s="1" t="s">
        <v>83</v>
      </c>
      <c r="N1100" s="1" t="s">
        <v>35</v>
      </c>
      <c r="P1100" s="1" t="n">
        <v>113</v>
      </c>
      <c r="Q1100" s="1" t="s">
        <v>36</v>
      </c>
      <c r="R1100" s="1" t="s">
        <v>48</v>
      </c>
      <c r="S1100" s="1" t="n">
        <v>1130101</v>
      </c>
      <c r="T1100" s="1" t="s">
        <v>49</v>
      </c>
      <c r="U1100" s="17" t="n">
        <v>446.28</v>
      </c>
      <c r="W1100" s="1" t="n">
        <v>446.28</v>
      </c>
      <c r="X1100" s="1" t="s">
        <v>1065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" t="n">
        <v>2</v>
      </c>
      <c r="B1101" s="15" t="n">
        <v>46224</v>
      </c>
      <c r="C1101" s="15" t="n">
        <v>46244</v>
      </c>
      <c r="D1101" s="1" t="n">
        <v>1100</v>
      </c>
      <c r="E1101" s="1" t="s">
        <v>290</v>
      </c>
      <c r="F1101" s="1" t="n">
        <v>46</v>
      </c>
      <c r="G1101" s="1" t="s">
        <v>285</v>
      </c>
      <c r="H1101" s="1" t="n">
        <v>2110405</v>
      </c>
      <c r="I1101" s="1" t="s">
        <v>41</v>
      </c>
      <c r="J1101" s="1" t="n">
        <v>1427624</v>
      </c>
      <c r="L1101" s="1" t="n">
        <v>190916</v>
      </c>
      <c r="M1101" s="1" t="s">
        <v>83</v>
      </c>
      <c r="N1101" s="1" t="s">
        <v>35</v>
      </c>
      <c r="P1101" s="1" t="n">
        <v>113</v>
      </c>
      <c r="Q1101" s="1" t="s">
        <v>36</v>
      </c>
      <c r="R1101" s="1" t="s">
        <v>56</v>
      </c>
      <c r="S1101" s="1" t="n">
        <v>4210227</v>
      </c>
      <c r="T1101" s="1" t="s">
        <v>63</v>
      </c>
      <c r="U1101" s="17" t="n">
        <v>266.68</v>
      </c>
      <c r="W1101" s="1" t="n">
        <v>266.68</v>
      </c>
      <c r="X1101" s="1" t="s">
        <v>1066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" t="n">
        <v>2</v>
      </c>
      <c r="B1102" s="15" t="n">
        <v>46234</v>
      </c>
      <c r="C1102" s="15" t="n">
        <v>46244</v>
      </c>
      <c r="D1102" s="1" t="n">
        <v>1621</v>
      </c>
      <c r="E1102" s="1" t="s">
        <v>212</v>
      </c>
      <c r="F1102" s="1" t="n">
        <v>24</v>
      </c>
      <c r="G1102" s="1" t="s">
        <v>77</v>
      </c>
      <c r="H1102" s="1" t="n">
        <v>2110405</v>
      </c>
      <c r="I1102" s="1" t="s">
        <v>41</v>
      </c>
      <c r="J1102" s="1" t="n">
        <v>1478276</v>
      </c>
      <c r="L1102" s="1" t="n">
        <v>200565</v>
      </c>
      <c r="M1102" s="1" t="s">
        <v>83</v>
      </c>
      <c r="N1102" s="1" t="s">
        <v>35</v>
      </c>
      <c r="P1102" s="1" t="n">
        <v>113</v>
      </c>
      <c r="Q1102" s="1" t="s">
        <v>36</v>
      </c>
      <c r="R1102" s="1" t="s">
        <v>48</v>
      </c>
      <c r="S1102" s="1" t="n">
        <v>1130101</v>
      </c>
      <c r="T1102" s="1" t="s">
        <v>49</v>
      </c>
      <c r="U1102" s="17" t="n">
        <v>315.97</v>
      </c>
      <c r="W1102" s="1" t="n">
        <v>315.97</v>
      </c>
      <c r="X1102" s="1" t="s">
        <v>1067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" t="n">
        <v>2</v>
      </c>
      <c r="B1103" s="15" t="n">
        <v>46235</v>
      </c>
      <c r="C1103" s="15" t="n">
        <v>46244</v>
      </c>
      <c r="D1103" s="1" t="n">
        <v>1723</v>
      </c>
      <c r="E1103" s="1" t="s">
        <v>332</v>
      </c>
      <c r="F1103" s="1" t="n">
        <v>24</v>
      </c>
      <c r="G1103" s="1" t="s">
        <v>77</v>
      </c>
      <c r="H1103" s="1" t="n">
        <v>2110405</v>
      </c>
      <c r="I1103" s="1" t="s">
        <v>41</v>
      </c>
      <c r="J1103" s="1" t="n">
        <v>1482026</v>
      </c>
      <c r="L1103" s="1" t="n">
        <v>201167</v>
      </c>
      <c r="M1103" s="1" t="s">
        <v>83</v>
      </c>
      <c r="N1103" s="1" t="s">
        <v>35</v>
      </c>
      <c r="P1103" s="1" t="n">
        <v>113</v>
      </c>
      <c r="Q1103" s="1" t="s">
        <v>36</v>
      </c>
      <c r="R1103" s="1" t="s">
        <v>48</v>
      </c>
      <c r="S1103" s="1" t="n">
        <v>1130101</v>
      </c>
      <c r="T1103" s="1" t="s">
        <v>49</v>
      </c>
      <c r="U1103" s="17" t="n">
        <v>1349.7</v>
      </c>
      <c r="W1103" s="1" t="n">
        <v>1349.7</v>
      </c>
      <c r="X1103" s="1" t="s">
        <v>1068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" t="n">
        <v>2</v>
      </c>
      <c r="B1104" s="15" t="n">
        <v>46237</v>
      </c>
      <c r="C1104" s="15" t="n">
        <v>46244</v>
      </c>
      <c r="D1104" s="1" t="n">
        <v>1626</v>
      </c>
      <c r="E1104" s="1" t="s">
        <v>82</v>
      </c>
      <c r="F1104" s="1" t="n">
        <v>24</v>
      </c>
      <c r="G1104" s="1" t="s">
        <v>77</v>
      </c>
      <c r="H1104" s="1" t="n">
        <v>2110405</v>
      </c>
      <c r="I1104" s="1" t="s">
        <v>41</v>
      </c>
      <c r="J1104" s="1" t="n">
        <v>1495125</v>
      </c>
      <c r="L1104" s="1" t="n">
        <v>202737</v>
      </c>
      <c r="M1104" s="1" t="s">
        <v>83</v>
      </c>
      <c r="N1104" s="1" t="s">
        <v>35</v>
      </c>
      <c r="P1104" s="1" t="n">
        <v>113</v>
      </c>
      <c r="Q1104" s="1" t="s">
        <v>36</v>
      </c>
      <c r="R1104" s="1" t="s">
        <v>48</v>
      </c>
      <c r="S1104" s="1" t="n">
        <v>1130101</v>
      </c>
      <c r="T1104" s="1" t="s">
        <v>49</v>
      </c>
      <c r="U1104" s="17" t="n">
        <v>416.64</v>
      </c>
      <c r="W1104" s="1" t="n">
        <v>416.64</v>
      </c>
      <c r="X1104" s="1" t="s">
        <v>1069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" t="n">
        <v>2</v>
      </c>
      <c r="B1105" s="15" t="n">
        <v>46238</v>
      </c>
      <c r="C1105" s="15" t="n">
        <v>46244</v>
      </c>
      <c r="D1105" s="1" t="n">
        <v>1328</v>
      </c>
      <c r="E1105" s="1" t="s">
        <v>92</v>
      </c>
      <c r="F1105" s="1" t="n">
        <v>24</v>
      </c>
      <c r="G1105" s="1" t="s">
        <v>77</v>
      </c>
      <c r="H1105" s="1" t="n">
        <v>2110405</v>
      </c>
      <c r="I1105" s="1" t="s">
        <v>41</v>
      </c>
      <c r="J1105" s="1" t="n">
        <v>1499888</v>
      </c>
      <c r="L1105" s="1" t="n">
        <v>203578</v>
      </c>
      <c r="M1105" s="1" t="s">
        <v>83</v>
      </c>
      <c r="N1105" s="1" t="s">
        <v>35</v>
      </c>
      <c r="P1105" s="1" t="n">
        <v>113</v>
      </c>
      <c r="Q1105" s="1" t="s">
        <v>36</v>
      </c>
      <c r="R1105" s="1" t="s">
        <v>48</v>
      </c>
      <c r="S1105" s="1" t="n">
        <v>1130101</v>
      </c>
      <c r="T1105" s="1" t="s">
        <v>49</v>
      </c>
      <c r="U1105" s="17" t="n">
        <v>219.3</v>
      </c>
      <c r="W1105" s="1" t="n">
        <v>219.3</v>
      </c>
      <c r="X1105" s="1" t="s">
        <v>1070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" t="n">
        <v>2</v>
      </c>
      <c r="B1106" s="15" t="n">
        <v>46239</v>
      </c>
      <c r="C1106" s="15" t="n">
        <v>46244</v>
      </c>
      <c r="D1106" s="1" t="n">
        <v>1899</v>
      </c>
      <c r="E1106" s="1" t="s">
        <v>194</v>
      </c>
      <c r="F1106" s="1" t="n">
        <v>24</v>
      </c>
      <c r="G1106" s="1" t="s">
        <v>77</v>
      </c>
      <c r="H1106" s="1" t="n">
        <v>2110405</v>
      </c>
      <c r="I1106" s="1" t="s">
        <v>41</v>
      </c>
      <c r="J1106" s="1" t="n">
        <v>1503447</v>
      </c>
      <c r="L1106" s="1" t="n">
        <v>204125</v>
      </c>
      <c r="M1106" s="1" t="s">
        <v>83</v>
      </c>
      <c r="N1106" s="1" t="s">
        <v>35</v>
      </c>
      <c r="P1106" s="1" t="n">
        <v>113</v>
      </c>
      <c r="Q1106" s="1" t="s">
        <v>36</v>
      </c>
      <c r="R1106" s="1" t="s">
        <v>48</v>
      </c>
      <c r="S1106" s="1" t="n">
        <v>1130101</v>
      </c>
      <c r="T1106" s="1" t="s">
        <v>49</v>
      </c>
      <c r="U1106" s="17" t="n">
        <v>312.1</v>
      </c>
      <c r="W1106" s="1" t="n">
        <v>312.1</v>
      </c>
      <c r="X1106" s="1" t="s">
        <v>1071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" t="n">
        <v>2</v>
      </c>
      <c r="B1107" s="15" t="n">
        <v>46239</v>
      </c>
      <c r="C1107" s="15" t="n">
        <v>46244</v>
      </c>
      <c r="D1107" s="1" t="n">
        <v>1695</v>
      </c>
      <c r="E1107" s="1" t="s">
        <v>351</v>
      </c>
      <c r="F1107" s="1" t="n">
        <v>34</v>
      </c>
      <c r="G1107" s="1" t="s">
        <v>97</v>
      </c>
      <c r="H1107" s="1" t="n">
        <v>2110405</v>
      </c>
      <c r="I1107" s="1" t="s">
        <v>41</v>
      </c>
      <c r="J1107" s="1" t="n">
        <v>1503728</v>
      </c>
      <c r="L1107" s="1" t="n">
        <v>204165</v>
      </c>
      <c r="M1107" s="1" t="s">
        <v>83</v>
      </c>
      <c r="N1107" s="1" t="s">
        <v>35</v>
      </c>
      <c r="P1107" s="1" t="n">
        <v>113</v>
      </c>
      <c r="Q1107" s="1" t="s">
        <v>36</v>
      </c>
      <c r="R1107" s="1" t="s">
        <v>48</v>
      </c>
      <c r="S1107" s="1" t="n">
        <v>1130101</v>
      </c>
      <c r="T1107" s="1" t="s">
        <v>49</v>
      </c>
      <c r="U1107" s="17" t="n">
        <v>795.6</v>
      </c>
      <c r="W1107" s="1" t="n">
        <v>795.6</v>
      </c>
      <c r="X1107" s="1" t="s">
        <v>1072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" t="n">
        <v>2</v>
      </c>
      <c r="B1108" s="15" t="n">
        <v>46240</v>
      </c>
      <c r="C1108" s="15" t="n">
        <v>46244</v>
      </c>
      <c r="D1108" s="1" t="n">
        <v>10103</v>
      </c>
      <c r="E1108" s="1" t="s">
        <v>1073</v>
      </c>
      <c r="F1108" s="1" t="n">
        <v>34</v>
      </c>
      <c r="G1108" s="1" t="s">
        <v>97</v>
      </c>
      <c r="H1108" s="1" t="n">
        <v>2110405</v>
      </c>
      <c r="I1108" s="1" t="s">
        <v>41</v>
      </c>
      <c r="J1108" s="1" t="n">
        <v>1508229</v>
      </c>
      <c r="L1108" s="1" t="n">
        <v>204893</v>
      </c>
      <c r="M1108" s="1" t="s">
        <v>83</v>
      </c>
      <c r="N1108" s="1" t="s">
        <v>35</v>
      </c>
      <c r="P1108" s="1" t="n">
        <v>113</v>
      </c>
      <c r="Q1108" s="1" t="s">
        <v>36</v>
      </c>
      <c r="R1108" s="1" t="s">
        <v>48</v>
      </c>
      <c r="S1108" s="1" t="n">
        <v>1130101</v>
      </c>
      <c r="T1108" s="1" t="s">
        <v>49</v>
      </c>
      <c r="U1108" s="17" t="n">
        <v>390</v>
      </c>
      <c r="W1108" s="1" t="n">
        <v>390</v>
      </c>
      <c r="X1108" s="1" t="s">
        <v>1074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" t="n">
        <v>2</v>
      </c>
      <c r="B1109" s="15" t="n">
        <v>46241</v>
      </c>
      <c r="C1109" s="15" t="n">
        <v>46244</v>
      </c>
      <c r="D1109" s="1" t="n">
        <v>10035</v>
      </c>
      <c r="E1109" s="1" t="s">
        <v>96</v>
      </c>
      <c r="F1109" s="1" t="n">
        <v>34</v>
      </c>
      <c r="G1109" s="1" t="s">
        <v>97</v>
      </c>
      <c r="H1109" s="1" t="n">
        <v>2110405</v>
      </c>
      <c r="I1109" s="1" t="s">
        <v>41</v>
      </c>
      <c r="J1109" s="1" t="n">
        <v>1514033</v>
      </c>
      <c r="L1109" s="1" t="n">
        <v>205939</v>
      </c>
      <c r="M1109" s="1" t="s">
        <v>83</v>
      </c>
      <c r="N1109" s="1" t="s">
        <v>35</v>
      </c>
      <c r="P1109" s="1" t="n">
        <v>113</v>
      </c>
      <c r="Q1109" s="1" t="s">
        <v>36</v>
      </c>
      <c r="R1109" s="1" t="s">
        <v>48</v>
      </c>
      <c r="S1109" s="1" t="n">
        <v>1130101</v>
      </c>
      <c r="T1109" s="1" t="s">
        <v>49</v>
      </c>
      <c r="U1109" s="17" t="n">
        <v>183</v>
      </c>
      <c r="W1109" s="1" t="n">
        <v>183</v>
      </c>
      <c r="X1109" s="1" t="s">
        <v>1075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" t="n">
        <v>2</v>
      </c>
      <c r="B1110" s="15" t="n">
        <v>46244</v>
      </c>
      <c r="C1110" s="15" t="n">
        <v>46244</v>
      </c>
      <c r="D1110" s="1" t="n">
        <v>1899</v>
      </c>
      <c r="E1110" s="1" t="s">
        <v>194</v>
      </c>
      <c r="F1110" s="1" t="n">
        <v>24</v>
      </c>
      <c r="G1110" s="1" t="s">
        <v>77</v>
      </c>
      <c r="H1110" s="1" t="n">
        <v>2110405</v>
      </c>
      <c r="I1110" s="1" t="s">
        <v>41</v>
      </c>
      <c r="J1110" s="1" t="n">
        <v>1529094</v>
      </c>
      <c r="L1110" s="1" t="n">
        <v>207942</v>
      </c>
      <c r="M1110" s="1" t="s">
        <v>83</v>
      </c>
      <c r="N1110" s="1" t="s">
        <v>35</v>
      </c>
      <c r="P1110" s="1" t="n">
        <v>113</v>
      </c>
      <c r="Q1110" s="1" t="s">
        <v>36</v>
      </c>
      <c r="R1110" s="1" t="s">
        <v>48</v>
      </c>
      <c r="S1110" s="1" t="n">
        <v>1130101</v>
      </c>
      <c r="T1110" s="1" t="s">
        <v>49</v>
      </c>
      <c r="U1110" s="17" t="n">
        <v>374.7</v>
      </c>
      <c r="W1110" s="1" t="n">
        <v>374.7</v>
      </c>
      <c r="X1110" s="1" t="s">
        <v>1076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" t="n">
        <v>2</v>
      </c>
      <c r="B1111" s="15" t="n">
        <v>46244</v>
      </c>
      <c r="C1111" s="15" t="n">
        <v>46244</v>
      </c>
      <c r="D1111" s="1" t="n">
        <v>642</v>
      </c>
      <c r="E1111" s="1" t="s">
        <v>130</v>
      </c>
      <c r="F1111" s="1" t="n">
        <v>24</v>
      </c>
      <c r="G1111" s="1" t="s">
        <v>77</v>
      </c>
      <c r="H1111" s="1" t="n">
        <v>2110405</v>
      </c>
      <c r="I1111" s="1" t="s">
        <v>41</v>
      </c>
      <c r="J1111" s="1" t="n">
        <v>1529101</v>
      </c>
      <c r="L1111" s="1" t="n">
        <v>207943</v>
      </c>
      <c r="M1111" s="1" t="s">
        <v>83</v>
      </c>
      <c r="N1111" s="1" t="s">
        <v>35</v>
      </c>
      <c r="P1111" s="1" t="n">
        <v>113</v>
      </c>
      <c r="Q1111" s="1" t="s">
        <v>36</v>
      </c>
      <c r="R1111" s="1" t="s">
        <v>48</v>
      </c>
      <c r="S1111" s="1" t="n">
        <v>1130101</v>
      </c>
      <c r="T1111" s="1" t="s">
        <v>49</v>
      </c>
      <c r="U1111" s="17" t="n">
        <v>420</v>
      </c>
      <c r="W1111" s="1" t="n">
        <v>420</v>
      </c>
      <c r="X1111" s="1" t="s">
        <v>1077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" t="n">
        <v>2</v>
      </c>
      <c r="B1112" s="15" t="n">
        <v>46220</v>
      </c>
      <c r="C1112" s="15" t="n">
        <v>46244</v>
      </c>
      <c r="D1112" s="1" t="n">
        <v>1331</v>
      </c>
      <c r="E1112" s="1" t="s">
        <v>1078</v>
      </c>
      <c r="F1112" s="1" t="n">
        <v>46</v>
      </c>
      <c r="G1112" s="1" t="s">
        <v>285</v>
      </c>
      <c r="H1112" s="1" t="n">
        <v>2110405</v>
      </c>
      <c r="I1112" s="1" t="s">
        <v>41</v>
      </c>
      <c r="J1112" s="1" t="n">
        <v>1529103</v>
      </c>
      <c r="L1112" s="1" t="n">
        <v>207945</v>
      </c>
      <c r="M1112" s="1" t="s">
        <v>83</v>
      </c>
      <c r="N1112" s="1" t="s">
        <v>35</v>
      </c>
      <c r="P1112" s="1" t="n">
        <v>101</v>
      </c>
      <c r="Q1112" s="1" t="s">
        <v>42</v>
      </c>
      <c r="R1112" s="1" t="s">
        <v>56</v>
      </c>
      <c r="S1112" s="1" t="n">
        <v>4210209</v>
      </c>
      <c r="T1112" s="1" t="s">
        <v>605</v>
      </c>
      <c r="U1112" s="17" t="n">
        <v>106.35</v>
      </c>
      <c r="W1112" s="1" t="n">
        <v>106.35</v>
      </c>
      <c r="X1112" s="1" t="s">
        <v>1079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" t="n">
        <v>2</v>
      </c>
      <c r="B1113" s="15" t="n">
        <v>46244</v>
      </c>
      <c r="C1113" s="15" t="n">
        <v>46244</v>
      </c>
      <c r="D1113" s="1" t="n">
        <v>48</v>
      </c>
      <c r="E1113" s="1" t="s">
        <v>132</v>
      </c>
      <c r="F1113" s="1" t="n">
        <v>13</v>
      </c>
      <c r="G1113" s="1" t="s">
        <v>133</v>
      </c>
      <c r="H1113" s="1" t="n">
        <v>2110101</v>
      </c>
      <c r="I1113" s="1" t="s">
        <v>33</v>
      </c>
      <c r="J1113" s="1" t="n">
        <v>1529194</v>
      </c>
      <c r="L1113" s="1" t="n">
        <v>2596</v>
      </c>
      <c r="M1113" s="1" t="s">
        <v>83</v>
      </c>
      <c r="N1113" s="1" t="s">
        <v>54</v>
      </c>
      <c r="P1113" s="1" t="n">
        <v>113</v>
      </c>
      <c r="Q1113" s="1" t="s">
        <v>36</v>
      </c>
      <c r="R1113" s="1" t="s">
        <v>48</v>
      </c>
      <c r="S1113" s="1" t="n">
        <v>1130101</v>
      </c>
      <c r="T1113" s="1" t="s">
        <v>49</v>
      </c>
      <c r="U1113" s="17" t="n">
        <v>375</v>
      </c>
      <c r="W1113" s="1" t="n">
        <v>0</v>
      </c>
      <c r="X1113" s="1" t="s">
        <v>1080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" t="n">
        <v>2</v>
      </c>
      <c r="B1114" s="15" t="n">
        <v>46244</v>
      </c>
      <c r="C1114" s="15" t="n">
        <v>46244</v>
      </c>
      <c r="D1114" s="1" t="n">
        <v>33</v>
      </c>
      <c r="E1114" s="1" t="s">
        <v>272</v>
      </c>
      <c r="F1114" s="1" t="n">
        <v>34</v>
      </c>
      <c r="G1114" s="1" t="s">
        <v>97</v>
      </c>
      <c r="H1114" s="1" t="n">
        <v>2110405</v>
      </c>
      <c r="I1114" s="1" t="s">
        <v>41</v>
      </c>
      <c r="J1114" s="1" t="n">
        <v>1537293</v>
      </c>
      <c r="L1114" s="1" t="n">
        <v>209752</v>
      </c>
      <c r="M1114" s="1" t="s">
        <v>83</v>
      </c>
      <c r="N1114" s="1" t="s">
        <v>35</v>
      </c>
      <c r="P1114" s="1" t="n">
        <v>102</v>
      </c>
      <c r="Q1114" s="1" t="s">
        <v>282</v>
      </c>
      <c r="R1114" s="1" t="s">
        <v>43</v>
      </c>
      <c r="S1114" s="1" t="n">
        <v>4220199</v>
      </c>
      <c r="T1114" s="1" t="s">
        <v>44</v>
      </c>
      <c r="U1114" s="17" t="n">
        <v>666.66</v>
      </c>
      <c r="W1114" s="1" t="n">
        <v>666.66</v>
      </c>
      <c r="X1114" s="1" t="s">
        <v>1081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" t="n">
        <v>2</v>
      </c>
      <c r="B1115" s="15" t="n">
        <v>46197</v>
      </c>
      <c r="C1115" s="15" t="n">
        <v>46245</v>
      </c>
      <c r="D1115" s="1" t="n">
        <v>607</v>
      </c>
      <c r="E1115" s="1" t="s">
        <v>254</v>
      </c>
      <c r="F1115" s="1" t="n">
        <v>24</v>
      </c>
      <c r="G1115" s="1" t="s">
        <v>77</v>
      </c>
      <c r="H1115" s="1" t="n">
        <v>2110101</v>
      </c>
      <c r="I1115" s="1" t="s">
        <v>33</v>
      </c>
      <c r="J1115" s="1" t="n">
        <v>1300232</v>
      </c>
      <c r="L1115" s="1" t="n">
        <v>10860</v>
      </c>
      <c r="M1115" s="1" t="s">
        <v>71</v>
      </c>
      <c r="N1115" s="1" t="s">
        <v>54</v>
      </c>
      <c r="P1115" s="1" t="n">
        <v>113</v>
      </c>
      <c r="Q1115" s="1" t="s">
        <v>36</v>
      </c>
      <c r="R1115" s="1" t="s">
        <v>48</v>
      </c>
      <c r="S1115" s="1" t="n">
        <v>1130101</v>
      </c>
      <c r="T1115" s="1" t="s">
        <v>49</v>
      </c>
      <c r="U1115" s="17" t="n">
        <v>1361.81</v>
      </c>
      <c r="W1115" s="1" t="n">
        <v>1361.81</v>
      </c>
      <c r="X1115" s="1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" t="n">
        <v>2</v>
      </c>
      <c r="B1116" s="15" t="n">
        <v>46230</v>
      </c>
      <c r="C1116" s="15" t="n">
        <v>46245</v>
      </c>
      <c r="D1116" s="1" t="n">
        <v>1705</v>
      </c>
      <c r="E1116" s="1" t="s">
        <v>119</v>
      </c>
      <c r="F1116" s="1" t="n">
        <v>24</v>
      </c>
      <c r="G1116" s="1" t="s">
        <v>77</v>
      </c>
      <c r="H1116" s="1" t="n">
        <v>2110405</v>
      </c>
      <c r="I1116" s="1" t="s">
        <v>41</v>
      </c>
      <c r="J1116" s="1" t="n">
        <v>1459409</v>
      </c>
      <c r="L1116" s="1" t="n">
        <v>197513</v>
      </c>
      <c r="M1116" s="1" t="s">
        <v>83</v>
      </c>
      <c r="N1116" s="1" t="s">
        <v>35</v>
      </c>
      <c r="P1116" s="1" t="n">
        <v>113</v>
      </c>
      <c r="Q1116" s="1" t="s">
        <v>36</v>
      </c>
      <c r="R1116" s="1" t="s">
        <v>48</v>
      </c>
      <c r="S1116" s="1" t="n">
        <v>1130101</v>
      </c>
      <c r="T1116" s="1" t="s">
        <v>49</v>
      </c>
      <c r="U1116" s="17" t="n">
        <v>868.27</v>
      </c>
      <c r="W1116" s="1" t="n">
        <v>868.27</v>
      </c>
      <c r="X1116" s="1" t="s">
        <v>1082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" t="n">
        <v>2</v>
      </c>
      <c r="B1117" s="15" t="n">
        <v>46230</v>
      </c>
      <c r="C1117" s="15" t="n">
        <v>46245</v>
      </c>
      <c r="D1117" s="1" t="n">
        <v>1705</v>
      </c>
      <c r="E1117" s="1" t="s">
        <v>119</v>
      </c>
      <c r="F1117" s="1" t="n">
        <v>24</v>
      </c>
      <c r="G1117" s="1" t="s">
        <v>77</v>
      </c>
      <c r="H1117" s="1" t="n">
        <v>2110405</v>
      </c>
      <c r="I1117" s="1" t="s">
        <v>41</v>
      </c>
      <c r="J1117" s="1" t="n">
        <v>1459418</v>
      </c>
      <c r="L1117" s="1" t="n">
        <v>197514</v>
      </c>
      <c r="M1117" s="1" t="s">
        <v>83</v>
      </c>
      <c r="N1117" s="1" t="s">
        <v>35</v>
      </c>
      <c r="P1117" s="1" t="n">
        <v>113</v>
      </c>
      <c r="Q1117" s="1" t="s">
        <v>36</v>
      </c>
      <c r="R1117" s="1" t="s">
        <v>48</v>
      </c>
      <c r="S1117" s="1" t="n">
        <v>1130101</v>
      </c>
      <c r="T1117" s="1" t="s">
        <v>49</v>
      </c>
      <c r="U1117" s="17" t="n">
        <v>659.74</v>
      </c>
      <c r="W1117" s="1" t="n">
        <v>659.74</v>
      </c>
      <c r="X1117" s="1" t="s">
        <v>1083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" t="n">
        <v>2</v>
      </c>
      <c r="B1118" s="15" t="n">
        <v>46212</v>
      </c>
      <c r="C1118" s="15" t="n">
        <v>46245</v>
      </c>
      <c r="D1118" s="1" t="n">
        <v>33</v>
      </c>
      <c r="E1118" s="1" t="s">
        <v>272</v>
      </c>
      <c r="F1118" s="1" t="n">
        <v>34</v>
      </c>
      <c r="G1118" s="1" t="s">
        <v>97</v>
      </c>
      <c r="H1118" s="1" t="n">
        <v>2110405</v>
      </c>
      <c r="I1118" s="1" t="s">
        <v>41</v>
      </c>
      <c r="J1118" s="1" t="n">
        <v>910921</v>
      </c>
      <c r="L1118" s="1" t="n">
        <v>120198</v>
      </c>
      <c r="M1118" s="1" t="s">
        <v>71</v>
      </c>
      <c r="N1118" s="1" t="s">
        <v>35</v>
      </c>
      <c r="P1118" s="1" t="n">
        <v>102</v>
      </c>
      <c r="Q1118" s="1" t="s">
        <v>282</v>
      </c>
      <c r="R1118" s="1" t="s">
        <v>100</v>
      </c>
      <c r="S1118" s="1" t="n">
        <v>4210301</v>
      </c>
      <c r="T1118" s="1" t="s">
        <v>230</v>
      </c>
      <c r="U1118" s="17" t="n">
        <v>250.1</v>
      </c>
      <c r="W1118" s="1" t="n">
        <v>250.1</v>
      </c>
      <c r="X1118" s="1" t="s">
        <v>1084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" t="n">
        <v>2</v>
      </c>
      <c r="B1119" s="15" t="n">
        <v>46218</v>
      </c>
      <c r="C1119" s="15" t="n">
        <v>46245</v>
      </c>
      <c r="D1119" s="1" t="n">
        <v>1637</v>
      </c>
      <c r="E1119" s="1" t="s">
        <v>764</v>
      </c>
      <c r="F1119" s="1" t="n">
        <v>24</v>
      </c>
      <c r="G1119" s="1" t="s">
        <v>77</v>
      </c>
      <c r="H1119" s="1" t="n">
        <v>2110405</v>
      </c>
      <c r="I1119" s="1" t="s">
        <v>41</v>
      </c>
      <c r="J1119" s="1" t="n">
        <v>1401272</v>
      </c>
      <c r="L1119" s="1" t="n">
        <v>188461</v>
      </c>
      <c r="M1119" s="1" t="s">
        <v>83</v>
      </c>
      <c r="N1119" s="1" t="s">
        <v>35</v>
      </c>
      <c r="P1119" s="1" t="n">
        <v>113</v>
      </c>
      <c r="Q1119" s="1" t="s">
        <v>36</v>
      </c>
      <c r="R1119" s="1" t="s">
        <v>48</v>
      </c>
      <c r="S1119" s="1" t="n">
        <v>1130101</v>
      </c>
      <c r="T1119" s="1" t="s">
        <v>49</v>
      </c>
      <c r="U1119" s="17" t="n">
        <v>639.52</v>
      </c>
      <c r="W1119" s="1" t="n">
        <v>639.52</v>
      </c>
      <c r="X1119" s="1" t="s">
        <v>1085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" t="n">
        <v>2</v>
      </c>
      <c r="B1120" s="15" t="n">
        <v>46225</v>
      </c>
      <c r="C1120" s="15" t="n">
        <v>46245</v>
      </c>
      <c r="D1120" s="1" t="n">
        <v>1668</v>
      </c>
      <c r="E1120" s="1" t="s">
        <v>123</v>
      </c>
      <c r="F1120" s="1" t="n">
        <v>24</v>
      </c>
      <c r="G1120" s="1" t="s">
        <v>77</v>
      </c>
      <c r="H1120" s="1" t="n">
        <v>2110405</v>
      </c>
      <c r="I1120" s="1" t="s">
        <v>41</v>
      </c>
      <c r="J1120" s="1" t="n">
        <v>1436109</v>
      </c>
      <c r="L1120" s="1" t="n">
        <v>194046</v>
      </c>
      <c r="M1120" s="1" t="s">
        <v>83</v>
      </c>
      <c r="N1120" s="1" t="s">
        <v>35</v>
      </c>
      <c r="P1120" s="1" t="n">
        <v>113</v>
      </c>
      <c r="Q1120" s="1" t="s">
        <v>36</v>
      </c>
      <c r="R1120" s="1" t="s">
        <v>56</v>
      </c>
      <c r="S1120" s="1" t="n">
        <v>4210299</v>
      </c>
      <c r="T1120" s="1" t="s">
        <v>115</v>
      </c>
      <c r="U1120" s="17" t="n">
        <v>391.26</v>
      </c>
      <c r="W1120" s="1" t="n">
        <v>391.26</v>
      </c>
      <c r="X1120" s="1" t="s">
        <v>1086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" t="n">
        <v>2</v>
      </c>
      <c r="B1121" s="15" t="n">
        <v>46226</v>
      </c>
      <c r="C1121" s="15" t="n">
        <v>46245</v>
      </c>
      <c r="D1121" s="1" t="n">
        <v>10014</v>
      </c>
      <c r="E1121" s="1" t="s">
        <v>162</v>
      </c>
      <c r="F1121" s="1" t="n">
        <v>24</v>
      </c>
      <c r="G1121" s="1" t="s">
        <v>77</v>
      </c>
      <c r="H1121" s="1" t="n">
        <v>2110405</v>
      </c>
      <c r="I1121" s="1" t="s">
        <v>41</v>
      </c>
      <c r="J1121" s="1" t="n">
        <v>1439368</v>
      </c>
      <c r="L1121" s="1" t="n">
        <v>194537</v>
      </c>
      <c r="M1121" s="1" t="s">
        <v>83</v>
      </c>
      <c r="N1121" s="1" t="s">
        <v>35</v>
      </c>
      <c r="P1121" s="1" t="n">
        <v>113</v>
      </c>
      <c r="Q1121" s="1" t="s">
        <v>36</v>
      </c>
      <c r="R1121" s="1" t="s">
        <v>48</v>
      </c>
      <c r="S1121" s="1" t="n">
        <v>1130101</v>
      </c>
      <c r="T1121" s="1" t="s">
        <v>49</v>
      </c>
      <c r="U1121" s="17" t="n">
        <v>1009.92</v>
      </c>
      <c r="W1121" s="1" t="n">
        <v>1009.92</v>
      </c>
      <c r="X1121" s="1" t="s">
        <v>1087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" t="n">
        <v>2</v>
      </c>
      <c r="B1122" s="15" t="n">
        <v>46232</v>
      </c>
      <c r="C1122" s="15" t="n">
        <v>46245</v>
      </c>
      <c r="D1122" s="1" t="n">
        <v>1635</v>
      </c>
      <c r="E1122" s="1" t="s">
        <v>117</v>
      </c>
      <c r="F1122" s="1" t="n">
        <v>24</v>
      </c>
      <c r="G1122" s="1" t="s">
        <v>77</v>
      </c>
      <c r="H1122" s="1" t="n">
        <v>2110405</v>
      </c>
      <c r="I1122" s="1" t="s">
        <v>41</v>
      </c>
      <c r="J1122" s="1" t="n">
        <v>1469137</v>
      </c>
      <c r="L1122" s="1" t="n">
        <v>199023</v>
      </c>
      <c r="M1122" s="1" t="s">
        <v>83</v>
      </c>
      <c r="N1122" s="1" t="s">
        <v>35</v>
      </c>
      <c r="P1122" s="1" t="n">
        <v>113</v>
      </c>
      <c r="Q1122" s="1" t="s">
        <v>36</v>
      </c>
      <c r="R1122" s="1" t="s">
        <v>48</v>
      </c>
      <c r="S1122" s="1" t="n">
        <v>1130101</v>
      </c>
      <c r="T1122" s="1" t="s">
        <v>49</v>
      </c>
      <c r="U1122" s="17" t="n">
        <v>926.71</v>
      </c>
      <c r="W1122" s="1" t="n">
        <v>926.71</v>
      </c>
      <c r="X1122" s="1" t="s">
        <v>1088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" t="n">
        <v>2</v>
      </c>
      <c r="B1123" s="15" t="n">
        <v>46239</v>
      </c>
      <c r="C1123" s="15" t="n">
        <v>46245</v>
      </c>
      <c r="D1123" s="1" t="n">
        <v>1650</v>
      </c>
      <c r="E1123" s="1" t="s">
        <v>390</v>
      </c>
      <c r="F1123" s="1" t="n">
        <v>24</v>
      </c>
      <c r="G1123" s="1" t="s">
        <v>77</v>
      </c>
      <c r="H1123" s="1" t="n">
        <v>2110405</v>
      </c>
      <c r="I1123" s="1" t="s">
        <v>41</v>
      </c>
      <c r="J1123" s="1" t="n">
        <v>1503398</v>
      </c>
      <c r="L1123" s="1" t="n">
        <v>204108</v>
      </c>
      <c r="M1123" s="1" t="s">
        <v>83</v>
      </c>
      <c r="N1123" s="1" t="s">
        <v>35</v>
      </c>
      <c r="P1123" s="1" t="n">
        <v>113</v>
      </c>
      <c r="Q1123" s="1" t="s">
        <v>36</v>
      </c>
      <c r="R1123" s="1" t="s">
        <v>48</v>
      </c>
      <c r="S1123" s="1" t="n">
        <v>1130101</v>
      </c>
      <c r="T1123" s="1" t="s">
        <v>49</v>
      </c>
      <c r="U1123" s="17" t="n">
        <v>362.06</v>
      </c>
      <c r="W1123" s="1" t="n">
        <v>362.06</v>
      </c>
      <c r="X1123" s="1" t="s">
        <v>1089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" t="n">
        <v>2</v>
      </c>
      <c r="B1124" s="15" t="n">
        <v>46239</v>
      </c>
      <c r="C1124" s="15" t="n">
        <v>46245</v>
      </c>
      <c r="D1124" s="1" t="n">
        <v>1363</v>
      </c>
      <c r="E1124" s="1" t="s">
        <v>171</v>
      </c>
      <c r="F1124" s="1" t="n">
        <v>24</v>
      </c>
      <c r="G1124" s="1" t="s">
        <v>77</v>
      </c>
      <c r="H1124" s="1" t="n">
        <v>2110405</v>
      </c>
      <c r="I1124" s="1" t="s">
        <v>41</v>
      </c>
      <c r="J1124" s="1" t="n">
        <v>1503436</v>
      </c>
      <c r="L1124" s="1" t="n">
        <v>204120</v>
      </c>
      <c r="M1124" s="1" t="s">
        <v>83</v>
      </c>
      <c r="N1124" s="1" t="s">
        <v>35</v>
      </c>
      <c r="P1124" s="1" t="n">
        <v>113</v>
      </c>
      <c r="Q1124" s="1" t="s">
        <v>36</v>
      </c>
      <c r="R1124" s="1" t="s">
        <v>48</v>
      </c>
      <c r="S1124" s="1" t="n">
        <v>1130101</v>
      </c>
      <c r="T1124" s="1" t="s">
        <v>49</v>
      </c>
      <c r="U1124" s="17" t="n">
        <v>166</v>
      </c>
      <c r="W1124" s="1" t="n">
        <v>166</v>
      </c>
      <c r="X1124" s="1" t="s">
        <v>1090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" t="n">
        <v>2</v>
      </c>
      <c r="B1125" s="15" t="n">
        <v>46245</v>
      </c>
      <c r="C1125" s="15" t="n">
        <v>46245</v>
      </c>
      <c r="D1125" s="1" t="n">
        <v>1936</v>
      </c>
      <c r="E1125" s="1" t="s">
        <v>1091</v>
      </c>
      <c r="F1125" s="1" t="n">
        <v>24</v>
      </c>
      <c r="G1125" s="1" t="s">
        <v>77</v>
      </c>
      <c r="H1125" s="1" t="n">
        <v>2110405</v>
      </c>
      <c r="I1125" s="1" t="s">
        <v>41</v>
      </c>
      <c r="J1125" s="1" t="n">
        <v>1531490</v>
      </c>
      <c r="L1125" s="1" t="n">
        <v>208541</v>
      </c>
      <c r="M1125" s="1" t="s">
        <v>83</v>
      </c>
      <c r="N1125" s="1" t="s">
        <v>35</v>
      </c>
      <c r="P1125" s="1" t="n">
        <v>101</v>
      </c>
      <c r="Q1125" s="1" t="s">
        <v>42</v>
      </c>
      <c r="R1125" s="1" t="s">
        <v>48</v>
      </c>
      <c r="S1125" s="1" t="n">
        <v>1130101</v>
      </c>
      <c r="T1125" s="1" t="s">
        <v>49</v>
      </c>
      <c r="U1125" s="17" t="n">
        <v>640</v>
      </c>
      <c r="W1125" s="1" t="n">
        <v>640</v>
      </c>
      <c r="X1125" s="1" t="s">
        <v>1092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" t="n">
        <v>2</v>
      </c>
      <c r="B1126" s="15" t="n">
        <v>46245</v>
      </c>
      <c r="C1126" s="15" t="n">
        <v>46245</v>
      </c>
      <c r="D1126" s="1" t="n">
        <v>48</v>
      </c>
      <c r="E1126" s="1" t="s">
        <v>132</v>
      </c>
      <c r="F1126" s="1" t="n">
        <v>34</v>
      </c>
      <c r="G1126" s="1" t="s">
        <v>97</v>
      </c>
      <c r="H1126" s="1" t="n">
        <v>2110101</v>
      </c>
      <c r="I1126" s="1" t="s">
        <v>33</v>
      </c>
      <c r="J1126" s="1" t="n">
        <v>1533103</v>
      </c>
      <c r="L1126" s="1" t="n">
        <v>2599</v>
      </c>
      <c r="M1126" s="1" t="s">
        <v>83</v>
      </c>
      <c r="N1126" s="1" t="s">
        <v>54</v>
      </c>
      <c r="P1126" s="1" t="n">
        <v>113</v>
      </c>
      <c r="Q1126" s="1" t="s">
        <v>36</v>
      </c>
      <c r="R1126" s="1" t="s">
        <v>48</v>
      </c>
      <c r="S1126" s="1" t="n">
        <v>1130101</v>
      </c>
      <c r="T1126" s="1" t="s">
        <v>49</v>
      </c>
      <c r="U1126" s="17" t="n">
        <v>175</v>
      </c>
      <c r="W1126" s="1" t="n">
        <v>175</v>
      </c>
      <c r="X1126" s="1" t="s">
        <v>1093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" t="n">
        <v>2</v>
      </c>
      <c r="B1127" s="15" t="n">
        <v>46245</v>
      </c>
      <c r="C1127" s="15" t="n">
        <v>46245</v>
      </c>
      <c r="D1127" s="1" t="n">
        <v>48</v>
      </c>
      <c r="E1127" s="1" t="s">
        <v>132</v>
      </c>
      <c r="F1127" s="1" t="n">
        <v>34</v>
      </c>
      <c r="G1127" s="1" t="s">
        <v>97</v>
      </c>
      <c r="H1127" s="1" t="n">
        <v>2110101</v>
      </c>
      <c r="I1127" s="1" t="s">
        <v>33</v>
      </c>
      <c r="J1127" s="1" t="n">
        <v>1533121</v>
      </c>
      <c r="L1127" s="1" t="n">
        <v>2600</v>
      </c>
      <c r="M1127" s="1" t="s">
        <v>83</v>
      </c>
      <c r="N1127" s="1" t="s">
        <v>54</v>
      </c>
      <c r="P1127" s="1" t="n">
        <v>113</v>
      </c>
      <c r="Q1127" s="1" t="s">
        <v>36</v>
      </c>
      <c r="R1127" s="1" t="s">
        <v>48</v>
      </c>
      <c r="S1127" s="1" t="n">
        <v>1130101</v>
      </c>
      <c r="T1127" s="1" t="s">
        <v>49</v>
      </c>
      <c r="U1127" s="17" t="n">
        <v>1838.25</v>
      </c>
      <c r="W1127" s="1" t="n">
        <v>1838.25</v>
      </c>
      <c r="X1127" s="1" t="s">
        <v>1094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" t="n">
        <v>2</v>
      </c>
      <c r="B1128" s="15" t="n">
        <v>46245</v>
      </c>
      <c r="C1128" s="15" t="n">
        <v>46245</v>
      </c>
      <c r="D1128" s="1" t="n">
        <v>1037</v>
      </c>
      <c r="E1128" s="1" t="s">
        <v>139</v>
      </c>
      <c r="F1128" s="1" t="n">
        <v>34</v>
      </c>
      <c r="G1128" s="1" t="s">
        <v>97</v>
      </c>
      <c r="H1128" s="1" t="n">
        <v>2110405</v>
      </c>
      <c r="I1128" s="1" t="s">
        <v>41</v>
      </c>
      <c r="J1128" s="1" t="n">
        <v>1533142</v>
      </c>
      <c r="L1128" s="1" t="n">
        <v>209012</v>
      </c>
      <c r="M1128" s="1" t="s">
        <v>83</v>
      </c>
      <c r="N1128" s="1" t="s">
        <v>35</v>
      </c>
      <c r="P1128" s="1" t="n">
        <v>113</v>
      </c>
      <c r="Q1128" s="1" t="s">
        <v>36</v>
      </c>
      <c r="R1128" s="1" t="s">
        <v>48</v>
      </c>
      <c r="S1128" s="1" t="n">
        <v>1130101</v>
      </c>
      <c r="T1128" s="1" t="s">
        <v>49</v>
      </c>
      <c r="U1128" s="17" t="n">
        <v>550</v>
      </c>
      <c r="W1128" s="1" t="n">
        <v>550</v>
      </c>
      <c r="X1128" s="1" t="s">
        <v>1095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" t="n">
        <v>2</v>
      </c>
      <c r="B1129" s="15" t="n">
        <v>46246</v>
      </c>
      <c r="C1129" s="15" t="n">
        <v>46246</v>
      </c>
      <c r="D1129" s="1" t="n">
        <v>10096</v>
      </c>
      <c r="E1129" s="1" t="s">
        <v>552</v>
      </c>
      <c r="F1129" s="1" t="n">
        <v>13</v>
      </c>
      <c r="G1129" s="1" t="s">
        <v>133</v>
      </c>
      <c r="H1129" s="1" t="n">
        <v>2110405</v>
      </c>
      <c r="I1129" s="1" t="s">
        <v>41</v>
      </c>
      <c r="J1129" s="1" t="n">
        <v>1545498</v>
      </c>
      <c r="L1129" s="1" t="n">
        <v>210984</v>
      </c>
      <c r="M1129" s="1" t="s">
        <v>83</v>
      </c>
      <c r="N1129" s="1" t="s">
        <v>35</v>
      </c>
      <c r="P1129" s="1" t="n">
        <v>113</v>
      </c>
      <c r="Q1129" s="1" t="s">
        <v>36</v>
      </c>
      <c r="R1129" s="1" t="s">
        <v>48</v>
      </c>
      <c r="S1129" s="1" t="n">
        <v>1130101</v>
      </c>
      <c r="T1129" s="1" t="s">
        <v>49</v>
      </c>
      <c r="U1129" s="17" t="n">
        <v>140</v>
      </c>
      <c r="W1129" s="1" t="n">
        <v>140</v>
      </c>
      <c r="X1129" s="1" t="s">
        <v>1096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" t="n">
        <v>2</v>
      </c>
      <c r="B1130" s="15" t="n">
        <v>46216</v>
      </c>
      <c r="C1130" s="15" t="n">
        <v>46246</v>
      </c>
      <c r="D1130" s="1" t="n">
        <v>10012</v>
      </c>
      <c r="E1130" s="1" t="s">
        <v>160</v>
      </c>
      <c r="F1130" s="1" t="n">
        <v>24</v>
      </c>
      <c r="G1130" s="1" t="s">
        <v>77</v>
      </c>
      <c r="H1130" s="1" t="n">
        <v>2110101</v>
      </c>
      <c r="I1130" s="1" t="s">
        <v>33</v>
      </c>
      <c r="J1130" s="1" t="n">
        <v>1393698</v>
      </c>
      <c r="L1130" s="1" t="n">
        <v>1962669</v>
      </c>
      <c r="M1130" s="1" t="s">
        <v>62</v>
      </c>
      <c r="N1130" s="1" t="s">
        <v>54</v>
      </c>
      <c r="P1130" s="1" t="n">
        <v>113</v>
      </c>
      <c r="Q1130" s="1" t="s">
        <v>36</v>
      </c>
      <c r="R1130" s="1" t="s">
        <v>48</v>
      </c>
      <c r="S1130" s="1" t="n">
        <v>1130101</v>
      </c>
      <c r="T1130" s="1" t="s">
        <v>49</v>
      </c>
      <c r="U1130" s="17" t="n">
        <v>1504.05</v>
      </c>
      <c r="W1130" s="1" t="n">
        <v>1504.05</v>
      </c>
      <c r="X1130" s="1" t="s">
        <v>928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" t="n">
        <v>2</v>
      </c>
      <c r="B1131" s="15" t="n">
        <v>46218</v>
      </c>
      <c r="C1131" s="15" t="n">
        <v>46246</v>
      </c>
      <c r="D1131" s="1" t="n">
        <v>1608</v>
      </c>
      <c r="E1131" s="1" t="s">
        <v>201</v>
      </c>
      <c r="F1131" s="1" t="n">
        <v>24</v>
      </c>
      <c r="G1131" s="1" t="s">
        <v>77</v>
      </c>
      <c r="H1131" s="1" t="n">
        <v>2110405</v>
      </c>
      <c r="I1131" s="1" t="s">
        <v>41</v>
      </c>
      <c r="J1131" s="1" t="n">
        <v>1401887</v>
      </c>
      <c r="L1131" s="1" t="n">
        <v>188609</v>
      </c>
      <c r="M1131" s="1" t="s">
        <v>83</v>
      </c>
      <c r="N1131" s="1" t="s">
        <v>35</v>
      </c>
      <c r="P1131" s="1" t="n">
        <v>113</v>
      </c>
      <c r="Q1131" s="1" t="s">
        <v>36</v>
      </c>
      <c r="R1131" s="1" t="s">
        <v>48</v>
      </c>
      <c r="S1131" s="1" t="n">
        <v>1130101</v>
      </c>
      <c r="T1131" s="1" t="s">
        <v>49</v>
      </c>
      <c r="U1131" s="17" t="n">
        <v>1207.28</v>
      </c>
      <c r="W1131" s="1" t="n">
        <v>1207.28</v>
      </c>
      <c r="X1131" s="1" t="s">
        <v>929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" t="n">
        <v>2</v>
      </c>
      <c r="B1132" s="15" t="n">
        <v>46219</v>
      </c>
      <c r="C1132" s="15" t="n">
        <v>46246</v>
      </c>
      <c r="D1132" s="1" t="n">
        <v>1616</v>
      </c>
      <c r="E1132" s="1" t="s">
        <v>80</v>
      </c>
      <c r="F1132" s="1" t="n">
        <v>24</v>
      </c>
      <c r="G1132" s="1" t="s">
        <v>77</v>
      </c>
      <c r="H1132" s="1" t="n">
        <v>2110405</v>
      </c>
      <c r="I1132" s="1" t="s">
        <v>41</v>
      </c>
      <c r="J1132" s="1" t="n">
        <v>1406260</v>
      </c>
      <c r="L1132" s="1" t="n">
        <v>189338</v>
      </c>
      <c r="M1132" s="1" t="s">
        <v>83</v>
      </c>
      <c r="N1132" s="1" t="s">
        <v>35</v>
      </c>
      <c r="P1132" s="1" t="n">
        <v>113</v>
      </c>
      <c r="Q1132" s="1" t="s">
        <v>36</v>
      </c>
      <c r="R1132" s="1" t="s">
        <v>48</v>
      </c>
      <c r="S1132" s="1" t="n">
        <v>1130101</v>
      </c>
      <c r="T1132" s="1" t="s">
        <v>49</v>
      </c>
      <c r="U1132" s="17" t="n">
        <v>607.58</v>
      </c>
      <c r="W1132" s="1" t="n">
        <v>607.58</v>
      </c>
      <c r="X1132" s="1" t="s">
        <v>931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" t="n">
        <v>2</v>
      </c>
      <c r="B1133" s="15" t="n">
        <v>46225</v>
      </c>
      <c r="C1133" s="15" t="n">
        <v>46246</v>
      </c>
      <c r="D1133" s="1" t="n">
        <v>1635</v>
      </c>
      <c r="E1133" s="1" t="s">
        <v>117</v>
      </c>
      <c r="F1133" s="1" t="n">
        <v>24</v>
      </c>
      <c r="G1133" s="1" t="s">
        <v>77</v>
      </c>
      <c r="H1133" s="1" t="n">
        <v>2110405</v>
      </c>
      <c r="I1133" s="1" t="s">
        <v>41</v>
      </c>
      <c r="J1133" s="1" t="n">
        <v>1436001</v>
      </c>
      <c r="L1133" s="1" t="n">
        <v>194026</v>
      </c>
      <c r="M1133" s="1" t="s">
        <v>83</v>
      </c>
      <c r="N1133" s="1" t="s">
        <v>35</v>
      </c>
      <c r="P1133" s="1" t="n">
        <v>113</v>
      </c>
      <c r="Q1133" s="1" t="s">
        <v>36</v>
      </c>
      <c r="R1133" s="1" t="s">
        <v>48</v>
      </c>
      <c r="S1133" s="1" t="n">
        <v>1130101</v>
      </c>
      <c r="T1133" s="1" t="s">
        <v>49</v>
      </c>
      <c r="U1133" s="17" t="n">
        <v>109.51</v>
      </c>
      <c r="W1133" s="1" t="n">
        <v>109.51</v>
      </c>
      <c r="X1133" s="1" t="s">
        <v>1014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" t="n">
        <v>2</v>
      </c>
      <c r="B1134" s="15" t="n">
        <v>46225</v>
      </c>
      <c r="C1134" s="15" t="n">
        <v>46246</v>
      </c>
      <c r="D1134" s="1" t="n">
        <v>1815</v>
      </c>
      <c r="E1134" s="1" t="s">
        <v>164</v>
      </c>
      <c r="F1134" s="1" t="n">
        <v>24</v>
      </c>
      <c r="G1134" s="1" t="s">
        <v>77</v>
      </c>
      <c r="H1134" s="1" t="n">
        <v>2110405</v>
      </c>
      <c r="I1134" s="1" t="s">
        <v>41</v>
      </c>
      <c r="J1134" s="1" t="n">
        <v>1436049</v>
      </c>
      <c r="L1134" s="1" t="n">
        <v>194036</v>
      </c>
      <c r="M1134" s="1" t="s">
        <v>83</v>
      </c>
      <c r="N1134" s="1" t="s">
        <v>35</v>
      </c>
      <c r="P1134" s="1" t="n">
        <v>113</v>
      </c>
      <c r="Q1134" s="1" t="s">
        <v>36</v>
      </c>
      <c r="R1134" s="1" t="s">
        <v>48</v>
      </c>
      <c r="S1134" s="1" t="n">
        <v>1130101</v>
      </c>
      <c r="T1134" s="1" t="s">
        <v>49</v>
      </c>
      <c r="U1134" s="17" t="n">
        <v>1164.4</v>
      </c>
      <c r="W1134" s="1" t="n">
        <v>1164.4</v>
      </c>
      <c r="X1134" s="1" t="s">
        <v>934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" t="n">
        <v>2</v>
      </c>
      <c r="B1135" s="15" t="n">
        <v>46226</v>
      </c>
      <c r="C1135" s="15" t="n">
        <v>46246</v>
      </c>
      <c r="D1135" s="1" t="n">
        <v>957</v>
      </c>
      <c r="E1135" s="1" t="s">
        <v>554</v>
      </c>
      <c r="F1135" s="1" t="n">
        <v>24</v>
      </c>
      <c r="G1135" s="1" t="s">
        <v>77</v>
      </c>
      <c r="H1135" s="1" t="n">
        <v>2110405</v>
      </c>
      <c r="I1135" s="1" t="s">
        <v>41</v>
      </c>
      <c r="J1135" s="1" t="n">
        <v>1438915</v>
      </c>
      <c r="L1135" s="1" t="n">
        <v>194428</v>
      </c>
      <c r="M1135" s="1" t="s">
        <v>83</v>
      </c>
      <c r="N1135" s="1" t="s">
        <v>35</v>
      </c>
      <c r="P1135" s="1" t="n">
        <v>113</v>
      </c>
      <c r="Q1135" s="1" t="s">
        <v>36</v>
      </c>
      <c r="R1135" s="1" t="s">
        <v>48</v>
      </c>
      <c r="S1135" s="1" t="n">
        <v>1130101</v>
      </c>
      <c r="T1135" s="1" t="s">
        <v>49</v>
      </c>
      <c r="U1135" s="17" t="n">
        <v>1501.36</v>
      </c>
      <c r="W1135" s="1" t="n">
        <v>1501.36</v>
      </c>
      <c r="X1135" s="1" t="s">
        <v>1097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" t="n">
        <v>2</v>
      </c>
      <c r="B1136" s="15" t="n">
        <v>46226</v>
      </c>
      <c r="C1136" s="15" t="n">
        <v>46246</v>
      </c>
      <c r="D1136" s="1" t="n">
        <v>10011</v>
      </c>
      <c r="E1136" s="1" t="s">
        <v>292</v>
      </c>
      <c r="F1136" s="1" t="n">
        <v>24</v>
      </c>
      <c r="G1136" s="1" t="s">
        <v>77</v>
      </c>
      <c r="H1136" s="1" t="n">
        <v>2110405</v>
      </c>
      <c r="I1136" s="1" t="s">
        <v>41</v>
      </c>
      <c r="J1136" s="1" t="n">
        <v>1438950</v>
      </c>
      <c r="L1136" s="1" t="n">
        <v>194437</v>
      </c>
      <c r="M1136" s="1" t="s">
        <v>83</v>
      </c>
      <c r="N1136" s="1" t="s">
        <v>35</v>
      </c>
      <c r="P1136" s="1" t="n">
        <v>113</v>
      </c>
      <c r="Q1136" s="1" t="s">
        <v>36</v>
      </c>
      <c r="R1136" s="1" t="s">
        <v>48</v>
      </c>
      <c r="S1136" s="1" t="n">
        <v>1130101</v>
      </c>
      <c r="T1136" s="1" t="s">
        <v>49</v>
      </c>
      <c r="U1136" s="17" t="n">
        <v>591.06</v>
      </c>
      <c r="W1136" s="1" t="n">
        <v>591.06</v>
      </c>
      <c r="X1136" s="1" t="s">
        <v>1098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" t="n">
        <v>2</v>
      </c>
      <c r="B1137" s="15" t="n">
        <v>46226</v>
      </c>
      <c r="C1137" s="15" t="n">
        <v>46246</v>
      </c>
      <c r="D1137" s="1" t="n">
        <v>1608</v>
      </c>
      <c r="E1137" s="1" t="s">
        <v>201</v>
      </c>
      <c r="F1137" s="1" t="n">
        <v>24</v>
      </c>
      <c r="G1137" s="1" t="s">
        <v>77</v>
      </c>
      <c r="H1137" s="1" t="n">
        <v>2110405</v>
      </c>
      <c r="I1137" s="1" t="s">
        <v>41</v>
      </c>
      <c r="J1137" s="1" t="n">
        <v>1439299</v>
      </c>
      <c r="L1137" s="1" t="n">
        <v>194524</v>
      </c>
      <c r="M1137" s="1" t="s">
        <v>83</v>
      </c>
      <c r="N1137" s="1" t="s">
        <v>35</v>
      </c>
      <c r="P1137" s="1" t="n">
        <v>113</v>
      </c>
      <c r="Q1137" s="1" t="s">
        <v>36</v>
      </c>
      <c r="R1137" s="1" t="s">
        <v>48</v>
      </c>
      <c r="S1137" s="1" t="n">
        <v>1130101</v>
      </c>
      <c r="T1137" s="1" t="s">
        <v>49</v>
      </c>
      <c r="U1137" s="17" t="n">
        <v>1188</v>
      </c>
      <c r="W1137" s="1" t="n">
        <v>1188</v>
      </c>
      <c r="X1137" s="1" t="s">
        <v>1099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" t="n">
        <v>2</v>
      </c>
      <c r="B1138" s="15" t="n">
        <v>46227</v>
      </c>
      <c r="C1138" s="15" t="n">
        <v>46246</v>
      </c>
      <c r="D1138" s="1" t="n">
        <v>1613</v>
      </c>
      <c r="E1138" s="1" t="s">
        <v>94</v>
      </c>
      <c r="F1138" s="1" t="n">
        <v>24</v>
      </c>
      <c r="G1138" s="1" t="s">
        <v>77</v>
      </c>
      <c r="H1138" s="1" t="n">
        <v>2110405</v>
      </c>
      <c r="I1138" s="1" t="s">
        <v>41</v>
      </c>
      <c r="J1138" s="1" t="n">
        <v>1443769</v>
      </c>
      <c r="L1138" s="1" t="n">
        <v>195249</v>
      </c>
      <c r="M1138" s="1" t="s">
        <v>83</v>
      </c>
      <c r="N1138" s="1" t="s">
        <v>35</v>
      </c>
      <c r="P1138" s="1" t="n">
        <v>113</v>
      </c>
      <c r="Q1138" s="1" t="s">
        <v>36</v>
      </c>
      <c r="R1138" s="1" t="s">
        <v>48</v>
      </c>
      <c r="S1138" s="1" t="n">
        <v>1130101</v>
      </c>
      <c r="T1138" s="1" t="s">
        <v>49</v>
      </c>
      <c r="U1138" s="17" t="n">
        <v>395.62</v>
      </c>
      <c r="W1138" s="1" t="n">
        <v>395.62</v>
      </c>
      <c r="X1138" s="1" t="s">
        <v>1015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" t="n">
        <v>2</v>
      </c>
      <c r="B1139" s="15" t="n">
        <v>46227</v>
      </c>
      <c r="C1139" s="15" t="n">
        <v>46246</v>
      </c>
      <c r="D1139" s="1" t="n">
        <v>1842</v>
      </c>
      <c r="E1139" s="1" t="s">
        <v>943</v>
      </c>
      <c r="F1139" s="1" t="n">
        <v>24</v>
      </c>
      <c r="G1139" s="1" t="s">
        <v>77</v>
      </c>
      <c r="H1139" s="1" t="n">
        <v>2110405</v>
      </c>
      <c r="I1139" s="1" t="s">
        <v>41</v>
      </c>
      <c r="J1139" s="1" t="n">
        <v>1443912</v>
      </c>
      <c r="L1139" s="1" t="n">
        <v>195274</v>
      </c>
      <c r="M1139" s="1" t="s">
        <v>83</v>
      </c>
      <c r="N1139" s="1" t="s">
        <v>35</v>
      </c>
      <c r="P1139" s="1" t="n">
        <v>113</v>
      </c>
      <c r="Q1139" s="1" t="s">
        <v>36</v>
      </c>
      <c r="R1139" s="1" t="s">
        <v>56</v>
      </c>
      <c r="S1139" s="1" t="n">
        <v>4210229</v>
      </c>
      <c r="T1139" s="1" t="s">
        <v>944</v>
      </c>
      <c r="U1139" s="17" t="n">
        <v>325</v>
      </c>
      <c r="W1139" s="1" t="n">
        <v>325</v>
      </c>
      <c r="X1139" s="1" t="s">
        <v>1100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" t="n">
        <v>2</v>
      </c>
      <c r="B1140" s="15" t="n">
        <v>46233</v>
      </c>
      <c r="C1140" s="15" t="n">
        <v>46246</v>
      </c>
      <c r="D1140" s="1" t="n">
        <v>1734</v>
      </c>
      <c r="E1140" s="1" t="s">
        <v>489</v>
      </c>
      <c r="F1140" s="1" t="n">
        <v>24</v>
      </c>
      <c r="G1140" s="1" t="s">
        <v>77</v>
      </c>
      <c r="H1140" s="1" t="n">
        <v>2110405</v>
      </c>
      <c r="I1140" s="1" t="s">
        <v>41</v>
      </c>
      <c r="J1140" s="1" t="n">
        <v>1473551</v>
      </c>
      <c r="L1140" s="1" t="n">
        <v>199710</v>
      </c>
      <c r="M1140" s="1" t="s">
        <v>83</v>
      </c>
      <c r="N1140" s="1" t="s">
        <v>35</v>
      </c>
      <c r="P1140" s="1" t="n">
        <v>113</v>
      </c>
      <c r="Q1140" s="1" t="s">
        <v>36</v>
      </c>
      <c r="R1140" s="1" t="s">
        <v>48</v>
      </c>
      <c r="S1140" s="1" t="n">
        <v>1130101</v>
      </c>
      <c r="T1140" s="1" t="s">
        <v>49</v>
      </c>
      <c r="U1140" s="17" t="n">
        <v>894.16</v>
      </c>
      <c r="W1140" s="1" t="n">
        <v>894.16</v>
      </c>
      <c r="X1140" s="1" t="s">
        <v>1101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" t="n">
        <v>2</v>
      </c>
      <c r="B1141" s="15" t="n">
        <v>46234</v>
      </c>
      <c r="C1141" s="15" t="n">
        <v>46246</v>
      </c>
      <c r="D1141" s="1" t="n">
        <v>1613</v>
      </c>
      <c r="E1141" s="1" t="s">
        <v>94</v>
      </c>
      <c r="F1141" s="1" t="n">
        <v>24</v>
      </c>
      <c r="G1141" s="1" t="s">
        <v>77</v>
      </c>
      <c r="H1141" s="1" t="n">
        <v>2110405</v>
      </c>
      <c r="I1141" s="1" t="s">
        <v>41</v>
      </c>
      <c r="J1141" s="1" t="n">
        <v>1478653</v>
      </c>
      <c r="L1141" s="1" t="n">
        <v>200645</v>
      </c>
      <c r="M1141" s="1" t="s">
        <v>83</v>
      </c>
      <c r="N1141" s="1" t="s">
        <v>35</v>
      </c>
      <c r="P1141" s="1" t="n">
        <v>113</v>
      </c>
      <c r="Q1141" s="1" t="s">
        <v>36</v>
      </c>
      <c r="R1141" s="1" t="s">
        <v>48</v>
      </c>
      <c r="S1141" s="1" t="n">
        <v>1130101</v>
      </c>
      <c r="T1141" s="1" t="s">
        <v>49</v>
      </c>
      <c r="U1141" s="17" t="n">
        <v>1190.19</v>
      </c>
      <c r="W1141" s="1" t="n">
        <v>1190.19</v>
      </c>
      <c r="X1141" s="1" t="s">
        <v>1102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" t="n">
        <v>2</v>
      </c>
      <c r="B1142" s="15" t="n">
        <v>46240</v>
      </c>
      <c r="C1142" s="15" t="n">
        <v>46246</v>
      </c>
      <c r="D1142" s="1" t="n">
        <v>1123</v>
      </c>
      <c r="E1142" s="1" t="s">
        <v>388</v>
      </c>
      <c r="F1142" s="1" t="n">
        <v>24</v>
      </c>
      <c r="G1142" s="1" t="s">
        <v>77</v>
      </c>
      <c r="H1142" s="1" t="n">
        <v>2110405</v>
      </c>
      <c r="I1142" s="1" t="s">
        <v>41</v>
      </c>
      <c r="J1142" s="1" t="n">
        <v>1508168</v>
      </c>
      <c r="L1142" s="1" t="n">
        <v>204888</v>
      </c>
      <c r="M1142" s="1" t="s">
        <v>83</v>
      </c>
      <c r="N1142" s="1" t="s">
        <v>35</v>
      </c>
      <c r="P1142" s="1" t="n">
        <v>113</v>
      </c>
      <c r="Q1142" s="1" t="s">
        <v>36</v>
      </c>
      <c r="R1142" s="1" t="s">
        <v>48</v>
      </c>
      <c r="S1142" s="1" t="n">
        <v>1130101</v>
      </c>
      <c r="T1142" s="1" t="s">
        <v>49</v>
      </c>
      <c r="U1142" s="17" t="n">
        <v>460</v>
      </c>
      <c r="W1142" s="1" t="n">
        <v>460</v>
      </c>
      <c r="X1142" s="1" t="s">
        <v>1103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" t="n">
        <v>2</v>
      </c>
      <c r="B1143" s="15" t="n">
        <v>46245</v>
      </c>
      <c r="C1143" s="15" t="n">
        <v>46246</v>
      </c>
      <c r="D1143" s="1" t="n">
        <v>306</v>
      </c>
      <c r="E1143" s="1" t="s">
        <v>461</v>
      </c>
      <c r="F1143" s="1" t="n">
        <v>34</v>
      </c>
      <c r="G1143" s="1" t="s">
        <v>97</v>
      </c>
      <c r="H1143" s="1" t="n">
        <v>2110405</v>
      </c>
      <c r="I1143" s="1" t="s">
        <v>41</v>
      </c>
      <c r="J1143" s="1" t="n">
        <v>1533213</v>
      </c>
      <c r="L1143" s="1" t="n">
        <v>209017</v>
      </c>
      <c r="M1143" s="1" t="s">
        <v>83</v>
      </c>
      <c r="N1143" s="1" t="s">
        <v>35</v>
      </c>
      <c r="P1143" s="1" t="n">
        <v>113</v>
      </c>
      <c r="Q1143" s="1" t="s">
        <v>36</v>
      </c>
      <c r="R1143" s="1" t="s">
        <v>48</v>
      </c>
      <c r="S1143" s="1" t="n">
        <v>1130101</v>
      </c>
      <c r="T1143" s="1" t="s">
        <v>49</v>
      </c>
      <c r="U1143" s="17" t="n">
        <v>370.49</v>
      </c>
      <c r="W1143" s="1" t="n">
        <v>370.49</v>
      </c>
      <c r="X1143" s="1" t="s">
        <v>1104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" t="n">
        <v>2</v>
      </c>
      <c r="B1144" s="15" t="n">
        <v>46245</v>
      </c>
      <c r="C1144" s="15" t="n">
        <v>46246</v>
      </c>
      <c r="D1144" s="1" t="n">
        <v>306</v>
      </c>
      <c r="E1144" s="1" t="s">
        <v>461</v>
      </c>
      <c r="F1144" s="1" t="n">
        <v>34</v>
      </c>
      <c r="G1144" s="1" t="s">
        <v>97</v>
      </c>
      <c r="H1144" s="1" t="n">
        <v>2110405</v>
      </c>
      <c r="I1144" s="1" t="s">
        <v>41</v>
      </c>
      <c r="J1144" s="1" t="n">
        <v>1533216</v>
      </c>
      <c r="L1144" s="1" t="n">
        <v>209019</v>
      </c>
      <c r="M1144" s="1" t="s">
        <v>83</v>
      </c>
      <c r="N1144" s="1" t="s">
        <v>35</v>
      </c>
      <c r="P1144" s="1" t="n">
        <v>113</v>
      </c>
      <c r="Q1144" s="1" t="s">
        <v>36</v>
      </c>
      <c r="R1144" s="1" t="s">
        <v>48</v>
      </c>
      <c r="S1144" s="1" t="n">
        <v>1130101</v>
      </c>
      <c r="T1144" s="1" t="s">
        <v>49</v>
      </c>
      <c r="U1144" s="17" t="n">
        <v>346</v>
      </c>
      <c r="W1144" s="1" t="n">
        <v>346</v>
      </c>
      <c r="X1144" s="1" t="s">
        <v>1105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" t="n">
        <v>2</v>
      </c>
      <c r="B1145" s="15" t="n">
        <v>46246</v>
      </c>
      <c r="C1145" s="15" t="n">
        <v>46246</v>
      </c>
      <c r="D1145" s="1" t="n">
        <v>306</v>
      </c>
      <c r="E1145" s="1" t="s">
        <v>461</v>
      </c>
      <c r="F1145" s="1" t="n">
        <v>34</v>
      </c>
      <c r="G1145" s="1" t="s">
        <v>97</v>
      </c>
      <c r="H1145" s="1" t="n">
        <v>2110405</v>
      </c>
      <c r="I1145" s="1" t="s">
        <v>41</v>
      </c>
      <c r="J1145" s="1" t="n">
        <v>1537349</v>
      </c>
      <c r="L1145" s="1" t="n">
        <v>209755</v>
      </c>
      <c r="M1145" s="1" t="s">
        <v>83</v>
      </c>
      <c r="N1145" s="1" t="s">
        <v>35</v>
      </c>
      <c r="P1145" s="1" t="n">
        <v>113</v>
      </c>
      <c r="Q1145" s="1" t="s">
        <v>36</v>
      </c>
      <c r="R1145" s="1" t="s">
        <v>48</v>
      </c>
      <c r="S1145" s="1" t="n">
        <v>1130101</v>
      </c>
      <c r="T1145" s="1" t="s">
        <v>49</v>
      </c>
      <c r="U1145" s="17" t="n">
        <v>710</v>
      </c>
      <c r="W1145" s="1" t="n">
        <v>710</v>
      </c>
      <c r="X1145" s="1" t="s">
        <v>1106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" t="n">
        <v>2</v>
      </c>
      <c r="B1146" s="15" t="n">
        <v>46219</v>
      </c>
      <c r="C1146" s="15" t="n">
        <v>46247</v>
      </c>
      <c r="D1146" s="1" t="n">
        <v>1718</v>
      </c>
      <c r="E1146" s="1" t="s">
        <v>199</v>
      </c>
      <c r="F1146" s="1" t="n">
        <v>24</v>
      </c>
      <c r="G1146" s="1" t="s">
        <v>77</v>
      </c>
      <c r="H1146" s="1" t="n">
        <v>2110405</v>
      </c>
      <c r="I1146" s="1" t="s">
        <v>41</v>
      </c>
      <c r="J1146" s="1" t="n">
        <v>1407330</v>
      </c>
      <c r="L1146" s="1" t="n">
        <v>189607</v>
      </c>
      <c r="M1146" s="1" t="s">
        <v>83</v>
      </c>
      <c r="N1146" s="1" t="s">
        <v>35</v>
      </c>
      <c r="P1146" s="1" t="n">
        <v>113</v>
      </c>
      <c r="Q1146" s="1" t="s">
        <v>36</v>
      </c>
      <c r="R1146" s="1" t="s">
        <v>48</v>
      </c>
      <c r="S1146" s="1" t="n">
        <v>1130101</v>
      </c>
      <c r="T1146" s="1" t="s">
        <v>49</v>
      </c>
      <c r="U1146" s="17" t="n">
        <v>580.9</v>
      </c>
      <c r="W1146" s="1" t="n">
        <v>580.9</v>
      </c>
      <c r="X1146" s="1" t="s">
        <v>947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" t="n">
        <v>2</v>
      </c>
      <c r="B1147" s="15" t="n">
        <v>46223</v>
      </c>
      <c r="C1147" s="15" t="n">
        <v>46247</v>
      </c>
      <c r="D1147" s="1" t="n">
        <v>1624</v>
      </c>
      <c r="E1147" s="1" t="s">
        <v>300</v>
      </c>
      <c r="F1147" s="1" t="n">
        <v>24</v>
      </c>
      <c r="G1147" s="1" t="s">
        <v>77</v>
      </c>
      <c r="H1147" s="1" t="n">
        <v>2110405</v>
      </c>
      <c r="I1147" s="1" t="s">
        <v>41</v>
      </c>
      <c r="J1147" s="1" t="n">
        <v>1423734</v>
      </c>
      <c r="L1147" s="1" t="n">
        <v>190893</v>
      </c>
      <c r="M1147" s="1" t="s">
        <v>83</v>
      </c>
      <c r="N1147" s="1" t="s">
        <v>35</v>
      </c>
      <c r="P1147" s="1" t="n">
        <v>113</v>
      </c>
      <c r="Q1147" s="1" t="s">
        <v>36</v>
      </c>
      <c r="R1147" s="1" t="s">
        <v>48</v>
      </c>
      <c r="S1147" s="1" t="n">
        <v>1130101</v>
      </c>
      <c r="T1147" s="1" t="s">
        <v>49</v>
      </c>
      <c r="U1147" s="17" t="n">
        <v>381</v>
      </c>
      <c r="W1147" s="1" t="n">
        <v>381</v>
      </c>
      <c r="X1147" s="1" t="s">
        <v>1025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" t="n">
        <v>2</v>
      </c>
      <c r="B1148" s="15" t="n">
        <v>46226</v>
      </c>
      <c r="C1148" s="15" t="n">
        <v>46247</v>
      </c>
      <c r="D1148" s="1" t="n">
        <v>1616</v>
      </c>
      <c r="E1148" s="1" t="s">
        <v>80</v>
      </c>
      <c r="F1148" s="1" t="n">
        <v>24</v>
      </c>
      <c r="G1148" s="1" t="s">
        <v>77</v>
      </c>
      <c r="H1148" s="1" t="n">
        <v>2110405</v>
      </c>
      <c r="I1148" s="1" t="s">
        <v>41</v>
      </c>
      <c r="J1148" s="1" t="n">
        <v>1440011</v>
      </c>
      <c r="L1148" s="1" t="n">
        <v>194711</v>
      </c>
      <c r="M1148" s="1" t="s">
        <v>83</v>
      </c>
      <c r="N1148" s="1" t="s">
        <v>35</v>
      </c>
      <c r="P1148" s="1" t="n">
        <v>113</v>
      </c>
      <c r="Q1148" s="1" t="s">
        <v>36</v>
      </c>
      <c r="R1148" s="1" t="s">
        <v>48</v>
      </c>
      <c r="S1148" s="1" t="n">
        <v>1130101</v>
      </c>
      <c r="T1148" s="1" t="s">
        <v>49</v>
      </c>
      <c r="U1148" s="17" t="n">
        <v>727.23</v>
      </c>
      <c r="W1148" s="1" t="n">
        <v>727.23</v>
      </c>
      <c r="X1148" s="1" t="s">
        <v>1107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" t="n">
        <v>2</v>
      </c>
      <c r="B1149" s="15" t="n">
        <v>46233</v>
      </c>
      <c r="C1149" s="15" t="n">
        <v>46247</v>
      </c>
      <c r="D1149" s="1" t="n">
        <v>10002</v>
      </c>
      <c r="E1149" s="1" t="s">
        <v>179</v>
      </c>
      <c r="F1149" s="1" t="n">
        <v>24</v>
      </c>
      <c r="G1149" s="1" t="s">
        <v>77</v>
      </c>
      <c r="H1149" s="1" t="n">
        <v>2110405</v>
      </c>
      <c r="I1149" s="1" t="s">
        <v>41</v>
      </c>
      <c r="J1149" s="1" t="n">
        <v>1472951</v>
      </c>
      <c r="L1149" s="1" t="n">
        <v>199581</v>
      </c>
      <c r="M1149" s="1" t="s">
        <v>83</v>
      </c>
      <c r="N1149" s="1" t="s">
        <v>35</v>
      </c>
      <c r="P1149" s="1" t="n">
        <v>113</v>
      </c>
      <c r="Q1149" s="1" t="s">
        <v>36</v>
      </c>
      <c r="R1149" s="1" t="s">
        <v>48</v>
      </c>
      <c r="S1149" s="1" t="n">
        <v>1130101</v>
      </c>
      <c r="T1149" s="1" t="s">
        <v>49</v>
      </c>
      <c r="U1149" s="17" t="n">
        <v>830.88</v>
      </c>
      <c r="W1149" s="1" t="n">
        <v>830.88</v>
      </c>
      <c r="X1149" s="1" t="s">
        <v>1108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" t="n">
        <v>2</v>
      </c>
      <c r="B1150" s="15" t="n">
        <v>46233</v>
      </c>
      <c r="C1150" s="15" t="n">
        <v>46247</v>
      </c>
      <c r="D1150" s="1" t="n">
        <v>1740</v>
      </c>
      <c r="E1150" s="1" t="s">
        <v>410</v>
      </c>
      <c r="F1150" s="1" t="n">
        <v>24</v>
      </c>
      <c r="G1150" s="1" t="s">
        <v>77</v>
      </c>
      <c r="H1150" s="1" t="n">
        <v>2110405</v>
      </c>
      <c r="I1150" s="1" t="s">
        <v>41</v>
      </c>
      <c r="J1150" s="1" t="n">
        <v>1473207</v>
      </c>
      <c r="L1150" s="1" t="n">
        <v>199630</v>
      </c>
      <c r="M1150" s="1" t="s">
        <v>83</v>
      </c>
      <c r="N1150" s="1" t="s">
        <v>35</v>
      </c>
      <c r="P1150" s="1" t="n">
        <v>113</v>
      </c>
      <c r="Q1150" s="1" t="s">
        <v>36</v>
      </c>
      <c r="R1150" s="1" t="s">
        <v>48</v>
      </c>
      <c r="S1150" s="1" t="n">
        <v>1130101</v>
      </c>
      <c r="T1150" s="1" t="s">
        <v>49</v>
      </c>
      <c r="U1150" s="17" t="n">
        <v>459.25</v>
      </c>
      <c r="W1150" s="1" t="n">
        <v>459.25</v>
      </c>
      <c r="X1150" s="1" t="s">
        <v>1109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" t="n">
        <v>2</v>
      </c>
      <c r="B1151" s="15" t="n">
        <v>46247</v>
      </c>
      <c r="C1151" s="15" t="n">
        <v>46247</v>
      </c>
      <c r="D1151" s="1" t="n">
        <v>10096</v>
      </c>
      <c r="E1151" s="1" t="s">
        <v>552</v>
      </c>
      <c r="F1151" s="1" t="n">
        <v>13</v>
      </c>
      <c r="G1151" s="1" t="s">
        <v>133</v>
      </c>
      <c r="H1151" s="1" t="n">
        <v>2110405</v>
      </c>
      <c r="I1151" s="1" t="s">
        <v>41</v>
      </c>
      <c r="J1151" s="1" t="n">
        <v>1545514</v>
      </c>
      <c r="L1151" s="1" t="n">
        <v>210995</v>
      </c>
      <c r="M1151" s="1" t="s">
        <v>83</v>
      </c>
      <c r="N1151" s="1" t="s">
        <v>35</v>
      </c>
      <c r="P1151" s="1" t="n">
        <v>113</v>
      </c>
      <c r="Q1151" s="1" t="s">
        <v>36</v>
      </c>
      <c r="R1151" s="1" t="s">
        <v>48</v>
      </c>
      <c r="S1151" s="1" t="n">
        <v>1130101</v>
      </c>
      <c r="T1151" s="1" t="s">
        <v>49</v>
      </c>
      <c r="U1151" s="17" t="n">
        <v>120</v>
      </c>
      <c r="W1151" s="1" t="n">
        <v>120</v>
      </c>
      <c r="X1151" s="1" t="s">
        <v>1110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" t="n">
        <v>2</v>
      </c>
      <c r="B1152" s="15" t="n">
        <v>46240</v>
      </c>
      <c r="C1152" s="15" t="n">
        <v>46247</v>
      </c>
      <c r="D1152" s="1" t="n">
        <v>1815</v>
      </c>
      <c r="E1152" s="1" t="s">
        <v>164</v>
      </c>
      <c r="F1152" s="1" t="n">
        <v>24</v>
      </c>
      <c r="G1152" s="1" t="s">
        <v>77</v>
      </c>
      <c r="H1152" s="1" t="n">
        <v>2110405</v>
      </c>
      <c r="I1152" s="1" t="s">
        <v>41</v>
      </c>
      <c r="J1152" s="1" t="n">
        <v>1508957</v>
      </c>
      <c r="L1152" s="1" t="n">
        <v>205090</v>
      </c>
      <c r="M1152" s="1" t="s">
        <v>83</v>
      </c>
      <c r="N1152" s="1" t="s">
        <v>35</v>
      </c>
      <c r="P1152" s="1" t="n">
        <v>113</v>
      </c>
      <c r="Q1152" s="1" t="s">
        <v>36</v>
      </c>
      <c r="R1152" s="1" t="s">
        <v>48</v>
      </c>
      <c r="S1152" s="1" t="n">
        <v>1130101</v>
      </c>
      <c r="T1152" s="1" t="s">
        <v>49</v>
      </c>
      <c r="U1152" s="17" t="n">
        <v>628.2</v>
      </c>
      <c r="W1152" s="1" t="n">
        <v>628.2</v>
      </c>
      <c r="X1152" s="1" t="s">
        <v>1111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" t="n">
        <v>2</v>
      </c>
      <c r="B1153" s="15" t="n">
        <v>46240</v>
      </c>
      <c r="C1153" s="15" t="n">
        <v>46247</v>
      </c>
      <c r="D1153" s="1" t="n">
        <v>1292</v>
      </c>
      <c r="E1153" s="1" t="s">
        <v>188</v>
      </c>
      <c r="F1153" s="1" t="n">
        <v>24</v>
      </c>
      <c r="G1153" s="1" t="s">
        <v>77</v>
      </c>
      <c r="H1153" s="1" t="n">
        <v>2110405</v>
      </c>
      <c r="I1153" s="1" t="s">
        <v>41</v>
      </c>
      <c r="J1153" s="1" t="n">
        <v>1509565</v>
      </c>
      <c r="L1153" s="1" t="n">
        <v>205215</v>
      </c>
      <c r="M1153" s="1" t="s">
        <v>83</v>
      </c>
      <c r="N1153" s="1" t="s">
        <v>35</v>
      </c>
      <c r="P1153" s="1" t="n">
        <v>113</v>
      </c>
      <c r="Q1153" s="1" t="s">
        <v>36</v>
      </c>
      <c r="R1153" s="1" t="s">
        <v>48</v>
      </c>
      <c r="S1153" s="1" t="n">
        <v>1130101</v>
      </c>
      <c r="T1153" s="1" t="s">
        <v>49</v>
      </c>
      <c r="U1153" s="17" t="n">
        <v>589.5</v>
      </c>
      <c r="W1153" s="1" t="n">
        <v>589.5</v>
      </c>
      <c r="X1153" s="1" t="s">
        <v>1112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" t="n">
        <v>2</v>
      </c>
      <c r="B1154" s="15" t="n">
        <v>46240</v>
      </c>
      <c r="C1154" s="15" t="n">
        <v>46247</v>
      </c>
      <c r="D1154" s="1" t="n">
        <v>1024</v>
      </c>
      <c r="E1154" s="1" t="s">
        <v>412</v>
      </c>
      <c r="F1154" s="1" t="n">
        <v>24</v>
      </c>
      <c r="G1154" s="1" t="s">
        <v>77</v>
      </c>
      <c r="H1154" s="1" t="n">
        <v>2110405</v>
      </c>
      <c r="I1154" s="1" t="s">
        <v>41</v>
      </c>
      <c r="J1154" s="1" t="n">
        <v>1509762</v>
      </c>
      <c r="L1154" s="1" t="n">
        <v>205243</v>
      </c>
      <c r="M1154" s="1" t="s">
        <v>83</v>
      </c>
      <c r="N1154" s="1" t="s">
        <v>35</v>
      </c>
      <c r="P1154" s="1" t="n">
        <v>113</v>
      </c>
      <c r="Q1154" s="1" t="s">
        <v>36</v>
      </c>
      <c r="R1154" s="1" t="s">
        <v>48</v>
      </c>
      <c r="S1154" s="1" t="n">
        <v>1130101</v>
      </c>
      <c r="T1154" s="1" t="s">
        <v>49</v>
      </c>
      <c r="U1154" s="17" t="n">
        <v>485</v>
      </c>
      <c r="W1154" s="1" t="n">
        <v>485</v>
      </c>
      <c r="X1154" s="1" t="s">
        <v>1113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" t="n">
        <v>2</v>
      </c>
      <c r="B1155" s="15" t="n">
        <v>46241</v>
      </c>
      <c r="C1155" s="15" t="n">
        <v>46247</v>
      </c>
      <c r="D1155" s="1" t="n">
        <v>10018</v>
      </c>
      <c r="E1155" s="1" t="s">
        <v>220</v>
      </c>
      <c r="F1155" s="1" t="n">
        <v>34</v>
      </c>
      <c r="G1155" s="1" t="s">
        <v>97</v>
      </c>
      <c r="H1155" s="1" t="n">
        <v>2110405</v>
      </c>
      <c r="I1155" s="1" t="s">
        <v>41</v>
      </c>
      <c r="J1155" s="1" t="n">
        <v>1513590</v>
      </c>
      <c r="L1155" s="1" t="n">
        <v>205797</v>
      </c>
      <c r="M1155" s="1" t="s">
        <v>83</v>
      </c>
      <c r="N1155" s="1" t="s">
        <v>35</v>
      </c>
      <c r="P1155" s="1" t="n">
        <v>113</v>
      </c>
      <c r="Q1155" s="1" t="s">
        <v>36</v>
      </c>
      <c r="R1155" s="1" t="s">
        <v>48</v>
      </c>
      <c r="S1155" s="1" t="n">
        <v>1130101</v>
      </c>
      <c r="T1155" s="1" t="s">
        <v>49</v>
      </c>
      <c r="U1155" s="17" t="n">
        <v>899.5</v>
      </c>
      <c r="W1155" s="1" t="n">
        <v>899.5</v>
      </c>
      <c r="X1155" s="1" t="s">
        <v>1114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" t="n">
        <v>2</v>
      </c>
      <c r="B1156" s="15" t="n">
        <v>46241</v>
      </c>
      <c r="C1156" s="15" t="n">
        <v>46247</v>
      </c>
      <c r="D1156" s="1" t="n">
        <v>48</v>
      </c>
      <c r="E1156" s="1" t="s">
        <v>132</v>
      </c>
      <c r="F1156" s="1" t="n">
        <v>34</v>
      </c>
      <c r="G1156" s="1" t="s">
        <v>97</v>
      </c>
      <c r="H1156" s="1" t="n">
        <v>2110101</v>
      </c>
      <c r="I1156" s="1" t="s">
        <v>33</v>
      </c>
      <c r="J1156" s="1" t="n">
        <v>1514010</v>
      </c>
      <c r="L1156" s="1" t="n">
        <v>2591</v>
      </c>
      <c r="M1156" s="1" t="s">
        <v>83</v>
      </c>
      <c r="N1156" s="1" t="s">
        <v>54</v>
      </c>
      <c r="P1156" s="1" t="n">
        <v>113</v>
      </c>
      <c r="Q1156" s="1" t="s">
        <v>36</v>
      </c>
      <c r="R1156" s="1" t="s">
        <v>48</v>
      </c>
      <c r="S1156" s="1" t="n">
        <v>1130101</v>
      </c>
      <c r="T1156" s="1" t="s">
        <v>49</v>
      </c>
      <c r="U1156" s="17" t="n">
        <v>1900</v>
      </c>
      <c r="W1156" s="1" t="n">
        <v>1900</v>
      </c>
      <c r="X1156" s="1" t="s">
        <v>1115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" t="n">
        <v>2</v>
      </c>
      <c r="B1157" s="15" t="n">
        <v>46241</v>
      </c>
      <c r="C1157" s="15" t="n">
        <v>46247</v>
      </c>
      <c r="D1157" s="1" t="n">
        <v>1625</v>
      </c>
      <c r="E1157" s="1" t="s">
        <v>248</v>
      </c>
      <c r="F1157" s="1" t="n">
        <v>24</v>
      </c>
      <c r="G1157" s="1" t="s">
        <v>77</v>
      </c>
      <c r="H1157" s="1" t="n">
        <v>2110405</v>
      </c>
      <c r="I1157" s="1" t="s">
        <v>41</v>
      </c>
      <c r="J1157" s="1" t="n">
        <v>1514144</v>
      </c>
      <c r="L1157" s="1" t="n">
        <v>205962</v>
      </c>
      <c r="M1157" s="1" t="s">
        <v>83</v>
      </c>
      <c r="N1157" s="1" t="s">
        <v>35</v>
      </c>
      <c r="P1157" s="1" t="n">
        <v>113</v>
      </c>
      <c r="Q1157" s="1" t="s">
        <v>36</v>
      </c>
      <c r="R1157" s="1" t="s">
        <v>48</v>
      </c>
      <c r="S1157" s="1" t="n">
        <v>1130101</v>
      </c>
      <c r="T1157" s="1" t="s">
        <v>49</v>
      </c>
      <c r="U1157" s="17" t="n">
        <v>4131.7</v>
      </c>
      <c r="W1157" s="1" t="n">
        <v>4131.7</v>
      </c>
      <c r="X1157" s="1" t="s">
        <v>1116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" t="n">
        <v>2</v>
      </c>
      <c r="B1158" s="15" t="n">
        <v>46247</v>
      </c>
      <c r="C1158" s="15" t="n">
        <v>46247</v>
      </c>
      <c r="D1158" s="1" t="n">
        <v>73</v>
      </c>
      <c r="E1158" s="1" t="s">
        <v>99</v>
      </c>
      <c r="F1158" s="1" t="n">
        <v>34</v>
      </c>
      <c r="G1158" s="1" t="s">
        <v>97</v>
      </c>
      <c r="H1158" s="1" t="n">
        <v>2110405</v>
      </c>
      <c r="I1158" s="1" t="s">
        <v>41</v>
      </c>
      <c r="J1158" s="1" t="n">
        <v>1567058</v>
      </c>
      <c r="L1158" s="1" t="n">
        <v>213954</v>
      </c>
      <c r="M1158" s="1" t="s">
        <v>83</v>
      </c>
      <c r="N1158" s="1" t="s">
        <v>35</v>
      </c>
      <c r="P1158" s="1" t="n">
        <v>113</v>
      </c>
      <c r="Q1158" s="1" t="s">
        <v>36</v>
      </c>
      <c r="R1158" s="1" t="s">
        <v>100</v>
      </c>
      <c r="S1158" s="1" t="n">
        <v>4210301</v>
      </c>
      <c r="T1158" s="1" t="s">
        <v>230</v>
      </c>
      <c r="U1158" s="17" t="n">
        <v>400</v>
      </c>
      <c r="W1158" s="1" t="n">
        <v>400</v>
      </c>
      <c r="X1158" s="1" t="s">
        <v>1117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" t="n">
        <v>2</v>
      </c>
      <c r="B1159" s="15" t="n">
        <v>46247</v>
      </c>
      <c r="C1159" s="15" t="n">
        <v>46247</v>
      </c>
      <c r="D1159" s="1" t="n">
        <v>52</v>
      </c>
      <c r="E1159" s="1" t="s">
        <v>229</v>
      </c>
      <c r="F1159" s="1" t="n">
        <v>34</v>
      </c>
      <c r="G1159" s="1" t="s">
        <v>97</v>
      </c>
      <c r="H1159" s="1" t="n">
        <v>2110405</v>
      </c>
      <c r="I1159" s="1" t="s">
        <v>41</v>
      </c>
      <c r="J1159" s="1" t="n">
        <v>1567061</v>
      </c>
      <c r="L1159" s="1" t="n">
        <v>213957</v>
      </c>
      <c r="M1159" s="1" t="s">
        <v>83</v>
      </c>
      <c r="N1159" s="1" t="s">
        <v>35</v>
      </c>
      <c r="P1159" s="1" t="n">
        <v>113</v>
      </c>
      <c r="Q1159" s="1" t="s">
        <v>36</v>
      </c>
      <c r="R1159" s="1" t="s">
        <v>100</v>
      </c>
      <c r="S1159" s="1" t="n">
        <v>4210301</v>
      </c>
      <c r="T1159" s="1" t="s">
        <v>230</v>
      </c>
      <c r="U1159" s="17" t="n">
        <v>200</v>
      </c>
      <c r="W1159" s="1" t="n">
        <v>200</v>
      </c>
      <c r="X1159" s="1" t="s">
        <v>1117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" t="n">
        <v>2</v>
      </c>
      <c r="B1160" s="15" t="n">
        <v>46247</v>
      </c>
      <c r="C1160" s="15" t="n">
        <v>46247</v>
      </c>
      <c r="D1160" s="1" t="n">
        <v>21</v>
      </c>
      <c r="E1160" s="1" t="s">
        <v>103</v>
      </c>
      <c r="F1160" s="1" t="n">
        <v>34</v>
      </c>
      <c r="G1160" s="1" t="s">
        <v>97</v>
      </c>
      <c r="H1160" s="1" t="n">
        <v>2110405</v>
      </c>
      <c r="I1160" s="1" t="s">
        <v>41</v>
      </c>
      <c r="J1160" s="1" t="n">
        <v>1567069</v>
      </c>
      <c r="L1160" s="1" t="n">
        <v>213961</v>
      </c>
      <c r="M1160" s="1" t="s">
        <v>83</v>
      </c>
      <c r="N1160" s="1" t="s">
        <v>35</v>
      </c>
      <c r="P1160" s="1" t="n">
        <v>113</v>
      </c>
      <c r="Q1160" s="1" t="s">
        <v>36</v>
      </c>
      <c r="R1160" s="1" t="s">
        <v>100</v>
      </c>
      <c r="S1160" s="1" t="n">
        <v>4210301</v>
      </c>
      <c r="T1160" s="1" t="s">
        <v>230</v>
      </c>
      <c r="U1160" s="17" t="n">
        <v>1000</v>
      </c>
      <c r="W1160" s="1" t="n">
        <v>1000</v>
      </c>
      <c r="X1160" s="1" t="s">
        <v>1117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" t="n">
        <v>2</v>
      </c>
      <c r="B1161" s="15" t="n">
        <v>46247</v>
      </c>
      <c r="C1161" s="15" t="n">
        <v>46247</v>
      </c>
      <c r="D1161" s="1" t="n">
        <v>18</v>
      </c>
      <c r="E1161" s="1" t="s">
        <v>105</v>
      </c>
      <c r="F1161" s="1" t="n">
        <v>34</v>
      </c>
      <c r="G1161" s="1" t="s">
        <v>97</v>
      </c>
      <c r="H1161" s="1" t="n">
        <v>2110405</v>
      </c>
      <c r="I1161" s="1" t="s">
        <v>41</v>
      </c>
      <c r="J1161" s="1" t="n">
        <v>1567071</v>
      </c>
      <c r="L1161" s="1" t="n">
        <v>213963</v>
      </c>
      <c r="M1161" s="1" t="s">
        <v>83</v>
      </c>
      <c r="N1161" s="1" t="s">
        <v>35</v>
      </c>
      <c r="P1161" s="1" t="n">
        <v>113</v>
      </c>
      <c r="Q1161" s="1" t="s">
        <v>36</v>
      </c>
      <c r="R1161" s="1" t="s">
        <v>100</v>
      </c>
      <c r="S1161" s="1" t="n">
        <v>4210301</v>
      </c>
      <c r="T1161" s="1" t="s">
        <v>230</v>
      </c>
      <c r="U1161" s="17" t="n">
        <v>600</v>
      </c>
      <c r="W1161" s="1" t="n">
        <v>600</v>
      </c>
      <c r="X1161" s="1" t="s">
        <v>1117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" t="n">
        <v>2</v>
      </c>
      <c r="B1162" s="15" t="n">
        <v>46247</v>
      </c>
      <c r="C1162" s="15" t="n">
        <v>46247</v>
      </c>
      <c r="D1162" s="1" t="n">
        <v>1979</v>
      </c>
      <c r="E1162" s="1" t="s">
        <v>239</v>
      </c>
      <c r="F1162" s="1" t="n">
        <v>34</v>
      </c>
      <c r="G1162" s="1" t="s">
        <v>97</v>
      </c>
      <c r="H1162" s="1" t="n">
        <v>2110405</v>
      </c>
      <c r="I1162" s="1" t="s">
        <v>41</v>
      </c>
      <c r="J1162" s="1" t="n">
        <v>1567072</v>
      </c>
      <c r="L1162" s="1" t="n">
        <v>213964</v>
      </c>
      <c r="M1162" s="1" t="s">
        <v>83</v>
      </c>
      <c r="N1162" s="1" t="s">
        <v>35</v>
      </c>
      <c r="P1162" s="1" t="n">
        <v>113</v>
      </c>
      <c r="Q1162" s="1" t="s">
        <v>36</v>
      </c>
      <c r="R1162" s="1" t="s">
        <v>100</v>
      </c>
      <c r="S1162" s="1" t="n">
        <v>4210301</v>
      </c>
      <c r="T1162" s="1" t="s">
        <v>230</v>
      </c>
      <c r="U1162" s="17" t="n">
        <v>400</v>
      </c>
      <c r="W1162" s="1" t="n">
        <v>400</v>
      </c>
      <c r="X1162" s="1" t="s">
        <v>1117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" t="n">
        <v>2</v>
      </c>
      <c r="B1163" s="15" t="n">
        <v>46247</v>
      </c>
      <c r="C1163" s="15" t="n">
        <v>46247</v>
      </c>
      <c r="D1163" s="1" t="n">
        <v>23</v>
      </c>
      <c r="E1163" s="1" t="s">
        <v>236</v>
      </c>
      <c r="F1163" s="1" t="n">
        <v>34</v>
      </c>
      <c r="G1163" s="1" t="s">
        <v>97</v>
      </c>
      <c r="H1163" s="1" t="n">
        <v>2110405</v>
      </c>
      <c r="I1163" s="1" t="s">
        <v>41</v>
      </c>
      <c r="J1163" s="1" t="n">
        <v>1567076</v>
      </c>
      <c r="L1163" s="1" t="n">
        <v>213966</v>
      </c>
      <c r="M1163" s="1" t="s">
        <v>83</v>
      </c>
      <c r="N1163" s="1" t="s">
        <v>35</v>
      </c>
      <c r="P1163" s="1" t="n">
        <v>113</v>
      </c>
      <c r="Q1163" s="1" t="s">
        <v>36</v>
      </c>
      <c r="R1163" s="1" t="s">
        <v>100</v>
      </c>
      <c r="S1163" s="1" t="n">
        <v>4210301</v>
      </c>
      <c r="T1163" s="1" t="s">
        <v>230</v>
      </c>
      <c r="U1163" s="17" t="n">
        <v>400</v>
      </c>
      <c r="W1163" s="1" t="n">
        <v>400</v>
      </c>
      <c r="X1163" s="1" t="s">
        <v>1117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" t="n">
        <v>2</v>
      </c>
      <c r="B1164" s="15" t="n">
        <v>46248</v>
      </c>
      <c r="C1164" s="15" t="n">
        <v>46248</v>
      </c>
      <c r="D1164" s="1" t="n">
        <v>1936</v>
      </c>
      <c r="E1164" s="1" t="s">
        <v>1091</v>
      </c>
      <c r="F1164" s="1" t="n">
        <v>24</v>
      </c>
      <c r="G1164" s="1" t="s">
        <v>77</v>
      </c>
      <c r="H1164" s="1" t="n">
        <v>2110405</v>
      </c>
      <c r="I1164" s="1" t="s">
        <v>41</v>
      </c>
      <c r="J1164" s="1" t="n">
        <v>1545262</v>
      </c>
      <c r="L1164" s="1" t="n">
        <v>210891</v>
      </c>
      <c r="M1164" s="1" t="s">
        <v>83</v>
      </c>
      <c r="N1164" s="1" t="s">
        <v>35</v>
      </c>
      <c r="P1164" s="1" t="n">
        <v>101</v>
      </c>
      <c r="Q1164" s="1" t="s">
        <v>42</v>
      </c>
      <c r="R1164" s="1" t="s">
        <v>48</v>
      </c>
      <c r="S1164" s="1" t="n">
        <v>1130101</v>
      </c>
      <c r="T1164" s="1" t="s">
        <v>49</v>
      </c>
      <c r="U1164" s="17" t="n">
        <v>585</v>
      </c>
      <c r="W1164" s="1" t="n">
        <v>585</v>
      </c>
      <c r="X1164" s="1" t="s">
        <v>1118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" t="n">
        <v>2</v>
      </c>
      <c r="B1165" s="15" t="n">
        <v>46221</v>
      </c>
      <c r="C1165" s="15" t="n">
        <v>46248</v>
      </c>
      <c r="D1165" s="1" t="n">
        <v>1830</v>
      </c>
      <c r="E1165" s="1" t="s">
        <v>449</v>
      </c>
      <c r="F1165" s="1" t="n">
        <v>24</v>
      </c>
      <c r="G1165" s="1" t="s">
        <v>77</v>
      </c>
      <c r="H1165" s="1" t="n">
        <v>2110405</v>
      </c>
      <c r="I1165" s="1" t="s">
        <v>41</v>
      </c>
      <c r="J1165" s="1" t="n">
        <v>1415299</v>
      </c>
      <c r="L1165" s="1" t="n">
        <v>1124</v>
      </c>
      <c r="M1165" s="1" t="s">
        <v>83</v>
      </c>
      <c r="N1165" s="1" t="s">
        <v>35</v>
      </c>
      <c r="P1165" s="1" t="n">
        <v>101</v>
      </c>
      <c r="Q1165" s="1" t="s">
        <v>42</v>
      </c>
      <c r="R1165" s="1" t="s">
        <v>100</v>
      </c>
      <c r="S1165" s="1" t="n">
        <v>4210319</v>
      </c>
      <c r="T1165" s="1" t="s">
        <v>450</v>
      </c>
      <c r="U1165" s="17" t="n">
        <v>55</v>
      </c>
      <c r="W1165" s="1" t="n">
        <v>55</v>
      </c>
      <c r="X1165" s="1" t="s">
        <v>1119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" t="n">
        <v>2</v>
      </c>
      <c r="B1166" s="15" t="n">
        <v>46223</v>
      </c>
      <c r="C1166" s="15" t="n">
        <v>46248</v>
      </c>
      <c r="D1166" s="1" t="n">
        <v>10012</v>
      </c>
      <c r="E1166" s="1" t="s">
        <v>160</v>
      </c>
      <c r="F1166" s="1" t="n">
        <v>24</v>
      </c>
      <c r="G1166" s="1" t="s">
        <v>77</v>
      </c>
      <c r="H1166" s="1" t="n">
        <v>2110405</v>
      </c>
      <c r="I1166" s="1" t="s">
        <v>41</v>
      </c>
      <c r="J1166" s="1" t="n">
        <v>1423840</v>
      </c>
      <c r="L1166" s="1" t="n">
        <v>190896</v>
      </c>
      <c r="M1166" s="1" t="s">
        <v>83</v>
      </c>
      <c r="N1166" s="1" t="s">
        <v>35</v>
      </c>
      <c r="P1166" s="1" t="n">
        <v>113</v>
      </c>
      <c r="Q1166" s="1" t="s">
        <v>36</v>
      </c>
      <c r="R1166" s="1" t="s">
        <v>48</v>
      </c>
      <c r="S1166" s="1" t="n">
        <v>1130101</v>
      </c>
      <c r="T1166" s="1" t="s">
        <v>49</v>
      </c>
      <c r="U1166" s="17" t="n">
        <v>945.12</v>
      </c>
      <c r="W1166" s="1" t="n">
        <v>945.12</v>
      </c>
      <c r="X1166" s="1" t="s">
        <v>1120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" t="n">
        <v>2</v>
      </c>
      <c r="B1167" s="15" t="n">
        <v>46227</v>
      </c>
      <c r="C1167" s="15" t="n">
        <v>46248</v>
      </c>
      <c r="D1167" s="1" t="n">
        <v>1921</v>
      </c>
      <c r="E1167" s="1" t="s">
        <v>166</v>
      </c>
      <c r="F1167" s="1" t="n">
        <v>24</v>
      </c>
      <c r="G1167" s="1" t="s">
        <v>77</v>
      </c>
      <c r="H1167" s="1" t="n">
        <v>2110405</v>
      </c>
      <c r="I1167" s="1" t="s">
        <v>41</v>
      </c>
      <c r="J1167" s="1" t="n">
        <v>1443816</v>
      </c>
      <c r="L1167" s="1" t="n">
        <v>195257</v>
      </c>
      <c r="M1167" s="1" t="s">
        <v>83</v>
      </c>
      <c r="N1167" s="1" t="s">
        <v>35</v>
      </c>
      <c r="P1167" s="1" t="n">
        <v>113</v>
      </c>
      <c r="Q1167" s="1" t="s">
        <v>36</v>
      </c>
      <c r="R1167" s="1" t="s">
        <v>48</v>
      </c>
      <c r="S1167" s="1" t="n">
        <v>1130101</v>
      </c>
      <c r="T1167" s="1" t="s">
        <v>49</v>
      </c>
      <c r="U1167" s="17" t="n">
        <v>581.65</v>
      </c>
      <c r="W1167" s="1" t="n">
        <v>581.65</v>
      </c>
      <c r="X1167" s="1" t="s">
        <v>1121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" t="n">
        <v>2</v>
      </c>
      <c r="B1168" s="15" t="n">
        <v>46227</v>
      </c>
      <c r="C1168" s="15" t="n">
        <v>46248</v>
      </c>
      <c r="D1168" s="1" t="n">
        <v>1666</v>
      </c>
      <c r="E1168" s="1" t="s">
        <v>206</v>
      </c>
      <c r="F1168" s="1" t="n">
        <v>24</v>
      </c>
      <c r="G1168" s="1" t="s">
        <v>77</v>
      </c>
      <c r="H1168" s="1" t="n">
        <v>2110405</v>
      </c>
      <c r="I1168" s="1" t="s">
        <v>41</v>
      </c>
      <c r="J1168" s="1" t="n">
        <v>1443874</v>
      </c>
      <c r="L1168" s="1" t="n">
        <v>195268</v>
      </c>
      <c r="M1168" s="1" t="s">
        <v>83</v>
      </c>
      <c r="N1168" s="1" t="s">
        <v>35</v>
      </c>
      <c r="P1168" s="1" t="n">
        <v>113</v>
      </c>
      <c r="Q1168" s="1" t="s">
        <v>36</v>
      </c>
      <c r="R1168" s="1" t="s">
        <v>48</v>
      </c>
      <c r="S1168" s="1" t="n">
        <v>1130101</v>
      </c>
      <c r="T1168" s="1" t="s">
        <v>49</v>
      </c>
      <c r="U1168" s="17" t="n">
        <v>6409.6</v>
      </c>
      <c r="W1168" s="1" t="n">
        <v>6409.6</v>
      </c>
      <c r="X1168" s="1" t="s">
        <v>962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" t="n">
        <v>2</v>
      </c>
      <c r="B1169" s="15" t="n">
        <v>46227</v>
      </c>
      <c r="C1169" s="15" t="n">
        <v>46248</v>
      </c>
      <c r="D1169" s="1" t="n">
        <v>1608</v>
      </c>
      <c r="E1169" s="1" t="s">
        <v>201</v>
      </c>
      <c r="F1169" s="1" t="n">
        <v>24</v>
      </c>
      <c r="G1169" s="1" t="s">
        <v>77</v>
      </c>
      <c r="H1169" s="1" t="n">
        <v>2110405</v>
      </c>
      <c r="I1169" s="1" t="s">
        <v>41</v>
      </c>
      <c r="J1169" s="1" t="n">
        <v>1444853</v>
      </c>
      <c r="L1169" s="1" t="n">
        <v>195494</v>
      </c>
      <c r="M1169" s="1" t="s">
        <v>83</v>
      </c>
      <c r="N1169" s="1" t="s">
        <v>35</v>
      </c>
      <c r="P1169" s="1" t="n">
        <v>113</v>
      </c>
      <c r="Q1169" s="1" t="s">
        <v>36</v>
      </c>
      <c r="R1169" s="1" t="s">
        <v>48</v>
      </c>
      <c r="S1169" s="1" t="n">
        <v>1130101</v>
      </c>
      <c r="T1169" s="1" t="s">
        <v>49</v>
      </c>
      <c r="U1169" s="17" t="n">
        <v>1111.12</v>
      </c>
      <c r="W1169" s="1" t="n">
        <v>1111.12</v>
      </c>
      <c r="X1169" s="1" t="s">
        <v>1122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" t="n">
        <v>2</v>
      </c>
      <c r="B1170" s="15" t="n">
        <v>46227</v>
      </c>
      <c r="C1170" s="15" t="n">
        <v>46248</v>
      </c>
      <c r="D1170" s="1" t="n">
        <v>1700</v>
      </c>
      <c r="E1170" s="1" t="s">
        <v>1039</v>
      </c>
      <c r="F1170" s="1" t="n">
        <v>24</v>
      </c>
      <c r="G1170" s="1" t="s">
        <v>77</v>
      </c>
      <c r="H1170" s="1" t="n">
        <v>2110405</v>
      </c>
      <c r="I1170" s="1" t="s">
        <v>41</v>
      </c>
      <c r="J1170" s="1" t="n">
        <v>1444978</v>
      </c>
      <c r="L1170" s="1" t="n">
        <v>195524</v>
      </c>
      <c r="M1170" s="1" t="s">
        <v>83</v>
      </c>
      <c r="N1170" s="1" t="s">
        <v>35</v>
      </c>
      <c r="P1170" s="1" t="n">
        <v>113</v>
      </c>
      <c r="Q1170" s="1" t="s">
        <v>36</v>
      </c>
      <c r="R1170" s="1" t="s">
        <v>48</v>
      </c>
      <c r="S1170" s="1" t="n">
        <v>1130101</v>
      </c>
      <c r="T1170" s="1" t="s">
        <v>49</v>
      </c>
      <c r="U1170" s="17" t="n">
        <v>690</v>
      </c>
      <c r="W1170" s="1" t="n">
        <v>690</v>
      </c>
      <c r="X1170" s="1" t="s">
        <v>1040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" t="n">
        <v>2</v>
      </c>
      <c r="B1171" s="15" t="n">
        <v>46228</v>
      </c>
      <c r="C1171" s="15" t="n">
        <v>46248</v>
      </c>
      <c r="D1171" s="1" t="n">
        <v>1635</v>
      </c>
      <c r="E1171" s="1" t="s">
        <v>117</v>
      </c>
      <c r="F1171" s="1" t="n">
        <v>24</v>
      </c>
      <c r="G1171" s="1" t="s">
        <v>77</v>
      </c>
      <c r="H1171" s="1" t="n">
        <v>2110405</v>
      </c>
      <c r="I1171" s="1" t="s">
        <v>41</v>
      </c>
      <c r="J1171" s="1" t="n">
        <v>1448485</v>
      </c>
      <c r="L1171" s="1" t="n">
        <v>196062</v>
      </c>
      <c r="M1171" s="1" t="s">
        <v>83</v>
      </c>
      <c r="N1171" s="1" t="s">
        <v>35</v>
      </c>
      <c r="P1171" s="1" t="n">
        <v>113</v>
      </c>
      <c r="Q1171" s="1" t="s">
        <v>36</v>
      </c>
      <c r="R1171" s="1" t="s">
        <v>48</v>
      </c>
      <c r="S1171" s="1" t="n">
        <v>1130101</v>
      </c>
      <c r="T1171" s="1" t="s">
        <v>49</v>
      </c>
      <c r="U1171" s="17" t="n">
        <v>740.52</v>
      </c>
      <c r="W1171" s="1" t="n">
        <v>740.52</v>
      </c>
      <c r="X1171" s="1" t="s">
        <v>1042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" t="n">
        <v>2</v>
      </c>
      <c r="B1172" s="15" t="n">
        <v>46235</v>
      </c>
      <c r="C1172" s="15" t="n">
        <v>46248</v>
      </c>
      <c r="D1172" s="1" t="n">
        <v>1749</v>
      </c>
      <c r="E1172" s="1" t="s">
        <v>512</v>
      </c>
      <c r="F1172" s="1" t="n">
        <v>24</v>
      </c>
      <c r="G1172" s="1" t="s">
        <v>77</v>
      </c>
      <c r="H1172" s="1" t="n">
        <v>2110405</v>
      </c>
      <c r="I1172" s="1" t="s">
        <v>41</v>
      </c>
      <c r="J1172" s="1" t="n">
        <v>1482084</v>
      </c>
      <c r="L1172" s="1" t="n">
        <v>201176</v>
      </c>
      <c r="M1172" s="1" t="s">
        <v>83</v>
      </c>
      <c r="N1172" s="1" t="s">
        <v>35</v>
      </c>
      <c r="P1172" s="1" t="n">
        <v>113</v>
      </c>
      <c r="Q1172" s="1" t="s">
        <v>36</v>
      </c>
      <c r="R1172" s="1" t="s">
        <v>48</v>
      </c>
      <c r="S1172" s="1" t="n">
        <v>1130101</v>
      </c>
      <c r="T1172" s="1" t="s">
        <v>49</v>
      </c>
      <c r="U1172" s="17" t="n">
        <v>2975.9</v>
      </c>
      <c r="W1172" s="1" t="n">
        <v>2975.9</v>
      </c>
      <c r="X1172" s="1" t="s">
        <v>1123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" t="n">
        <v>2</v>
      </c>
      <c r="B1173" s="15" t="n">
        <v>46237</v>
      </c>
      <c r="C1173" s="15" t="n">
        <v>46248</v>
      </c>
      <c r="D1173" s="1" t="n">
        <v>1683</v>
      </c>
      <c r="E1173" s="1" t="s">
        <v>369</v>
      </c>
      <c r="F1173" s="1" t="n">
        <v>34</v>
      </c>
      <c r="G1173" s="1" t="s">
        <v>97</v>
      </c>
      <c r="H1173" s="1" t="n">
        <v>2110405</v>
      </c>
      <c r="I1173" s="1" t="s">
        <v>41</v>
      </c>
      <c r="J1173" s="1" t="n">
        <v>1493066</v>
      </c>
      <c r="L1173" s="1" t="n">
        <v>202461</v>
      </c>
      <c r="M1173" s="1" t="s">
        <v>83</v>
      </c>
      <c r="N1173" s="1" t="s">
        <v>35</v>
      </c>
      <c r="P1173" s="1" t="n">
        <v>113</v>
      </c>
      <c r="Q1173" s="1" t="s">
        <v>36</v>
      </c>
      <c r="R1173" s="1" t="s">
        <v>48</v>
      </c>
      <c r="S1173" s="1" t="n">
        <v>1130101</v>
      </c>
      <c r="T1173" s="1" t="s">
        <v>49</v>
      </c>
      <c r="U1173" s="17" t="n">
        <v>120</v>
      </c>
      <c r="W1173" s="1" t="n">
        <v>120</v>
      </c>
      <c r="X1173" s="1" t="s">
        <v>371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" t="n">
        <v>2</v>
      </c>
      <c r="B1174" s="15" t="n">
        <v>46238</v>
      </c>
      <c r="C1174" s="15" t="n">
        <v>46248</v>
      </c>
      <c r="D1174" s="1" t="n">
        <v>1683</v>
      </c>
      <c r="E1174" s="1" t="s">
        <v>369</v>
      </c>
      <c r="F1174" s="1" t="n">
        <v>34</v>
      </c>
      <c r="G1174" s="1" t="s">
        <v>97</v>
      </c>
      <c r="H1174" s="1" t="n">
        <v>1110203</v>
      </c>
      <c r="I1174" s="1" t="s">
        <v>108</v>
      </c>
      <c r="J1174" s="1" t="n">
        <v>1498983</v>
      </c>
      <c r="L1174" s="1" t="n">
        <v>203336</v>
      </c>
      <c r="M1174" s="1" t="s">
        <v>83</v>
      </c>
      <c r="N1174" s="1" t="s">
        <v>35</v>
      </c>
      <c r="P1174" s="1" t="n">
        <v>113</v>
      </c>
      <c r="Q1174" s="1" t="s">
        <v>36</v>
      </c>
      <c r="R1174" s="1" t="s">
        <v>48</v>
      </c>
      <c r="S1174" s="1" t="n">
        <v>1130101</v>
      </c>
      <c r="T1174" s="1" t="s">
        <v>49</v>
      </c>
      <c r="U1174" s="17" t="n">
        <v>144.5</v>
      </c>
      <c r="W1174" s="1" t="n">
        <v>144.5</v>
      </c>
      <c r="X1174" s="1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" t="n">
        <v>2</v>
      </c>
      <c r="B1175" s="15" t="n">
        <v>46239</v>
      </c>
      <c r="C1175" s="15" t="n">
        <v>46248</v>
      </c>
      <c r="D1175" s="1" t="n">
        <v>1723</v>
      </c>
      <c r="E1175" s="1" t="s">
        <v>332</v>
      </c>
      <c r="F1175" s="1" t="n">
        <v>24</v>
      </c>
      <c r="G1175" s="1" t="s">
        <v>77</v>
      </c>
      <c r="H1175" s="1" t="n">
        <v>2110405</v>
      </c>
      <c r="I1175" s="1" t="s">
        <v>41</v>
      </c>
      <c r="J1175" s="1" t="n">
        <v>1503637</v>
      </c>
      <c r="L1175" s="1" t="n">
        <v>204152</v>
      </c>
      <c r="M1175" s="1" t="s">
        <v>83</v>
      </c>
      <c r="N1175" s="1" t="s">
        <v>35</v>
      </c>
      <c r="P1175" s="1" t="n">
        <v>113</v>
      </c>
      <c r="Q1175" s="1" t="s">
        <v>36</v>
      </c>
      <c r="R1175" s="1" t="s">
        <v>48</v>
      </c>
      <c r="S1175" s="1" t="n">
        <v>1130101</v>
      </c>
      <c r="T1175" s="1" t="s">
        <v>49</v>
      </c>
      <c r="U1175" s="17" t="n">
        <v>2347.2</v>
      </c>
      <c r="W1175" s="1" t="n">
        <v>2347.2</v>
      </c>
      <c r="X1175" s="1" t="s">
        <v>1124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" t="n">
        <v>2</v>
      </c>
      <c r="B1176" s="15" t="n">
        <v>46240</v>
      </c>
      <c r="C1176" s="15" t="n">
        <v>46248</v>
      </c>
      <c r="D1176" s="1" t="n">
        <v>1683</v>
      </c>
      <c r="E1176" s="1" t="s">
        <v>369</v>
      </c>
      <c r="F1176" s="1" t="n">
        <v>34</v>
      </c>
      <c r="G1176" s="1" t="s">
        <v>97</v>
      </c>
      <c r="H1176" s="1" t="n">
        <v>2110405</v>
      </c>
      <c r="I1176" s="1" t="s">
        <v>41</v>
      </c>
      <c r="J1176" s="1" t="n">
        <v>1508136</v>
      </c>
      <c r="L1176" s="1" t="n">
        <v>204884</v>
      </c>
      <c r="M1176" s="1" t="s">
        <v>83</v>
      </c>
      <c r="N1176" s="1" t="s">
        <v>35</v>
      </c>
      <c r="P1176" s="1" t="n">
        <v>113</v>
      </c>
      <c r="Q1176" s="1" t="s">
        <v>36</v>
      </c>
      <c r="R1176" s="1" t="s">
        <v>48</v>
      </c>
      <c r="S1176" s="1" t="n">
        <v>1130101</v>
      </c>
      <c r="T1176" s="1" t="s">
        <v>49</v>
      </c>
      <c r="U1176" s="17" t="n">
        <v>184</v>
      </c>
      <c r="W1176" s="1" t="n">
        <v>184</v>
      </c>
      <c r="X1176" s="1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" t="n">
        <v>2</v>
      </c>
      <c r="B1177" s="15" t="n">
        <v>46248</v>
      </c>
      <c r="C1177" s="15" t="n">
        <v>46248</v>
      </c>
      <c r="D1177" s="1" t="n">
        <v>48</v>
      </c>
      <c r="E1177" s="1" t="s">
        <v>132</v>
      </c>
      <c r="F1177" s="1" t="n">
        <v>13</v>
      </c>
      <c r="G1177" s="1" t="s">
        <v>133</v>
      </c>
      <c r="H1177" s="1" t="n">
        <v>2110101</v>
      </c>
      <c r="I1177" s="1" t="s">
        <v>33</v>
      </c>
      <c r="J1177" s="1" t="n">
        <v>1545625</v>
      </c>
      <c r="L1177" s="1" t="n">
        <v>2603</v>
      </c>
      <c r="M1177" s="1" t="s">
        <v>83</v>
      </c>
      <c r="N1177" s="1" t="s">
        <v>54</v>
      </c>
      <c r="P1177" s="1" t="n">
        <v>113</v>
      </c>
      <c r="Q1177" s="1" t="s">
        <v>36</v>
      </c>
      <c r="R1177" s="1" t="s">
        <v>48</v>
      </c>
      <c r="S1177" s="1" t="n">
        <v>1130101</v>
      </c>
      <c r="T1177" s="1" t="s">
        <v>49</v>
      </c>
      <c r="U1177" s="17" t="n">
        <v>225</v>
      </c>
      <c r="W1177" s="1" t="n">
        <v>0</v>
      </c>
      <c r="X1177" s="1" t="s">
        <v>1125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" t="n">
        <v>2</v>
      </c>
      <c r="B1178" s="15" t="n">
        <v>46241</v>
      </c>
      <c r="C1178" s="15" t="n">
        <v>46248</v>
      </c>
      <c r="D1178" s="1" t="n">
        <v>1642</v>
      </c>
      <c r="E1178" s="1" t="s">
        <v>210</v>
      </c>
      <c r="F1178" s="1" t="n">
        <v>24</v>
      </c>
      <c r="G1178" s="1" t="s">
        <v>77</v>
      </c>
      <c r="H1178" s="1" t="n">
        <v>2110405</v>
      </c>
      <c r="I1178" s="1" t="s">
        <v>41</v>
      </c>
      <c r="J1178" s="1" t="n">
        <v>1513263</v>
      </c>
      <c r="L1178" s="1" t="n">
        <v>205740</v>
      </c>
      <c r="M1178" s="1" t="s">
        <v>83</v>
      </c>
      <c r="N1178" s="1" t="s">
        <v>35</v>
      </c>
      <c r="P1178" s="1" t="n">
        <v>113</v>
      </c>
      <c r="Q1178" s="1" t="s">
        <v>36</v>
      </c>
      <c r="R1178" s="1" t="s">
        <v>48</v>
      </c>
      <c r="S1178" s="1" t="n">
        <v>1130101</v>
      </c>
      <c r="T1178" s="1" t="s">
        <v>49</v>
      </c>
      <c r="U1178" s="17" t="n">
        <v>497.91</v>
      </c>
      <c r="W1178" s="1" t="n">
        <v>497.91</v>
      </c>
      <c r="X1178" s="1" t="s">
        <v>1126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" t="n">
        <v>2</v>
      </c>
      <c r="B1179" s="15" t="n">
        <v>46241</v>
      </c>
      <c r="C1179" s="15" t="n">
        <v>46248</v>
      </c>
      <c r="D1179" s="1" t="n">
        <v>560</v>
      </c>
      <c r="E1179" s="1" t="s">
        <v>400</v>
      </c>
      <c r="F1179" s="1" t="n">
        <v>24</v>
      </c>
      <c r="G1179" s="1" t="s">
        <v>77</v>
      </c>
      <c r="H1179" s="1" t="n">
        <v>2110405</v>
      </c>
      <c r="I1179" s="1" t="s">
        <v>41</v>
      </c>
      <c r="J1179" s="1" t="n">
        <v>1513967</v>
      </c>
      <c r="L1179" s="1" t="n">
        <v>205910</v>
      </c>
      <c r="M1179" s="1" t="s">
        <v>83</v>
      </c>
      <c r="N1179" s="1" t="s">
        <v>35</v>
      </c>
      <c r="P1179" s="1" t="n">
        <v>113</v>
      </c>
      <c r="Q1179" s="1" t="s">
        <v>36</v>
      </c>
      <c r="R1179" s="1" t="s">
        <v>48</v>
      </c>
      <c r="S1179" s="1" t="n">
        <v>1130101</v>
      </c>
      <c r="T1179" s="1" t="s">
        <v>49</v>
      </c>
      <c r="U1179" s="17" t="n">
        <v>250</v>
      </c>
      <c r="W1179" s="1" t="n">
        <v>250</v>
      </c>
      <c r="X1179" s="1" t="s">
        <v>1127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" t="n">
        <v>2</v>
      </c>
      <c r="B1180" s="15" t="n">
        <v>46241</v>
      </c>
      <c r="C1180" s="15" t="n">
        <v>46248</v>
      </c>
      <c r="D1180" s="1" t="n">
        <v>10019</v>
      </c>
      <c r="E1180" s="1" t="s">
        <v>250</v>
      </c>
      <c r="F1180" s="1" t="n">
        <v>24</v>
      </c>
      <c r="G1180" s="1" t="s">
        <v>77</v>
      </c>
      <c r="H1180" s="1" t="n">
        <v>2110405</v>
      </c>
      <c r="I1180" s="1" t="s">
        <v>41</v>
      </c>
      <c r="J1180" s="1" t="n">
        <v>1514128</v>
      </c>
      <c r="L1180" s="1" t="n">
        <v>205960</v>
      </c>
      <c r="M1180" s="1" t="s">
        <v>83</v>
      </c>
      <c r="N1180" s="1" t="s">
        <v>35</v>
      </c>
      <c r="P1180" s="1" t="n">
        <v>113</v>
      </c>
      <c r="Q1180" s="1" t="s">
        <v>36</v>
      </c>
      <c r="R1180" s="1" t="s">
        <v>48</v>
      </c>
      <c r="S1180" s="1" t="n">
        <v>1130101</v>
      </c>
      <c r="T1180" s="1" t="s">
        <v>49</v>
      </c>
      <c r="U1180" s="17" t="n">
        <v>1023.98</v>
      </c>
      <c r="W1180" s="1" t="n">
        <v>1023.98</v>
      </c>
      <c r="X1180" s="1" t="s">
        <v>1128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" t="n">
        <v>2</v>
      </c>
      <c r="B1181" s="15" t="n">
        <v>46244</v>
      </c>
      <c r="C1181" s="15" t="n">
        <v>46248</v>
      </c>
      <c r="D1181" s="1" t="n">
        <v>1666</v>
      </c>
      <c r="E1181" s="1" t="s">
        <v>206</v>
      </c>
      <c r="F1181" s="1" t="n">
        <v>24</v>
      </c>
      <c r="G1181" s="1" t="s">
        <v>77</v>
      </c>
      <c r="H1181" s="1" t="n">
        <v>2110405</v>
      </c>
      <c r="I1181" s="1" t="s">
        <v>41</v>
      </c>
      <c r="J1181" s="1" t="n">
        <v>1529108</v>
      </c>
      <c r="L1181" s="1" t="n">
        <v>207934</v>
      </c>
      <c r="M1181" s="1" t="s">
        <v>83</v>
      </c>
      <c r="N1181" s="1" t="s">
        <v>35</v>
      </c>
      <c r="P1181" s="1" t="n">
        <v>113</v>
      </c>
      <c r="Q1181" s="1" t="s">
        <v>36</v>
      </c>
      <c r="R1181" s="1" t="s">
        <v>48</v>
      </c>
      <c r="S1181" s="1" t="n">
        <v>1130101</v>
      </c>
      <c r="T1181" s="1" t="s">
        <v>49</v>
      </c>
      <c r="U1181" s="17" t="n">
        <v>4470.03</v>
      </c>
      <c r="W1181" s="1" t="n">
        <v>4470.03</v>
      </c>
      <c r="X1181" s="1" t="s">
        <v>1129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" t="n">
        <v>2</v>
      </c>
      <c r="B1182" s="15" t="n">
        <v>46244</v>
      </c>
      <c r="C1182" s="15" t="n">
        <v>46248</v>
      </c>
      <c r="D1182" s="1" t="n">
        <v>1683</v>
      </c>
      <c r="E1182" s="1" t="s">
        <v>369</v>
      </c>
      <c r="F1182" s="1" t="n">
        <v>34</v>
      </c>
      <c r="G1182" s="1" t="s">
        <v>97</v>
      </c>
      <c r="H1182" s="1" t="n">
        <v>2110405</v>
      </c>
      <c r="I1182" s="1" t="s">
        <v>41</v>
      </c>
      <c r="J1182" s="1" t="n">
        <v>1530025</v>
      </c>
      <c r="L1182" s="1" t="n">
        <v>208184</v>
      </c>
      <c r="M1182" s="1" t="s">
        <v>83</v>
      </c>
      <c r="N1182" s="1" t="s">
        <v>35</v>
      </c>
      <c r="P1182" s="1" t="n">
        <v>113</v>
      </c>
      <c r="Q1182" s="1" t="s">
        <v>36</v>
      </c>
      <c r="R1182" s="1" t="s">
        <v>48</v>
      </c>
      <c r="S1182" s="1" t="n">
        <v>1130101</v>
      </c>
      <c r="T1182" s="1" t="s">
        <v>49</v>
      </c>
      <c r="U1182" s="17" t="n">
        <v>216.5</v>
      </c>
      <c r="W1182" s="1" t="n">
        <v>216.5</v>
      </c>
      <c r="X1182" s="1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" t="n">
        <v>2</v>
      </c>
      <c r="B1183" s="15" t="n">
        <v>46244</v>
      </c>
      <c r="C1183" s="15" t="n">
        <v>46248</v>
      </c>
      <c r="D1183" s="1" t="n">
        <v>1683</v>
      </c>
      <c r="E1183" s="1" t="s">
        <v>369</v>
      </c>
      <c r="F1183" s="1" t="n">
        <v>34</v>
      </c>
      <c r="G1183" s="1" t="s">
        <v>97</v>
      </c>
      <c r="H1183" s="1" t="n">
        <v>2110405</v>
      </c>
      <c r="I1183" s="1" t="s">
        <v>41</v>
      </c>
      <c r="J1183" s="1" t="n">
        <v>1530030</v>
      </c>
      <c r="L1183" s="1" t="n">
        <v>208186</v>
      </c>
      <c r="M1183" s="1" t="s">
        <v>83</v>
      </c>
      <c r="N1183" s="1" t="s">
        <v>35</v>
      </c>
      <c r="P1183" s="1" t="n">
        <v>113</v>
      </c>
      <c r="Q1183" s="1" t="s">
        <v>36</v>
      </c>
      <c r="R1183" s="1" t="s">
        <v>48</v>
      </c>
      <c r="S1183" s="1" t="n">
        <v>1130101</v>
      </c>
      <c r="T1183" s="1" t="s">
        <v>49</v>
      </c>
      <c r="U1183" s="17" t="n">
        <v>136</v>
      </c>
      <c r="W1183" s="1" t="n">
        <v>136</v>
      </c>
      <c r="X1183" s="1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" t="n">
        <v>2</v>
      </c>
      <c r="B1184" s="15" t="n">
        <v>46246</v>
      </c>
      <c r="C1184" s="15" t="n">
        <v>46248</v>
      </c>
      <c r="D1184" s="1" t="n">
        <v>642</v>
      </c>
      <c r="E1184" s="1" t="s">
        <v>130</v>
      </c>
      <c r="F1184" s="1" t="n">
        <v>24</v>
      </c>
      <c r="G1184" s="1" t="s">
        <v>77</v>
      </c>
      <c r="H1184" s="1" t="n">
        <v>2110405</v>
      </c>
      <c r="I1184" s="1" t="s">
        <v>41</v>
      </c>
      <c r="J1184" s="1" t="n">
        <v>1534769</v>
      </c>
      <c r="L1184" s="1" t="n">
        <v>209420</v>
      </c>
      <c r="M1184" s="1" t="s">
        <v>83</v>
      </c>
      <c r="N1184" s="1" t="s">
        <v>35</v>
      </c>
      <c r="P1184" s="1" t="n">
        <v>113</v>
      </c>
      <c r="Q1184" s="1" t="s">
        <v>36</v>
      </c>
      <c r="R1184" s="1" t="s">
        <v>48</v>
      </c>
      <c r="S1184" s="1" t="n">
        <v>1130101</v>
      </c>
      <c r="T1184" s="1" t="s">
        <v>49</v>
      </c>
      <c r="U1184" s="17" t="n">
        <v>240</v>
      </c>
      <c r="W1184" s="1" t="n">
        <v>240</v>
      </c>
      <c r="X1184" s="1" t="s">
        <v>1130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" t="n">
        <v>2</v>
      </c>
      <c r="B1185" s="15" t="n">
        <v>46248</v>
      </c>
      <c r="C1185" s="15" t="n">
        <v>46248</v>
      </c>
      <c r="D1185" s="1" t="n">
        <v>48</v>
      </c>
      <c r="E1185" s="1" t="s">
        <v>132</v>
      </c>
      <c r="F1185" s="1" t="n">
        <v>34</v>
      </c>
      <c r="G1185" s="1" t="s">
        <v>97</v>
      </c>
      <c r="H1185" s="1" t="n">
        <v>2110101</v>
      </c>
      <c r="I1185" s="1" t="s">
        <v>33</v>
      </c>
      <c r="J1185" s="1" t="n">
        <v>1546719</v>
      </c>
      <c r="L1185" s="1" t="n">
        <v>2604</v>
      </c>
      <c r="M1185" s="1" t="s">
        <v>83</v>
      </c>
      <c r="N1185" s="1" t="s">
        <v>54</v>
      </c>
      <c r="P1185" s="1" t="n">
        <v>113</v>
      </c>
      <c r="Q1185" s="1" t="s">
        <v>36</v>
      </c>
      <c r="R1185" s="1" t="s">
        <v>48</v>
      </c>
      <c r="S1185" s="1" t="n">
        <v>1130101</v>
      </c>
      <c r="T1185" s="1" t="s">
        <v>49</v>
      </c>
      <c r="U1185" s="17" t="n">
        <v>115</v>
      </c>
      <c r="W1185" s="1" t="n">
        <v>115</v>
      </c>
      <c r="X1185" s="1" t="s">
        <v>1131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" t="n">
        <v>2</v>
      </c>
      <c r="B1186" s="15" t="n">
        <v>46248</v>
      </c>
      <c r="C1186" s="15" t="n">
        <v>46248</v>
      </c>
      <c r="D1186" s="1" t="n">
        <v>48</v>
      </c>
      <c r="E1186" s="1" t="s">
        <v>132</v>
      </c>
      <c r="F1186" s="1" t="n">
        <v>34</v>
      </c>
      <c r="G1186" s="1" t="s">
        <v>97</v>
      </c>
      <c r="H1186" s="1" t="n">
        <v>2110101</v>
      </c>
      <c r="I1186" s="1" t="s">
        <v>33</v>
      </c>
      <c r="J1186" s="1" t="n">
        <v>1546864</v>
      </c>
      <c r="L1186" s="1" t="n">
        <v>2605</v>
      </c>
      <c r="M1186" s="1" t="s">
        <v>83</v>
      </c>
      <c r="N1186" s="1" t="s">
        <v>54</v>
      </c>
      <c r="P1186" s="1" t="n">
        <v>113</v>
      </c>
      <c r="Q1186" s="1" t="s">
        <v>36</v>
      </c>
      <c r="R1186" s="1" t="s">
        <v>48</v>
      </c>
      <c r="S1186" s="1" t="n">
        <v>1130101</v>
      </c>
      <c r="T1186" s="1" t="s">
        <v>49</v>
      </c>
      <c r="U1186" s="17" t="n">
        <v>1899.7</v>
      </c>
      <c r="W1186" s="1" t="n">
        <v>1899.7</v>
      </c>
      <c r="X1186" s="1" t="s">
        <v>1132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" t="n">
        <v>2</v>
      </c>
      <c r="B1187" s="15" t="n">
        <v>46248</v>
      </c>
      <c r="C1187" s="15" t="n">
        <v>46248</v>
      </c>
      <c r="D1187" s="1" t="n">
        <v>1037</v>
      </c>
      <c r="E1187" s="1" t="s">
        <v>139</v>
      </c>
      <c r="F1187" s="1" t="n">
        <v>34</v>
      </c>
      <c r="G1187" s="1" t="s">
        <v>97</v>
      </c>
      <c r="H1187" s="1" t="n">
        <v>2110405</v>
      </c>
      <c r="I1187" s="1" t="s">
        <v>41</v>
      </c>
      <c r="J1187" s="1" t="n">
        <v>1546883</v>
      </c>
      <c r="L1187" s="1" t="n">
        <v>211309</v>
      </c>
      <c r="M1187" s="1" t="s">
        <v>83</v>
      </c>
      <c r="N1187" s="1" t="s">
        <v>35</v>
      </c>
      <c r="P1187" s="1" t="n">
        <v>113</v>
      </c>
      <c r="Q1187" s="1" t="s">
        <v>36</v>
      </c>
      <c r="R1187" s="1" t="s">
        <v>48</v>
      </c>
      <c r="S1187" s="1" t="n">
        <v>1130101</v>
      </c>
      <c r="T1187" s="1" t="s">
        <v>49</v>
      </c>
      <c r="U1187" s="17" t="n">
        <v>399</v>
      </c>
      <c r="W1187" s="1" t="n">
        <v>399</v>
      </c>
      <c r="X1187" s="1" t="s">
        <v>1133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" t="n">
        <v>2</v>
      </c>
      <c r="B1188" s="15" t="n">
        <v>46248</v>
      </c>
      <c r="C1188" s="15" t="n">
        <v>46248</v>
      </c>
      <c r="D1188" s="1" t="n">
        <v>1683</v>
      </c>
      <c r="E1188" s="1" t="s">
        <v>369</v>
      </c>
      <c r="F1188" s="1" t="n">
        <v>34</v>
      </c>
      <c r="G1188" s="1" t="s">
        <v>97</v>
      </c>
      <c r="H1188" s="1" t="n">
        <v>2110405</v>
      </c>
      <c r="I1188" s="1" t="s">
        <v>41</v>
      </c>
      <c r="J1188" s="1" t="n">
        <v>1551207</v>
      </c>
      <c r="L1188" s="1" t="n">
        <v>211669</v>
      </c>
      <c r="M1188" s="1" t="s">
        <v>83</v>
      </c>
      <c r="N1188" s="1" t="s">
        <v>35</v>
      </c>
      <c r="P1188" s="1" t="n">
        <v>113</v>
      </c>
      <c r="Q1188" s="1" t="s">
        <v>36</v>
      </c>
      <c r="R1188" s="1" t="s">
        <v>48</v>
      </c>
      <c r="S1188" s="1" t="n">
        <v>1130101</v>
      </c>
      <c r="T1188" s="1" t="s">
        <v>49</v>
      </c>
      <c r="U1188" s="17" t="n">
        <v>117</v>
      </c>
      <c r="W1188" s="1" t="n">
        <v>117</v>
      </c>
      <c r="X1188" s="1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" t="n">
        <v>2</v>
      </c>
      <c r="B1189" s="15" t="n">
        <v>46248</v>
      </c>
      <c r="C1189" s="15" t="n">
        <v>46248</v>
      </c>
      <c r="D1189" s="1" t="n">
        <v>1683</v>
      </c>
      <c r="E1189" s="1" t="s">
        <v>369</v>
      </c>
      <c r="F1189" s="1" t="n">
        <v>34</v>
      </c>
      <c r="G1189" s="1" t="s">
        <v>97</v>
      </c>
      <c r="H1189" s="1" t="n">
        <v>2110405</v>
      </c>
      <c r="I1189" s="1" t="s">
        <v>41</v>
      </c>
      <c r="J1189" s="1" t="n">
        <v>1551209</v>
      </c>
      <c r="L1189" s="1" t="n">
        <v>211671</v>
      </c>
      <c r="M1189" s="1" t="s">
        <v>83</v>
      </c>
      <c r="N1189" s="1" t="s">
        <v>35</v>
      </c>
      <c r="P1189" s="1" t="n">
        <v>113</v>
      </c>
      <c r="Q1189" s="1" t="s">
        <v>36</v>
      </c>
      <c r="R1189" s="1" t="s">
        <v>48</v>
      </c>
      <c r="S1189" s="1" t="n">
        <v>1130101</v>
      </c>
      <c r="T1189" s="1" t="s">
        <v>49</v>
      </c>
      <c r="U1189" s="17" t="n">
        <v>79</v>
      </c>
      <c r="W1189" s="1" t="n">
        <v>79</v>
      </c>
      <c r="X1189" s="1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" t="n">
        <v>2</v>
      </c>
      <c r="B1190" s="15" t="n">
        <v>46097</v>
      </c>
      <c r="C1190" s="15" t="n">
        <v>46249</v>
      </c>
      <c r="D1190" s="1" t="n">
        <v>1867</v>
      </c>
      <c r="E1190" s="1" t="s">
        <v>359</v>
      </c>
      <c r="F1190" s="1" t="n">
        <v>24</v>
      </c>
      <c r="G1190" s="1" t="s">
        <v>77</v>
      </c>
      <c r="H1190" s="1" t="n">
        <v>2110405</v>
      </c>
      <c r="I1190" s="1" t="s">
        <v>41</v>
      </c>
      <c r="J1190" s="1" t="n">
        <v>808550</v>
      </c>
      <c r="L1190" s="1" t="n">
        <v>2026</v>
      </c>
      <c r="M1190" s="1" t="s">
        <v>47</v>
      </c>
      <c r="N1190" s="1" t="s">
        <v>35</v>
      </c>
      <c r="P1190" s="1" t="n">
        <v>101</v>
      </c>
      <c r="Q1190" s="1" t="s">
        <v>42</v>
      </c>
      <c r="R1190" s="1" t="s">
        <v>360</v>
      </c>
      <c r="S1190" s="1" t="n">
        <v>4210401</v>
      </c>
      <c r="T1190" s="1" t="s">
        <v>361</v>
      </c>
      <c r="U1190" s="17" t="n">
        <v>228.88</v>
      </c>
      <c r="W1190" s="1" t="n">
        <v>228.88</v>
      </c>
      <c r="X1190" s="1" t="s">
        <v>1134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" t="n">
        <v>2</v>
      </c>
      <c r="B1191" s="15" t="n">
        <v>46127</v>
      </c>
      <c r="C1191" s="15" t="n">
        <v>46249</v>
      </c>
      <c r="D1191" s="1" t="n">
        <v>512</v>
      </c>
      <c r="E1191" s="1" t="s">
        <v>363</v>
      </c>
      <c r="F1191" s="1" t="n">
        <v>34</v>
      </c>
      <c r="G1191" s="1" t="s">
        <v>97</v>
      </c>
      <c r="H1191" s="1" t="n">
        <v>2110405</v>
      </c>
      <c r="I1191" s="1" t="s">
        <v>41</v>
      </c>
      <c r="J1191" s="1" t="n">
        <v>954215</v>
      </c>
      <c r="L1191" s="1" t="n">
        <v>126220</v>
      </c>
      <c r="M1191" s="1" t="s">
        <v>53</v>
      </c>
      <c r="N1191" s="1" t="s">
        <v>35</v>
      </c>
      <c r="P1191" s="1" t="n">
        <v>101</v>
      </c>
      <c r="Q1191" s="1" t="s">
        <v>42</v>
      </c>
      <c r="R1191" s="1" t="s">
        <v>364</v>
      </c>
      <c r="S1191" s="1" t="n">
        <v>4210111</v>
      </c>
      <c r="T1191" s="1" t="s">
        <v>365</v>
      </c>
      <c r="U1191" s="17" t="n">
        <v>5700</v>
      </c>
      <c r="W1191" s="1" t="n">
        <v>5700</v>
      </c>
      <c r="X1191" s="1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" t="n">
        <v>2</v>
      </c>
      <c r="B1192" s="15" t="n">
        <v>46205</v>
      </c>
      <c r="C1192" s="15" t="n">
        <v>46249</v>
      </c>
      <c r="D1192" s="1" t="n">
        <v>1217</v>
      </c>
      <c r="E1192" s="1" t="s">
        <v>690</v>
      </c>
      <c r="F1192" s="1" t="n">
        <v>24</v>
      </c>
      <c r="G1192" s="1" t="s">
        <v>77</v>
      </c>
      <c r="H1192" s="1" t="n">
        <v>2110101</v>
      </c>
      <c r="I1192" s="1" t="s">
        <v>33</v>
      </c>
      <c r="J1192" s="1" t="n">
        <v>1339965</v>
      </c>
      <c r="L1192" s="1" t="n">
        <v>4467</v>
      </c>
      <c r="M1192" s="1" t="s">
        <v>53</v>
      </c>
      <c r="N1192" s="1" t="s">
        <v>54</v>
      </c>
      <c r="P1192" s="1" t="n">
        <v>113</v>
      </c>
      <c r="Q1192" s="1" t="s">
        <v>36</v>
      </c>
      <c r="R1192" s="1" t="s">
        <v>48</v>
      </c>
      <c r="S1192" s="1" t="n">
        <v>1130101</v>
      </c>
      <c r="T1192" s="1" t="s">
        <v>49</v>
      </c>
      <c r="U1192" s="17" t="n">
        <v>819.53</v>
      </c>
      <c r="W1192" s="1" t="n">
        <v>819.53</v>
      </c>
      <c r="X1192" s="1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" t="n">
        <v>2</v>
      </c>
      <c r="B1193" s="15" t="n">
        <v>46226</v>
      </c>
      <c r="C1193" s="15" t="n">
        <v>46249</v>
      </c>
      <c r="D1193" s="1" t="n">
        <v>1659</v>
      </c>
      <c r="E1193" s="1" t="s">
        <v>197</v>
      </c>
      <c r="F1193" s="1" t="n">
        <v>24</v>
      </c>
      <c r="G1193" s="1" t="s">
        <v>77</v>
      </c>
      <c r="H1193" s="1" t="n">
        <v>2110405</v>
      </c>
      <c r="I1193" s="1" t="s">
        <v>41</v>
      </c>
      <c r="J1193" s="1" t="n">
        <v>1439439</v>
      </c>
      <c r="L1193" s="1" t="n">
        <v>194551</v>
      </c>
      <c r="M1193" s="1" t="s">
        <v>83</v>
      </c>
      <c r="N1193" s="1" t="s">
        <v>35</v>
      </c>
      <c r="P1193" s="1" t="n">
        <v>113</v>
      </c>
      <c r="Q1193" s="1" t="s">
        <v>36</v>
      </c>
      <c r="R1193" s="1" t="s">
        <v>48</v>
      </c>
      <c r="S1193" s="1" t="n">
        <v>1130101</v>
      </c>
      <c r="T1193" s="1" t="s">
        <v>49</v>
      </c>
      <c r="U1193" s="17" t="n">
        <v>1006.03</v>
      </c>
      <c r="W1193" s="1" t="n">
        <v>1006.03</v>
      </c>
      <c r="X1193" s="1" t="s">
        <v>1050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" t="n">
        <v>2</v>
      </c>
      <c r="B1194" s="15" t="n">
        <v>46234</v>
      </c>
      <c r="C1194" s="15" t="n">
        <v>46249</v>
      </c>
      <c r="D1194" s="1" t="n">
        <v>1705</v>
      </c>
      <c r="E1194" s="1" t="s">
        <v>119</v>
      </c>
      <c r="F1194" s="1" t="n">
        <v>24</v>
      </c>
      <c r="G1194" s="1" t="s">
        <v>77</v>
      </c>
      <c r="H1194" s="1" t="n">
        <v>2110405</v>
      </c>
      <c r="I1194" s="1" t="s">
        <v>41</v>
      </c>
      <c r="J1194" s="1" t="n">
        <v>1477956</v>
      </c>
      <c r="L1194" s="1" t="n">
        <v>200506</v>
      </c>
      <c r="M1194" s="1" t="s">
        <v>83</v>
      </c>
      <c r="N1194" s="1" t="s">
        <v>35</v>
      </c>
      <c r="P1194" s="1" t="n">
        <v>113</v>
      </c>
      <c r="Q1194" s="1" t="s">
        <v>36</v>
      </c>
      <c r="R1194" s="1" t="s">
        <v>48</v>
      </c>
      <c r="S1194" s="1" t="n">
        <v>1130101</v>
      </c>
      <c r="T1194" s="1" t="s">
        <v>49</v>
      </c>
      <c r="U1194" s="17" t="n">
        <v>2636.73</v>
      </c>
      <c r="W1194" s="1" t="n">
        <v>2636.73</v>
      </c>
      <c r="X1194" s="1" t="s">
        <v>1135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2</v>
      </c>
      <c r="B1195" s="15" t="n">
        <v>46234</v>
      </c>
      <c r="C1195" s="15" t="n">
        <v>46249</v>
      </c>
      <c r="D1195" s="1" t="n">
        <v>1705</v>
      </c>
      <c r="E1195" s="1" t="s">
        <v>119</v>
      </c>
      <c r="F1195" s="1" t="n">
        <v>24</v>
      </c>
      <c r="G1195" s="1" t="s">
        <v>77</v>
      </c>
      <c r="H1195" s="1" t="n">
        <v>2110405</v>
      </c>
      <c r="I1195" s="1" t="s">
        <v>41</v>
      </c>
      <c r="J1195" s="1" t="n">
        <v>1478071</v>
      </c>
      <c r="L1195" s="1" t="n">
        <v>200520</v>
      </c>
      <c r="M1195" s="1" t="s">
        <v>83</v>
      </c>
      <c r="N1195" s="1" t="s">
        <v>35</v>
      </c>
      <c r="P1195" s="1" t="n">
        <v>113</v>
      </c>
      <c r="Q1195" s="1" t="s">
        <v>36</v>
      </c>
      <c r="R1195" s="1" t="s">
        <v>48</v>
      </c>
      <c r="S1195" s="1" t="n">
        <v>1130101</v>
      </c>
      <c r="T1195" s="1" t="s">
        <v>49</v>
      </c>
      <c r="U1195" s="17" t="n">
        <v>45.18</v>
      </c>
      <c r="W1195" s="1" t="n">
        <v>45.18</v>
      </c>
      <c r="X1195" s="1" t="s">
        <v>1136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2</v>
      </c>
      <c r="B1196" s="15" t="n">
        <v>46234</v>
      </c>
      <c r="C1196" s="15" t="n">
        <v>46249</v>
      </c>
      <c r="D1196" s="1" t="n">
        <v>1705</v>
      </c>
      <c r="E1196" s="1" t="s">
        <v>119</v>
      </c>
      <c r="F1196" s="1" t="n">
        <v>24</v>
      </c>
      <c r="G1196" s="1" t="s">
        <v>77</v>
      </c>
      <c r="H1196" s="1" t="n">
        <v>2110405</v>
      </c>
      <c r="I1196" s="1" t="s">
        <v>41</v>
      </c>
      <c r="J1196" s="1" t="n">
        <v>1478135</v>
      </c>
      <c r="L1196" s="1" t="n">
        <v>200534</v>
      </c>
      <c r="M1196" s="1" t="s">
        <v>83</v>
      </c>
      <c r="N1196" s="1" t="s">
        <v>35</v>
      </c>
      <c r="P1196" s="1" t="n">
        <v>113</v>
      </c>
      <c r="Q1196" s="1" t="s">
        <v>36</v>
      </c>
      <c r="R1196" s="1" t="s">
        <v>48</v>
      </c>
      <c r="S1196" s="1" t="n">
        <v>1130101</v>
      </c>
      <c r="T1196" s="1" t="s">
        <v>49</v>
      </c>
      <c r="U1196" s="17" t="n">
        <v>327.46</v>
      </c>
      <c r="W1196" s="1" t="n">
        <v>327.46</v>
      </c>
      <c r="X1196" s="1" t="s">
        <v>1137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2</v>
      </c>
      <c r="B1197" s="15" t="n">
        <v>46234</v>
      </c>
      <c r="C1197" s="15" t="n">
        <v>46249</v>
      </c>
      <c r="D1197" s="1" t="n">
        <v>1705</v>
      </c>
      <c r="E1197" s="1" t="s">
        <v>119</v>
      </c>
      <c r="F1197" s="1" t="n">
        <v>24</v>
      </c>
      <c r="G1197" s="1" t="s">
        <v>77</v>
      </c>
      <c r="H1197" s="1" t="n">
        <v>2110405</v>
      </c>
      <c r="I1197" s="1" t="s">
        <v>41</v>
      </c>
      <c r="J1197" s="1" t="n">
        <v>1478170</v>
      </c>
      <c r="L1197" s="1" t="n">
        <v>200545</v>
      </c>
      <c r="M1197" s="1" t="s">
        <v>83</v>
      </c>
      <c r="N1197" s="1" t="s">
        <v>35</v>
      </c>
      <c r="P1197" s="1" t="n">
        <v>113</v>
      </c>
      <c r="Q1197" s="1" t="s">
        <v>36</v>
      </c>
      <c r="R1197" s="1" t="s">
        <v>48</v>
      </c>
      <c r="S1197" s="1" t="n">
        <v>1130101</v>
      </c>
      <c r="T1197" s="1" t="s">
        <v>49</v>
      </c>
      <c r="U1197" s="17" t="n">
        <v>190.71</v>
      </c>
      <c r="W1197" s="1" t="n">
        <v>190.71</v>
      </c>
      <c r="X1197" s="1" t="s">
        <v>1138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2</v>
      </c>
      <c r="B1198" s="15" t="n">
        <v>46234</v>
      </c>
      <c r="C1198" s="15" t="n">
        <v>46249</v>
      </c>
      <c r="D1198" s="1" t="n">
        <v>1705</v>
      </c>
      <c r="E1198" s="1" t="s">
        <v>119</v>
      </c>
      <c r="F1198" s="1" t="n">
        <v>24</v>
      </c>
      <c r="G1198" s="1" t="s">
        <v>77</v>
      </c>
      <c r="H1198" s="1" t="n">
        <v>2110405</v>
      </c>
      <c r="I1198" s="1" t="s">
        <v>41</v>
      </c>
      <c r="J1198" s="1" t="n">
        <v>1478184</v>
      </c>
      <c r="L1198" s="1" t="n">
        <v>200546</v>
      </c>
      <c r="M1198" s="1" t="s">
        <v>83</v>
      </c>
      <c r="N1198" s="1" t="s">
        <v>35</v>
      </c>
      <c r="P1198" s="1" t="n">
        <v>113</v>
      </c>
      <c r="Q1198" s="1" t="s">
        <v>36</v>
      </c>
      <c r="R1198" s="1" t="s">
        <v>48</v>
      </c>
      <c r="S1198" s="1" t="n">
        <v>1130101</v>
      </c>
      <c r="T1198" s="1" t="s">
        <v>49</v>
      </c>
      <c r="U1198" s="17" t="n">
        <v>538.46</v>
      </c>
      <c r="W1198" s="1" t="n">
        <v>538.46</v>
      </c>
      <c r="X1198" s="1" t="s">
        <v>1139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2</v>
      </c>
      <c r="B1199" s="15" t="n">
        <v>46237</v>
      </c>
      <c r="C1199" s="15" t="n">
        <v>46249</v>
      </c>
      <c r="D1199" s="1" t="n">
        <v>1695</v>
      </c>
      <c r="E1199" s="1" t="s">
        <v>351</v>
      </c>
      <c r="F1199" s="1" t="n">
        <v>24</v>
      </c>
      <c r="G1199" s="1" t="s">
        <v>77</v>
      </c>
      <c r="H1199" s="1" t="n">
        <v>2110405</v>
      </c>
      <c r="I1199" s="1" t="s">
        <v>41</v>
      </c>
      <c r="J1199" s="1" t="n">
        <v>1493384</v>
      </c>
      <c r="L1199" s="1" t="n">
        <v>202558</v>
      </c>
      <c r="M1199" s="1" t="s">
        <v>83</v>
      </c>
      <c r="N1199" s="1" t="s">
        <v>35</v>
      </c>
      <c r="P1199" s="1" t="n">
        <v>113</v>
      </c>
      <c r="Q1199" s="1" t="s">
        <v>36</v>
      </c>
      <c r="R1199" s="1" t="s">
        <v>48</v>
      </c>
      <c r="S1199" s="1" t="n">
        <v>1130101</v>
      </c>
      <c r="T1199" s="1" t="s">
        <v>49</v>
      </c>
      <c r="U1199" s="17" t="n">
        <v>1563.41</v>
      </c>
      <c r="W1199" s="1" t="n">
        <v>1563.41</v>
      </c>
      <c r="X1199" s="1" t="s">
        <v>1052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2</v>
      </c>
      <c r="B1200" s="15" t="n">
        <v>46244</v>
      </c>
      <c r="C1200" s="15" t="n">
        <v>46249</v>
      </c>
      <c r="D1200" s="1" t="n">
        <v>754</v>
      </c>
      <c r="E1200" s="1" t="s">
        <v>128</v>
      </c>
      <c r="F1200" s="1" t="n">
        <v>24</v>
      </c>
      <c r="G1200" s="1" t="s">
        <v>77</v>
      </c>
      <c r="H1200" s="1" t="n">
        <v>2110405</v>
      </c>
      <c r="I1200" s="1" t="s">
        <v>41</v>
      </c>
      <c r="J1200" s="1" t="n">
        <v>1529239</v>
      </c>
      <c r="L1200" s="1" t="n">
        <v>207984</v>
      </c>
      <c r="M1200" s="1" t="s">
        <v>83</v>
      </c>
      <c r="N1200" s="1" t="s">
        <v>35</v>
      </c>
      <c r="P1200" s="1" t="n">
        <v>113</v>
      </c>
      <c r="Q1200" s="1" t="s">
        <v>36</v>
      </c>
      <c r="R1200" s="1" t="s">
        <v>48</v>
      </c>
      <c r="S1200" s="1" t="n">
        <v>1130101</v>
      </c>
      <c r="T1200" s="1" t="s">
        <v>49</v>
      </c>
      <c r="U1200" s="17" t="n">
        <v>2918.55</v>
      </c>
      <c r="W1200" s="1" t="n">
        <v>2918.55</v>
      </c>
      <c r="X1200" s="1" t="s">
        <v>1140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2</v>
      </c>
      <c r="B1201" s="15" t="n">
        <v>46244</v>
      </c>
      <c r="C1201" s="15" t="n">
        <v>46249</v>
      </c>
      <c r="D1201" s="1" t="n">
        <v>1625</v>
      </c>
      <c r="E1201" s="1" t="s">
        <v>248</v>
      </c>
      <c r="F1201" s="1" t="n">
        <v>24</v>
      </c>
      <c r="G1201" s="1" t="s">
        <v>77</v>
      </c>
      <c r="H1201" s="1" t="n">
        <v>2110405</v>
      </c>
      <c r="I1201" s="1" t="s">
        <v>41</v>
      </c>
      <c r="J1201" s="1" t="n">
        <v>1529969</v>
      </c>
      <c r="L1201" s="1" t="n">
        <v>208173</v>
      </c>
      <c r="M1201" s="1" t="s">
        <v>83</v>
      </c>
      <c r="N1201" s="1" t="s">
        <v>35</v>
      </c>
      <c r="P1201" s="1" t="n">
        <v>113</v>
      </c>
      <c r="Q1201" s="1" t="s">
        <v>36</v>
      </c>
      <c r="R1201" s="1" t="s">
        <v>48</v>
      </c>
      <c r="S1201" s="1" t="n">
        <v>1130101</v>
      </c>
      <c r="T1201" s="1" t="s">
        <v>49</v>
      </c>
      <c r="U1201" s="17" t="n">
        <v>4599.9</v>
      </c>
      <c r="W1201" s="1" t="n">
        <v>4599.9</v>
      </c>
      <c r="X1201" s="1" t="s">
        <v>1141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2</v>
      </c>
      <c r="B1202" s="15" t="n">
        <v>46249</v>
      </c>
      <c r="C1202" s="15" t="n">
        <v>46249</v>
      </c>
      <c r="D1202" s="1" t="n">
        <v>48</v>
      </c>
      <c r="E1202" s="1" t="s">
        <v>132</v>
      </c>
      <c r="F1202" s="1" t="n">
        <v>13</v>
      </c>
      <c r="G1202" s="1" t="s">
        <v>133</v>
      </c>
      <c r="H1202" s="1" t="n">
        <v>2110101</v>
      </c>
      <c r="I1202" s="1" t="s">
        <v>33</v>
      </c>
      <c r="J1202" s="1" t="n">
        <v>1552260</v>
      </c>
      <c r="L1202" s="1" t="n">
        <v>2606</v>
      </c>
      <c r="M1202" s="1" t="s">
        <v>83</v>
      </c>
      <c r="N1202" s="1" t="s">
        <v>54</v>
      </c>
      <c r="P1202" s="1" t="n">
        <v>113</v>
      </c>
      <c r="Q1202" s="1" t="s">
        <v>36</v>
      </c>
      <c r="R1202" s="1" t="s">
        <v>48</v>
      </c>
      <c r="S1202" s="1" t="n">
        <v>1130101</v>
      </c>
      <c r="T1202" s="1" t="s">
        <v>49</v>
      </c>
      <c r="U1202" s="17" t="n">
        <v>270</v>
      </c>
      <c r="W1202" s="1" t="n">
        <v>270</v>
      </c>
      <c r="X1202" s="1" t="s">
        <v>1142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2</v>
      </c>
      <c r="B1203" s="15" t="n">
        <v>46249</v>
      </c>
      <c r="C1203" s="15" t="n">
        <v>46249</v>
      </c>
      <c r="D1203" s="1" t="n">
        <v>10096</v>
      </c>
      <c r="E1203" s="1" t="s">
        <v>552</v>
      </c>
      <c r="F1203" s="1" t="n">
        <v>13</v>
      </c>
      <c r="G1203" s="1" t="s">
        <v>133</v>
      </c>
      <c r="H1203" s="1" t="n">
        <v>2110405</v>
      </c>
      <c r="I1203" s="1" t="s">
        <v>41</v>
      </c>
      <c r="J1203" s="1" t="n">
        <v>1560878</v>
      </c>
      <c r="L1203" s="1" t="n">
        <v>212909</v>
      </c>
      <c r="M1203" s="1" t="s">
        <v>83</v>
      </c>
      <c r="N1203" s="1" t="s">
        <v>35</v>
      </c>
      <c r="P1203" s="1" t="n">
        <v>113</v>
      </c>
      <c r="Q1203" s="1" t="s">
        <v>36</v>
      </c>
      <c r="R1203" s="1" t="s">
        <v>48</v>
      </c>
      <c r="S1203" s="1" t="n">
        <v>1130101</v>
      </c>
      <c r="T1203" s="1" t="s">
        <v>49</v>
      </c>
      <c r="U1203" s="17" t="n">
        <v>200</v>
      </c>
      <c r="W1203" s="1" t="n">
        <v>200</v>
      </c>
      <c r="X1203" s="1" t="s">
        <v>1143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2</v>
      </c>
      <c r="B1204" s="15" t="n">
        <v>46249</v>
      </c>
      <c r="C1204" s="15" t="n">
        <v>46249</v>
      </c>
      <c r="D1204" s="1" t="n">
        <v>1695</v>
      </c>
      <c r="E1204" s="1" t="s">
        <v>351</v>
      </c>
      <c r="F1204" s="1" t="n">
        <v>34</v>
      </c>
      <c r="G1204" s="1" t="s">
        <v>97</v>
      </c>
      <c r="H1204" s="1" t="n">
        <v>2110405</v>
      </c>
      <c r="I1204" s="1" t="s">
        <v>41</v>
      </c>
      <c r="J1204" s="1" t="n">
        <v>1570913</v>
      </c>
      <c r="L1204" s="1" t="n">
        <v>214488</v>
      </c>
      <c r="M1204" s="1" t="s">
        <v>83</v>
      </c>
      <c r="N1204" s="1" t="s">
        <v>35</v>
      </c>
      <c r="P1204" s="1" t="n">
        <v>101</v>
      </c>
      <c r="Q1204" s="1" t="s">
        <v>42</v>
      </c>
      <c r="R1204" s="1" t="s">
        <v>48</v>
      </c>
      <c r="S1204" s="1" t="n">
        <v>1130101</v>
      </c>
      <c r="T1204" s="1" t="s">
        <v>49</v>
      </c>
      <c r="U1204" s="17" t="n">
        <v>718.8</v>
      </c>
      <c r="W1204" s="1" t="n">
        <v>718.8</v>
      </c>
      <c r="X1204" s="1" t="s">
        <v>1144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2</v>
      </c>
      <c r="B1205" s="15" t="n">
        <v>46221</v>
      </c>
      <c r="C1205" s="15" t="n">
        <v>46251</v>
      </c>
      <c r="D1205" s="1" t="n">
        <v>1671</v>
      </c>
      <c r="E1205" s="1" t="s">
        <v>88</v>
      </c>
      <c r="F1205" s="1" t="n">
        <v>24</v>
      </c>
      <c r="G1205" s="1" t="s">
        <v>77</v>
      </c>
      <c r="H1205" s="1" t="n">
        <v>2110405</v>
      </c>
      <c r="I1205" s="1" t="s">
        <v>41</v>
      </c>
      <c r="J1205" s="1" t="n">
        <v>1415259</v>
      </c>
      <c r="L1205" s="1" t="n">
        <v>190807</v>
      </c>
      <c r="M1205" s="1" t="s">
        <v>83</v>
      </c>
      <c r="N1205" s="1" t="s">
        <v>35</v>
      </c>
      <c r="P1205" s="1" t="n">
        <v>113</v>
      </c>
      <c r="Q1205" s="1" t="s">
        <v>36</v>
      </c>
      <c r="R1205" s="1" t="s">
        <v>48</v>
      </c>
      <c r="S1205" s="1" t="n">
        <v>1130101</v>
      </c>
      <c r="T1205" s="1" t="s">
        <v>49</v>
      </c>
      <c r="U1205" s="17" t="n">
        <v>1415.72</v>
      </c>
      <c r="W1205" s="1" t="n">
        <v>1415.72</v>
      </c>
      <c r="X1205" s="1" t="s">
        <v>1063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2</v>
      </c>
      <c r="B1206" s="15" t="n">
        <v>46221</v>
      </c>
      <c r="C1206" s="15" t="n">
        <v>46251</v>
      </c>
      <c r="D1206" s="1" t="n">
        <v>1671</v>
      </c>
      <c r="E1206" s="1" t="s">
        <v>88</v>
      </c>
      <c r="F1206" s="1" t="n">
        <v>24</v>
      </c>
      <c r="G1206" s="1" t="s">
        <v>77</v>
      </c>
      <c r="H1206" s="1" t="n">
        <v>2110405</v>
      </c>
      <c r="I1206" s="1" t="s">
        <v>41</v>
      </c>
      <c r="J1206" s="1" t="n">
        <v>1415308</v>
      </c>
      <c r="L1206" s="1" t="n">
        <v>190812</v>
      </c>
      <c r="M1206" s="1" t="s">
        <v>83</v>
      </c>
      <c r="N1206" s="1" t="s">
        <v>35</v>
      </c>
      <c r="P1206" s="1" t="n">
        <v>113</v>
      </c>
      <c r="Q1206" s="1" t="s">
        <v>36</v>
      </c>
      <c r="R1206" s="1" t="s">
        <v>48</v>
      </c>
      <c r="S1206" s="1" t="n">
        <v>1130101</v>
      </c>
      <c r="T1206" s="1" t="s">
        <v>49</v>
      </c>
      <c r="U1206" s="17" t="n">
        <v>1144.36</v>
      </c>
      <c r="W1206" s="1" t="n">
        <v>1144.36</v>
      </c>
      <c r="X1206" s="1" t="s">
        <v>1064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2</v>
      </c>
      <c r="B1207" s="15" t="n">
        <v>46223</v>
      </c>
      <c r="C1207" s="15" t="n">
        <v>46251</v>
      </c>
      <c r="D1207" s="1" t="n">
        <v>1601</v>
      </c>
      <c r="E1207" s="1" t="s">
        <v>175</v>
      </c>
      <c r="F1207" s="1" t="n">
        <v>24</v>
      </c>
      <c r="G1207" s="1" t="s">
        <v>77</v>
      </c>
      <c r="H1207" s="1" t="n">
        <v>2110405</v>
      </c>
      <c r="I1207" s="1" t="s">
        <v>41</v>
      </c>
      <c r="J1207" s="1" t="n">
        <v>1424101</v>
      </c>
      <c r="L1207" s="1" t="n">
        <v>190899</v>
      </c>
      <c r="M1207" s="1" t="s">
        <v>83</v>
      </c>
      <c r="N1207" s="1" t="s">
        <v>35</v>
      </c>
      <c r="P1207" s="1" t="n">
        <v>113</v>
      </c>
      <c r="Q1207" s="1" t="s">
        <v>36</v>
      </c>
      <c r="R1207" s="1" t="s">
        <v>48</v>
      </c>
      <c r="S1207" s="1" t="n">
        <v>1130101</v>
      </c>
      <c r="T1207" s="1" t="s">
        <v>49</v>
      </c>
      <c r="U1207" s="17" t="n">
        <v>676.98</v>
      </c>
      <c r="W1207" s="1" t="n">
        <v>676.98</v>
      </c>
      <c r="X1207" s="1" t="s">
        <v>984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2</v>
      </c>
      <c r="B1208" s="15" t="n">
        <v>46223</v>
      </c>
      <c r="C1208" s="15" t="n">
        <v>46251</v>
      </c>
      <c r="D1208" s="1" t="n">
        <v>1705</v>
      </c>
      <c r="E1208" s="1" t="s">
        <v>119</v>
      </c>
      <c r="F1208" s="1" t="n">
        <v>24</v>
      </c>
      <c r="G1208" s="1" t="s">
        <v>77</v>
      </c>
      <c r="H1208" s="1" t="n">
        <v>2110405</v>
      </c>
      <c r="I1208" s="1" t="s">
        <v>41</v>
      </c>
      <c r="J1208" s="1" t="n">
        <v>1424522</v>
      </c>
      <c r="L1208" s="1" t="n">
        <v>190902</v>
      </c>
      <c r="M1208" s="1" t="s">
        <v>83</v>
      </c>
      <c r="N1208" s="1" t="s">
        <v>35</v>
      </c>
      <c r="P1208" s="1" t="n">
        <v>113</v>
      </c>
      <c r="Q1208" s="1" t="s">
        <v>36</v>
      </c>
      <c r="R1208" s="1" t="s">
        <v>48</v>
      </c>
      <c r="S1208" s="1" t="n">
        <v>1130101</v>
      </c>
      <c r="T1208" s="1" t="s">
        <v>49</v>
      </c>
      <c r="U1208" s="17" t="n">
        <v>114.61</v>
      </c>
      <c r="W1208" s="1" t="n">
        <v>114.61</v>
      </c>
      <c r="X1208" s="1" t="s">
        <v>1145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2</v>
      </c>
      <c r="B1209" s="15" t="n">
        <v>46237</v>
      </c>
      <c r="C1209" s="15" t="n">
        <v>46251</v>
      </c>
      <c r="D1209" s="1" t="n">
        <v>1626</v>
      </c>
      <c r="E1209" s="1" t="s">
        <v>82</v>
      </c>
      <c r="F1209" s="1" t="n">
        <v>24</v>
      </c>
      <c r="G1209" s="1" t="s">
        <v>77</v>
      </c>
      <c r="H1209" s="1" t="n">
        <v>2110405</v>
      </c>
      <c r="I1209" s="1" t="s">
        <v>41</v>
      </c>
      <c r="J1209" s="1" t="n">
        <v>1495128</v>
      </c>
      <c r="L1209" s="1" t="n">
        <v>202739</v>
      </c>
      <c r="M1209" s="1" t="s">
        <v>83</v>
      </c>
      <c r="N1209" s="1" t="s">
        <v>35</v>
      </c>
      <c r="P1209" s="1" t="n">
        <v>113</v>
      </c>
      <c r="Q1209" s="1" t="s">
        <v>36</v>
      </c>
      <c r="R1209" s="1" t="s">
        <v>48</v>
      </c>
      <c r="S1209" s="1" t="n">
        <v>1130101</v>
      </c>
      <c r="T1209" s="1" t="s">
        <v>49</v>
      </c>
      <c r="U1209" s="17" t="n">
        <v>416.64</v>
      </c>
      <c r="W1209" s="1" t="n">
        <v>416.64</v>
      </c>
      <c r="X1209" s="1" t="s">
        <v>1069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2</v>
      </c>
      <c r="B1210" s="15" t="n">
        <v>46239</v>
      </c>
      <c r="C1210" s="15" t="n">
        <v>46251</v>
      </c>
      <c r="D1210" s="1" t="n">
        <v>1621</v>
      </c>
      <c r="E1210" s="1" t="s">
        <v>212</v>
      </c>
      <c r="F1210" s="1" t="n">
        <v>24</v>
      </c>
      <c r="G1210" s="1" t="s">
        <v>77</v>
      </c>
      <c r="H1210" s="1" t="n">
        <v>2110405</v>
      </c>
      <c r="I1210" s="1" t="s">
        <v>41</v>
      </c>
      <c r="J1210" s="1" t="n">
        <v>1504565</v>
      </c>
      <c r="L1210" s="1" t="n">
        <v>204362</v>
      </c>
      <c r="M1210" s="1" t="s">
        <v>83</v>
      </c>
      <c r="N1210" s="1" t="s">
        <v>35</v>
      </c>
      <c r="P1210" s="1" t="n">
        <v>113</v>
      </c>
      <c r="Q1210" s="1" t="s">
        <v>36</v>
      </c>
      <c r="R1210" s="1" t="s">
        <v>48</v>
      </c>
      <c r="S1210" s="1" t="n">
        <v>1130101</v>
      </c>
      <c r="T1210" s="1" t="s">
        <v>49</v>
      </c>
      <c r="U1210" s="17" t="n">
        <v>2448.61</v>
      </c>
      <c r="W1210" s="1" t="n">
        <v>2448.61</v>
      </c>
      <c r="X1210" s="1" t="s">
        <v>1146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2</v>
      </c>
      <c r="B1211" s="15" t="n">
        <v>46244</v>
      </c>
      <c r="C1211" s="15" t="n">
        <v>46251</v>
      </c>
      <c r="D1211" s="1" t="n">
        <v>1740</v>
      </c>
      <c r="E1211" s="1" t="s">
        <v>410</v>
      </c>
      <c r="F1211" s="1" t="n">
        <v>24</v>
      </c>
      <c r="G1211" s="1" t="s">
        <v>77</v>
      </c>
      <c r="H1211" s="1" t="n">
        <v>2110405</v>
      </c>
      <c r="I1211" s="1" t="s">
        <v>41</v>
      </c>
      <c r="J1211" s="1" t="n">
        <v>1529023</v>
      </c>
      <c r="L1211" s="1" t="n">
        <v>207921</v>
      </c>
      <c r="M1211" s="1" t="s">
        <v>83</v>
      </c>
      <c r="N1211" s="1" t="s">
        <v>35</v>
      </c>
      <c r="P1211" s="1" t="n">
        <v>113</v>
      </c>
      <c r="Q1211" s="1" t="s">
        <v>36</v>
      </c>
      <c r="R1211" s="1" t="s">
        <v>48</v>
      </c>
      <c r="S1211" s="1" t="n">
        <v>1130101</v>
      </c>
      <c r="T1211" s="1" t="s">
        <v>49</v>
      </c>
      <c r="U1211" s="17" t="n">
        <v>364.47</v>
      </c>
      <c r="W1211" s="1" t="n">
        <v>364.47</v>
      </c>
      <c r="X1211" s="1" t="s">
        <v>1147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2</v>
      </c>
      <c r="B1212" s="15" t="n">
        <v>46244</v>
      </c>
      <c r="C1212" s="15" t="n">
        <v>46251</v>
      </c>
      <c r="D1212" s="1" t="n">
        <v>1631</v>
      </c>
      <c r="E1212" s="1" t="s">
        <v>266</v>
      </c>
      <c r="F1212" s="1" t="n">
        <v>24</v>
      </c>
      <c r="G1212" s="1" t="s">
        <v>77</v>
      </c>
      <c r="H1212" s="1" t="n">
        <v>2110405</v>
      </c>
      <c r="I1212" s="1" t="s">
        <v>41</v>
      </c>
      <c r="J1212" s="1" t="n">
        <v>1529983</v>
      </c>
      <c r="L1212" s="1" t="n">
        <v>208174</v>
      </c>
      <c r="M1212" s="1" t="s">
        <v>83</v>
      </c>
      <c r="N1212" s="1" t="s">
        <v>35</v>
      </c>
      <c r="P1212" s="1" t="n">
        <v>113</v>
      </c>
      <c r="Q1212" s="1" t="s">
        <v>36</v>
      </c>
      <c r="R1212" s="1" t="s">
        <v>48</v>
      </c>
      <c r="S1212" s="1" t="n">
        <v>1130101</v>
      </c>
      <c r="T1212" s="1" t="s">
        <v>49</v>
      </c>
      <c r="U1212" s="17" t="n">
        <v>284.93</v>
      </c>
      <c r="W1212" s="1" t="n">
        <v>284.93</v>
      </c>
      <c r="X1212" s="1" t="s">
        <v>1148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2</v>
      </c>
      <c r="B1213" s="15" t="n">
        <v>46244</v>
      </c>
      <c r="C1213" s="15" t="n">
        <v>46251</v>
      </c>
      <c r="D1213" s="1" t="n">
        <v>581</v>
      </c>
      <c r="E1213" s="1" t="s">
        <v>126</v>
      </c>
      <c r="F1213" s="1" t="n">
        <v>24</v>
      </c>
      <c r="G1213" s="1" t="s">
        <v>77</v>
      </c>
      <c r="H1213" s="1" t="n">
        <v>2110405</v>
      </c>
      <c r="I1213" s="1" t="s">
        <v>41</v>
      </c>
      <c r="J1213" s="1" t="n">
        <v>1529991</v>
      </c>
      <c r="L1213" s="1" t="n">
        <v>208179</v>
      </c>
      <c r="M1213" s="1" t="s">
        <v>83</v>
      </c>
      <c r="N1213" s="1" t="s">
        <v>35</v>
      </c>
      <c r="P1213" s="1" t="n">
        <v>113</v>
      </c>
      <c r="Q1213" s="1" t="s">
        <v>36</v>
      </c>
      <c r="R1213" s="1" t="s">
        <v>48</v>
      </c>
      <c r="S1213" s="1" t="n">
        <v>1130101</v>
      </c>
      <c r="T1213" s="1" t="s">
        <v>49</v>
      </c>
      <c r="U1213" s="17" t="n">
        <v>138</v>
      </c>
      <c r="W1213" s="1" t="n">
        <v>138</v>
      </c>
      <c r="X1213" s="1" t="s">
        <v>1149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2</v>
      </c>
      <c r="B1214" s="15" t="n">
        <v>46244</v>
      </c>
      <c r="C1214" s="15" t="n">
        <v>46251</v>
      </c>
      <c r="D1214" s="1" t="n">
        <v>1621</v>
      </c>
      <c r="E1214" s="1" t="s">
        <v>212</v>
      </c>
      <c r="F1214" s="1" t="n">
        <v>24</v>
      </c>
      <c r="G1214" s="1" t="s">
        <v>77</v>
      </c>
      <c r="H1214" s="1" t="n">
        <v>2110405</v>
      </c>
      <c r="I1214" s="1" t="s">
        <v>41</v>
      </c>
      <c r="J1214" s="1" t="n">
        <v>1530003</v>
      </c>
      <c r="L1214" s="1" t="n">
        <v>208181</v>
      </c>
      <c r="M1214" s="1" t="s">
        <v>83</v>
      </c>
      <c r="N1214" s="1" t="s">
        <v>35</v>
      </c>
      <c r="P1214" s="1" t="n">
        <v>113</v>
      </c>
      <c r="Q1214" s="1" t="s">
        <v>36</v>
      </c>
      <c r="R1214" s="1" t="s">
        <v>48</v>
      </c>
      <c r="S1214" s="1" t="n">
        <v>1130101</v>
      </c>
      <c r="T1214" s="1" t="s">
        <v>49</v>
      </c>
      <c r="U1214" s="17" t="n">
        <v>1125.94</v>
      </c>
      <c r="W1214" s="1" t="n">
        <v>1125.94</v>
      </c>
      <c r="X1214" s="1" t="s">
        <v>1150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2</v>
      </c>
      <c r="B1215" s="15" t="n">
        <v>46245</v>
      </c>
      <c r="C1215" s="15" t="n">
        <v>46251</v>
      </c>
      <c r="D1215" s="1" t="n">
        <v>911</v>
      </c>
      <c r="E1215" s="1" t="s">
        <v>422</v>
      </c>
      <c r="F1215" s="1" t="n">
        <v>24</v>
      </c>
      <c r="G1215" s="1" t="s">
        <v>77</v>
      </c>
      <c r="H1215" s="1" t="n">
        <v>2110405</v>
      </c>
      <c r="I1215" s="1" t="s">
        <v>41</v>
      </c>
      <c r="J1215" s="1" t="n">
        <v>1532636</v>
      </c>
      <c r="L1215" s="1" t="n">
        <v>208920</v>
      </c>
      <c r="M1215" s="1" t="s">
        <v>83</v>
      </c>
      <c r="N1215" s="1" t="s">
        <v>35</v>
      </c>
      <c r="P1215" s="1" t="n">
        <v>113</v>
      </c>
      <c r="Q1215" s="1" t="s">
        <v>36</v>
      </c>
      <c r="R1215" s="1" t="s">
        <v>48</v>
      </c>
      <c r="S1215" s="1" t="n">
        <v>1130101</v>
      </c>
      <c r="T1215" s="1" t="s">
        <v>49</v>
      </c>
      <c r="U1215" s="17" t="n">
        <v>304.02</v>
      </c>
      <c r="W1215" s="1" t="n">
        <v>304.02</v>
      </c>
      <c r="X1215" s="1" t="s">
        <v>1151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2</v>
      </c>
      <c r="B1216" s="15" t="n">
        <v>46245</v>
      </c>
      <c r="C1216" s="15" t="n">
        <v>46251</v>
      </c>
      <c r="D1216" s="1" t="n">
        <v>1328</v>
      </c>
      <c r="E1216" s="1" t="s">
        <v>92</v>
      </c>
      <c r="F1216" s="1" t="n">
        <v>24</v>
      </c>
      <c r="G1216" s="1" t="s">
        <v>77</v>
      </c>
      <c r="H1216" s="1" t="n">
        <v>2110405</v>
      </c>
      <c r="I1216" s="1" t="s">
        <v>41</v>
      </c>
      <c r="J1216" s="1" t="n">
        <v>1532692</v>
      </c>
      <c r="L1216" s="1" t="n">
        <v>208928</v>
      </c>
      <c r="M1216" s="1" t="s">
        <v>83</v>
      </c>
      <c r="N1216" s="1" t="s">
        <v>35</v>
      </c>
      <c r="P1216" s="1" t="n">
        <v>113</v>
      </c>
      <c r="Q1216" s="1" t="s">
        <v>36</v>
      </c>
      <c r="R1216" s="1" t="s">
        <v>48</v>
      </c>
      <c r="S1216" s="1" t="n">
        <v>1130101</v>
      </c>
      <c r="T1216" s="1" t="s">
        <v>49</v>
      </c>
      <c r="U1216" s="17" t="n">
        <v>279.65</v>
      </c>
      <c r="W1216" s="1" t="n">
        <v>279.65</v>
      </c>
      <c r="X1216" s="1" t="s">
        <v>1152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2</v>
      </c>
      <c r="B1217" s="15" t="n">
        <v>46247</v>
      </c>
      <c r="C1217" s="15" t="n">
        <v>46251</v>
      </c>
      <c r="D1217" s="1" t="n">
        <v>1899</v>
      </c>
      <c r="E1217" s="1" t="s">
        <v>194</v>
      </c>
      <c r="F1217" s="1" t="n">
        <v>24</v>
      </c>
      <c r="G1217" s="1" t="s">
        <v>77</v>
      </c>
      <c r="H1217" s="1" t="n">
        <v>2110405</v>
      </c>
      <c r="I1217" s="1" t="s">
        <v>41</v>
      </c>
      <c r="J1217" s="1" t="n">
        <v>1543532</v>
      </c>
      <c r="L1217" s="1" t="n">
        <v>210484</v>
      </c>
      <c r="M1217" s="1" t="s">
        <v>83</v>
      </c>
      <c r="N1217" s="1" t="s">
        <v>35</v>
      </c>
      <c r="P1217" s="1" t="n">
        <v>113</v>
      </c>
      <c r="Q1217" s="1" t="s">
        <v>36</v>
      </c>
      <c r="R1217" s="1" t="s">
        <v>48</v>
      </c>
      <c r="S1217" s="1" t="n">
        <v>1130101</v>
      </c>
      <c r="T1217" s="1" t="s">
        <v>49</v>
      </c>
      <c r="U1217" s="17" t="n">
        <v>317.18</v>
      </c>
      <c r="W1217" s="1" t="n">
        <v>317.18</v>
      </c>
      <c r="X1217" s="1" t="s">
        <v>1153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2</v>
      </c>
      <c r="B1218" s="15" t="n">
        <v>46248</v>
      </c>
      <c r="C1218" s="15" t="n">
        <v>46251</v>
      </c>
      <c r="D1218" s="1" t="n">
        <v>10035</v>
      </c>
      <c r="E1218" s="1" t="s">
        <v>96</v>
      </c>
      <c r="F1218" s="1" t="n">
        <v>34</v>
      </c>
      <c r="G1218" s="1" t="s">
        <v>97</v>
      </c>
      <c r="H1218" s="1" t="n">
        <v>2110405</v>
      </c>
      <c r="I1218" s="1" t="s">
        <v>41</v>
      </c>
      <c r="J1218" s="1" t="n">
        <v>1547294</v>
      </c>
      <c r="L1218" s="1" t="n">
        <v>211353</v>
      </c>
      <c r="M1218" s="1" t="s">
        <v>83</v>
      </c>
      <c r="N1218" s="1" t="s">
        <v>35</v>
      </c>
      <c r="P1218" s="1" t="n">
        <v>113</v>
      </c>
      <c r="Q1218" s="1" t="s">
        <v>36</v>
      </c>
      <c r="R1218" s="1" t="s">
        <v>48</v>
      </c>
      <c r="S1218" s="1" t="n">
        <v>1130101</v>
      </c>
      <c r="T1218" s="1" t="s">
        <v>49</v>
      </c>
      <c r="U1218" s="17" t="n">
        <v>183</v>
      </c>
      <c r="W1218" s="1" t="n">
        <v>183</v>
      </c>
      <c r="X1218" s="1" t="s">
        <v>1154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2</v>
      </c>
      <c r="B1219" s="15" t="n">
        <v>46251</v>
      </c>
      <c r="C1219" s="15" t="n">
        <v>46251</v>
      </c>
      <c r="D1219" s="1" t="n">
        <v>48</v>
      </c>
      <c r="E1219" s="1" t="s">
        <v>132</v>
      </c>
      <c r="F1219" s="1" t="n">
        <v>13</v>
      </c>
      <c r="G1219" s="1" t="s">
        <v>133</v>
      </c>
      <c r="H1219" s="1" t="n">
        <v>2110101</v>
      </c>
      <c r="I1219" s="1" t="s">
        <v>33</v>
      </c>
      <c r="J1219" s="1" t="n">
        <v>1562623</v>
      </c>
      <c r="L1219" s="1" t="n">
        <v>2609</v>
      </c>
      <c r="M1219" s="1" t="s">
        <v>83</v>
      </c>
      <c r="N1219" s="1" t="s">
        <v>54</v>
      </c>
      <c r="P1219" s="1" t="n">
        <v>113</v>
      </c>
      <c r="Q1219" s="1" t="s">
        <v>36</v>
      </c>
      <c r="R1219" s="1" t="s">
        <v>48</v>
      </c>
      <c r="S1219" s="1" t="n">
        <v>1130101</v>
      </c>
      <c r="T1219" s="1" t="s">
        <v>49</v>
      </c>
      <c r="U1219" s="17" t="n">
        <v>225</v>
      </c>
      <c r="W1219" s="1" t="n">
        <v>225</v>
      </c>
      <c r="X1219" s="1" t="s">
        <v>1155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2</v>
      </c>
      <c r="B1220" s="15" t="n">
        <v>46251</v>
      </c>
      <c r="C1220" s="15" t="n">
        <v>46251</v>
      </c>
      <c r="D1220" s="1" t="n">
        <v>10096</v>
      </c>
      <c r="E1220" s="1" t="s">
        <v>552</v>
      </c>
      <c r="F1220" s="1" t="n">
        <v>13</v>
      </c>
      <c r="G1220" s="1" t="s">
        <v>133</v>
      </c>
      <c r="H1220" s="1" t="n">
        <v>2110405</v>
      </c>
      <c r="I1220" s="1" t="s">
        <v>41</v>
      </c>
      <c r="J1220" s="1" t="n">
        <v>1566626</v>
      </c>
      <c r="L1220" s="1" t="n">
        <v>213850</v>
      </c>
      <c r="M1220" s="1" t="s">
        <v>83</v>
      </c>
      <c r="N1220" s="1" t="s">
        <v>35</v>
      </c>
      <c r="P1220" s="1" t="n">
        <v>113</v>
      </c>
      <c r="Q1220" s="1" t="s">
        <v>36</v>
      </c>
      <c r="R1220" s="1" t="s">
        <v>48</v>
      </c>
      <c r="S1220" s="1" t="n">
        <v>1130101</v>
      </c>
      <c r="T1220" s="1" t="s">
        <v>49</v>
      </c>
      <c r="U1220" s="17" t="n">
        <v>140</v>
      </c>
      <c r="W1220" s="1" t="n">
        <v>140</v>
      </c>
      <c r="X1220" s="1" t="s">
        <v>1156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2</v>
      </c>
      <c r="B1221" s="15" t="n">
        <v>46206</v>
      </c>
      <c r="C1221" s="15" t="n">
        <v>46252</v>
      </c>
      <c r="D1221" s="1" t="n">
        <v>33</v>
      </c>
      <c r="E1221" s="1" t="s">
        <v>272</v>
      </c>
      <c r="F1221" s="1" t="n">
        <v>34</v>
      </c>
      <c r="G1221" s="1" t="s">
        <v>97</v>
      </c>
      <c r="H1221" s="1" t="n">
        <v>2110405</v>
      </c>
      <c r="I1221" s="1" t="s">
        <v>41</v>
      </c>
      <c r="J1221" s="1" t="n">
        <v>1345312</v>
      </c>
      <c r="L1221" s="1" t="n">
        <v>180690</v>
      </c>
      <c r="M1221" s="1" t="s">
        <v>74</v>
      </c>
      <c r="N1221" s="1" t="s">
        <v>35</v>
      </c>
      <c r="P1221" s="1" t="n">
        <v>101</v>
      </c>
      <c r="Q1221" s="1" t="s">
        <v>42</v>
      </c>
      <c r="R1221" s="1" t="s">
        <v>56</v>
      </c>
      <c r="S1221" s="1" t="n">
        <v>4210203</v>
      </c>
      <c r="T1221" s="1" t="s">
        <v>664</v>
      </c>
      <c r="U1221" s="17" t="n">
        <v>247.27</v>
      </c>
      <c r="W1221" s="1" t="n">
        <v>247.27</v>
      </c>
      <c r="X1221" s="1" t="s">
        <v>815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2</v>
      </c>
      <c r="B1222" s="15" t="n">
        <v>46218</v>
      </c>
      <c r="C1222" s="15" t="n">
        <v>46252</v>
      </c>
      <c r="D1222" s="1" t="n">
        <v>1637</v>
      </c>
      <c r="E1222" s="1" t="s">
        <v>764</v>
      </c>
      <c r="F1222" s="1" t="n">
        <v>24</v>
      </c>
      <c r="G1222" s="1" t="s">
        <v>77</v>
      </c>
      <c r="H1222" s="1" t="n">
        <v>2110405</v>
      </c>
      <c r="I1222" s="1" t="s">
        <v>41</v>
      </c>
      <c r="J1222" s="1" t="n">
        <v>1401284</v>
      </c>
      <c r="L1222" s="1" t="n">
        <v>188463</v>
      </c>
      <c r="M1222" s="1" t="s">
        <v>83</v>
      </c>
      <c r="N1222" s="1" t="s">
        <v>35</v>
      </c>
      <c r="P1222" s="1" t="n">
        <v>113</v>
      </c>
      <c r="Q1222" s="1" t="s">
        <v>36</v>
      </c>
      <c r="R1222" s="1" t="s">
        <v>48</v>
      </c>
      <c r="S1222" s="1" t="n">
        <v>1130101</v>
      </c>
      <c r="T1222" s="1" t="s">
        <v>49</v>
      </c>
      <c r="U1222" s="17" t="n">
        <v>479.64</v>
      </c>
      <c r="W1222" s="1" t="n">
        <v>479.64</v>
      </c>
      <c r="X1222" s="1" t="s">
        <v>1157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2</v>
      </c>
      <c r="B1223" s="15" t="n">
        <v>46247</v>
      </c>
      <c r="C1223" s="15" t="n">
        <v>46252</v>
      </c>
      <c r="D1223" s="1" t="n">
        <v>218</v>
      </c>
      <c r="E1223" s="1" t="s">
        <v>723</v>
      </c>
      <c r="F1223" s="1" t="n">
        <v>34</v>
      </c>
      <c r="G1223" s="1" t="s">
        <v>97</v>
      </c>
      <c r="H1223" s="1" t="n">
        <v>2110405</v>
      </c>
      <c r="I1223" s="1" t="s">
        <v>41</v>
      </c>
      <c r="J1223" s="1" t="n">
        <v>1459578</v>
      </c>
      <c r="L1223" s="1" t="n">
        <v>197545</v>
      </c>
      <c r="M1223" s="1" t="s">
        <v>74</v>
      </c>
      <c r="N1223" s="1" t="s">
        <v>35</v>
      </c>
      <c r="P1223" s="1" t="n">
        <v>101</v>
      </c>
      <c r="Q1223" s="1" t="s">
        <v>42</v>
      </c>
      <c r="R1223" s="1" t="s">
        <v>100</v>
      </c>
      <c r="S1223" s="1" t="n">
        <v>4210301</v>
      </c>
      <c r="T1223" s="1" t="s">
        <v>230</v>
      </c>
      <c r="U1223" s="17" t="n">
        <v>102</v>
      </c>
      <c r="W1223" s="1" t="n">
        <v>102</v>
      </c>
      <c r="X1223" s="1" t="s">
        <v>1158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2</v>
      </c>
      <c r="B1224" s="15" t="n">
        <v>46252</v>
      </c>
      <c r="C1224" s="15" t="n">
        <v>46252</v>
      </c>
      <c r="D1224" s="1" t="n">
        <v>48</v>
      </c>
      <c r="E1224" s="1" t="s">
        <v>132</v>
      </c>
      <c r="F1224" s="1" t="n">
        <v>34</v>
      </c>
      <c r="G1224" s="1" t="s">
        <v>97</v>
      </c>
      <c r="H1224" s="1" t="n">
        <v>2110101</v>
      </c>
      <c r="I1224" s="1" t="s">
        <v>33</v>
      </c>
      <c r="J1224" s="1" t="n">
        <v>1567601</v>
      </c>
      <c r="L1224" s="1" t="n">
        <v>2610</v>
      </c>
      <c r="M1224" s="1" t="s">
        <v>83</v>
      </c>
      <c r="N1224" s="1" t="s">
        <v>54</v>
      </c>
      <c r="P1224" s="1" t="n">
        <v>113</v>
      </c>
      <c r="Q1224" s="1" t="s">
        <v>36</v>
      </c>
      <c r="R1224" s="1" t="s">
        <v>48</v>
      </c>
      <c r="S1224" s="1" t="n">
        <v>1130101</v>
      </c>
      <c r="T1224" s="1" t="s">
        <v>49</v>
      </c>
      <c r="U1224" s="17" t="n">
        <v>200</v>
      </c>
      <c r="W1224" s="1" t="n">
        <v>200</v>
      </c>
      <c r="X1224" s="1" t="s">
        <v>1159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2</v>
      </c>
      <c r="B1225" s="15" t="n">
        <v>46252</v>
      </c>
      <c r="C1225" s="15" t="n">
        <v>46252</v>
      </c>
      <c r="D1225" s="1" t="n">
        <v>48</v>
      </c>
      <c r="E1225" s="1" t="s">
        <v>132</v>
      </c>
      <c r="F1225" s="1" t="n">
        <v>34</v>
      </c>
      <c r="G1225" s="1" t="s">
        <v>97</v>
      </c>
      <c r="H1225" s="1" t="n">
        <v>2110101</v>
      </c>
      <c r="I1225" s="1" t="s">
        <v>33</v>
      </c>
      <c r="J1225" s="1" t="n">
        <v>1567627</v>
      </c>
      <c r="L1225" s="1" t="n">
        <v>2611</v>
      </c>
      <c r="M1225" s="1" t="s">
        <v>83</v>
      </c>
      <c r="N1225" s="1" t="s">
        <v>54</v>
      </c>
      <c r="P1225" s="1" t="n">
        <v>113</v>
      </c>
      <c r="Q1225" s="1" t="s">
        <v>36</v>
      </c>
      <c r="R1225" s="1" t="s">
        <v>48</v>
      </c>
      <c r="S1225" s="1" t="n">
        <v>1130101</v>
      </c>
      <c r="T1225" s="1" t="s">
        <v>49</v>
      </c>
      <c r="U1225" s="17" t="n">
        <v>1404</v>
      </c>
      <c r="W1225" s="1" t="n">
        <v>1404</v>
      </c>
      <c r="X1225" s="1" t="s">
        <v>1094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2</v>
      </c>
      <c r="B1226" s="15" t="n">
        <v>46252</v>
      </c>
      <c r="C1226" s="15" t="n">
        <v>46252</v>
      </c>
      <c r="D1226" s="1" t="n">
        <v>1037</v>
      </c>
      <c r="E1226" s="1" t="s">
        <v>139</v>
      </c>
      <c r="F1226" s="1" t="n">
        <v>34</v>
      </c>
      <c r="G1226" s="1" t="s">
        <v>97</v>
      </c>
      <c r="H1226" s="1" t="n">
        <v>2110405</v>
      </c>
      <c r="I1226" s="1" t="s">
        <v>41</v>
      </c>
      <c r="J1226" s="1" t="n">
        <v>1567641</v>
      </c>
      <c r="L1226" s="1" t="n">
        <v>214044</v>
      </c>
      <c r="M1226" s="1" t="s">
        <v>83</v>
      </c>
      <c r="N1226" s="1" t="s">
        <v>35</v>
      </c>
      <c r="P1226" s="1" t="n">
        <v>113</v>
      </c>
      <c r="Q1226" s="1" t="s">
        <v>36</v>
      </c>
      <c r="R1226" s="1" t="s">
        <v>48</v>
      </c>
      <c r="S1226" s="1" t="n">
        <v>1130101</v>
      </c>
      <c r="T1226" s="1" t="s">
        <v>49</v>
      </c>
      <c r="U1226" s="17" t="n">
        <v>190</v>
      </c>
      <c r="W1226" s="1" t="n">
        <v>190</v>
      </c>
      <c r="X1226" s="1" t="s">
        <v>1160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2</v>
      </c>
      <c r="B1227" s="15" t="n">
        <v>46216</v>
      </c>
      <c r="C1227" s="15" t="n">
        <v>46253</v>
      </c>
      <c r="D1227" s="1" t="n">
        <v>10012</v>
      </c>
      <c r="E1227" s="1" t="s">
        <v>160</v>
      </c>
      <c r="F1227" s="1" t="n">
        <v>24</v>
      </c>
      <c r="G1227" s="1" t="s">
        <v>77</v>
      </c>
      <c r="H1227" s="1" t="n">
        <v>2110101</v>
      </c>
      <c r="I1227" s="1" t="s">
        <v>33</v>
      </c>
      <c r="J1227" s="1" t="n">
        <v>1393698</v>
      </c>
      <c r="L1227" s="1" t="n">
        <v>1962669</v>
      </c>
      <c r="M1227" s="1" t="s">
        <v>71</v>
      </c>
      <c r="N1227" s="1" t="s">
        <v>54</v>
      </c>
      <c r="P1227" s="1" t="n">
        <v>113</v>
      </c>
      <c r="Q1227" s="1" t="s">
        <v>36</v>
      </c>
      <c r="R1227" s="1" t="s">
        <v>48</v>
      </c>
      <c r="S1227" s="1" t="n">
        <v>1130101</v>
      </c>
      <c r="T1227" s="1" t="s">
        <v>49</v>
      </c>
      <c r="U1227" s="17" t="n">
        <v>1504.06</v>
      </c>
      <c r="W1227" s="1" t="n">
        <v>1504.06</v>
      </c>
      <c r="X1227" s="1" t="s">
        <v>928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2</v>
      </c>
      <c r="B1228" s="15" t="n">
        <v>46225</v>
      </c>
      <c r="C1228" s="15" t="n">
        <v>46253</v>
      </c>
      <c r="D1228" s="1" t="n">
        <v>1635</v>
      </c>
      <c r="E1228" s="1" t="s">
        <v>117</v>
      </c>
      <c r="F1228" s="1" t="n">
        <v>24</v>
      </c>
      <c r="G1228" s="1" t="s">
        <v>77</v>
      </c>
      <c r="H1228" s="1" t="n">
        <v>2110405</v>
      </c>
      <c r="I1228" s="1" t="s">
        <v>41</v>
      </c>
      <c r="J1228" s="1" t="n">
        <v>1436017</v>
      </c>
      <c r="L1228" s="1" t="n">
        <v>194028</v>
      </c>
      <c r="M1228" s="1" t="s">
        <v>83</v>
      </c>
      <c r="N1228" s="1" t="s">
        <v>35</v>
      </c>
      <c r="P1228" s="1" t="n">
        <v>113</v>
      </c>
      <c r="Q1228" s="1" t="s">
        <v>36</v>
      </c>
      <c r="R1228" s="1" t="s">
        <v>48</v>
      </c>
      <c r="S1228" s="1" t="n">
        <v>1130101</v>
      </c>
      <c r="T1228" s="1" t="s">
        <v>49</v>
      </c>
      <c r="U1228" s="17" t="n">
        <v>109.51</v>
      </c>
      <c r="W1228" s="1" t="n">
        <v>109.51</v>
      </c>
      <c r="X1228" s="1" t="s">
        <v>1014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2</v>
      </c>
      <c r="B1229" s="15" t="n">
        <v>46234</v>
      </c>
      <c r="C1229" s="15" t="n">
        <v>46253</v>
      </c>
      <c r="D1229" s="1" t="n">
        <v>1613</v>
      </c>
      <c r="E1229" s="1" t="s">
        <v>94</v>
      </c>
      <c r="F1229" s="1" t="n">
        <v>24</v>
      </c>
      <c r="G1229" s="1" t="s">
        <v>77</v>
      </c>
      <c r="H1229" s="1" t="n">
        <v>2110405</v>
      </c>
      <c r="I1229" s="1" t="s">
        <v>41</v>
      </c>
      <c r="J1229" s="1" t="n">
        <v>1478654</v>
      </c>
      <c r="L1229" s="1" t="n">
        <v>200647</v>
      </c>
      <c r="M1229" s="1" t="s">
        <v>83</v>
      </c>
      <c r="N1229" s="1" t="s">
        <v>35</v>
      </c>
      <c r="P1229" s="1" t="n">
        <v>113</v>
      </c>
      <c r="Q1229" s="1" t="s">
        <v>36</v>
      </c>
      <c r="R1229" s="1" t="s">
        <v>48</v>
      </c>
      <c r="S1229" s="1" t="n">
        <v>1130101</v>
      </c>
      <c r="T1229" s="1" t="s">
        <v>49</v>
      </c>
      <c r="U1229" s="17" t="n">
        <v>1190.19</v>
      </c>
      <c r="W1229" s="1" t="n">
        <v>1190.19</v>
      </c>
      <c r="X1229" s="1" t="s">
        <v>1102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2</v>
      </c>
      <c r="B1230" s="15" t="n">
        <v>46240</v>
      </c>
      <c r="C1230" s="15" t="n">
        <v>46253</v>
      </c>
      <c r="D1230" s="1" t="n">
        <v>1635</v>
      </c>
      <c r="E1230" s="1" t="s">
        <v>117</v>
      </c>
      <c r="F1230" s="1" t="n">
        <v>24</v>
      </c>
      <c r="G1230" s="1" t="s">
        <v>77</v>
      </c>
      <c r="H1230" s="1" t="n">
        <v>2110405</v>
      </c>
      <c r="I1230" s="1" t="s">
        <v>41</v>
      </c>
      <c r="J1230" s="1" t="n">
        <v>1508906</v>
      </c>
      <c r="L1230" s="1" t="n">
        <v>205075</v>
      </c>
      <c r="M1230" s="1" t="s">
        <v>83</v>
      </c>
      <c r="N1230" s="1" t="s">
        <v>35</v>
      </c>
      <c r="P1230" s="1" t="n">
        <v>113</v>
      </c>
      <c r="Q1230" s="1" t="s">
        <v>36</v>
      </c>
      <c r="R1230" s="1" t="s">
        <v>48</v>
      </c>
      <c r="S1230" s="1" t="n">
        <v>1130101</v>
      </c>
      <c r="T1230" s="1" t="s">
        <v>49</v>
      </c>
      <c r="U1230" s="17" t="n">
        <v>491.46</v>
      </c>
      <c r="W1230" s="1" t="n">
        <v>491.46</v>
      </c>
      <c r="X1230" s="1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2</v>
      </c>
      <c r="B1231" s="15" t="n">
        <v>46241</v>
      </c>
      <c r="C1231" s="15" t="n">
        <v>46253</v>
      </c>
      <c r="D1231" s="1" t="n">
        <v>1613</v>
      </c>
      <c r="E1231" s="1" t="s">
        <v>94</v>
      </c>
      <c r="F1231" s="1" t="n">
        <v>24</v>
      </c>
      <c r="G1231" s="1" t="s">
        <v>77</v>
      </c>
      <c r="H1231" s="1" t="n">
        <v>2110405</v>
      </c>
      <c r="I1231" s="1" t="s">
        <v>41</v>
      </c>
      <c r="J1231" s="1" t="n">
        <v>1513489</v>
      </c>
      <c r="L1231" s="1" t="n">
        <v>205788</v>
      </c>
      <c r="M1231" s="1" t="s">
        <v>83</v>
      </c>
      <c r="N1231" s="1" t="s">
        <v>35</v>
      </c>
      <c r="P1231" s="1" t="n">
        <v>113</v>
      </c>
      <c r="Q1231" s="1" t="s">
        <v>36</v>
      </c>
      <c r="R1231" s="1" t="s">
        <v>48</v>
      </c>
      <c r="S1231" s="1" t="n">
        <v>1130101</v>
      </c>
      <c r="T1231" s="1" t="s">
        <v>49</v>
      </c>
      <c r="U1231" s="17" t="n">
        <v>1275.54</v>
      </c>
      <c r="W1231" s="1" t="n">
        <v>1275.54</v>
      </c>
      <c r="X1231" s="1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2</v>
      </c>
      <c r="B1232" s="15" t="n">
        <v>46244</v>
      </c>
      <c r="C1232" s="15" t="n">
        <v>46253</v>
      </c>
      <c r="D1232" s="1" t="n">
        <v>1659</v>
      </c>
      <c r="E1232" s="1" t="s">
        <v>197</v>
      </c>
      <c r="F1232" s="1" t="n">
        <v>24</v>
      </c>
      <c r="G1232" s="1" t="s">
        <v>77</v>
      </c>
      <c r="H1232" s="1" t="n">
        <v>2110405</v>
      </c>
      <c r="I1232" s="1" t="s">
        <v>41</v>
      </c>
      <c r="J1232" s="1" t="n">
        <v>1529142</v>
      </c>
      <c r="L1232" s="1" t="n">
        <v>207962</v>
      </c>
      <c r="M1232" s="1" t="s">
        <v>83</v>
      </c>
      <c r="N1232" s="1" t="s">
        <v>35</v>
      </c>
      <c r="P1232" s="1" t="n">
        <v>113</v>
      </c>
      <c r="Q1232" s="1" t="s">
        <v>36</v>
      </c>
      <c r="R1232" s="1" t="s">
        <v>48</v>
      </c>
      <c r="S1232" s="1" t="n">
        <v>1130101</v>
      </c>
      <c r="T1232" s="1" t="s">
        <v>49</v>
      </c>
      <c r="U1232" s="17" t="n">
        <v>349</v>
      </c>
      <c r="W1232" s="1" t="n">
        <v>349</v>
      </c>
      <c r="X1232" s="1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2</v>
      </c>
      <c r="B1233" s="15" t="n">
        <v>46249</v>
      </c>
      <c r="C1233" s="15" t="n">
        <v>46253</v>
      </c>
      <c r="D1233" s="1" t="n">
        <v>10018</v>
      </c>
      <c r="E1233" s="1" t="s">
        <v>220</v>
      </c>
      <c r="F1233" s="1" t="n">
        <v>34</v>
      </c>
      <c r="G1233" s="1" t="s">
        <v>97</v>
      </c>
      <c r="H1233" s="1" t="n">
        <v>2110405</v>
      </c>
      <c r="I1233" s="1" t="s">
        <v>41</v>
      </c>
      <c r="J1233" s="1" t="n">
        <v>1551748</v>
      </c>
      <c r="L1233" s="1" t="n">
        <v>211764</v>
      </c>
      <c r="M1233" s="1" t="s">
        <v>83</v>
      </c>
      <c r="N1233" s="1" t="s">
        <v>35</v>
      </c>
      <c r="P1233" s="1" t="n">
        <v>113</v>
      </c>
      <c r="Q1233" s="1" t="s">
        <v>36</v>
      </c>
      <c r="R1233" s="1" t="s">
        <v>48</v>
      </c>
      <c r="S1233" s="1" t="n">
        <v>1130101</v>
      </c>
      <c r="T1233" s="1" t="s">
        <v>49</v>
      </c>
      <c r="U1233" s="17" t="n">
        <v>899.5</v>
      </c>
      <c r="W1233" s="1" t="n">
        <v>899.5</v>
      </c>
      <c r="X1233" s="1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2</v>
      </c>
      <c r="B1234" s="15" t="n">
        <v>46253</v>
      </c>
      <c r="C1234" s="15" t="n">
        <v>46253</v>
      </c>
      <c r="D1234" s="1" t="n">
        <v>48</v>
      </c>
      <c r="E1234" s="1" t="s">
        <v>132</v>
      </c>
      <c r="F1234" s="1" t="n">
        <v>13</v>
      </c>
      <c r="G1234" s="1" t="s">
        <v>133</v>
      </c>
      <c r="H1234" s="1" t="n">
        <v>2110101</v>
      </c>
      <c r="I1234" s="1" t="s">
        <v>33</v>
      </c>
      <c r="J1234" s="1" t="n">
        <v>1572278</v>
      </c>
      <c r="L1234" s="1" t="n">
        <v>2612</v>
      </c>
      <c r="M1234" s="1" t="s">
        <v>83</v>
      </c>
      <c r="N1234" s="1" t="s">
        <v>54</v>
      </c>
      <c r="P1234" s="1" t="n">
        <v>113</v>
      </c>
      <c r="Q1234" s="1" t="s">
        <v>36</v>
      </c>
      <c r="R1234" s="1" t="s">
        <v>48</v>
      </c>
      <c r="S1234" s="1" t="n">
        <v>1130101</v>
      </c>
      <c r="T1234" s="1" t="s">
        <v>49</v>
      </c>
      <c r="U1234" s="17" t="n">
        <v>225</v>
      </c>
      <c r="W1234" s="1" t="n">
        <v>225</v>
      </c>
      <c r="X1234" s="1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2</v>
      </c>
      <c r="B1235" s="15" t="n">
        <v>46223</v>
      </c>
      <c r="C1235" s="15" t="n">
        <v>46254</v>
      </c>
      <c r="D1235" s="1" t="n">
        <v>1624</v>
      </c>
      <c r="E1235" s="1" t="s">
        <v>300</v>
      </c>
      <c r="F1235" s="1" t="n">
        <v>24</v>
      </c>
      <c r="G1235" s="1" t="s">
        <v>77</v>
      </c>
      <c r="H1235" s="1" t="n">
        <v>2110405</v>
      </c>
      <c r="I1235" s="1" t="s">
        <v>41</v>
      </c>
      <c r="J1235" s="1" t="n">
        <v>1423737</v>
      </c>
      <c r="L1235" s="1" t="n">
        <v>190894</v>
      </c>
      <c r="M1235" s="1" t="s">
        <v>83</v>
      </c>
      <c r="N1235" s="1" t="s">
        <v>35</v>
      </c>
      <c r="P1235" s="1" t="n">
        <v>113</v>
      </c>
      <c r="Q1235" s="1" t="s">
        <v>36</v>
      </c>
      <c r="R1235" s="1" t="s">
        <v>48</v>
      </c>
      <c r="S1235" s="1" t="n">
        <v>1130101</v>
      </c>
      <c r="T1235" s="1" t="s">
        <v>49</v>
      </c>
      <c r="U1235" s="17" t="n">
        <v>381</v>
      </c>
      <c r="W1235" s="1" t="n">
        <v>381</v>
      </c>
      <c r="X1235" s="1" t="s">
        <v>1025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2</v>
      </c>
      <c r="B1236" s="15" t="n">
        <v>46223</v>
      </c>
      <c r="C1236" s="15" t="n">
        <v>46254</v>
      </c>
      <c r="D1236" s="1" t="n">
        <v>33</v>
      </c>
      <c r="E1236" s="1" t="s">
        <v>272</v>
      </c>
      <c r="F1236" s="1" t="n">
        <v>34</v>
      </c>
      <c r="G1236" s="1" t="s">
        <v>97</v>
      </c>
      <c r="H1236" s="1" t="n">
        <v>2110405</v>
      </c>
      <c r="I1236" s="1" t="s">
        <v>41</v>
      </c>
      <c r="J1236" s="1" t="n">
        <v>1424244</v>
      </c>
      <c r="L1236" s="1" t="n">
        <v>190900</v>
      </c>
      <c r="M1236" s="1" t="s">
        <v>74</v>
      </c>
      <c r="N1236" s="1" t="s">
        <v>35</v>
      </c>
      <c r="P1236" s="1" t="n">
        <v>101</v>
      </c>
      <c r="Q1236" s="1" t="s">
        <v>42</v>
      </c>
      <c r="R1236" s="1" t="s">
        <v>364</v>
      </c>
      <c r="S1236" s="1" t="n">
        <v>4210107</v>
      </c>
      <c r="T1236" s="1" t="s">
        <v>441</v>
      </c>
      <c r="U1236" s="17" t="n">
        <v>154.85</v>
      </c>
      <c r="W1236" s="1" t="n">
        <v>154.85</v>
      </c>
      <c r="X1236" s="1" t="s">
        <v>824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2</v>
      </c>
      <c r="B1237" s="15" t="n">
        <v>46223</v>
      </c>
      <c r="C1237" s="15" t="n">
        <v>46254</v>
      </c>
      <c r="D1237" s="1" t="n">
        <v>607</v>
      </c>
      <c r="E1237" s="1" t="s">
        <v>254</v>
      </c>
      <c r="F1237" s="1" t="n">
        <v>24</v>
      </c>
      <c r="G1237" s="1" t="s">
        <v>77</v>
      </c>
      <c r="H1237" s="1" t="n">
        <v>2110405</v>
      </c>
      <c r="I1237" s="1" t="s">
        <v>41</v>
      </c>
      <c r="J1237" s="1" t="n">
        <v>1424640</v>
      </c>
      <c r="L1237" s="1" t="n">
        <v>190910</v>
      </c>
      <c r="M1237" s="1" t="s">
        <v>83</v>
      </c>
      <c r="N1237" s="1" t="s">
        <v>35</v>
      </c>
      <c r="P1237" s="1" t="n">
        <v>113</v>
      </c>
      <c r="Q1237" s="1" t="s">
        <v>36</v>
      </c>
      <c r="R1237" s="1" t="s">
        <v>48</v>
      </c>
      <c r="S1237" s="1" t="n">
        <v>1130101</v>
      </c>
      <c r="T1237" s="1" t="s">
        <v>49</v>
      </c>
      <c r="U1237" s="17" t="n">
        <v>446.28</v>
      </c>
      <c r="W1237" s="1" t="n">
        <v>446.28</v>
      </c>
      <c r="X1237" s="1" t="s">
        <v>1065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2</v>
      </c>
      <c r="B1238" s="15" t="n">
        <v>46240</v>
      </c>
      <c r="C1238" s="15" t="n">
        <v>46254</v>
      </c>
      <c r="D1238" s="1" t="n">
        <v>1815</v>
      </c>
      <c r="E1238" s="1" t="s">
        <v>164</v>
      </c>
      <c r="F1238" s="1" t="n">
        <v>24</v>
      </c>
      <c r="G1238" s="1" t="s">
        <v>77</v>
      </c>
      <c r="H1238" s="1" t="n">
        <v>2110405</v>
      </c>
      <c r="I1238" s="1" t="s">
        <v>41</v>
      </c>
      <c r="J1238" s="1" t="n">
        <v>1508968</v>
      </c>
      <c r="L1238" s="1" t="n">
        <v>205091</v>
      </c>
      <c r="M1238" s="1" t="s">
        <v>83</v>
      </c>
      <c r="N1238" s="1" t="s">
        <v>35</v>
      </c>
      <c r="P1238" s="1" t="n">
        <v>113</v>
      </c>
      <c r="Q1238" s="1" t="s">
        <v>36</v>
      </c>
      <c r="R1238" s="1" t="s">
        <v>48</v>
      </c>
      <c r="S1238" s="1" t="n">
        <v>1130101</v>
      </c>
      <c r="T1238" s="1" t="s">
        <v>49</v>
      </c>
      <c r="U1238" s="17" t="n">
        <v>628.2</v>
      </c>
      <c r="W1238" s="1" t="n">
        <v>628.2</v>
      </c>
      <c r="X1238" s="1" t="s">
        <v>1111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2</v>
      </c>
      <c r="B1239" s="15" t="n">
        <v>46241</v>
      </c>
      <c r="C1239" s="15" t="n">
        <v>46254</v>
      </c>
      <c r="D1239" s="1" t="n">
        <v>794</v>
      </c>
      <c r="E1239" s="1" t="s">
        <v>305</v>
      </c>
      <c r="F1239" s="1" t="n">
        <v>24</v>
      </c>
      <c r="G1239" s="1" t="s">
        <v>77</v>
      </c>
      <c r="H1239" s="1" t="n">
        <v>2110405</v>
      </c>
      <c r="I1239" s="1" t="s">
        <v>41</v>
      </c>
      <c r="J1239" s="1" t="n">
        <v>1514357</v>
      </c>
      <c r="L1239" s="1" t="n">
        <v>205997</v>
      </c>
      <c r="M1239" s="1" t="s">
        <v>83</v>
      </c>
      <c r="N1239" s="1" t="s">
        <v>35</v>
      </c>
      <c r="P1239" s="1" t="n">
        <v>113</v>
      </c>
      <c r="Q1239" s="1" t="s">
        <v>36</v>
      </c>
      <c r="R1239" s="1" t="s">
        <v>48</v>
      </c>
      <c r="S1239" s="1" t="n">
        <v>1130101</v>
      </c>
      <c r="T1239" s="1" t="s">
        <v>49</v>
      </c>
      <c r="U1239" s="17" t="n">
        <v>382.62</v>
      </c>
      <c r="W1239" s="1" t="n">
        <v>382.62</v>
      </c>
      <c r="X1239" s="1" t="s">
        <v>1166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2</v>
      </c>
      <c r="B1240" s="15" t="n">
        <v>46241</v>
      </c>
      <c r="C1240" s="15" t="n">
        <v>46254</v>
      </c>
      <c r="D1240" s="1" t="n">
        <v>794</v>
      </c>
      <c r="E1240" s="1" t="s">
        <v>305</v>
      </c>
      <c r="F1240" s="1" t="n">
        <v>24</v>
      </c>
      <c r="G1240" s="1" t="s">
        <v>77</v>
      </c>
      <c r="H1240" s="1" t="n">
        <v>2110405</v>
      </c>
      <c r="I1240" s="1" t="s">
        <v>41</v>
      </c>
      <c r="J1240" s="1" t="n">
        <v>1514435</v>
      </c>
      <c r="L1240" s="1" t="n">
        <v>206011</v>
      </c>
      <c r="M1240" s="1" t="s">
        <v>83</v>
      </c>
      <c r="N1240" s="1" t="s">
        <v>35</v>
      </c>
      <c r="P1240" s="1" t="n">
        <v>113</v>
      </c>
      <c r="Q1240" s="1" t="s">
        <v>36</v>
      </c>
      <c r="R1240" s="1" t="s">
        <v>56</v>
      </c>
      <c r="S1240" s="1" t="n">
        <v>4210299</v>
      </c>
      <c r="T1240" s="1" t="s">
        <v>115</v>
      </c>
      <c r="U1240" s="17" t="n">
        <v>520.47</v>
      </c>
      <c r="W1240" s="1" t="n">
        <v>520.47</v>
      </c>
      <c r="X1240" s="1" t="s">
        <v>1167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2</v>
      </c>
      <c r="B1241" s="15" t="n">
        <v>46241</v>
      </c>
      <c r="C1241" s="15" t="n">
        <v>46254</v>
      </c>
      <c r="D1241" s="1" t="n">
        <v>10028</v>
      </c>
      <c r="E1241" s="1" t="s">
        <v>439</v>
      </c>
      <c r="F1241" s="1" t="n">
        <v>24</v>
      </c>
      <c r="G1241" s="1" t="s">
        <v>77</v>
      </c>
      <c r="H1241" s="1" t="n">
        <v>2110405</v>
      </c>
      <c r="I1241" s="1" t="s">
        <v>41</v>
      </c>
      <c r="J1241" s="1" t="n">
        <v>1370757</v>
      </c>
      <c r="L1241" s="1" t="n">
        <v>184341</v>
      </c>
      <c r="M1241" s="1" t="s">
        <v>74</v>
      </c>
      <c r="N1241" s="1" t="s">
        <v>35</v>
      </c>
      <c r="P1241" s="1" t="n">
        <v>101</v>
      </c>
      <c r="Q1241" s="1" t="s">
        <v>42</v>
      </c>
      <c r="R1241" s="1" t="s">
        <v>100</v>
      </c>
      <c r="S1241" s="1" t="n">
        <v>4210315</v>
      </c>
      <c r="T1241" s="1" t="s">
        <v>257</v>
      </c>
      <c r="U1241" s="17" t="n">
        <v>595.9</v>
      </c>
      <c r="W1241" s="1" t="n">
        <v>595.9</v>
      </c>
      <c r="X1241" s="1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2</v>
      </c>
      <c r="B1242" s="15" t="n">
        <v>46247</v>
      </c>
      <c r="C1242" s="15" t="n">
        <v>46254</v>
      </c>
      <c r="D1242" s="1" t="n">
        <v>1024</v>
      </c>
      <c r="E1242" s="1" t="s">
        <v>412</v>
      </c>
      <c r="F1242" s="1" t="n">
        <v>24</v>
      </c>
      <c r="G1242" s="1" t="s">
        <v>77</v>
      </c>
      <c r="H1242" s="1" t="n">
        <v>2110405</v>
      </c>
      <c r="I1242" s="1" t="s">
        <v>41</v>
      </c>
      <c r="J1242" s="1" t="n">
        <v>1541948</v>
      </c>
      <c r="L1242" s="1" t="n">
        <v>210400</v>
      </c>
      <c r="M1242" s="1" t="s">
        <v>83</v>
      </c>
      <c r="N1242" s="1" t="s">
        <v>35</v>
      </c>
      <c r="P1242" s="1" t="n">
        <v>113</v>
      </c>
      <c r="Q1242" s="1" t="s">
        <v>36</v>
      </c>
      <c r="R1242" s="1" t="s">
        <v>48</v>
      </c>
      <c r="S1242" s="1" t="n">
        <v>1130101</v>
      </c>
      <c r="T1242" s="1" t="s">
        <v>49</v>
      </c>
      <c r="U1242" s="17" t="n">
        <v>149</v>
      </c>
      <c r="W1242" s="1" t="n">
        <v>149</v>
      </c>
      <c r="X1242" s="1" t="s">
        <v>1168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2</v>
      </c>
      <c r="B1243" s="15" t="n">
        <v>46248</v>
      </c>
      <c r="C1243" s="15" t="n">
        <v>46254</v>
      </c>
      <c r="D1243" s="1" t="n">
        <v>1609</v>
      </c>
      <c r="E1243" s="1" t="s">
        <v>90</v>
      </c>
      <c r="F1243" s="1" t="n">
        <v>24</v>
      </c>
      <c r="G1243" s="1" t="s">
        <v>77</v>
      </c>
      <c r="H1243" s="1" t="n">
        <v>2110405</v>
      </c>
      <c r="I1243" s="1" t="s">
        <v>41</v>
      </c>
      <c r="J1243" s="1" t="n">
        <v>1545670</v>
      </c>
      <c r="L1243" s="1" t="n">
        <v>211059</v>
      </c>
      <c r="M1243" s="1" t="s">
        <v>83</v>
      </c>
      <c r="N1243" s="1" t="s">
        <v>35</v>
      </c>
      <c r="P1243" s="1" t="n">
        <v>113</v>
      </c>
      <c r="Q1243" s="1" t="s">
        <v>36</v>
      </c>
      <c r="R1243" s="1" t="s">
        <v>48</v>
      </c>
      <c r="S1243" s="1" t="n">
        <v>1130101</v>
      </c>
      <c r="T1243" s="1" t="s">
        <v>49</v>
      </c>
      <c r="U1243" s="17" t="n">
        <v>597.4</v>
      </c>
      <c r="W1243" s="1" t="n">
        <v>597.4</v>
      </c>
      <c r="X1243" s="1" t="s">
        <v>1169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2</v>
      </c>
      <c r="B1244" s="15" t="n">
        <v>46251</v>
      </c>
      <c r="C1244" s="15" t="n">
        <v>46254</v>
      </c>
      <c r="D1244" s="1" t="n">
        <v>1947</v>
      </c>
      <c r="E1244" s="1" t="s">
        <v>426</v>
      </c>
      <c r="F1244" s="1" t="n">
        <v>34</v>
      </c>
      <c r="G1244" s="1" t="s">
        <v>97</v>
      </c>
      <c r="H1244" s="1" t="n">
        <v>2110405</v>
      </c>
      <c r="I1244" s="1" t="s">
        <v>41</v>
      </c>
      <c r="J1244" s="1" t="n">
        <v>1561649</v>
      </c>
      <c r="L1244" s="1" t="n">
        <v>7</v>
      </c>
      <c r="M1244" s="1" t="s">
        <v>83</v>
      </c>
      <c r="N1244" s="1" t="s">
        <v>35</v>
      </c>
      <c r="P1244" s="1" t="n">
        <v>101</v>
      </c>
      <c r="Q1244" s="1" t="s">
        <v>42</v>
      </c>
      <c r="R1244" s="1" t="s">
        <v>454</v>
      </c>
      <c r="S1244" s="1" t="n">
        <v>2110707</v>
      </c>
      <c r="T1244" s="1" t="s">
        <v>455</v>
      </c>
      <c r="U1244" s="17" t="n">
        <v>1877.14</v>
      </c>
      <c r="W1244" s="1" t="n">
        <v>1877.14</v>
      </c>
      <c r="X1244" s="1" t="s">
        <v>1170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2</v>
      </c>
      <c r="B1245" s="15" t="n">
        <v>46252</v>
      </c>
      <c r="C1245" s="15" t="n">
        <v>46254</v>
      </c>
      <c r="D1245" s="1" t="n">
        <v>642</v>
      </c>
      <c r="E1245" s="1" t="s">
        <v>130</v>
      </c>
      <c r="F1245" s="1" t="n">
        <v>24</v>
      </c>
      <c r="G1245" s="1" t="s">
        <v>77</v>
      </c>
      <c r="H1245" s="1" t="n">
        <v>2110405</v>
      </c>
      <c r="I1245" s="1" t="s">
        <v>41</v>
      </c>
      <c r="J1245" s="1" t="n">
        <v>1566521</v>
      </c>
      <c r="L1245" s="1" t="n">
        <v>213833</v>
      </c>
      <c r="M1245" s="1" t="s">
        <v>83</v>
      </c>
      <c r="N1245" s="1" t="s">
        <v>35</v>
      </c>
      <c r="P1245" s="1" t="n">
        <v>113</v>
      </c>
      <c r="Q1245" s="1" t="s">
        <v>36</v>
      </c>
      <c r="R1245" s="1" t="s">
        <v>48</v>
      </c>
      <c r="S1245" s="1" t="n">
        <v>1130101</v>
      </c>
      <c r="T1245" s="1" t="s">
        <v>49</v>
      </c>
      <c r="U1245" s="17" t="n">
        <v>204</v>
      </c>
      <c r="W1245" s="1" t="n">
        <v>204</v>
      </c>
      <c r="X1245" s="1" t="s">
        <v>1171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2</v>
      </c>
      <c r="B1246" s="15" t="n">
        <v>46253</v>
      </c>
      <c r="C1246" s="15" t="n">
        <v>46254</v>
      </c>
      <c r="D1246" s="1" t="n">
        <v>17</v>
      </c>
      <c r="E1246" s="1" t="s">
        <v>436</v>
      </c>
      <c r="F1246" s="1" t="n">
        <v>24</v>
      </c>
      <c r="G1246" s="1" t="s">
        <v>77</v>
      </c>
      <c r="H1246" s="1" t="n">
        <v>2110405</v>
      </c>
      <c r="I1246" s="1" t="s">
        <v>41</v>
      </c>
      <c r="J1246" s="1" t="n">
        <v>1572226</v>
      </c>
      <c r="L1246" s="1" t="n">
        <v>214781</v>
      </c>
      <c r="M1246" s="1" t="s">
        <v>83</v>
      </c>
      <c r="N1246" s="1" t="s">
        <v>35</v>
      </c>
      <c r="P1246" s="1" t="n">
        <v>101</v>
      </c>
      <c r="Q1246" s="1" t="s">
        <v>42</v>
      </c>
      <c r="R1246" s="1" t="s">
        <v>43</v>
      </c>
      <c r="S1246" s="1" t="n">
        <v>4220199</v>
      </c>
      <c r="T1246" s="1" t="s">
        <v>44</v>
      </c>
      <c r="U1246" s="17" t="n">
        <v>620</v>
      </c>
      <c r="W1246" s="1" t="n">
        <v>620</v>
      </c>
      <c r="X1246" s="1" t="s">
        <v>1172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2</v>
      </c>
      <c r="B1247" s="15" t="n">
        <v>46253</v>
      </c>
      <c r="C1247" s="15" t="n">
        <v>46254</v>
      </c>
      <c r="D1247" s="1" t="n">
        <v>1947</v>
      </c>
      <c r="E1247" s="1" t="s">
        <v>426</v>
      </c>
      <c r="F1247" s="1" t="n">
        <v>34</v>
      </c>
      <c r="G1247" s="1" t="s">
        <v>97</v>
      </c>
      <c r="H1247" s="1" t="n">
        <v>2110405</v>
      </c>
      <c r="I1247" s="1" t="s">
        <v>41</v>
      </c>
      <c r="J1247" s="1" t="n">
        <v>1572579</v>
      </c>
      <c r="L1247" s="1" t="n">
        <v>214849</v>
      </c>
      <c r="M1247" s="1" t="s">
        <v>83</v>
      </c>
      <c r="N1247" s="1" t="s">
        <v>35</v>
      </c>
      <c r="P1247" s="1" t="n">
        <v>101</v>
      </c>
      <c r="Q1247" s="1" t="s">
        <v>42</v>
      </c>
      <c r="R1247" s="1" t="s">
        <v>100</v>
      </c>
      <c r="S1247" s="1" t="n">
        <v>4210303</v>
      </c>
      <c r="T1247" s="1" t="s">
        <v>427</v>
      </c>
      <c r="U1247" s="17" t="n">
        <v>1097.42</v>
      </c>
      <c r="W1247" s="1" t="n">
        <v>1097.42</v>
      </c>
      <c r="X1247" s="1" t="s">
        <v>1173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2</v>
      </c>
      <c r="B1248" s="15" t="n">
        <v>46253</v>
      </c>
      <c r="C1248" s="15" t="n">
        <v>46254</v>
      </c>
      <c r="D1248" s="1" t="n">
        <v>1947</v>
      </c>
      <c r="E1248" s="1" t="s">
        <v>426</v>
      </c>
      <c r="F1248" s="1" t="n">
        <v>34</v>
      </c>
      <c r="G1248" s="1" t="s">
        <v>97</v>
      </c>
      <c r="H1248" s="1" t="n">
        <v>2110405</v>
      </c>
      <c r="I1248" s="1" t="s">
        <v>41</v>
      </c>
      <c r="J1248" s="1" t="n">
        <v>1572645</v>
      </c>
      <c r="L1248" s="1" t="n">
        <v>214863</v>
      </c>
      <c r="M1248" s="1" t="s">
        <v>83</v>
      </c>
      <c r="N1248" s="1" t="s">
        <v>35</v>
      </c>
      <c r="P1248" s="1" t="n">
        <v>101</v>
      </c>
      <c r="Q1248" s="1" t="s">
        <v>42</v>
      </c>
      <c r="R1248" s="1" t="s">
        <v>100</v>
      </c>
      <c r="S1248" s="1" t="n">
        <v>4210302</v>
      </c>
      <c r="T1248" s="1" t="s">
        <v>429</v>
      </c>
      <c r="U1248" s="17" t="n">
        <v>2846.45</v>
      </c>
      <c r="W1248" s="1" t="n">
        <v>2846.45</v>
      </c>
      <c r="X1248" s="1" t="s">
        <v>1174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2</v>
      </c>
      <c r="B1249" s="15" t="n">
        <v>46253</v>
      </c>
      <c r="C1249" s="15" t="n">
        <v>46254</v>
      </c>
      <c r="D1249" s="1" t="n">
        <v>33</v>
      </c>
      <c r="E1249" s="1" t="s">
        <v>272</v>
      </c>
      <c r="F1249" s="1" t="n">
        <v>34</v>
      </c>
      <c r="G1249" s="1" t="s">
        <v>97</v>
      </c>
      <c r="H1249" s="1" t="n">
        <v>2110405</v>
      </c>
      <c r="I1249" s="1" t="s">
        <v>41</v>
      </c>
      <c r="J1249" s="1" t="n">
        <v>1572837</v>
      </c>
      <c r="L1249" s="1" t="n">
        <v>214902</v>
      </c>
      <c r="M1249" s="1" t="s">
        <v>83</v>
      </c>
      <c r="N1249" s="1" t="s">
        <v>35</v>
      </c>
      <c r="P1249" s="1" t="n">
        <v>101</v>
      </c>
      <c r="Q1249" s="1" t="s">
        <v>42</v>
      </c>
      <c r="R1249" s="1" t="s">
        <v>537</v>
      </c>
      <c r="S1249" s="1" t="n">
        <v>1140101</v>
      </c>
      <c r="T1249" s="1" t="s">
        <v>538</v>
      </c>
      <c r="U1249" s="17" t="n">
        <v>56.51</v>
      </c>
      <c r="W1249" s="1" t="n">
        <v>56.51</v>
      </c>
      <c r="X1249" s="1" t="s">
        <v>1175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2</v>
      </c>
      <c r="B1250" s="15" t="n">
        <v>46254</v>
      </c>
      <c r="C1250" s="15" t="n">
        <v>46254</v>
      </c>
      <c r="D1250" s="1" t="n">
        <v>1846</v>
      </c>
      <c r="E1250" s="1" t="s">
        <v>1176</v>
      </c>
      <c r="F1250" s="1" t="n">
        <v>34</v>
      </c>
      <c r="G1250" s="1" t="s">
        <v>97</v>
      </c>
      <c r="H1250" s="1" t="n">
        <v>2110405</v>
      </c>
      <c r="I1250" s="1" t="s">
        <v>41</v>
      </c>
      <c r="J1250" s="1" t="n">
        <v>1582156</v>
      </c>
      <c r="L1250" s="1" t="n">
        <v>216508</v>
      </c>
      <c r="M1250" s="1" t="s">
        <v>83</v>
      </c>
      <c r="N1250" s="1" t="s">
        <v>35</v>
      </c>
      <c r="P1250" s="1" t="n">
        <v>102</v>
      </c>
      <c r="Q1250" s="1" t="s">
        <v>282</v>
      </c>
      <c r="R1250" s="1" t="s">
        <v>43</v>
      </c>
      <c r="S1250" s="1" t="n">
        <v>4220199</v>
      </c>
      <c r="T1250" s="1" t="s">
        <v>44</v>
      </c>
      <c r="U1250" s="17" t="n">
        <v>1000</v>
      </c>
      <c r="W1250" s="1" t="n">
        <v>1000</v>
      </c>
      <c r="X1250" s="1" t="s">
        <v>1177</v>
      </c>
      <c r="Z1250" s="1" t="str">
        <f aca="false">IF($T1250="","",IFERROR(INDEX('Resumo Grupos'!$AC$3:$AC$200,MATCH($T1250,'Resumo Grupos'!$AB$3:$AB$200,0)),"n/d"))</f>
        <v>Pagamentos outros não operacionais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2</v>
      </c>
      <c r="B1251" s="15" t="n">
        <v>46197</v>
      </c>
      <c r="C1251" s="15" t="n">
        <v>46255</v>
      </c>
      <c r="D1251" s="1" t="n">
        <v>607</v>
      </c>
      <c r="E1251" s="1" t="s">
        <v>254</v>
      </c>
      <c r="F1251" s="1" t="n">
        <v>24</v>
      </c>
      <c r="G1251" s="1" t="s">
        <v>77</v>
      </c>
      <c r="H1251" s="1" t="n">
        <v>2110101</v>
      </c>
      <c r="I1251" s="1" t="s">
        <v>33</v>
      </c>
      <c r="J1251" s="1" t="n">
        <v>1300232</v>
      </c>
      <c r="L1251" s="1" t="n">
        <v>10860</v>
      </c>
      <c r="M1251" s="1" t="s">
        <v>53</v>
      </c>
      <c r="N1251" s="1" t="s">
        <v>54</v>
      </c>
      <c r="P1251" s="1" t="n">
        <v>113</v>
      </c>
      <c r="Q1251" s="1" t="s">
        <v>36</v>
      </c>
      <c r="R1251" s="1" t="s">
        <v>48</v>
      </c>
      <c r="S1251" s="1" t="n">
        <v>1130101</v>
      </c>
      <c r="T1251" s="1" t="s">
        <v>49</v>
      </c>
      <c r="U1251" s="17" t="n">
        <v>1361.81</v>
      </c>
      <c r="W1251" s="1" t="n">
        <v>0</v>
      </c>
      <c r="X1251" s="1" t="s">
        <v>763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2</v>
      </c>
      <c r="B1252" s="15" t="n">
        <v>46227</v>
      </c>
      <c r="C1252" s="15" t="n">
        <v>46255</v>
      </c>
      <c r="D1252" s="1" t="n">
        <v>1700</v>
      </c>
      <c r="E1252" s="1" t="s">
        <v>1039</v>
      </c>
      <c r="F1252" s="1" t="n">
        <v>24</v>
      </c>
      <c r="G1252" s="1" t="s">
        <v>77</v>
      </c>
      <c r="H1252" s="1" t="n">
        <v>1110203</v>
      </c>
      <c r="I1252" s="1" t="s">
        <v>108</v>
      </c>
      <c r="J1252" s="1" t="n">
        <v>1444985</v>
      </c>
      <c r="L1252" s="1" t="n">
        <v>195527</v>
      </c>
      <c r="M1252" s="1" t="s">
        <v>83</v>
      </c>
      <c r="N1252" s="1" t="s">
        <v>35</v>
      </c>
      <c r="P1252" s="1" t="n">
        <v>113</v>
      </c>
      <c r="Q1252" s="1" t="s">
        <v>36</v>
      </c>
      <c r="R1252" s="1" t="s">
        <v>48</v>
      </c>
      <c r="S1252" s="1" t="n">
        <v>1130101</v>
      </c>
      <c r="T1252" s="1" t="s">
        <v>49</v>
      </c>
      <c r="U1252" s="17" t="n">
        <v>690</v>
      </c>
      <c r="W1252" s="1" t="n">
        <v>0</v>
      </c>
      <c r="X1252" s="1" t="s">
        <v>1040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2</v>
      </c>
      <c r="B1253" s="15" t="n">
        <v>46241</v>
      </c>
      <c r="C1253" s="15" t="n">
        <v>46255</v>
      </c>
      <c r="D1253" s="1" t="n">
        <v>1705</v>
      </c>
      <c r="E1253" s="1" t="s">
        <v>119</v>
      </c>
      <c r="F1253" s="1" t="n">
        <v>24</v>
      </c>
      <c r="G1253" s="1" t="s">
        <v>77</v>
      </c>
      <c r="H1253" s="1" t="n">
        <v>2110405</v>
      </c>
      <c r="I1253" s="1" t="s">
        <v>41</v>
      </c>
      <c r="J1253" s="1" t="n">
        <v>1514101</v>
      </c>
      <c r="L1253" s="1" t="n">
        <v>205950</v>
      </c>
      <c r="M1253" s="1" t="s">
        <v>83</v>
      </c>
      <c r="N1253" s="1" t="s">
        <v>35</v>
      </c>
      <c r="P1253" s="1" t="n">
        <v>113</v>
      </c>
      <c r="Q1253" s="1" t="s">
        <v>36</v>
      </c>
      <c r="R1253" s="1" t="s">
        <v>48</v>
      </c>
      <c r="S1253" s="1" t="n">
        <v>1130101</v>
      </c>
      <c r="T1253" s="1" t="s">
        <v>49</v>
      </c>
      <c r="U1253" s="17" t="n">
        <v>540.41</v>
      </c>
      <c r="W1253" s="1" t="n">
        <v>0</v>
      </c>
      <c r="X1253" s="1" t="s">
        <v>1178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2</v>
      </c>
      <c r="B1254" s="15" t="n">
        <v>46241</v>
      </c>
      <c r="C1254" s="15" t="n">
        <v>46255</v>
      </c>
      <c r="D1254" s="1" t="n">
        <v>1705</v>
      </c>
      <c r="E1254" s="1" t="s">
        <v>119</v>
      </c>
      <c r="F1254" s="1" t="n">
        <v>24</v>
      </c>
      <c r="G1254" s="1" t="s">
        <v>77</v>
      </c>
      <c r="H1254" s="1" t="n">
        <v>2110405</v>
      </c>
      <c r="I1254" s="1" t="s">
        <v>41</v>
      </c>
      <c r="J1254" s="1" t="n">
        <v>1514107</v>
      </c>
      <c r="L1254" s="1" t="n">
        <v>205952</v>
      </c>
      <c r="M1254" s="1" t="s">
        <v>83</v>
      </c>
      <c r="N1254" s="1" t="s">
        <v>35</v>
      </c>
      <c r="P1254" s="1" t="n">
        <v>113</v>
      </c>
      <c r="Q1254" s="1" t="s">
        <v>36</v>
      </c>
      <c r="R1254" s="1" t="s">
        <v>48</v>
      </c>
      <c r="S1254" s="1" t="n">
        <v>1130101</v>
      </c>
      <c r="T1254" s="1" t="s">
        <v>49</v>
      </c>
      <c r="U1254" s="17" t="n">
        <v>3289.2</v>
      </c>
      <c r="W1254" s="1" t="n">
        <v>0</v>
      </c>
      <c r="X1254" s="1" t="s">
        <v>1179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2</v>
      </c>
      <c r="B1255" s="15" t="n">
        <v>46241</v>
      </c>
      <c r="C1255" s="15" t="n">
        <v>46255</v>
      </c>
      <c r="D1255" s="1" t="n">
        <v>1705</v>
      </c>
      <c r="E1255" s="1" t="s">
        <v>119</v>
      </c>
      <c r="F1255" s="1" t="n">
        <v>24</v>
      </c>
      <c r="G1255" s="1" t="s">
        <v>77</v>
      </c>
      <c r="H1255" s="1" t="n">
        <v>2110405</v>
      </c>
      <c r="I1255" s="1" t="s">
        <v>41</v>
      </c>
      <c r="J1255" s="1" t="n">
        <v>1514108</v>
      </c>
      <c r="L1255" s="1" t="n">
        <v>205953</v>
      </c>
      <c r="M1255" s="1" t="s">
        <v>83</v>
      </c>
      <c r="N1255" s="1" t="s">
        <v>35</v>
      </c>
      <c r="P1255" s="1" t="n">
        <v>113</v>
      </c>
      <c r="Q1255" s="1" t="s">
        <v>36</v>
      </c>
      <c r="R1255" s="1" t="s">
        <v>48</v>
      </c>
      <c r="S1255" s="1" t="n">
        <v>1130101</v>
      </c>
      <c r="T1255" s="1" t="s">
        <v>49</v>
      </c>
      <c r="U1255" s="17" t="n">
        <v>201.65</v>
      </c>
      <c r="W1255" s="1" t="n">
        <v>0</v>
      </c>
      <c r="X1255" s="1" t="s">
        <v>1180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2</v>
      </c>
      <c r="B1256" s="15" t="n">
        <v>46241</v>
      </c>
      <c r="C1256" s="15" t="n">
        <v>46255</v>
      </c>
      <c r="D1256" s="1" t="n">
        <v>10019</v>
      </c>
      <c r="E1256" s="1" t="s">
        <v>250</v>
      </c>
      <c r="F1256" s="1" t="n">
        <v>24</v>
      </c>
      <c r="G1256" s="1" t="s">
        <v>77</v>
      </c>
      <c r="H1256" s="1" t="n">
        <v>2110405</v>
      </c>
      <c r="I1256" s="1" t="s">
        <v>41</v>
      </c>
      <c r="J1256" s="1" t="n">
        <v>1514129</v>
      </c>
      <c r="L1256" s="1" t="n">
        <v>205961</v>
      </c>
      <c r="M1256" s="1" t="s">
        <v>83</v>
      </c>
      <c r="N1256" s="1" t="s">
        <v>35</v>
      </c>
      <c r="P1256" s="1" t="n">
        <v>113</v>
      </c>
      <c r="Q1256" s="1" t="s">
        <v>36</v>
      </c>
      <c r="R1256" s="1" t="s">
        <v>48</v>
      </c>
      <c r="S1256" s="1" t="n">
        <v>1130101</v>
      </c>
      <c r="T1256" s="1" t="s">
        <v>49</v>
      </c>
      <c r="U1256" s="17" t="n">
        <v>1023.97</v>
      </c>
      <c r="W1256" s="1" t="n">
        <v>0</v>
      </c>
      <c r="X1256" s="1" t="s">
        <v>1128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2</v>
      </c>
      <c r="B1257" s="15" t="n">
        <v>46244</v>
      </c>
      <c r="C1257" s="15" t="n">
        <v>46255</v>
      </c>
      <c r="D1257" s="1" t="n">
        <v>1666</v>
      </c>
      <c r="E1257" s="1" t="s">
        <v>206</v>
      </c>
      <c r="F1257" s="1" t="n">
        <v>24</v>
      </c>
      <c r="G1257" s="1" t="s">
        <v>77</v>
      </c>
      <c r="H1257" s="1" t="n">
        <v>2110405</v>
      </c>
      <c r="I1257" s="1" t="s">
        <v>41</v>
      </c>
      <c r="J1257" s="1" t="n">
        <v>1529112</v>
      </c>
      <c r="L1257" s="1" t="n">
        <v>207948</v>
      </c>
      <c r="M1257" s="1" t="s">
        <v>83</v>
      </c>
      <c r="N1257" s="1" t="s">
        <v>35</v>
      </c>
      <c r="P1257" s="1" t="n">
        <v>113</v>
      </c>
      <c r="Q1257" s="1" t="s">
        <v>36</v>
      </c>
      <c r="R1257" s="1" t="s">
        <v>48</v>
      </c>
      <c r="S1257" s="1" t="n">
        <v>1130101</v>
      </c>
      <c r="T1257" s="1" t="s">
        <v>49</v>
      </c>
      <c r="U1257" s="17" t="n">
        <v>4470.03</v>
      </c>
      <c r="W1257" s="1" t="n">
        <v>0</v>
      </c>
      <c r="X1257" s="1" t="s">
        <v>1129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2</v>
      </c>
      <c r="B1258" s="15" t="n">
        <v>46248</v>
      </c>
      <c r="C1258" s="15" t="n">
        <v>46255</v>
      </c>
      <c r="D1258" s="1" t="n">
        <v>581</v>
      </c>
      <c r="E1258" s="1" t="s">
        <v>126</v>
      </c>
      <c r="F1258" s="1" t="n">
        <v>24</v>
      </c>
      <c r="G1258" s="1" t="s">
        <v>77</v>
      </c>
      <c r="H1258" s="1" t="n">
        <v>2110405</v>
      </c>
      <c r="I1258" s="1" t="s">
        <v>41</v>
      </c>
      <c r="J1258" s="1" t="n">
        <v>1546120</v>
      </c>
      <c r="L1258" s="1" t="n">
        <v>211242</v>
      </c>
      <c r="M1258" s="1" t="s">
        <v>83</v>
      </c>
      <c r="N1258" s="1" t="s">
        <v>35</v>
      </c>
      <c r="P1258" s="1" t="n">
        <v>113</v>
      </c>
      <c r="Q1258" s="1" t="s">
        <v>36</v>
      </c>
      <c r="R1258" s="1" t="s">
        <v>48</v>
      </c>
      <c r="S1258" s="1" t="n">
        <v>1130101</v>
      </c>
      <c r="T1258" s="1" t="s">
        <v>49</v>
      </c>
      <c r="U1258" s="17" t="n">
        <v>195</v>
      </c>
      <c r="W1258" s="1" t="n">
        <v>0</v>
      </c>
      <c r="X1258" s="1" t="s">
        <v>1181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2</v>
      </c>
      <c r="B1259" s="15" t="n">
        <v>46248</v>
      </c>
      <c r="C1259" s="15" t="n">
        <v>46255</v>
      </c>
      <c r="D1259" s="1" t="n">
        <v>1152</v>
      </c>
      <c r="E1259" s="1" t="s">
        <v>718</v>
      </c>
      <c r="F1259" s="1" t="n">
        <v>24</v>
      </c>
      <c r="G1259" s="1" t="s">
        <v>77</v>
      </c>
      <c r="H1259" s="1" t="n">
        <v>2110405</v>
      </c>
      <c r="I1259" s="1" t="s">
        <v>41</v>
      </c>
      <c r="J1259" s="1" t="n">
        <v>1546133</v>
      </c>
      <c r="L1259" s="1" t="n">
        <v>211246</v>
      </c>
      <c r="M1259" s="1" t="s">
        <v>83</v>
      </c>
      <c r="N1259" s="1" t="s">
        <v>35</v>
      </c>
      <c r="P1259" s="1" t="n">
        <v>113</v>
      </c>
      <c r="Q1259" s="1" t="s">
        <v>36</v>
      </c>
      <c r="R1259" s="1" t="s">
        <v>48</v>
      </c>
      <c r="S1259" s="1" t="n">
        <v>1130101</v>
      </c>
      <c r="T1259" s="1" t="s">
        <v>49</v>
      </c>
      <c r="U1259" s="17" t="n">
        <v>1045</v>
      </c>
      <c r="W1259" s="1" t="n">
        <v>0</v>
      </c>
      <c r="X1259" s="1" t="s">
        <v>1182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2</v>
      </c>
      <c r="B1260" s="15" t="n">
        <v>46248</v>
      </c>
      <c r="C1260" s="15" t="n">
        <v>46255</v>
      </c>
      <c r="D1260" s="1" t="n">
        <v>1608</v>
      </c>
      <c r="E1260" s="1" t="s">
        <v>201</v>
      </c>
      <c r="F1260" s="1" t="n">
        <v>24</v>
      </c>
      <c r="G1260" s="1" t="s">
        <v>77</v>
      </c>
      <c r="H1260" s="1" t="n">
        <v>2110405</v>
      </c>
      <c r="I1260" s="1" t="s">
        <v>41</v>
      </c>
      <c r="J1260" s="1" t="n">
        <v>1547042</v>
      </c>
      <c r="L1260" s="1" t="n">
        <v>211329</v>
      </c>
      <c r="M1260" s="1" t="s">
        <v>83</v>
      </c>
      <c r="N1260" s="1" t="s">
        <v>35</v>
      </c>
      <c r="P1260" s="1" t="n">
        <v>113</v>
      </c>
      <c r="Q1260" s="1" t="s">
        <v>36</v>
      </c>
      <c r="R1260" s="1" t="s">
        <v>48</v>
      </c>
      <c r="S1260" s="1" t="n">
        <v>1130101</v>
      </c>
      <c r="T1260" s="1" t="s">
        <v>49</v>
      </c>
      <c r="U1260" s="17" t="n">
        <v>877.23</v>
      </c>
      <c r="W1260" s="1" t="n">
        <v>0</v>
      </c>
      <c r="X1260" s="1" t="s">
        <v>1183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2</v>
      </c>
      <c r="B1261" s="15" t="n">
        <v>46248</v>
      </c>
      <c r="C1261" s="15" t="n">
        <v>46255</v>
      </c>
      <c r="D1261" s="1" t="n">
        <v>1123</v>
      </c>
      <c r="E1261" s="1" t="s">
        <v>388</v>
      </c>
      <c r="F1261" s="1" t="n">
        <v>24</v>
      </c>
      <c r="G1261" s="1" t="s">
        <v>77</v>
      </c>
      <c r="H1261" s="1" t="n">
        <v>2110405</v>
      </c>
      <c r="I1261" s="1" t="s">
        <v>41</v>
      </c>
      <c r="J1261" s="1" t="n">
        <v>1547537</v>
      </c>
      <c r="L1261" s="1" t="n">
        <v>211371</v>
      </c>
      <c r="M1261" s="1" t="s">
        <v>83</v>
      </c>
      <c r="N1261" s="1" t="s">
        <v>35</v>
      </c>
      <c r="P1261" s="1" t="n">
        <v>113</v>
      </c>
      <c r="Q1261" s="1" t="s">
        <v>36</v>
      </c>
      <c r="R1261" s="1" t="s">
        <v>48</v>
      </c>
      <c r="S1261" s="1" t="n">
        <v>1130101</v>
      </c>
      <c r="T1261" s="1" t="s">
        <v>49</v>
      </c>
      <c r="U1261" s="17" t="n">
        <v>460</v>
      </c>
      <c r="W1261" s="1" t="n">
        <v>0</v>
      </c>
      <c r="X1261" s="1" t="s">
        <v>1184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2</v>
      </c>
      <c r="B1262" s="15" t="n">
        <v>46248</v>
      </c>
      <c r="C1262" s="15" t="n">
        <v>46255</v>
      </c>
      <c r="D1262" s="1" t="n">
        <v>1650</v>
      </c>
      <c r="E1262" s="1" t="s">
        <v>390</v>
      </c>
      <c r="F1262" s="1" t="n">
        <v>24</v>
      </c>
      <c r="G1262" s="1" t="s">
        <v>77</v>
      </c>
      <c r="H1262" s="1" t="n">
        <v>2110405</v>
      </c>
      <c r="I1262" s="1" t="s">
        <v>41</v>
      </c>
      <c r="J1262" s="1" t="n">
        <v>1547627</v>
      </c>
      <c r="L1262" s="1" t="n">
        <v>211383</v>
      </c>
      <c r="M1262" s="1" t="s">
        <v>83</v>
      </c>
      <c r="N1262" s="1" t="s">
        <v>35</v>
      </c>
      <c r="P1262" s="1" t="n">
        <v>113</v>
      </c>
      <c r="Q1262" s="1" t="s">
        <v>36</v>
      </c>
      <c r="R1262" s="1" t="s">
        <v>48</v>
      </c>
      <c r="S1262" s="1" t="n">
        <v>1130101</v>
      </c>
      <c r="T1262" s="1" t="s">
        <v>49</v>
      </c>
      <c r="U1262" s="17" t="n">
        <v>571.73</v>
      </c>
      <c r="W1262" s="1" t="n">
        <v>0</v>
      </c>
      <c r="X1262" s="1" t="s">
        <v>1185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2</v>
      </c>
      <c r="B1263" s="15" t="n">
        <v>46251</v>
      </c>
      <c r="C1263" s="15" t="n">
        <v>46255</v>
      </c>
      <c r="D1263" s="1" t="n">
        <v>1363</v>
      </c>
      <c r="E1263" s="1" t="s">
        <v>171</v>
      </c>
      <c r="F1263" s="1" t="n">
        <v>24</v>
      </c>
      <c r="G1263" s="1" t="s">
        <v>77</v>
      </c>
      <c r="H1263" s="1" t="n">
        <v>2110405</v>
      </c>
      <c r="I1263" s="1" t="s">
        <v>41</v>
      </c>
      <c r="J1263" s="1" t="n">
        <v>1560892</v>
      </c>
      <c r="L1263" s="1" t="n">
        <v>212914</v>
      </c>
      <c r="M1263" s="1" t="s">
        <v>83</v>
      </c>
      <c r="N1263" s="1" t="s">
        <v>35</v>
      </c>
      <c r="P1263" s="1" t="n">
        <v>113</v>
      </c>
      <c r="Q1263" s="1" t="s">
        <v>36</v>
      </c>
      <c r="R1263" s="1" t="s">
        <v>48</v>
      </c>
      <c r="S1263" s="1" t="n">
        <v>1130101</v>
      </c>
      <c r="T1263" s="1" t="s">
        <v>49</v>
      </c>
      <c r="U1263" s="17" t="n">
        <v>142</v>
      </c>
      <c r="W1263" s="1" t="n">
        <v>0</v>
      </c>
      <c r="X1263" s="1" t="s">
        <v>1186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2</v>
      </c>
      <c r="B1264" s="15" t="n">
        <v>46252</v>
      </c>
      <c r="C1264" s="15" t="n">
        <v>46255</v>
      </c>
      <c r="D1264" s="1" t="n">
        <v>1899</v>
      </c>
      <c r="E1264" s="1" t="s">
        <v>194</v>
      </c>
      <c r="F1264" s="1" t="n">
        <v>24</v>
      </c>
      <c r="G1264" s="1" t="s">
        <v>77</v>
      </c>
      <c r="H1264" s="1" t="n">
        <v>2110405</v>
      </c>
      <c r="I1264" s="1" t="s">
        <v>41</v>
      </c>
      <c r="J1264" s="1" t="n">
        <v>1566550</v>
      </c>
      <c r="L1264" s="1" t="n">
        <v>213836</v>
      </c>
      <c r="M1264" s="1" t="s">
        <v>83</v>
      </c>
      <c r="N1264" s="1" t="s">
        <v>35</v>
      </c>
      <c r="P1264" s="1" t="n">
        <v>113</v>
      </c>
      <c r="Q1264" s="1" t="s">
        <v>36</v>
      </c>
      <c r="R1264" s="1" t="s">
        <v>48</v>
      </c>
      <c r="S1264" s="1" t="n">
        <v>1130101</v>
      </c>
      <c r="T1264" s="1" t="s">
        <v>49</v>
      </c>
      <c r="U1264" s="17" t="n">
        <v>237.74</v>
      </c>
      <c r="W1264" s="1" t="n">
        <v>0</v>
      </c>
      <c r="X1264" s="1" t="s">
        <v>1187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2</v>
      </c>
      <c r="B1265" s="15" t="n">
        <v>46255</v>
      </c>
      <c r="C1265" s="15" t="n">
        <v>46255</v>
      </c>
      <c r="D1265" s="1" t="n">
        <v>48</v>
      </c>
      <c r="E1265" s="1" t="s">
        <v>132</v>
      </c>
      <c r="F1265" s="1" t="n">
        <v>5</v>
      </c>
      <c r="G1265" s="1" t="s">
        <v>1188</v>
      </c>
      <c r="H1265" s="1" t="n">
        <v>2110304</v>
      </c>
      <c r="I1265" s="1" t="s">
        <v>1189</v>
      </c>
      <c r="J1265" s="1" t="n">
        <v>1581653</v>
      </c>
      <c r="L1265" s="1" t="n">
        <v>2618</v>
      </c>
      <c r="M1265" s="1" t="s">
        <v>83</v>
      </c>
      <c r="N1265" s="1" t="s">
        <v>54</v>
      </c>
      <c r="P1265" s="1" t="n">
        <v>113</v>
      </c>
      <c r="Q1265" s="1" t="s">
        <v>36</v>
      </c>
      <c r="R1265" s="1" t="s">
        <v>1190</v>
      </c>
      <c r="S1265" s="1" t="n">
        <v>3110301</v>
      </c>
      <c r="T1265" s="1" t="s">
        <v>1191</v>
      </c>
      <c r="U1265" s="17" t="n">
        <v>150.17</v>
      </c>
      <c r="W1265" s="1" t="n">
        <v>150.17</v>
      </c>
      <c r="X1265" s="1" t="s">
        <v>1192</v>
      </c>
      <c r="Z1265" s="1" t="str">
        <f aca="false">IF($T1265="","",IFERROR(INDEX('Resumo Grupos'!$AC$3:$AC$200,MATCH($T1265,'Resumo Grupos'!$AB$3:$AB$200,0)),"n/d"))</f>
        <v>n/d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2</v>
      </c>
      <c r="B1266" s="15" t="n">
        <v>46255</v>
      </c>
      <c r="C1266" s="15" t="n">
        <v>46255</v>
      </c>
      <c r="D1266" s="1" t="n">
        <v>48</v>
      </c>
      <c r="E1266" s="1" t="s">
        <v>132</v>
      </c>
      <c r="F1266" s="1" t="n">
        <v>13</v>
      </c>
      <c r="G1266" s="1" t="s">
        <v>133</v>
      </c>
      <c r="H1266" s="1" t="n">
        <v>2110101</v>
      </c>
      <c r="I1266" s="1" t="s">
        <v>33</v>
      </c>
      <c r="J1266" s="1" t="n">
        <v>1581741</v>
      </c>
      <c r="L1266" s="1" t="n">
        <v>2619</v>
      </c>
      <c r="M1266" s="1" t="s">
        <v>83</v>
      </c>
      <c r="N1266" s="1" t="s">
        <v>54</v>
      </c>
      <c r="P1266" s="1" t="n">
        <v>113</v>
      </c>
      <c r="Q1266" s="1" t="s">
        <v>36</v>
      </c>
      <c r="R1266" s="1" t="s">
        <v>48</v>
      </c>
      <c r="S1266" s="1" t="n">
        <v>1130101</v>
      </c>
      <c r="T1266" s="1" t="s">
        <v>49</v>
      </c>
      <c r="U1266" s="17" t="n">
        <v>300</v>
      </c>
      <c r="W1266" s="1" t="n">
        <v>0</v>
      </c>
      <c r="X1266" s="1" t="s">
        <v>1193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2</v>
      </c>
      <c r="B1267" s="15" t="n">
        <v>46255</v>
      </c>
      <c r="C1267" s="15" t="n">
        <v>46255</v>
      </c>
      <c r="D1267" s="1" t="n">
        <v>48</v>
      </c>
      <c r="E1267" s="1" t="s">
        <v>132</v>
      </c>
      <c r="F1267" s="1" t="n">
        <v>34</v>
      </c>
      <c r="G1267" s="1" t="s">
        <v>97</v>
      </c>
      <c r="H1267" s="1" t="n">
        <v>2110101</v>
      </c>
      <c r="I1267" s="1" t="s">
        <v>33</v>
      </c>
      <c r="J1267" s="1" t="n">
        <v>1581902</v>
      </c>
      <c r="L1267" s="1" t="n">
        <v>2622</v>
      </c>
      <c r="M1267" s="1" t="s">
        <v>83</v>
      </c>
      <c r="N1267" s="1" t="s">
        <v>54</v>
      </c>
      <c r="P1267" s="1" t="n">
        <v>113</v>
      </c>
      <c r="Q1267" s="1" t="s">
        <v>36</v>
      </c>
      <c r="R1267" s="1" t="s">
        <v>48</v>
      </c>
      <c r="S1267" s="1" t="n">
        <v>1130101</v>
      </c>
      <c r="T1267" s="1" t="s">
        <v>49</v>
      </c>
      <c r="U1267" s="17" t="n">
        <v>200</v>
      </c>
      <c r="W1267" s="1" t="n">
        <v>0</v>
      </c>
      <c r="X1267" s="1" t="s">
        <v>1194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2</v>
      </c>
      <c r="B1268" s="15" t="n">
        <v>46255</v>
      </c>
      <c r="C1268" s="15" t="n">
        <v>46255</v>
      </c>
      <c r="D1268" s="1" t="n">
        <v>10096</v>
      </c>
      <c r="E1268" s="1" t="s">
        <v>552</v>
      </c>
      <c r="F1268" s="1" t="n">
        <v>13</v>
      </c>
      <c r="G1268" s="1" t="s">
        <v>133</v>
      </c>
      <c r="H1268" s="1" t="n">
        <v>2110405</v>
      </c>
      <c r="I1268" s="1" t="s">
        <v>41</v>
      </c>
      <c r="J1268" s="1" t="n">
        <v>1585113</v>
      </c>
      <c r="L1268" s="1" t="n">
        <v>216851</v>
      </c>
      <c r="M1268" s="1" t="s">
        <v>83</v>
      </c>
      <c r="N1268" s="1" t="s">
        <v>35</v>
      </c>
      <c r="P1268" s="1" t="n">
        <v>113</v>
      </c>
      <c r="Q1268" s="1" t="s">
        <v>36</v>
      </c>
      <c r="R1268" s="1" t="s">
        <v>48</v>
      </c>
      <c r="S1268" s="1" t="n">
        <v>1130101</v>
      </c>
      <c r="T1268" s="1" t="s">
        <v>49</v>
      </c>
      <c r="U1268" s="17" t="n">
        <v>200</v>
      </c>
      <c r="W1268" s="1" t="n">
        <v>0</v>
      </c>
      <c r="X1268" s="1" t="s">
        <v>1195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2</v>
      </c>
      <c r="B1269" s="15" t="n">
        <v>46226</v>
      </c>
      <c r="C1269" s="15" t="n">
        <v>46256</v>
      </c>
      <c r="D1269" s="1" t="n">
        <v>957</v>
      </c>
      <c r="E1269" s="1" t="s">
        <v>554</v>
      </c>
      <c r="F1269" s="1" t="n">
        <v>24</v>
      </c>
      <c r="G1269" s="1" t="s">
        <v>77</v>
      </c>
      <c r="H1269" s="1" t="n">
        <v>1110203</v>
      </c>
      <c r="I1269" s="1" t="s">
        <v>108</v>
      </c>
      <c r="J1269" s="1" t="n">
        <v>1438918</v>
      </c>
      <c r="L1269" s="1" t="n">
        <v>194429</v>
      </c>
      <c r="M1269" s="1" t="s">
        <v>83</v>
      </c>
      <c r="N1269" s="1" t="s">
        <v>35</v>
      </c>
      <c r="P1269" s="1" t="n">
        <v>113</v>
      </c>
      <c r="Q1269" s="1" t="s">
        <v>36</v>
      </c>
      <c r="R1269" s="1" t="s">
        <v>48</v>
      </c>
      <c r="S1269" s="1" t="n">
        <v>1130101</v>
      </c>
      <c r="T1269" s="1" t="s">
        <v>49</v>
      </c>
      <c r="U1269" s="17" t="n">
        <v>1501.38</v>
      </c>
      <c r="W1269" s="1" t="n">
        <v>0</v>
      </c>
      <c r="X1269" s="1" t="s">
        <v>1097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2</v>
      </c>
      <c r="B1270" s="15" t="n">
        <v>46226</v>
      </c>
      <c r="C1270" s="15" t="n">
        <v>46256</v>
      </c>
      <c r="D1270" s="1" t="n">
        <v>10011</v>
      </c>
      <c r="E1270" s="1" t="s">
        <v>292</v>
      </c>
      <c r="F1270" s="1" t="n">
        <v>24</v>
      </c>
      <c r="G1270" s="1" t="s">
        <v>77</v>
      </c>
      <c r="H1270" s="1" t="n">
        <v>1110203</v>
      </c>
      <c r="I1270" s="1" t="s">
        <v>108</v>
      </c>
      <c r="J1270" s="1" t="n">
        <v>1438959</v>
      </c>
      <c r="L1270" s="1" t="n">
        <v>194439</v>
      </c>
      <c r="M1270" s="1" t="s">
        <v>83</v>
      </c>
      <c r="N1270" s="1" t="s">
        <v>35</v>
      </c>
      <c r="P1270" s="1" t="n">
        <v>113</v>
      </c>
      <c r="Q1270" s="1" t="s">
        <v>36</v>
      </c>
      <c r="R1270" s="1" t="s">
        <v>48</v>
      </c>
      <c r="S1270" s="1" t="n">
        <v>1130101</v>
      </c>
      <c r="T1270" s="1" t="s">
        <v>49</v>
      </c>
      <c r="U1270" s="17" t="n">
        <v>591.07</v>
      </c>
      <c r="W1270" s="1" t="n">
        <v>0</v>
      </c>
      <c r="X1270" s="1" t="s">
        <v>1098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2</v>
      </c>
      <c r="B1271" s="15" t="n">
        <v>46226</v>
      </c>
      <c r="C1271" s="15" t="n">
        <v>46256</v>
      </c>
      <c r="D1271" s="1" t="n">
        <v>1659</v>
      </c>
      <c r="E1271" s="1" t="s">
        <v>197</v>
      </c>
      <c r="F1271" s="1" t="n">
        <v>24</v>
      </c>
      <c r="G1271" s="1" t="s">
        <v>77</v>
      </c>
      <c r="H1271" s="1" t="n">
        <v>1110203</v>
      </c>
      <c r="I1271" s="1" t="s">
        <v>108</v>
      </c>
      <c r="J1271" s="1" t="n">
        <v>1439443</v>
      </c>
      <c r="L1271" s="1" t="n">
        <v>194553</v>
      </c>
      <c r="M1271" s="1" t="s">
        <v>83</v>
      </c>
      <c r="N1271" s="1" t="s">
        <v>35</v>
      </c>
      <c r="P1271" s="1" t="n">
        <v>113</v>
      </c>
      <c r="Q1271" s="1" t="s">
        <v>36</v>
      </c>
      <c r="R1271" s="1" t="s">
        <v>48</v>
      </c>
      <c r="S1271" s="1" t="n">
        <v>1130101</v>
      </c>
      <c r="T1271" s="1" t="s">
        <v>49</v>
      </c>
      <c r="U1271" s="17" t="n">
        <v>1006.03</v>
      </c>
      <c r="W1271" s="1" t="n">
        <v>0</v>
      </c>
      <c r="X1271" s="1" t="s">
        <v>1050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2</v>
      </c>
      <c r="B1272" s="15" t="n">
        <v>46237</v>
      </c>
      <c r="C1272" s="15" t="n">
        <v>46256</v>
      </c>
      <c r="D1272" s="1" t="n">
        <v>1695</v>
      </c>
      <c r="E1272" s="1" t="s">
        <v>351</v>
      </c>
      <c r="F1272" s="1" t="n">
        <v>24</v>
      </c>
      <c r="G1272" s="1" t="s">
        <v>77</v>
      </c>
      <c r="H1272" s="1" t="n">
        <v>1110203</v>
      </c>
      <c r="I1272" s="1" t="s">
        <v>108</v>
      </c>
      <c r="J1272" s="1" t="n">
        <v>1493386</v>
      </c>
      <c r="L1272" s="1" t="n">
        <v>202559</v>
      </c>
      <c r="M1272" s="1" t="s">
        <v>83</v>
      </c>
      <c r="N1272" s="1" t="s">
        <v>35</v>
      </c>
      <c r="P1272" s="1" t="n">
        <v>113</v>
      </c>
      <c r="Q1272" s="1" t="s">
        <v>36</v>
      </c>
      <c r="R1272" s="1" t="s">
        <v>48</v>
      </c>
      <c r="S1272" s="1" t="n">
        <v>1130101</v>
      </c>
      <c r="T1272" s="1" t="s">
        <v>49</v>
      </c>
      <c r="U1272" s="17" t="n">
        <v>1563.4</v>
      </c>
      <c r="W1272" s="1" t="n">
        <v>0</v>
      </c>
      <c r="X1272" s="1" t="s">
        <v>1052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2</v>
      </c>
      <c r="B1273" s="15" t="n">
        <v>46245</v>
      </c>
      <c r="C1273" s="15" t="n">
        <v>46256</v>
      </c>
      <c r="D1273" s="1" t="n">
        <v>1672</v>
      </c>
      <c r="E1273" s="1" t="s">
        <v>302</v>
      </c>
      <c r="F1273" s="1" t="n">
        <v>24</v>
      </c>
      <c r="G1273" s="1" t="s">
        <v>77</v>
      </c>
      <c r="H1273" s="1" t="n">
        <v>2110405</v>
      </c>
      <c r="I1273" s="1" t="s">
        <v>41</v>
      </c>
      <c r="J1273" s="1" t="n">
        <v>1532287</v>
      </c>
      <c r="L1273" s="1" t="n">
        <v>208717</v>
      </c>
      <c r="M1273" s="1" t="s">
        <v>83</v>
      </c>
      <c r="N1273" s="1" t="s">
        <v>35</v>
      </c>
      <c r="P1273" s="1" t="n">
        <v>113</v>
      </c>
      <c r="Q1273" s="1" t="s">
        <v>36</v>
      </c>
      <c r="R1273" s="1" t="s">
        <v>48</v>
      </c>
      <c r="S1273" s="1" t="n">
        <v>1130101</v>
      </c>
      <c r="T1273" s="1" t="s">
        <v>49</v>
      </c>
      <c r="U1273" s="17" t="n">
        <v>2852.4</v>
      </c>
      <c r="W1273" s="1" t="n">
        <v>0</v>
      </c>
      <c r="X1273" s="1" t="s">
        <v>1196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2</v>
      </c>
      <c r="B1274" s="15" t="n">
        <v>46249</v>
      </c>
      <c r="C1274" s="15" t="n">
        <v>46256</v>
      </c>
      <c r="D1274" s="1" t="n">
        <v>1815</v>
      </c>
      <c r="E1274" s="1" t="s">
        <v>164</v>
      </c>
      <c r="F1274" s="1" t="n">
        <v>24</v>
      </c>
      <c r="G1274" s="1" t="s">
        <v>77</v>
      </c>
      <c r="H1274" s="1" t="n">
        <v>2110405</v>
      </c>
      <c r="I1274" s="1" t="s">
        <v>41</v>
      </c>
      <c r="J1274" s="1" t="n">
        <v>1552111</v>
      </c>
      <c r="L1274" s="1" t="n">
        <v>211829</v>
      </c>
      <c r="M1274" s="1" t="s">
        <v>83</v>
      </c>
      <c r="N1274" s="1" t="s">
        <v>35</v>
      </c>
      <c r="P1274" s="1" t="n">
        <v>113</v>
      </c>
      <c r="Q1274" s="1" t="s">
        <v>36</v>
      </c>
      <c r="R1274" s="1" t="s">
        <v>48</v>
      </c>
      <c r="S1274" s="1" t="n">
        <v>1130101</v>
      </c>
      <c r="T1274" s="1" t="s">
        <v>49</v>
      </c>
      <c r="U1274" s="17" t="n">
        <v>511.98</v>
      </c>
      <c r="W1274" s="1" t="n">
        <v>0</v>
      </c>
      <c r="X1274" s="1" t="s">
        <v>1197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2</v>
      </c>
      <c r="B1275" s="15" t="n">
        <v>46251</v>
      </c>
      <c r="C1275" s="15" t="n">
        <v>46256</v>
      </c>
      <c r="D1275" s="1" t="n">
        <v>1625</v>
      </c>
      <c r="E1275" s="1" t="s">
        <v>248</v>
      </c>
      <c r="F1275" s="1" t="n">
        <v>24</v>
      </c>
      <c r="G1275" s="1" t="s">
        <v>77</v>
      </c>
      <c r="H1275" s="1" t="n">
        <v>2110405</v>
      </c>
      <c r="I1275" s="1" t="s">
        <v>41</v>
      </c>
      <c r="J1275" s="1" t="n">
        <v>1562614</v>
      </c>
      <c r="L1275" s="1" t="n">
        <v>213260</v>
      </c>
      <c r="M1275" s="1" t="s">
        <v>83</v>
      </c>
      <c r="N1275" s="1" t="s">
        <v>35</v>
      </c>
      <c r="P1275" s="1" t="n">
        <v>113</v>
      </c>
      <c r="Q1275" s="1" t="s">
        <v>36</v>
      </c>
      <c r="R1275" s="1" t="s">
        <v>48</v>
      </c>
      <c r="S1275" s="1" t="n">
        <v>1130101</v>
      </c>
      <c r="T1275" s="1" t="s">
        <v>49</v>
      </c>
      <c r="U1275" s="17" t="n">
        <v>3472.5</v>
      </c>
      <c r="W1275" s="1" t="n">
        <v>0</v>
      </c>
      <c r="X1275" s="1" t="s">
        <v>1198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2</v>
      </c>
      <c r="B1276" s="15" t="n">
        <v>46247</v>
      </c>
      <c r="C1276" s="15" t="n">
        <v>46257</v>
      </c>
      <c r="D1276" s="1" t="n">
        <v>1723</v>
      </c>
      <c r="E1276" s="1" t="s">
        <v>332</v>
      </c>
      <c r="F1276" s="1" t="n">
        <v>24</v>
      </c>
      <c r="G1276" s="1" t="s">
        <v>77</v>
      </c>
      <c r="H1276" s="1" t="n">
        <v>2110405</v>
      </c>
      <c r="I1276" s="1" t="s">
        <v>41</v>
      </c>
      <c r="J1276" s="1" t="n">
        <v>1542621</v>
      </c>
      <c r="L1276" s="1" t="n">
        <v>210451</v>
      </c>
      <c r="M1276" s="1" t="s">
        <v>83</v>
      </c>
      <c r="N1276" s="1" t="s">
        <v>35</v>
      </c>
      <c r="P1276" s="1" t="n">
        <v>113</v>
      </c>
      <c r="Q1276" s="1" t="s">
        <v>36</v>
      </c>
      <c r="R1276" s="1" t="s">
        <v>48</v>
      </c>
      <c r="S1276" s="1" t="n">
        <v>1130101</v>
      </c>
      <c r="T1276" s="1" t="s">
        <v>49</v>
      </c>
      <c r="U1276" s="17" t="n">
        <v>3814.8</v>
      </c>
      <c r="W1276" s="1" t="n">
        <v>0</v>
      </c>
      <c r="X1276" s="1" t="s">
        <v>1199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2</v>
      </c>
      <c r="B1277" s="15" t="n">
        <v>46237</v>
      </c>
      <c r="C1277" s="15" t="n">
        <v>46258</v>
      </c>
      <c r="D1277" s="1" t="n">
        <v>1626</v>
      </c>
      <c r="E1277" s="1" t="s">
        <v>82</v>
      </c>
      <c r="F1277" s="1" t="n">
        <v>24</v>
      </c>
      <c r="G1277" s="1" t="s">
        <v>77</v>
      </c>
      <c r="H1277" s="1" t="n">
        <v>1110203</v>
      </c>
      <c r="I1277" s="1" t="s">
        <v>108</v>
      </c>
      <c r="J1277" s="1" t="n">
        <v>1495138</v>
      </c>
      <c r="L1277" s="1" t="n">
        <v>202740</v>
      </c>
      <c r="M1277" s="1" t="s">
        <v>83</v>
      </c>
      <c r="N1277" s="1" t="s">
        <v>35</v>
      </c>
      <c r="P1277" s="1" t="n">
        <v>113</v>
      </c>
      <c r="Q1277" s="1" t="s">
        <v>36</v>
      </c>
      <c r="R1277" s="1" t="s">
        <v>48</v>
      </c>
      <c r="S1277" s="1" t="n">
        <v>1130101</v>
      </c>
      <c r="T1277" s="1" t="s">
        <v>49</v>
      </c>
      <c r="U1277" s="17" t="n">
        <v>416.64</v>
      </c>
      <c r="W1277" s="1" t="n">
        <v>0</v>
      </c>
      <c r="X1277" s="1" t="s">
        <v>1069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2</v>
      </c>
      <c r="B1278" s="15" t="n">
        <v>46239</v>
      </c>
      <c r="C1278" s="15" t="n">
        <v>46258</v>
      </c>
      <c r="D1278" s="1" t="n">
        <v>1637</v>
      </c>
      <c r="E1278" s="1" t="s">
        <v>764</v>
      </c>
      <c r="F1278" s="1" t="n">
        <v>24</v>
      </c>
      <c r="G1278" s="1" t="s">
        <v>77</v>
      </c>
      <c r="H1278" s="1" t="n">
        <v>1110203</v>
      </c>
      <c r="I1278" s="1" t="s">
        <v>108</v>
      </c>
      <c r="J1278" s="1" t="n">
        <v>1503883</v>
      </c>
      <c r="L1278" s="1" t="n">
        <v>204193</v>
      </c>
      <c r="M1278" s="1" t="s">
        <v>83</v>
      </c>
      <c r="N1278" s="1" t="s">
        <v>35</v>
      </c>
      <c r="P1278" s="1" t="n">
        <v>113</v>
      </c>
      <c r="Q1278" s="1" t="s">
        <v>36</v>
      </c>
      <c r="R1278" s="1" t="s">
        <v>48</v>
      </c>
      <c r="S1278" s="1" t="n">
        <v>1130101</v>
      </c>
      <c r="T1278" s="1" t="s">
        <v>49</v>
      </c>
      <c r="U1278" s="17" t="n">
        <v>1184.7</v>
      </c>
      <c r="W1278" s="1" t="n">
        <v>0</v>
      </c>
      <c r="X1278" s="1" t="s">
        <v>1200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2</v>
      </c>
      <c r="B1279" s="15" t="n">
        <v>46241</v>
      </c>
      <c r="C1279" s="15" t="n">
        <v>46258</v>
      </c>
      <c r="D1279" s="1" t="n">
        <v>1705</v>
      </c>
      <c r="E1279" s="1" t="s">
        <v>119</v>
      </c>
      <c r="F1279" s="1" t="n">
        <v>24</v>
      </c>
      <c r="G1279" s="1" t="s">
        <v>77</v>
      </c>
      <c r="H1279" s="1" t="n">
        <v>2110405</v>
      </c>
      <c r="I1279" s="1" t="s">
        <v>41</v>
      </c>
      <c r="J1279" s="1" t="n">
        <v>1514104</v>
      </c>
      <c r="L1279" s="1" t="n">
        <v>205951</v>
      </c>
      <c r="M1279" s="1" t="s">
        <v>83</v>
      </c>
      <c r="N1279" s="1" t="s">
        <v>35</v>
      </c>
      <c r="P1279" s="1" t="n">
        <v>113</v>
      </c>
      <c r="Q1279" s="1" t="s">
        <v>36</v>
      </c>
      <c r="R1279" s="1" t="s">
        <v>48</v>
      </c>
      <c r="S1279" s="1" t="n">
        <v>1130101</v>
      </c>
      <c r="T1279" s="1" t="s">
        <v>49</v>
      </c>
      <c r="U1279" s="17" t="n">
        <v>268.07</v>
      </c>
      <c r="W1279" s="1" t="n">
        <v>0</v>
      </c>
      <c r="X1279" s="1" t="s">
        <v>1201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2</v>
      </c>
      <c r="B1280" s="15" t="n">
        <v>46241</v>
      </c>
      <c r="C1280" s="15" t="n">
        <v>46258</v>
      </c>
      <c r="D1280" s="1" t="n">
        <v>1705</v>
      </c>
      <c r="E1280" s="1" t="s">
        <v>119</v>
      </c>
      <c r="F1280" s="1" t="n">
        <v>24</v>
      </c>
      <c r="G1280" s="1" t="s">
        <v>77</v>
      </c>
      <c r="H1280" s="1" t="n">
        <v>2110405</v>
      </c>
      <c r="I1280" s="1" t="s">
        <v>41</v>
      </c>
      <c r="J1280" s="1" t="n">
        <v>1514114</v>
      </c>
      <c r="L1280" s="1" t="n">
        <v>205954</v>
      </c>
      <c r="M1280" s="1" t="s">
        <v>83</v>
      </c>
      <c r="N1280" s="1" t="s">
        <v>35</v>
      </c>
      <c r="P1280" s="1" t="n">
        <v>113</v>
      </c>
      <c r="Q1280" s="1" t="s">
        <v>36</v>
      </c>
      <c r="R1280" s="1" t="s">
        <v>48</v>
      </c>
      <c r="S1280" s="1" t="n">
        <v>1130101</v>
      </c>
      <c r="T1280" s="1" t="s">
        <v>49</v>
      </c>
      <c r="U1280" s="17" t="n">
        <v>360.51</v>
      </c>
      <c r="W1280" s="1" t="n">
        <v>0</v>
      </c>
      <c r="X1280" s="1" t="s">
        <v>1202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2</v>
      </c>
      <c r="B1281" s="15" t="n">
        <v>46244</v>
      </c>
      <c r="C1281" s="15" t="n">
        <v>46258</v>
      </c>
      <c r="D1281" s="1" t="n">
        <v>1789</v>
      </c>
      <c r="E1281" s="1" t="s">
        <v>485</v>
      </c>
      <c r="F1281" s="1" t="n">
        <v>24</v>
      </c>
      <c r="G1281" s="1" t="s">
        <v>77</v>
      </c>
      <c r="H1281" s="1" t="n">
        <v>2110405</v>
      </c>
      <c r="I1281" s="1" t="s">
        <v>41</v>
      </c>
      <c r="J1281" s="1" t="n">
        <v>1529680</v>
      </c>
      <c r="L1281" s="1" t="n">
        <v>208120</v>
      </c>
      <c r="M1281" s="1" t="s">
        <v>83</v>
      </c>
      <c r="N1281" s="1" t="s">
        <v>35</v>
      </c>
      <c r="P1281" s="1" t="n">
        <v>113</v>
      </c>
      <c r="Q1281" s="1" t="s">
        <v>36</v>
      </c>
      <c r="R1281" s="1" t="s">
        <v>364</v>
      </c>
      <c r="S1281" s="1" t="n">
        <v>4210112</v>
      </c>
      <c r="T1281" s="1" t="s">
        <v>486</v>
      </c>
      <c r="U1281" s="17" t="n">
        <v>10645.93</v>
      </c>
      <c r="W1281" s="1" t="n">
        <v>0</v>
      </c>
      <c r="X1281" s="1" t="s">
        <v>1203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2</v>
      </c>
      <c r="B1282" s="15" t="n">
        <v>46244</v>
      </c>
      <c r="C1282" s="15" t="n">
        <v>46258</v>
      </c>
      <c r="D1282" s="1" t="n">
        <v>1789</v>
      </c>
      <c r="E1282" s="1" t="s">
        <v>485</v>
      </c>
      <c r="F1282" s="1" t="n">
        <v>24</v>
      </c>
      <c r="G1282" s="1" t="s">
        <v>77</v>
      </c>
      <c r="H1282" s="1" t="n">
        <v>2110405</v>
      </c>
      <c r="I1282" s="1" t="s">
        <v>41</v>
      </c>
      <c r="J1282" s="1" t="n">
        <v>1529702</v>
      </c>
      <c r="L1282" s="1" t="n">
        <v>208128</v>
      </c>
      <c r="M1282" s="1" t="s">
        <v>83</v>
      </c>
      <c r="N1282" s="1" t="s">
        <v>35</v>
      </c>
      <c r="P1282" s="1" t="n">
        <v>113</v>
      </c>
      <c r="Q1282" s="1" t="s">
        <v>36</v>
      </c>
      <c r="R1282" s="1" t="s">
        <v>364</v>
      </c>
      <c r="S1282" s="1" t="n">
        <v>4210112</v>
      </c>
      <c r="T1282" s="1" t="s">
        <v>486</v>
      </c>
      <c r="U1282" s="17" t="n">
        <v>109.86</v>
      </c>
      <c r="W1282" s="1" t="n">
        <v>0</v>
      </c>
      <c r="X1282" s="1" t="s">
        <v>1204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2</v>
      </c>
      <c r="B1283" s="15" t="n">
        <v>46248</v>
      </c>
      <c r="C1283" s="15" t="n">
        <v>46258</v>
      </c>
      <c r="D1283" s="1" t="n">
        <v>1621</v>
      </c>
      <c r="E1283" s="1" t="s">
        <v>212</v>
      </c>
      <c r="F1283" s="1" t="n">
        <v>24</v>
      </c>
      <c r="G1283" s="1" t="s">
        <v>77</v>
      </c>
      <c r="H1283" s="1" t="n">
        <v>2110405</v>
      </c>
      <c r="I1283" s="1" t="s">
        <v>41</v>
      </c>
      <c r="J1283" s="1" t="n">
        <v>1546198</v>
      </c>
      <c r="L1283" s="1" t="n">
        <v>211261</v>
      </c>
      <c r="M1283" s="1" t="s">
        <v>83</v>
      </c>
      <c r="N1283" s="1" t="s">
        <v>35</v>
      </c>
      <c r="P1283" s="1" t="n">
        <v>113</v>
      </c>
      <c r="Q1283" s="1" t="s">
        <v>36</v>
      </c>
      <c r="R1283" s="1" t="s">
        <v>48</v>
      </c>
      <c r="S1283" s="1" t="n">
        <v>1130101</v>
      </c>
      <c r="T1283" s="1" t="s">
        <v>49</v>
      </c>
      <c r="U1283" s="17" t="n">
        <v>3733.25</v>
      </c>
      <c r="W1283" s="1" t="n">
        <v>0</v>
      </c>
      <c r="X1283" s="1" t="s">
        <v>1205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2</v>
      </c>
      <c r="B1284" s="15" t="n">
        <v>46252</v>
      </c>
      <c r="C1284" s="15" t="n">
        <v>46258</v>
      </c>
      <c r="D1284" s="1" t="n">
        <v>1328</v>
      </c>
      <c r="E1284" s="1" t="s">
        <v>92</v>
      </c>
      <c r="F1284" s="1" t="n">
        <v>24</v>
      </c>
      <c r="G1284" s="1" t="s">
        <v>77</v>
      </c>
      <c r="H1284" s="1" t="n">
        <v>2110405</v>
      </c>
      <c r="I1284" s="1" t="s">
        <v>41</v>
      </c>
      <c r="J1284" s="1" t="n">
        <v>1566671</v>
      </c>
      <c r="L1284" s="1" t="n">
        <v>213858</v>
      </c>
      <c r="M1284" s="1" t="s">
        <v>83</v>
      </c>
      <c r="N1284" s="1" t="s">
        <v>35</v>
      </c>
      <c r="P1284" s="1" t="n">
        <v>113</v>
      </c>
      <c r="Q1284" s="1" t="s">
        <v>36</v>
      </c>
      <c r="R1284" s="1" t="s">
        <v>48</v>
      </c>
      <c r="S1284" s="1" t="n">
        <v>1130101</v>
      </c>
      <c r="T1284" s="1" t="s">
        <v>49</v>
      </c>
      <c r="U1284" s="17" t="n">
        <v>301.95</v>
      </c>
      <c r="W1284" s="1" t="n">
        <v>0</v>
      </c>
      <c r="X1284" s="1" t="s">
        <v>1206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2</v>
      </c>
      <c r="B1285" s="15" t="n">
        <v>46255</v>
      </c>
      <c r="C1285" s="15" t="n">
        <v>46258</v>
      </c>
      <c r="D1285" s="1" t="n">
        <v>10035</v>
      </c>
      <c r="E1285" s="1" t="s">
        <v>96</v>
      </c>
      <c r="F1285" s="1" t="n">
        <v>34</v>
      </c>
      <c r="G1285" s="1" t="s">
        <v>97</v>
      </c>
      <c r="H1285" s="1" t="n">
        <v>2110405</v>
      </c>
      <c r="I1285" s="1" t="s">
        <v>41</v>
      </c>
      <c r="J1285" s="1" t="n">
        <v>1580966</v>
      </c>
      <c r="L1285" s="1" t="n">
        <v>216246</v>
      </c>
      <c r="M1285" s="1" t="s">
        <v>83</v>
      </c>
      <c r="N1285" s="1" t="s">
        <v>35</v>
      </c>
      <c r="P1285" s="1" t="n">
        <v>113</v>
      </c>
      <c r="Q1285" s="1" t="s">
        <v>36</v>
      </c>
      <c r="R1285" s="1" t="s">
        <v>48</v>
      </c>
      <c r="S1285" s="1" t="n">
        <v>1130101</v>
      </c>
      <c r="T1285" s="1" t="s">
        <v>49</v>
      </c>
      <c r="U1285" s="17" t="n">
        <v>183</v>
      </c>
      <c r="W1285" s="1" t="n">
        <v>0</v>
      </c>
      <c r="X1285" s="1" t="s">
        <v>1207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2</v>
      </c>
      <c r="B1286" s="15" t="n">
        <v>46255</v>
      </c>
      <c r="C1286" s="15" t="n">
        <v>46258</v>
      </c>
      <c r="D1286" s="1" t="n">
        <v>48</v>
      </c>
      <c r="E1286" s="1" t="s">
        <v>132</v>
      </c>
      <c r="F1286" s="1" t="n">
        <v>34</v>
      </c>
      <c r="G1286" s="1" t="s">
        <v>97</v>
      </c>
      <c r="H1286" s="1" t="n">
        <v>2110101</v>
      </c>
      <c r="I1286" s="1" t="s">
        <v>33</v>
      </c>
      <c r="J1286" s="1" t="n">
        <v>1581941</v>
      </c>
      <c r="L1286" s="1" t="n">
        <v>2623</v>
      </c>
      <c r="M1286" s="1" t="s">
        <v>83</v>
      </c>
      <c r="N1286" s="1" t="s">
        <v>54</v>
      </c>
      <c r="P1286" s="1" t="n">
        <v>113</v>
      </c>
      <c r="Q1286" s="1" t="s">
        <v>36</v>
      </c>
      <c r="R1286" s="1" t="s">
        <v>48</v>
      </c>
      <c r="S1286" s="1" t="n">
        <v>1130101</v>
      </c>
      <c r="T1286" s="1" t="s">
        <v>49</v>
      </c>
      <c r="U1286" s="17" t="n">
        <v>1863.5</v>
      </c>
      <c r="W1286" s="1" t="n">
        <v>0</v>
      </c>
      <c r="X1286" s="1" t="s">
        <v>1208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2</v>
      </c>
      <c r="B1287" s="15" t="n">
        <v>46255</v>
      </c>
      <c r="C1287" s="15" t="n">
        <v>46258</v>
      </c>
      <c r="D1287" s="1" t="n">
        <v>1037</v>
      </c>
      <c r="E1287" s="1" t="s">
        <v>139</v>
      </c>
      <c r="F1287" s="1" t="n">
        <v>34</v>
      </c>
      <c r="G1287" s="1" t="s">
        <v>97</v>
      </c>
      <c r="H1287" s="1" t="n">
        <v>2110405</v>
      </c>
      <c r="I1287" s="1" t="s">
        <v>41</v>
      </c>
      <c r="J1287" s="1" t="n">
        <v>1581963</v>
      </c>
      <c r="L1287" s="1" t="n">
        <v>216478</v>
      </c>
      <c r="M1287" s="1" t="s">
        <v>83</v>
      </c>
      <c r="N1287" s="1" t="s">
        <v>35</v>
      </c>
      <c r="P1287" s="1" t="n">
        <v>113</v>
      </c>
      <c r="Q1287" s="1" t="s">
        <v>36</v>
      </c>
      <c r="R1287" s="1" t="s">
        <v>48</v>
      </c>
      <c r="S1287" s="1" t="n">
        <v>1130101</v>
      </c>
      <c r="T1287" s="1" t="s">
        <v>49</v>
      </c>
      <c r="U1287" s="17" t="n">
        <v>460</v>
      </c>
      <c r="W1287" s="1" t="n">
        <v>0</v>
      </c>
      <c r="X1287" s="1" t="s">
        <v>1209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2</v>
      </c>
      <c r="B1288" s="15" t="n">
        <v>46013</v>
      </c>
      <c r="C1288" s="15" t="n">
        <v>46259</v>
      </c>
      <c r="D1288" s="1" t="n">
        <v>17</v>
      </c>
      <c r="E1288" s="1" t="s">
        <v>436</v>
      </c>
      <c r="F1288" s="1" t="n">
        <v>48</v>
      </c>
      <c r="G1288" s="1" t="s">
        <v>503</v>
      </c>
      <c r="H1288" s="1" t="n">
        <v>2110405</v>
      </c>
      <c r="I1288" s="1" t="s">
        <v>41</v>
      </c>
      <c r="J1288" s="1" t="n">
        <v>660421</v>
      </c>
      <c r="L1288" s="1" t="n">
        <v>86128</v>
      </c>
      <c r="M1288" s="1" t="s">
        <v>596</v>
      </c>
      <c r="N1288" s="1" t="s">
        <v>35</v>
      </c>
      <c r="P1288" s="1" t="n">
        <v>101</v>
      </c>
      <c r="Q1288" s="1" t="s">
        <v>42</v>
      </c>
      <c r="R1288" s="1" t="s">
        <v>43</v>
      </c>
      <c r="S1288" s="1" t="n">
        <v>4220199</v>
      </c>
      <c r="T1288" s="1" t="s">
        <v>44</v>
      </c>
      <c r="U1288" s="17" t="n">
        <v>362.14</v>
      </c>
      <c r="W1288" s="1" t="n">
        <v>0</v>
      </c>
      <c r="X1288" s="1" t="s">
        <v>505</v>
      </c>
      <c r="Z1288" s="1" t="str">
        <f aca="false">IF($T1288="","",IFERROR(INDEX('Resumo Grupos'!$AC$3:$AC$200,MATCH($T1288,'Resumo Grupos'!$AB$3:$AB$200,0)),"n/d"))</f>
        <v>Pagamentos outros não operacionais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2</v>
      </c>
      <c r="B1289" s="15" t="n">
        <v>46029</v>
      </c>
      <c r="C1289" s="15" t="n">
        <v>46259</v>
      </c>
      <c r="D1289" s="1" t="n">
        <v>17</v>
      </c>
      <c r="E1289" s="1" t="s">
        <v>436</v>
      </c>
      <c r="F1289" s="1" t="n">
        <v>48</v>
      </c>
      <c r="G1289" s="1" t="s">
        <v>503</v>
      </c>
      <c r="H1289" s="1" t="n">
        <v>2110405</v>
      </c>
      <c r="I1289" s="1" t="s">
        <v>41</v>
      </c>
      <c r="J1289" s="1" t="n">
        <v>660305</v>
      </c>
      <c r="L1289" s="1" t="n">
        <v>86116</v>
      </c>
      <c r="M1289" s="1" t="s">
        <v>596</v>
      </c>
      <c r="N1289" s="1" t="s">
        <v>35</v>
      </c>
      <c r="P1289" s="1" t="n">
        <v>101</v>
      </c>
      <c r="Q1289" s="1" t="s">
        <v>42</v>
      </c>
      <c r="R1289" s="1" t="s">
        <v>43</v>
      </c>
      <c r="S1289" s="1" t="n">
        <v>4220199</v>
      </c>
      <c r="T1289" s="1" t="s">
        <v>44</v>
      </c>
      <c r="U1289" s="17" t="n">
        <v>84.03</v>
      </c>
      <c r="W1289" s="1" t="n">
        <v>0</v>
      </c>
      <c r="X1289" s="1" t="s">
        <v>504</v>
      </c>
      <c r="Z1289" s="1" t="str">
        <f aca="false">IF($T1289="","",IFERROR(INDEX('Resumo Grupos'!$AC$3:$AC$200,MATCH($T1289,'Resumo Grupos'!$AB$3:$AB$200,0)),"n/d"))</f>
        <v>Pagamentos outros não operacionais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2</v>
      </c>
      <c r="B1290" s="15" t="n">
        <v>46205</v>
      </c>
      <c r="C1290" s="15" t="n">
        <v>46259</v>
      </c>
      <c r="D1290" s="1" t="n">
        <v>1217</v>
      </c>
      <c r="E1290" s="1" t="s">
        <v>690</v>
      </c>
      <c r="F1290" s="1" t="n">
        <v>24</v>
      </c>
      <c r="G1290" s="1" t="s">
        <v>77</v>
      </c>
      <c r="H1290" s="1" t="n">
        <v>2110101</v>
      </c>
      <c r="I1290" s="1" t="s">
        <v>33</v>
      </c>
      <c r="J1290" s="1" t="n">
        <v>1339965</v>
      </c>
      <c r="L1290" s="1" t="n">
        <v>4467</v>
      </c>
      <c r="M1290" s="1" t="s">
        <v>47</v>
      </c>
      <c r="N1290" s="1" t="s">
        <v>54</v>
      </c>
      <c r="P1290" s="1" t="n">
        <v>113</v>
      </c>
      <c r="Q1290" s="1" t="s">
        <v>36</v>
      </c>
      <c r="R1290" s="1" t="s">
        <v>48</v>
      </c>
      <c r="S1290" s="1" t="n">
        <v>1130101</v>
      </c>
      <c r="T1290" s="1" t="s">
        <v>49</v>
      </c>
      <c r="U1290" s="17" t="n">
        <v>818.55</v>
      </c>
      <c r="W1290" s="1" t="n">
        <v>0</v>
      </c>
      <c r="X1290" s="1" t="s">
        <v>691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2</v>
      </c>
      <c r="B1291" s="15" t="n">
        <v>46243</v>
      </c>
      <c r="C1291" s="15" t="n">
        <v>46259</v>
      </c>
      <c r="D1291" s="1" t="n">
        <v>17</v>
      </c>
      <c r="E1291" s="1" t="s">
        <v>436</v>
      </c>
      <c r="F1291" s="1" t="n">
        <v>48</v>
      </c>
      <c r="G1291" s="1" t="s">
        <v>503</v>
      </c>
      <c r="H1291" s="1" t="n">
        <v>2110405</v>
      </c>
      <c r="I1291" s="1" t="s">
        <v>41</v>
      </c>
      <c r="J1291" s="1" t="n">
        <v>1551938</v>
      </c>
      <c r="L1291" s="1" t="n">
        <v>211786</v>
      </c>
      <c r="M1291" s="1" t="s">
        <v>83</v>
      </c>
      <c r="N1291" s="1" t="s">
        <v>35</v>
      </c>
      <c r="P1291" s="1" t="n">
        <v>101</v>
      </c>
      <c r="Q1291" s="1" t="s">
        <v>42</v>
      </c>
      <c r="R1291" s="1" t="s">
        <v>43</v>
      </c>
      <c r="S1291" s="1" t="n">
        <v>4220199</v>
      </c>
      <c r="T1291" s="1" t="s">
        <v>44</v>
      </c>
      <c r="U1291" s="17" t="n">
        <v>52.52</v>
      </c>
      <c r="W1291" s="1" t="n">
        <v>0</v>
      </c>
      <c r="X1291" s="1" t="s">
        <v>1210</v>
      </c>
      <c r="Z1291" s="1" t="str">
        <f aca="false">IF($T1291="","",IFERROR(INDEX('Resumo Grupos'!$AC$3:$AC$200,MATCH($T1291,'Resumo Grupos'!$AB$3:$AB$200,0)),"n/d"))</f>
        <v>Pagamentos outros não operacionais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2</v>
      </c>
      <c r="B1292" s="15" t="n">
        <v>46249</v>
      </c>
      <c r="C1292" s="15" t="n">
        <v>46259</v>
      </c>
      <c r="D1292" s="1" t="n">
        <v>17</v>
      </c>
      <c r="E1292" s="1" t="s">
        <v>436</v>
      </c>
      <c r="F1292" s="1" t="n">
        <v>48</v>
      </c>
      <c r="G1292" s="1" t="s">
        <v>503</v>
      </c>
      <c r="H1292" s="1" t="n">
        <v>2110405</v>
      </c>
      <c r="I1292" s="1" t="s">
        <v>41</v>
      </c>
      <c r="J1292" s="1" t="n">
        <v>1551945</v>
      </c>
      <c r="L1292" s="1" t="n">
        <v>211789</v>
      </c>
      <c r="M1292" s="1" t="s">
        <v>83</v>
      </c>
      <c r="N1292" s="1" t="s">
        <v>35</v>
      </c>
      <c r="P1292" s="1" t="n">
        <v>101</v>
      </c>
      <c r="Q1292" s="1" t="s">
        <v>42</v>
      </c>
      <c r="R1292" s="1" t="s">
        <v>43</v>
      </c>
      <c r="S1292" s="1" t="n">
        <v>4220199</v>
      </c>
      <c r="T1292" s="1" t="s">
        <v>44</v>
      </c>
      <c r="U1292" s="17" t="n">
        <v>595.39</v>
      </c>
      <c r="W1292" s="1" t="n">
        <v>0</v>
      </c>
      <c r="X1292" s="1" t="s">
        <v>1211</v>
      </c>
      <c r="Z1292" s="1" t="str">
        <f aca="false">IF($T1292="","",IFERROR(INDEX('Resumo Grupos'!$AC$3:$AC$200,MATCH($T1292,'Resumo Grupos'!$AB$3:$AB$200,0)),"n/d"))</f>
        <v>Pagamentos outros não operacionais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2</v>
      </c>
      <c r="B1293" s="15" t="n">
        <v>46252</v>
      </c>
      <c r="C1293" s="15" t="n">
        <v>46259</v>
      </c>
      <c r="D1293" s="1" t="n">
        <v>1642</v>
      </c>
      <c r="E1293" s="1" t="s">
        <v>210</v>
      </c>
      <c r="F1293" s="1" t="n">
        <v>24</v>
      </c>
      <c r="G1293" s="1" t="s">
        <v>77</v>
      </c>
      <c r="H1293" s="1" t="n">
        <v>2110405</v>
      </c>
      <c r="I1293" s="1" t="s">
        <v>41</v>
      </c>
      <c r="J1293" s="1" t="n">
        <v>1566648</v>
      </c>
      <c r="L1293" s="1" t="n">
        <v>213853</v>
      </c>
      <c r="M1293" s="1" t="s">
        <v>83</v>
      </c>
      <c r="N1293" s="1" t="s">
        <v>35</v>
      </c>
      <c r="P1293" s="1" t="n">
        <v>113</v>
      </c>
      <c r="Q1293" s="1" t="s">
        <v>36</v>
      </c>
      <c r="R1293" s="1" t="s">
        <v>48</v>
      </c>
      <c r="S1293" s="1" t="n">
        <v>1130101</v>
      </c>
      <c r="T1293" s="1" t="s">
        <v>49</v>
      </c>
      <c r="U1293" s="17" t="n">
        <v>512.38</v>
      </c>
      <c r="W1293" s="1" t="n">
        <v>0</v>
      </c>
      <c r="X1293" s="1" t="s">
        <v>1212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2</v>
      </c>
      <c r="B1294" s="22" t="n">
        <v>46255</v>
      </c>
      <c r="C1294" s="22" t="n">
        <v>46259</v>
      </c>
      <c r="D1294" s="1" t="n">
        <v>10035</v>
      </c>
      <c r="E1294" s="1" t="s">
        <v>96</v>
      </c>
      <c r="F1294" s="1" t="n">
        <v>34</v>
      </c>
      <c r="G1294" s="1" t="s">
        <v>97</v>
      </c>
      <c r="H1294" s="1" t="n">
        <v>2110405</v>
      </c>
      <c r="I1294" s="1" t="s">
        <v>41</v>
      </c>
      <c r="J1294" s="1" t="n">
        <v>1580974</v>
      </c>
      <c r="L1294" s="1" t="n">
        <v>216250</v>
      </c>
      <c r="M1294" s="1" t="s">
        <v>83</v>
      </c>
      <c r="N1294" s="1" t="s">
        <v>35</v>
      </c>
      <c r="P1294" s="1" t="n">
        <v>113</v>
      </c>
      <c r="Q1294" s="1" t="s">
        <v>36</v>
      </c>
      <c r="R1294" s="1" t="s">
        <v>48</v>
      </c>
      <c r="S1294" s="1" t="n">
        <v>1130101</v>
      </c>
      <c r="T1294" s="1" t="s">
        <v>49</v>
      </c>
      <c r="U1294" s="1" t="n">
        <v>183</v>
      </c>
      <c r="W1294" s="1" t="n">
        <v>0</v>
      </c>
      <c r="X1294" s="1" t="s">
        <v>1213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2</v>
      </c>
      <c r="B1295" s="22" t="n">
        <v>46256</v>
      </c>
      <c r="C1295" s="22" t="n">
        <v>46259</v>
      </c>
      <c r="D1295" s="1" t="n">
        <v>642</v>
      </c>
      <c r="E1295" s="1" t="s">
        <v>130</v>
      </c>
      <c r="F1295" s="1" t="n">
        <v>24</v>
      </c>
      <c r="G1295" s="1" t="s">
        <v>77</v>
      </c>
      <c r="H1295" s="1" t="n">
        <v>2110405</v>
      </c>
      <c r="I1295" s="1" t="s">
        <v>41</v>
      </c>
      <c r="J1295" s="1" t="n">
        <v>1585340</v>
      </c>
      <c r="L1295" s="1" t="n">
        <v>216896</v>
      </c>
      <c r="M1295" s="1" t="s">
        <v>83</v>
      </c>
      <c r="N1295" s="1" t="s">
        <v>35</v>
      </c>
      <c r="P1295" s="1" t="n">
        <v>113</v>
      </c>
      <c r="Q1295" s="1" t="s">
        <v>36</v>
      </c>
      <c r="R1295" s="1" t="s">
        <v>48</v>
      </c>
      <c r="S1295" s="1" t="n">
        <v>1130101</v>
      </c>
      <c r="T1295" s="1" t="s">
        <v>49</v>
      </c>
      <c r="U1295" s="1" t="n">
        <v>240</v>
      </c>
      <c r="W1295" s="1" t="n">
        <v>0</v>
      </c>
      <c r="X1295" s="1" t="s">
        <v>1214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2</v>
      </c>
      <c r="B1296" s="22" t="n">
        <v>46023</v>
      </c>
      <c r="C1296" s="22" t="n">
        <v>46260</v>
      </c>
      <c r="D1296" s="1" t="n">
        <v>515</v>
      </c>
      <c r="E1296" s="1" t="s">
        <v>143</v>
      </c>
      <c r="F1296" s="1" t="n">
        <v>34</v>
      </c>
      <c r="G1296" s="1" t="s">
        <v>97</v>
      </c>
      <c r="H1296" s="1" t="n">
        <v>2110405</v>
      </c>
      <c r="I1296" s="1" t="s">
        <v>41</v>
      </c>
      <c r="J1296" s="1" t="n">
        <v>1012266</v>
      </c>
      <c r="L1296" s="1" t="n">
        <v>133812</v>
      </c>
      <c r="M1296" s="1" t="s">
        <v>596</v>
      </c>
      <c r="N1296" s="1" t="s">
        <v>35</v>
      </c>
      <c r="P1296" s="1" t="n">
        <v>101</v>
      </c>
      <c r="Q1296" s="1" t="s">
        <v>42</v>
      </c>
      <c r="R1296" s="1" t="s">
        <v>295</v>
      </c>
      <c r="S1296" s="1" t="n">
        <v>2110901</v>
      </c>
      <c r="T1296" s="1" t="s">
        <v>296</v>
      </c>
      <c r="U1296" s="1" t="n">
        <v>4168.41</v>
      </c>
      <c r="W1296" s="1" t="n">
        <v>0</v>
      </c>
      <c r="X1296" s="1" t="s">
        <v>1215</v>
      </c>
      <c r="Z1296" s="1" t="str">
        <f aca="false">IF($T1296="","",IFERROR(INDEX('Resumo Grupos'!$AC$3:$AC$200,MATCH($T1296,'Resumo Grupos'!$AB$3:$AB$200,0)),"n/d"))</f>
        <v>Empréstimo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2</v>
      </c>
      <c r="B1297" s="22" t="n">
        <v>46241</v>
      </c>
      <c r="C1297" s="22" t="n">
        <v>46260</v>
      </c>
      <c r="D1297" s="1" t="n">
        <v>1613</v>
      </c>
      <c r="E1297" s="1" t="s">
        <v>94</v>
      </c>
      <c r="F1297" s="1" t="n">
        <v>24</v>
      </c>
      <c r="G1297" s="1" t="s">
        <v>77</v>
      </c>
      <c r="H1297" s="1" t="n">
        <v>2110405</v>
      </c>
      <c r="I1297" s="1" t="s">
        <v>41</v>
      </c>
      <c r="J1297" s="1" t="n">
        <v>1513496</v>
      </c>
      <c r="L1297" s="1" t="n">
        <v>205790</v>
      </c>
      <c r="M1297" s="1" t="s">
        <v>83</v>
      </c>
      <c r="N1297" s="1" t="s">
        <v>35</v>
      </c>
      <c r="P1297" s="1" t="n">
        <v>113</v>
      </c>
      <c r="Q1297" s="1" t="s">
        <v>36</v>
      </c>
      <c r="R1297" s="1" t="s">
        <v>48</v>
      </c>
      <c r="S1297" s="1" t="n">
        <v>1130101</v>
      </c>
      <c r="T1297" s="1" t="s">
        <v>49</v>
      </c>
      <c r="U1297" s="1" t="n">
        <v>1275.53</v>
      </c>
      <c r="W1297" s="1" t="n">
        <v>0</v>
      </c>
      <c r="X1297" s="1" t="s">
        <v>1162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2</v>
      </c>
      <c r="B1298" s="22" t="n">
        <v>46244</v>
      </c>
      <c r="C1298" s="22" t="n">
        <v>46260</v>
      </c>
      <c r="D1298" s="1" t="n">
        <v>1659</v>
      </c>
      <c r="E1298" s="1" t="s">
        <v>197</v>
      </c>
      <c r="F1298" s="1" t="n">
        <v>24</v>
      </c>
      <c r="G1298" s="1" t="s">
        <v>77</v>
      </c>
      <c r="H1298" s="1" t="n">
        <v>2110405</v>
      </c>
      <c r="I1298" s="1" t="s">
        <v>41</v>
      </c>
      <c r="J1298" s="1" t="n">
        <v>1529145</v>
      </c>
      <c r="L1298" s="1" t="n">
        <v>207965</v>
      </c>
      <c r="M1298" s="1" t="s">
        <v>83</v>
      </c>
      <c r="N1298" s="1" t="s">
        <v>35</v>
      </c>
      <c r="P1298" s="1" t="n">
        <v>113</v>
      </c>
      <c r="Q1298" s="1" t="s">
        <v>36</v>
      </c>
      <c r="R1298" s="1" t="s">
        <v>48</v>
      </c>
      <c r="S1298" s="1" t="n">
        <v>1130101</v>
      </c>
      <c r="T1298" s="1" t="s">
        <v>49</v>
      </c>
      <c r="U1298" s="1" t="n">
        <v>349</v>
      </c>
      <c r="W1298" s="1" t="n">
        <v>0</v>
      </c>
      <c r="X1298" s="1" t="s">
        <v>1163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2</v>
      </c>
      <c r="B1299" s="22" t="n">
        <v>46246</v>
      </c>
      <c r="C1299" s="22" t="n">
        <v>46260</v>
      </c>
      <c r="D1299" s="1" t="n">
        <v>1608</v>
      </c>
      <c r="E1299" s="1" t="s">
        <v>201</v>
      </c>
      <c r="F1299" s="1" t="n">
        <v>24</v>
      </c>
      <c r="G1299" s="1" t="s">
        <v>77</v>
      </c>
      <c r="H1299" s="1" t="n">
        <v>2110405</v>
      </c>
      <c r="I1299" s="1" t="s">
        <v>41</v>
      </c>
      <c r="J1299" s="1" t="n">
        <v>1534791</v>
      </c>
      <c r="L1299" s="1" t="n">
        <v>209426</v>
      </c>
      <c r="M1299" s="1" t="s">
        <v>83</v>
      </c>
      <c r="N1299" s="1" t="s">
        <v>35</v>
      </c>
      <c r="P1299" s="1" t="n">
        <v>113</v>
      </c>
      <c r="Q1299" s="1" t="s">
        <v>36</v>
      </c>
      <c r="R1299" s="1" t="s">
        <v>48</v>
      </c>
      <c r="S1299" s="1" t="n">
        <v>1130101</v>
      </c>
      <c r="T1299" s="1" t="s">
        <v>49</v>
      </c>
      <c r="U1299" s="1" t="n">
        <v>1279.58</v>
      </c>
      <c r="W1299" s="1" t="n">
        <v>0</v>
      </c>
      <c r="X1299" s="1" t="s">
        <v>1216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2</v>
      </c>
      <c r="B1300" s="22" t="n">
        <v>46246</v>
      </c>
      <c r="C1300" s="22" t="n">
        <v>46260</v>
      </c>
      <c r="D1300" s="1" t="n">
        <v>1634</v>
      </c>
      <c r="E1300" s="1" t="s">
        <v>261</v>
      </c>
      <c r="F1300" s="1" t="n">
        <v>24</v>
      </c>
      <c r="G1300" s="1" t="s">
        <v>77</v>
      </c>
      <c r="H1300" s="1" t="n">
        <v>2110405</v>
      </c>
      <c r="I1300" s="1" t="s">
        <v>41</v>
      </c>
      <c r="J1300" s="1" t="n">
        <v>1535480</v>
      </c>
      <c r="L1300" s="1" t="n">
        <v>209568</v>
      </c>
      <c r="M1300" s="1" t="s">
        <v>83</v>
      </c>
      <c r="N1300" s="1" t="s">
        <v>35</v>
      </c>
      <c r="P1300" s="1" t="n">
        <v>113</v>
      </c>
      <c r="Q1300" s="1" t="s">
        <v>36</v>
      </c>
      <c r="R1300" s="1" t="s">
        <v>48</v>
      </c>
      <c r="S1300" s="1" t="n">
        <v>1130101</v>
      </c>
      <c r="T1300" s="1" t="s">
        <v>49</v>
      </c>
      <c r="U1300" s="1" t="n">
        <v>700.7</v>
      </c>
      <c r="W1300" s="1" t="n">
        <v>0</v>
      </c>
      <c r="X1300" s="1" t="s">
        <v>1217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2</v>
      </c>
      <c r="B1301" s="22" t="n">
        <v>46247</v>
      </c>
      <c r="C1301" s="22" t="n">
        <v>46260</v>
      </c>
      <c r="D1301" s="1" t="n">
        <v>1635</v>
      </c>
      <c r="E1301" s="1" t="s">
        <v>117</v>
      </c>
      <c r="F1301" s="1" t="n">
        <v>24</v>
      </c>
      <c r="G1301" s="1" t="s">
        <v>77</v>
      </c>
      <c r="H1301" s="1" t="n">
        <v>2110405</v>
      </c>
      <c r="I1301" s="1" t="s">
        <v>41</v>
      </c>
      <c r="J1301" s="1" t="n">
        <v>1541010</v>
      </c>
      <c r="L1301" s="1" t="n">
        <v>210258</v>
      </c>
      <c r="M1301" s="1" t="s">
        <v>83</v>
      </c>
      <c r="N1301" s="1" t="s">
        <v>35</v>
      </c>
      <c r="P1301" s="1" t="n">
        <v>113</v>
      </c>
      <c r="Q1301" s="1" t="s">
        <v>36</v>
      </c>
      <c r="R1301" s="1" t="s">
        <v>48</v>
      </c>
      <c r="S1301" s="1" t="n">
        <v>1130101</v>
      </c>
      <c r="T1301" s="1" t="s">
        <v>49</v>
      </c>
      <c r="U1301" s="1" t="n">
        <v>600</v>
      </c>
      <c r="W1301" s="1" t="n">
        <v>0</v>
      </c>
      <c r="X1301" s="1" t="s">
        <v>1218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2</v>
      </c>
      <c r="B1302" s="22" t="n">
        <v>46247</v>
      </c>
      <c r="C1302" s="22" t="n">
        <v>46260</v>
      </c>
      <c r="D1302" s="1" t="n">
        <v>1734</v>
      </c>
      <c r="E1302" s="1" t="s">
        <v>489</v>
      </c>
      <c r="F1302" s="1" t="n">
        <v>24</v>
      </c>
      <c r="G1302" s="1" t="s">
        <v>77</v>
      </c>
      <c r="H1302" s="1" t="n">
        <v>2110405</v>
      </c>
      <c r="I1302" s="1" t="s">
        <v>41</v>
      </c>
      <c r="J1302" s="1" t="n">
        <v>1542967</v>
      </c>
      <c r="L1302" s="1" t="n">
        <v>210465</v>
      </c>
      <c r="M1302" s="1" t="s">
        <v>83</v>
      </c>
      <c r="N1302" s="1" t="s">
        <v>35</v>
      </c>
      <c r="P1302" s="1" t="n">
        <v>113</v>
      </c>
      <c r="Q1302" s="1" t="s">
        <v>36</v>
      </c>
      <c r="R1302" s="1" t="s">
        <v>48</v>
      </c>
      <c r="S1302" s="1" t="n">
        <v>1130101</v>
      </c>
      <c r="T1302" s="1" t="s">
        <v>49</v>
      </c>
      <c r="U1302" s="1" t="n">
        <v>1050.07</v>
      </c>
      <c r="W1302" s="1" t="n">
        <v>0</v>
      </c>
      <c r="X1302" s="1" t="s">
        <v>1219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2</v>
      </c>
      <c r="B1303" s="22" t="n">
        <v>46248</v>
      </c>
      <c r="C1303" s="22" t="n">
        <v>46260</v>
      </c>
      <c r="D1303" s="1" t="n">
        <v>1613</v>
      </c>
      <c r="E1303" s="1" t="s">
        <v>94</v>
      </c>
      <c r="F1303" s="1" t="n">
        <v>24</v>
      </c>
      <c r="G1303" s="1" t="s">
        <v>77</v>
      </c>
      <c r="H1303" s="1" t="n">
        <v>2110405</v>
      </c>
      <c r="I1303" s="1" t="s">
        <v>41</v>
      </c>
      <c r="J1303" s="1" t="n">
        <v>1547477</v>
      </c>
      <c r="L1303" s="1" t="n">
        <v>211362</v>
      </c>
      <c r="M1303" s="1" t="s">
        <v>83</v>
      </c>
      <c r="N1303" s="1" t="s">
        <v>35</v>
      </c>
      <c r="P1303" s="1" t="n">
        <v>113</v>
      </c>
      <c r="Q1303" s="1" t="s">
        <v>36</v>
      </c>
      <c r="R1303" s="1" t="s">
        <v>48</v>
      </c>
      <c r="S1303" s="1" t="n">
        <v>1130101</v>
      </c>
      <c r="T1303" s="1" t="s">
        <v>49</v>
      </c>
      <c r="U1303" s="1" t="n">
        <v>1164.76</v>
      </c>
      <c r="W1303" s="1" t="n">
        <v>0</v>
      </c>
      <c r="X1303" s="1" t="s">
        <v>1220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2</v>
      </c>
      <c r="B1304" s="22" t="n">
        <v>46254</v>
      </c>
      <c r="C1304" s="22" t="n">
        <v>46260</v>
      </c>
      <c r="D1304" s="1" t="n">
        <v>754</v>
      </c>
      <c r="E1304" s="1" t="s">
        <v>128</v>
      </c>
      <c r="F1304" s="1" t="n">
        <v>24</v>
      </c>
      <c r="G1304" s="1" t="s">
        <v>77</v>
      </c>
      <c r="H1304" s="1" t="n">
        <v>2110405</v>
      </c>
      <c r="I1304" s="1" t="s">
        <v>41</v>
      </c>
      <c r="J1304" s="1" t="n">
        <v>1576251</v>
      </c>
      <c r="L1304" s="1" t="n">
        <v>215402</v>
      </c>
      <c r="M1304" s="1" t="s">
        <v>83</v>
      </c>
      <c r="N1304" s="1" t="s">
        <v>35</v>
      </c>
      <c r="P1304" s="1" t="n">
        <v>113</v>
      </c>
      <c r="Q1304" s="1" t="s">
        <v>36</v>
      </c>
      <c r="R1304" s="1" t="s">
        <v>48</v>
      </c>
      <c r="S1304" s="1" t="n">
        <v>1130101</v>
      </c>
      <c r="T1304" s="1" t="s">
        <v>49</v>
      </c>
      <c r="U1304" s="1" t="n">
        <v>1293.6</v>
      </c>
      <c r="W1304" s="1" t="n">
        <v>0</v>
      </c>
      <c r="X1304" s="1" t="s">
        <v>1221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2</v>
      </c>
      <c r="B1305" s="22" t="n">
        <v>46254</v>
      </c>
      <c r="C1305" s="22" t="n">
        <v>46260</v>
      </c>
      <c r="D1305" s="1" t="n">
        <v>48</v>
      </c>
      <c r="E1305" s="1" t="s">
        <v>132</v>
      </c>
      <c r="F1305" s="1" t="n">
        <v>24</v>
      </c>
      <c r="G1305" s="1" t="s">
        <v>77</v>
      </c>
      <c r="H1305" s="1" t="n">
        <v>2110101</v>
      </c>
      <c r="I1305" s="1" t="s">
        <v>33</v>
      </c>
      <c r="J1305" s="1" t="n">
        <v>1576425</v>
      </c>
      <c r="L1305" s="1" t="n">
        <v>2617</v>
      </c>
      <c r="M1305" s="1" t="s">
        <v>83</v>
      </c>
      <c r="N1305" s="1" t="s">
        <v>54</v>
      </c>
      <c r="P1305" s="1" t="n">
        <v>113</v>
      </c>
      <c r="Q1305" s="1" t="s">
        <v>36</v>
      </c>
      <c r="R1305" s="1" t="s">
        <v>48</v>
      </c>
      <c r="S1305" s="1" t="n">
        <v>1130101</v>
      </c>
      <c r="T1305" s="1" t="s">
        <v>49</v>
      </c>
      <c r="U1305" s="1" t="n">
        <v>300</v>
      </c>
      <c r="W1305" s="1" t="n">
        <v>0</v>
      </c>
      <c r="X1305" s="1" t="s">
        <v>1222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2</v>
      </c>
      <c r="B1306" s="22" t="n">
        <v>46240</v>
      </c>
      <c r="C1306" s="22" t="n">
        <v>46261</v>
      </c>
      <c r="D1306" s="1" t="n">
        <v>1815</v>
      </c>
      <c r="E1306" s="1" t="s">
        <v>164</v>
      </c>
      <c r="F1306" s="1" t="n">
        <v>24</v>
      </c>
      <c r="G1306" s="1" t="s">
        <v>77</v>
      </c>
      <c r="H1306" s="1" t="n">
        <v>2110405</v>
      </c>
      <c r="I1306" s="1" t="s">
        <v>41</v>
      </c>
      <c r="J1306" s="1" t="n">
        <v>1508981</v>
      </c>
      <c r="L1306" s="1" t="n">
        <v>205093</v>
      </c>
      <c r="M1306" s="1" t="s">
        <v>83</v>
      </c>
      <c r="N1306" s="1" t="s">
        <v>35</v>
      </c>
      <c r="P1306" s="1" t="n">
        <v>113</v>
      </c>
      <c r="Q1306" s="1" t="s">
        <v>36</v>
      </c>
      <c r="R1306" s="1" t="s">
        <v>48</v>
      </c>
      <c r="S1306" s="1" t="n">
        <v>1130101</v>
      </c>
      <c r="T1306" s="1" t="s">
        <v>49</v>
      </c>
      <c r="U1306" s="1" t="n">
        <v>628.19</v>
      </c>
      <c r="W1306" s="1" t="n">
        <v>0</v>
      </c>
      <c r="X1306" s="1" t="s">
        <v>1111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2</v>
      </c>
      <c r="B1307" s="22" t="n">
        <v>46241</v>
      </c>
      <c r="C1307" s="22" t="n">
        <v>46261</v>
      </c>
      <c r="D1307" s="1" t="n">
        <v>794</v>
      </c>
      <c r="E1307" s="1" t="s">
        <v>305</v>
      </c>
      <c r="F1307" s="1" t="n">
        <v>24</v>
      </c>
      <c r="G1307" s="1" t="s">
        <v>77</v>
      </c>
      <c r="H1307" s="1" t="n">
        <v>2110405</v>
      </c>
      <c r="I1307" s="1" t="s">
        <v>41</v>
      </c>
      <c r="J1307" s="1" t="n">
        <v>1514359</v>
      </c>
      <c r="L1307" s="1" t="n">
        <v>205999</v>
      </c>
      <c r="M1307" s="1" t="s">
        <v>83</v>
      </c>
      <c r="N1307" s="1" t="s">
        <v>35</v>
      </c>
      <c r="P1307" s="1" t="n">
        <v>113</v>
      </c>
      <c r="Q1307" s="1" t="s">
        <v>36</v>
      </c>
      <c r="R1307" s="1" t="s">
        <v>48</v>
      </c>
      <c r="S1307" s="1" t="n">
        <v>1130101</v>
      </c>
      <c r="T1307" s="1" t="s">
        <v>49</v>
      </c>
      <c r="U1307" s="1" t="n">
        <v>382.62</v>
      </c>
      <c r="W1307" s="1" t="n">
        <v>0</v>
      </c>
      <c r="X1307" s="1" t="s">
        <v>1166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2</v>
      </c>
      <c r="B1308" s="22" t="n">
        <v>46241</v>
      </c>
      <c r="C1308" s="22" t="n">
        <v>46261</v>
      </c>
      <c r="D1308" s="1" t="n">
        <v>794</v>
      </c>
      <c r="E1308" s="1" t="s">
        <v>305</v>
      </c>
      <c r="F1308" s="1" t="n">
        <v>24</v>
      </c>
      <c r="G1308" s="1" t="s">
        <v>77</v>
      </c>
      <c r="H1308" s="1" t="n">
        <v>2110405</v>
      </c>
      <c r="I1308" s="1" t="s">
        <v>41</v>
      </c>
      <c r="J1308" s="1" t="n">
        <v>1514438</v>
      </c>
      <c r="L1308" s="1" t="n">
        <v>206013</v>
      </c>
      <c r="M1308" s="1" t="s">
        <v>83</v>
      </c>
      <c r="N1308" s="1" t="s">
        <v>35</v>
      </c>
      <c r="P1308" s="1" t="n">
        <v>113</v>
      </c>
      <c r="Q1308" s="1" t="s">
        <v>36</v>
      </c>
      <c r="R1308" s="1" t="s">
        <v>56</v>
      </c>
      <c r="S1308" s="1" t="n">
        <v>4210299</v>
      </c>
      <c r="T1308" s="1" t="s">
        <v>115</v>
      </c>
      <c r="U1308" s="1" t="n">
        <v>520.47</v>
      </c>
      <c r="W1308" s="1" t="n">
        <v>0</v>
      </c>
      <c r="X1308" s="1" t="s">
        <v>1167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2</v>
      </c>
      <c r="B1309" s="22" t="n">
        <v>46247</v>
      </c>
      <c r="C1309" s="22" t="n">
        <v>46261</v>
      </c>
      <c r="D1309" s="1" t="n">
        <v>1608</v>
      </c>
      <c r="E1309" s="1" t="s">
        <v>201</v>
      </c>
      <c r="F1309" s="1" t="n">
        <v>24</v>
      </c>
      <c r="G1309" s="1" t="s">
        <v>77</v>
      </c>
      <c r="H1309" s="1" t="n">
        <v>2110405</v>
      </c>
      <c r="I1309" s="1" t="s">
        <v>41</v>
      </c>
      <c r="J1309" s="1" t="n">
        <v>1540761</v>
      </c>
      <c r="L1309" s="1" t="n">
        <v>210177</v>
      </c>
      <c r="M1309" s="1" t="s">
        <v>83</v>
      </c>
      <c r="N1309" s="1" t="s">
        <v>35</v>
      </c>
      <c r="P1309" s="1" t="n">
        <v>113</v>
      </c>
      <c r="Q1309" s="1" t="s">
        <v>36</v>
      </c>
      <c r="R1309" s="1" t="s">
        <v>48</v>
      </c>
      <c r="S1309" s="1" t="n">
        <v>1130101</v>
      </c>
      <c r="T1309" s="1" t="s">
        <v>49</v>
      </c>
      <c r="U1309" s="1" t="n">
        <v>692.26</v>
      </c>
      <c r="W1309" s="1" t="n">
        <v>0</v>
      </c>
      <c r="X1309" s="1" t="s">
        <v>1223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2</v>
      </c>
      <c r="B1310" s="22" t="n">
        <v>46247</v>
      </c>
      <c r="C1310" s="22" t="n">
        <v>46261</v>
      </c>
      <c r="D1310" s="1" t="n">
        <v>1667</v>
      </c>
      <c r="E1310" s="1" t="s">
        <v>82</v>
      </c>
      <c r="F1310" s="1" t="n">
        <v>24</v>
      </c>
      <c r="G1310" s="1" t="s">
        <v>77</v>
      </c>
      <c r="H1310" s="1" t="n">
        <v>2110405</v>
      </c>
      <c r="I1310" s="1" t="s">
        <v>41</v>
      </c>
      <c r="J1310" s="1" t="n">
        <v>1540922</v>
      </c>
      <c r="L1310" s="1" t="n">
        <v>210242</v>
      </c>
      <c r="M1310" s="1" t="s">
        <v>83</v>
      </c>
      <c r="N1310" s="1" t="s">
        <v>35</v>
      </c>
      <c r="P1310" s="1" t="n">
        <v>113</v>
      </c>
      <c r="Q1310" s="1" t="s">
        <v>36</v>
      </c>
      <c r="R1310" s="1" t="s">
        <v>48</v>
      </c>
      <c r="S1310" s="1" t="n">
        <v>1130101</v>
      </c>
      <c r="T1310" s="1" t="s">
        <v>49</v>
      </c>
      <c r="U1310" s="1" t="n">
        <v>668.77</v>
      </c>
      <c r="W1310" s="1" t="n">
        <v>0</v>
      </c>
      <c r="X1310" s="1" t="s">
        <v>1224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2</v>
      </c>
      <c r="B1311" s="22" t="n">
        <v>46247</v>
      </c>
      <c r="C1311" s="22" t="n">
        <v>46261</v>
      </c>
      <c r="D1311" s="1" t="n">
        <v>1740</v>
      </c>
      <c r="E1311" s="1" t="s">
        <v>410</v>
      </c>
      <c r="F1311" s="1" t="n">
        <v>24</v>
      </c>
      <c r="G1311" s="1" t="s">
        <v>77</v>
      </c>
      <c r="H1311" s="1" t="n">
        <v>2110405</v>
      </c>
      <c r="I1311" s="1" t="s">
        <v>41</v>
      </c>
      <c r="J1311" s="1" t="n">
        <v>1541224</v>
      </c>
      <c r="L1311" s="1" t="n">
        <v>210282</v>
      </c>
      <c r="M1311" s="1" t="s">
        <v>83</v>
      </c>
      <c r="N1311" s="1" t="s">
        <v>35</v>
      </c>
      <c r="P1311" s="1" t="n">
        <v>113</v>
      </c>
      <c r="Q1311" s="1" t="s">
        <v>36</v>
      </c>
      <c r="R1311" s="1" t="s">
        <v>48</v>
      </c>
      <c r="S1311" s="1" t="n">
        <v>1130101</v>
      </c>
      <c r="T1311" s="1" t="s">
        <v>49</v>
      </c>
      <c r="U1311" s="1" t="n">
        <v>386.74</v>
      </c>
      <c r="W1311" s="1" t="n">
        <v>0</v>
      </c>
      <c r="X1311" s="1" t="s">
        <v>1225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2</v>
      </c>
      <c r="B1312" s="22" t="n">
        <v>46247</v>
      </c>
      <c r="C1312" s="22" t="n">
        <v>46261</v>
      </c>
      <c r="D1312" s="1" t="n">
        <v>1601</v>
      </c>
      <c r="E1312" s="1" t="s">
        <v>175</v>
      </c>
      <c r="F1312" s="1" t="n">
        <v>24</v>
      </c>
      <c r="G1312" s="1" t="s">
        <v>77</v>
      </c>
      <c r="H1312" s="1" t="n">
        <v>2110405</v>
      </c>
      <c r="I1312" s="1" t="s">
        <v>41</v>
      </c>
      <c r="J1312" s="1" t="n">
        <v>1543874</v>
      </c>
      <c r="L1312" s="1" t="n">
        <v>210525</v>
      </c>
      <c r="M1312" s="1" t="s">
        <v>83</v>
      </c>
      <c r="N1312" s="1" t="s">
        <v>35</v>
      </c>
      <c r="P1312" s="1" t="n">
        <v>113</v>
      </c>
      <c r="Q1312" s="1" t="s">
        <v>36</v>
      </c>
      <c r="R1312" s="1" t="s">
        <v>48</v>
      </c>
      <c r="S1312" s="1" t="n">
        <v>1130101</v>
      </c>
      <c r="T1312" s="1" t="s">
        <v>49</v>
      </c>
      <c r="U1312" s="1" t="n">
        <v>436.02</v>
      </c>
      <c r="W1312" s="1" t="n">
        <v>0</v>
      </c>
      <c r="X1312" s="1" t="s">
        <v>1226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2</v>
      </c>
      <c r="B1313" s="22" t="n">
        <v>46252</v>
      </c>
      <c r="C1313" s="22" t="n">
        <v>46261</v>
      </c>
      <c r="D1313" s="1" t="n">
        <v>1196</v>
      </c>
      <c r="E1313" s="1" t="s">
        <v>1227</v>
      </c>
      <c r="F1313" s="1" t="n">
        <v>24</v>
      </c>
      <c r="G1313" s="1" t="s">
        <v>77</v>
      </c>
      <c r="H1313" s="1" t="n">
        <v>2110405</v>
      </c>
      <c r="I1313" s="1" t="s">
        <v>41</v>
      </c>
      <c r="J1313" s="1" t="n">
        <v>1566579</v>
      </c>
      <c r="L1313" s="1" t="n">
        <v>213841</v>
      </c>
      <c r="M1313" s="1" t="s">
        <v>83</v>
      </c>
      <c r="N1313" s="1" t="s">
        <v>35</v>
      </c>
      <c r="P1313" s="1" t="n">
        <v>113</v>
      </c>
      <c r="Q1313" s="1" t="s">
        <v>36</v>
      </c>
      <c r="R1313" s="1" t="s">
        <v>48</v>
      </c>
      <c r="S1313" s="1" t="n">
        <v>1130101</v>
      </c>
      <c r="T1313" s="1" t="s">
        <v>49</v>
      </c>
      <c r="U1313" s="1" t="n">
        <v>855.99</v>
      </c>
      <c r="W1313" s="1" t="n">
        <v>0</v>
      </c>
      <c r="X1313" s="1" t="s">
        <v>1228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2</v>
      </c>
      <c r="B1314" s="22" t="n">
        <v>46252</v>
      </c>
      <c r="C1314" s="22" t="n">
        <v>46261</v>
      </c>
      <c r="D1314" s="1" t="n">
        <v>1671</v>
      </c>
      <c r="E1314" s="1" t="s">
        <v>88</v>
      </c>
      <c r="F1314" s="1" t="n">
        <v>24</v>
      </c>
      <c r="G1314" s="1" t="s">
        <v>77</v>
      </c>
      <c r="H1314" s="1" t="n">
        <v>2110405</v>
      </c>
      <c r="I1314" s="1" t="s">
        <v>41</v>
      </c>
      <c r="J1314" s="1" t="n">
        <v>1567127</v>
      </c>
      <c r="L1314" s="1" t="n">
        <v>213978</v>
      </c>
      <c r="M1314" s="1" t="s">
        <v>83</v>
      </c>
      <c r="N1314" s="1" t="s">
        <v>35</v>
      </c>
      <c r="P1314" s="1" t="n">
        <v>113</v>
      </c>
      <c r="Q1314" s="1" t="s">
        <v>36</v>
      </c>
      <c r="R1314" s="1" t="s">
        <v>48</v>
      </c>
      <c r="S1314" s="1" t="n">
        <v>1130101</v>
      </c>
      <c r="T1314" s="1" t="s">
        <v>49</v>
      </c>
      <c r="U1314" s="1" t="n">
        <v>793.82</v>
      </c>
      <c r="W1314" s="1" t="n">
        <v>0</v>
      </c>
      <c r="X1314" s="1" t="s">
        <v>1229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2</v>
      </c>
      <c r="B1315" s="22" t="n">
        <v>46254</v>
      </c>
      <c r="C1315" s="22" t="n">
        <v>46261</v>
      </c>
      <c r="D1315" s="1" t="n">
        <v>10018</v>
      </c>
      <c r="E1315" s="1" t="s">
        <v>220</v>
      </c>
      <c r="F1315" s="1" t="n">
        <v>34</v>
      </c>
      <c r="G1315" s="1" t="s">
        <v>97</v>
      </c>
      <c r="H1315" s="1" t="n">
        <v>2110405</v>
      </c>
      <c r="I1315" s="1" t="s">
        <v>41</v>
      </c>
      <c r="J1315" s="1" t="n">
        <v>1577576</v>
      </c>
      <c r="L1315" s="1" t="n">
        <v>215690</v>
      </c>
      <c r="M1315" s="1" t="s">
        <v>83</v>
      </c>
      <c r="N1315" s="1" t="s">
        <v>35</v>
      </c>
      <c r="P1315" s="1" t="n">
        <v>113</v>
      </c>
      <c r="Q1315" s="1" t="s">
        <v>36</v>
      </c>
      <c r="R1315" s="1" t="s">
        <v>48</v>
      </c>
      <c r="S1315" s="1" t="n">
        <v>1130101</v>
      </c>
      <c r="T1315" s="1" t="s">
        <v>49</v>
      </c>
      <c r="U1315" s="1" t="n">
        <v>1734.8</v>
      </c>
      <c r="W1315" s="1" t="n">
        <v>0</v>
      </c>
      <c r="X1315" s="1" t="s">
        <v>1230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2</v>
      </c>
      <c r="B1316" s="22" t="n">
        <v>46244</v>
      </c>
      <c r="C1316" s="22" t="n">
        <v>46262</v>
      </c>
      <c r="D1316" s="1" t="n">
        <v>1666</v>
      </c>
      <c r="E1316" s="1" t="s">
        <v>206</v>
      </c>
      <c r="F1316" s="1" t="n">
        <v>24</v>
      </c>
      <c r="G1316" s="1" t="s">
        <v>77</v>
      </c>
      <c r="H1316" s="1" t="n">
        <v>2110405</v>
      </c>
      <c r="I1316" s="1" t="s">
        <v>41</v>
      </c>
      <c r="J1316" s="1" t="n">
        <v>1529119</v>
      </c>
      <c r="L1316" s="1" t="n">
        <v>207951</v>
      </c>
      <c r="M1316" s="1" t="s">
        <v>83</v>
      </c>
      <c r="N1316" s="1" t="s">
        <v>35</v>
      </c>
      <c r="P1316" s="1" t="n">
        <v>113</v>
      </c>
      <c r="Q1316" s="1" t="s">
        <v>36</v>
      </c>
      <c r="R1316" s="1" t="s">
        <v>48</v>
      </c>
      <c r="S1316" s="1" t="n">
        <v>1130101</v>
      </c>
      <c r="T1316" s="1" t="s">
        <v>49</v>
      </c>
      <c r="U1316" s="1" t="n">
        <v>4605.48</v>
      </c>
      <c r="W1316" s="1" t="n">
        <v>0</v>
      </c>
      <c r="X1316" s="1" t="s">
        <v>1129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2</v>
      </c>
      <c r="B1317" s="22" t="n">
        <v>46248</v>
      </c>
      <c r="C1317" s="22" t="n">
        <v>46262</v>
      </c>
      <c r="D1317" s="1" t="n">
        <v>1705</v>
      </c>
      <c r="E1317" s="1" t="s">
        <v>119</v>
      </c>
      <c r="F1317" s="1" t="n">
        <v>24</v>
      </c>
      <c r="G1317" s="1" t="s">
        <v>77</v>
      </c>
      <c r="H1317" s="1" t="n">
        <v>2110405</v>
      </c>
      <c r="I1317" s="1" t="s">
        <v>41</v>
      </c>
      <c r="J1317" s="1" t="n">
        <v>1546022</v>
      </c>
      <c r="L1317" s="1" t="n">
        <v>211208</v>
      </c>
      <c r="M1317" s="1" t="s">
        <v>83</v>
      </c>
      <c r="N1317" s="1" t="s">
        <v>35</v>
      </c>
      <c r="P1317" s="1" t="n">
        <v>113</v>
      </c>
      <c r="Q1317" s="1" t="s">
        <v>36</v>
      </c>
      <c r="R1317" s="1" t="s">
        <v>48</v>
      </c>
      <c r="S1317" s="1" t="n">
        <v>1130101</v>
      </c>
      <c r="T1317" s="1" t="s">
        <v>49</v>
      </c>
      <c r="U1317" s="1" t="n">
        <v>50.85</v>
      </c>
      <c r="W1317" s="1" t="n">
        <v>0</v>
      </c>
      <c r="X1317" s="1" t="s">
        <v>1231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2</v>
      </c>
      <c r="B1318" s="22" t="n">
        <v>46248</v>
      </c>
      <c r="C1318" s="22" t="n">
        <v>46262</v>
      </c>
      <c r="D1318" s="1" t="n">
        <v>1705</v>
      </c>
      <c r="E1318" s="1" t="s">
        <v>119</v>
      </c>
      <c r="F1318" s="1" t="n">
        <v>24</v>
      </c>
      <c r="G1318" s="1" t="s">
        <v>77</v>
      </c>
      <c r="H1318" s="1" t="n">
        <v>2110405</v>
      </c>
      <c r="I1318" s="1" t="s">
        <v>41</v>
      </c>
      <c r="J1318" s="1" t="n">
        <v>1546035</v>
      </c>
      <c r="L1318" s="1" t="n">
        <v>211216</v>
      </c>
      <c r="M1318" s="1" t="s">
        <v>83</v>
      </c>
      <c r="N1318" s="1" t="s">
        <v>35</v>
      </c>
      <c r="P1318" s="1" t="n">
        <v>113</v>
      </c>
      <c r="Q1318" s="1" t="s">
        <v>36</v>
      </c>
      <c r="R1318" s="1" t="s">
        <v>48</v>
      </c>
      <c r="S1318" s="1" t="n">
        <v>1130101</v>
      </c>
      <c r="T1318" s="1" t="s">
        <v>49</v>
      </c>
      <c r="U1318" s="1" t="n">
        <v>620.26</v>
      </c>
      <c r="W1318" s="1" t="n">
        <v>0</v>
      </c>
      <c r="X1318" s="1" t="s">
        <v>1232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2</v>
      </c>
      <c r="B1319" s="22" t="n">
        <v>46248</v>
      </c>
      <c r="C1319" s="22" t="n">
        <v>46262</v>
      </c>
      <c r="D1319" s="1" t="n">
        <v>1705</v>
      </c>
      <c r="E1319" s="1" t="s">
        <v>119</v>
      </c>
      <c r="F1319" s="1" t="n">
        <v>24</v>
      </c>
      <c r="G1319" s="1" t="s">
        <v>77</v>
      </c>
      <c r="H1319" s="1" t="n">
        <v>2110405</v>
      </c>
      <c r="I1319" s="1" t="s">
        <v>41</v>
      </c>
      <c r="J1319" s="1" t="n">
        <v>1546067</v>
      </c>
      <c r="L1319" s="1" t="n">
        <v>211225</v>
      </c>
      <c r="M1319" s="1" t="s">
        <v>83</v>
      </c>
      <c r="N1319" s="1" t="s">
        <v>35</v>
      </c>
      <c r="P1319" s="1" t="n">
        <v>113</v>
      </c>
      <c r="Q1319" s="1" t="s">
        <v>36</v>
      </c>
      <c r="R1319" s="1" t="s">
        <v>48</v>
      </c>
      <c r="S1319" s="1" t="n">
        <v>1130101</v>
      </c>
      <c r="T1319" s="1" t="s">
        <v>49</v>
      </c>
      <c r="U1319" s="1" t="n">
        <v>2148.12</v>
      </c>
      <c r="W1319" s="1" t="n">
        <v>0</v>
      </c>
      <c r="X1319" s="1" t="s">
        <v>1233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2</v>
      </c>
      <c r="B1320" s="22" t="n">
        <v>46252</v>
      </c>
      <c r="C1320" s="22" t="n">
        <v>46262</v>
      </c>
      <c r="D1320" s="1" t="n">
        <v>1699</v>
      </c>
      <c r="E1320" s="1" t="s">
        <v>208</v>
      </c>
      <c r="F1320" s="1" t="n">
        <v>24</v>
      </c>
      <c r="G1320" s="1" t="s">
        <v>77</v>
      </c>
      <c r="H1320" s="1" t="n">
        <v>2110405</v>
      </c>
      <c r="I1320" s="1" t="s">
        <v>41</v>
      </c>
      <c r="J1320" s="1" t="n">
        <v>1568208</v>
      </c>
      <c r="L1320" s="1" t="n">
        <v>214137</v>
      </c>
      <c r="M1320" s="1" t="s">
        <v>83</v>
      </c>
      <c r="N1320" s="1" t="s">
        <v>35</v>
      </c>
      <c r="P1320" s="1" t="n">
        <v>113</v>
      </c>
      <c r="Q1320" s="1" t="s">
        <v>36</v>
      </c>
      <c r="R1320" s="1" t="s">
        <v>48</v>
      </c>
      <c r="S1320" s="1" t="n">
        <v>1130101</v>
      </c>
      <c r="T1320" s="1" t="s">
        <v>49</v>
      </c>
      <c r="U1320" s="1" t="n">
        <v>474.75</v>
      </c>
      <c r="W1320" s="1" t="n">
        <v>0</v>
      </c>
      <c r="X1320" s="1" t="s">
        <v>1234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2</v>
      </c>
      <c r="B1321" s="22" t="n">
        <v>46253</v>
      </c>
      <c r="C1321" s="22" t="n">
        <v>46262</v>
      </c>
      <c r="D1321" s="1" t="n">
        <v>1723</v>
      </c>
      <c r="E1321" s="1" t="s">
        <v>332</v>
      </c>
      <c r="F1321" s="1" t="n">
        <v>24</v>
      </c>
      <c r="G1321" s="1" t="s">
        <v>77</v>
      </c>
      <c r="H1321" s="1" t="n">
        <v>2110405</v>
      </c>
      <c r="I1321" s="1" t="s">
        <v>41</v>
      </c>
      <c r="J1321" s="1" t="n">
        <v>1572402</v>
      </c>
      <c r="L1321" s="1" t="n">
        <v>214810</v>
      </c>
      <c r="M1321" s="1" t="s">
        <v>83</v>
      </c>
      <c r="N1321" s="1" t="s">
        <v>35</v>
      </c>
      <c r="P1321" s="1" t="n">
        <v>113</v>
      </c>
      <c r="Q1321" s="1" t="s">
        <v>36</v>
      </c>
      <c r="R1321" s="1" t="s">
        <v>48</v>
      </c>
      <c r="S1321" s="1" t="n">
        <v>1130101</v>
      </c>
      <c r="T1321" s="1" t="s">
        <v>49</v>
      </c>
      <c r="U1321" s="1" t="n">
        <v>2334.75</v>
      </c>
      <c r="W1321" s="1" t="n">
        <v>0</v>
      </c>
      <c r="X1321" s="1" t="s">
        <v>1235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2</v>
      </c>
      <c r="B1322" s="22" t="n">
        <v>46255</v>
      </c>
      <c r="C1322" s="22" t="n">
        <v>46262</v>
      </c>
      <c r="D1322" s="1" t="n">
        <v>1292</v>
      </c>
      <c r="E1322" s="1" t="s">
        <v>188</v>
      </c>
      <c r="F1322" s="1" t="n">
        <v>24</v>
      </c>
      <c r="G1322" s="1" t="s">
        <v>77</v>
      </c>
      <c r="H1322" s="1" t="n">
        <v>2110405</v>
      </c>
      <c r="I1322" s="1" t="s">
        <v>41</v>
      </c>
      <c r="J1322" s="1" t="n">
        <v>1580953</v>
      </c>
      <c r="L1322" s="1" t="n">
        <v>216244</v>
      </c>
      <c r="M1322" s="1" t="s">
        <v>83</v>
      </c>
      <c r="N1322" s="1" t="s">
        <v>35</v>
      </c>
      <c r="P1322" s="1" t="n">
        <v>113</v>
      </c>
      <c r="Q1322" s="1" t="s">
        <v>36</v>
      </c>
      <c r="R1322" s="1" t="s">
        <v>48</v>
      </c>
      <c r="S1322" s="1" t="n">
        <v>1130101</v>
      </c>
      <c r="T1322" s="1" t="s">
        <v>49</v>
      </c>
      <c r="U1322" s="1" t="n">
        <v>814.25</v>
      </c>
      <c r="W1322" s="1" t="n">
        <v>0</v>
      </c>
      <c r="X1322" s="1" t="s">
        <v>1236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2</v>
      </c>
      <c r="B1323" s="22" t="n">
        <v>46255</v>
      </c>
      <c r="C1323" s="22" t="n">
        <v>46262</v>
      </c>
      <c r="D1323" s="1" t="n">
        <v>48</v>
      </c>
      <c r="E1323" s="1" t="s">
        <v>132</v>
      </c>
      <c r="F1323" s="1" t="n">
        <v>34</v>
      </c>
      <c r="G1323" s="1" t="s">
        <v>97</v>
      </c>
      <c r="H1323" s="1" t="n">
        <v>2110101</v>
      </c>
      <c r="I1323" s="1" t="s">
        <v>33</v>
      </c>
      <c r="J1323" s="1" t="n">
        <v>1582083</v>
      </c>
      <c r="L1323" s="1" t="n">
        <v>2624</v>
      </c>
      <c r="M1323" s="1" t="s">
        <v>83</v>
      </c>
      <c r="N1323" s="1" t="s">
        <v>54</v>
      </c>
      <c r="P1323" s="1" t="n">
        <v>113</v>
      </c>
      <c r="Q1323" s="1" t="s">
        <v>36</v>
      </c>
      <c r="R1323" s="1" t="s">
        <v>48</v>
      </c>
      <c r="S1323" s="1" t="n">
        <v>1130101</v>
      </c>
      <c r="T1323" s="1" t="s">
        <v>49</v>
      </c>
      <c r="U1323" s="1" t="n">
        <v>1383</v>
      </c>
      <c r="W1323" s="1" t="n">
        <v>0</v>
      </c>
      <c r="X1323" s="1" t="s">
        <v>392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2</v>
      </c>
      <c r="B1324" s="22" t="n">
        <v>46256</v>
      </c>
      <c r="C1324" s="22" t="n">
        <v>46262</v>
      </c>
      <c r="D1324" s="1" t="n">
        <v>1666</v>
      </c>
      <c r="E1324" s="1" t="s">
        <v>206</v>
      </c>
      <c r="F1324" s="1" t="n">
        <v>24</v>
      </c>
      <c r="G1324" s="1" t="s">
        <v>77</v>
      </c>
      <c r="H1324" s="1" t="n">
        <v>2110405</v>
      </c>
      <c r="I1324" s="1" t="s">
        <v>41</v>
      </c>
      <c r="J1324" s="1" t="n">
        <v>1585290</v>
      </c>
      <c r="L1324" s="1" t="n">
        <v>216888</v>
      </c>
      <c r="M1324" s="1" t="s">
        <v>83</v>
      </c>
      <c r="N1324" s="1" t="s">
        <v>35</v>
      </c>
      <c r="P1324" s="1" t="n">
        <v>113</v>
      </c>
      <c r="Q1324" s="1" t="s">
        <v>36</v>
      </c>
      <c r="R1324" s="1" t="s">
        <v>48</v>
      </c>
      <c r="S1324" s="1" t="n">
        <v>1130101</v>
      </c>
      <c r="T1324" s="1" t="s">
        <v>49</v>
      </c>
      <c r="U1324" s="1" t="n">
        <v>5860.74</v>
      </c>
      <c r="W1324" s="1" t="n">
        <v>0</v>
      </c>
      <c r="X1324" s="1" t="s">
        <v>1237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2</v>
      </c>
      <c r="B1325" s="22" t="n">
        <v>46248</v>
      </c>
      <c r="C1325" s="22" t="n">
        <v>46263</v>
      </c>
      <c r="D1325" s="1" t="n">
        <v>1718</v>
      </c>
      <c r="E1325" s="1" t="s">
        <v>199</v>
      </c>
      <c r="F1325" s="1" t="n">
        <v>24</v>
      </c>
      <c r="G1325" s="1" t="s">
        <v>77</v>
      </c>
      <c r="H1325" s="1" t="n">
        <v>2110405</v>
      </c>
      <c r="I1325" s="1" t="s">
        <v>41</v>
      </c>
      <c r="J1325" s="1" t="n">
        <v>1547746</v>
      </c>
      <c r="L1325" s="1" t="n">
        <v>211393</v>
      </c>
      <c r="M1325" s="1" t="s">
        <v>83</v>
      </c>
      <c r="N1325" s="1" t="s">
        <v>35</v>
      </c>
      <c r="P1325" s="1" t="n">
        <v>113</v>
      </c>
      <c r="Q1325" s="1" t="s">
        <v>36</v>
      </c>
      <c r="R1325" s="1" t="s">
        <v>48</v>
      </c>
      <c r="S1325" s="1" t="n">
        <v>1130101</v>
      </c>
      <c r="T1325" s="1" t="s">
        <v>49</v>
      </c>
      <c r="U1325" s="1" t="n">
        <v>706.56</v>
      </c>
      <c r="W1325" s="1" t="n">
        <v>0</v>
      </c>
      <c r="X1325" s="1" t="s">
        <v>1238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2</v>
      </c>
      <c r="B1326" s="22" t="n">
        <v>46249</v>
      </c>
      <c r="C1326" s="22" t="n">
        <v>46263</v>
      </c>
      <c r="D1326" s="1" t="n">
        <v>1718</v>
      </c>
      <c r="E1326" s="1" t="s">
        <v>199</v>
      </c>
      <c r="F1326" s="1" t="n">
        <v>24</v>
      </c>
      <c r="G1326" s="1" t="s">
        <v>77</v>
      </c>
      <c r="H1326" s="1" t="n">
        <v>2110405</v>
      </c>
      <c r="I1326" s="1" t="s">
        <v>41</v>
      </c>
      <c r="J1326" s="1" t="n">
        <v>1551482</v>
      </c>
      <c r="L1326" s="1" t="n">
        <v>211716</v>
      </c>
      <c r="M1326" s="1" t="s">
        <v>83</v>
      </c>
      <c r="N1326" s="1" t="s">
        <v>35</v>
      </c>
      <c r="P1326" s="1" t="n">
        <v>113</v>
      </c>
      <c r="Q1326" s="1" t="s">
        <v>36</v>
      </c>
      <c r="R1326" s="1" t="s">
        <v>48</v>
      </c>
      <c r="S1326" s="1" t="n">
        <v>1130101</v>
      </c>
      <c r="T1326" s="1" t="s">
        <v>49</v>
      </c>
      <c r="U1326" s="1" t="n">
        <v>1422.67</v>
      </c>
      <c r="W1326" s="1" t="n">
        <v>0</v>
      </c>
      <c r="X1326" s="1" t="s">
        <v>1239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2</v>
      </c>
      <c r="B1327" s="22" t="n">
        <v>46165</v>
      </c>
      <c r="C1327" s="22" t="n">
        <v>46264</v>
      </c>
      <c r="D1327" s="1" t="n">
        <v>639</v>
      </c>
      <c r="E1327" s="1" t="s">
        <v>443</v>
      </c>
      <c r="F1327" s="1" t="n">
        <v>24</v>
      </c>
      <c r="G1327" s="1" t="s">
        <v>77</v>
      </c>
      <c r="H1327" s="1" t="n">
        <v>2110405</v>
      </c>
      <c r="I1327" s="1" t="s">
        <v>41</v>
      </c>
      <c r="J1327" s="1" t="n">
        <v>1141287</v>
      </c>
      <c r="L1327" s="1" t="n">
        <v>151507</v>
      </c>
      <c r="M1327" s="1" t="s">
        <v>74</v>
      </c>
      <c r="N1327" s="1" t="s">
        <v>35</v>
      </c>
      <c r="P1327" s="1" t="n">
        <v>101</v>
      </c>
      <c r="Q1327" s="1" t="s">
        <v>42</v>
      </c>
      <c r="R1327" s="1" t="s">
        <v>56</v>
      </c>
      <c r="S1327" s="1" t="n">
        <v>4210216</v>
      </c>
      <c r="T1327" s="1" t="s">
        <v>444</v>
      </c>
      <c r="U1327" s="1" t="n">
        <v>420</v>
      </c>
      <c r="W1327" s="1" t="n">
        <v>0</v>
      </c>
      <c r="X1327" s="1" t="s">
        <v>862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2</v>
      </c>
      <c r="B1328" s="22" t="n">
        <v>46223</v>
      </c>
      <c r="C1328" s="22" t="n">
        <v>46264</v>
      </c>
      <c r="D1328" s="1" t="n">
        <v>607</v>
      </c>
      <c r="E1328" s="1" t="s">
        <v>254</v>
      </c>
      <c r="F1328" s="1" t="n">
        <v>24</v>
      </c>
      <c r="G1328" s="1" t="s">
        <v>77</v>
      </c>
      <c r="H1328" s="1" t="n">
        <v>1110203</v>
      </c>
      <c r="I1328" s="1" t="s">
        <v>108</v>
      </c>
      <c r="J1328" s="1" t="n">
        <v>1424650</v>
      </c>
      <c r="L1328" s="1" t="n">
        <v>190911</v>
      </c>
      <c r="M1328" s="1" t="s">
        <v>83</v>
      </c>
      <c r="N1328" s="1" t="s">
        <v>35</v>
      </c>
      <c r="P1328" s="1" t="n">
        <v>113</v>
      </c>
      <c r="Q1328" s="1" t="s">
        <v>36</v>
      </c>
      <c r="R1328" s="1" t="s">
        <v>48</v>
      </c>
      <c r="S1328" s="1" t="n">
        <v>1130101</v>
      </c>
      <c r="T1328" s="1" t="s">
        <v>49</v>
      </c>
      <c r="U1328" s="1" t="n">
        <v>446.28</v>
      </c>
      <c r="W1328" s="1" t="n">
        <v>0</v>
      </c>
      <c r="X1328" s="1" t="s">
        <v>1065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2</v>
      </c>
      <c r="B1329" s="22" t="n">
        <v>46255</v>
      </c>
      <c r="C1329" s="22" t="n">
        <v>46264</v>
      </c>
      <c r="D1329" s="1" t="n">
        <v>1723</v>
      </c>
      <c r="E1329" s="1" t="s">
        <v>332</v>
      </c>
      <c r="F1329" s="1" t="n">
        <v>24</v>
      </c>
      <c r="G1329" s="1" t="s">
        <v>77</v>
      </c>
      <c r="H1329" s="1" t="n">
        <v>2110405</v>
      </c>
      <c r="I1329" s="1" t="s">
        <v>41</v>
      </c>
      <c r="J1329" s="1" t="n">
        <v>1581816</v>
      </c>
      <c r="L1329" s="1" t="n">
        <v>216453</v>
      </c>
      <c r="M1329" s="1" t="s">
        <v>83</v>
      </c>
      <c r="N1329" s="1" t="s">
        <v>35</v>
      </c>
      <c r="P1329" s="1" t="n">
        <v>113</v>
      </c>
      <c r="Q1329" s="1" t="s">
        <v>36</v>
      </c>
      <c r="R1329" s="1" t="s">
        <v>48</v>
      </c>
      <c r="S1329" s="1" t="n">
        <v>1130101</v>
      </c>
      <c r="T1329" s="1" t="s">
        <v>49</v>
      </c>
      <c r="U1329" s="1" t="n">
        <v>3809.5</v>
      </c>
      <c r="W1329" s="1" t="n">
        <v>0</v>
      </c>
      <c r="X1329" s="1" t="s">
        <v>1240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2</v>
      </c>
      <c r="B1330" s="22" t="n">
        <v>46239</v>
      </c>
      <c r="C1330" s="22" t="n">
        <v>46265</v>
      </c>
      <c r="D1330" s="1" t="n">
        <v>1637</v>
      </c>
      <c r="E1330" s="1" t="s">
        <v>764</v>
      </c>
      <c r="F1330" s="1" t="n">
        <v>24</v>
      </c>
      <c r="G1330" s="1" t="s">
        <v>77</v>
      </c>
      <c r="H1330" s="1" t="n">
        <v>1110203</v>
      </c>
      <c r="I1330" s="1" t="s">
        <v>108</v>
      </c>
      <c r="J1330" s="1" t="n">
        <v>1503906</v>
      </c>
      <c r="L1330" s="1" t="n">
        <v>204194</v>
      </c>
      <c r="M1330" s="1" t="s">
        <v>83</v>
      </c>
      <c r="N1330" s="1" t="s">
        <v>35</v>
      </c>
      <c r="P1330" s="1" t="n">
        <v>113</v>
      </c>
      <c r="Q1330" s="1" t="s">
        <v>36</v>
      </c>
      <c r="R1330" s="1" t="s">
        <v>48</v>
      </c>
      <c r="S1330" s="1" t="n">
        <v>1130101</v>
      </c>
      <c r="T1330" s="1" t="s">
        <v>49</v>
      </c>
      <c r="U1330" s="1" t="n">
        <v>1220.6</v>
      </c>
      <c r="W1330" s="1" t="n">
        <v>0</v>
      </c>
      <c r="X1330" s="1" t="s">
        <v>1241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2</v>
      </c>
      <c r="B1331" s="22" t="n">
        <v>46251</v>
      </c>
      <c r="C1331" s="22" t="n">
        <v>46265</v>
      </c>
      <c r="D1331" s="1" t="n">
        <v>1683</v>
      </c>
      <c r="E1331" s="1" t="s">
        <v>369</v>
      </c>
      <c r="F1331" s="1" t="n">
        <v>34</v>
      </c>
      <c r="G1331" s="1" t="s">
        <v>97</v>
      </c>
      <c r="H1331" s="1" t="n">
        <v>2110405</v>
      </c>
      <c r="I1331" s="1" t="s">
        <v>41</v>
      </c>
      <c r="J1331" s="1" t="n">
        <v>1560849</v>
      </c>
      <c r="L1331" s="1" t="n">
        <v>212901</v>
      </c>
      <c r="M1331" s="1" t="s">
        <v>83</v>
      </c>
      <c r="N1331" s="1" t="s">
        <v>35</v>
      </c>
      <c r="P1331" s="1" t="n">
        <v>113</v>
      </c>
      <c r="Q1331" s="1" t="s">
        <v>36</v>
      </c>
      <c r="R1331" s="1" t="s">
        <v>48</v>
      </c>
      <c r="S1331" s="1" t="n">
        <v>1130101</v>
      </c>
      <c r="T1331" s="1" t="s">
        <v>49</v>
      </c>
      <c r="U1331" s="1" t="n">
        <v>97.5</v>
      </c>
      <c r="W1331" s="1" t="n">
        <v>0</v>
      </c>
      <c r="X1331" s="1" t="s">
        <v>371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2</v>
      </c>
      <c r="B1332" s="22" t="n">
        <v>46252</v>
      </c>
      <c r="C1332" s="22" t="n">
        <v>46265</v>
      </c>
      <c r="D1332" s="1" t="n">
        <v>1683</v>
      </c>
      <c r="E1332" s="1" t="s">
        <v>369</v>
      </c>
      <c r="F1332" s="1" t="n">
        <v>34</v>
      </c>
      <c r="G1332" s="1" t="s">
        <v>97</v>
      </c>
      <c r="H1332" s="1" t="n">
        <v>2110405</v>
      </c>
      <c r="I1332" s="1" t="s">
        <v>41</v>
      </c>
      <c r="J1332" s="1" t="n">
        <v>1566494</v>
      </c>
      <c r="L1332" s="1" t="n">
        <v>213829</v>
      </c>
      <c r="M1332" s="1" t="s">
        <v>83</v>
      </c>
      <c r="N1332" s="1" t="s">
        <v>35</v>
      </c>
      <c r="P1332" s="1" t="n">
        <v>113</v>
      </c>
      <c r="Q1332" s="1" t="s">
        <v>36</v>
      </c>
      <c r="R1332" s="1" t="s">
        <v>48</v>
      </c>
      <c r="S1332" s="1" t="n">
        <v>1130101</v>
      </c>
      <c r="T1332" s="1" t="s">
        <v>49</v>
      </c>
      <c r="U1332" s="1" t="n">
        <v>151</v>
      </c>
      <c r="W1332" s="1" t="n">
        <v>0</v>
      </c>
      <c r="X1332" s="1" t="s">
        <v>371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2</v>
      </c>
      <c r="B1333" s="22" t="n">
        <v>46252</v>
      </c>
      <c r="C1333" s="22" t="n">
        <v>46265</v>
      </c>
      <c r="D1333" s="1" t="n">
        <v>1675</v>
      </c>
      <c r="E1333" s="1" t="s">
        <v>263</v>
      </c>
      <c r="F1333" s="1" t="n">
        <v>24</v>
      </c>
      <c r="G1333" s="1" t="s">
        <v>77</v>
      </c>
      <c r="H1333" s="1" t="n">
        <v>2110405</v>
      </c>
      <c r="I1333" s="1" t="s">
        <v>41</v>
      </c>
      <c r="J1333" s="1" t="n">
        <v>1566792</v>
      </c>
      <c r="L1333" s="1" t="n">
        <v>213876</v>
      </c>
      <c r="M1333" s="1" t="s">
        <v>83</v>
      </c>
      <c r="N1333" s="1" t="s">
        <v>35</v>
      </c>
      <c r="P1333" s="1" t="n">
        <v>113</v>
      </c>
      <c r="Q1333" s="1" t="s">
        <v>36</v>
      </c>
      <c r="R1333" s="1" t="s">
        <v>48</v>
      </c>
      <c r="S1333" s="1" t="n">
        <v>1130101</v>
      </c>
      <c r="T1333" s="1" t="s">
        <v>49</v>
      </c>
      <c r="U1333" s="1" t="n">
        <v>470.34</v>
      </c>
      <c r="W1333" s="1" t="n">
        <v>0</v>
      </c>
      <c r="X1333" s="1" t="s">
        <v>1242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2</v>
      </c>
      <c r="B1334" s="22" t="n">
        <v>46253</v>
      </c>
      <c r="C1334" s="22" t="n">
        <v>46265</v>
      </c>
      <c r="D1334" s="1" t="n">
        <v>1616</v>
      </c>
      <c r="E1334" s="1" t="s">
        <v>80</v>
      </c>
      <c r="F1334" s="1" t="n">
        <v>24</v>
      </c>
      <c r="G1334" s="1" t="s">
        <v>77</v>
      </c>
      <c r="H1334" s="1" t="n">
        <v>2110405</v>
      </c>
      <c r="I1334" s="1" t="s">
        <v>41</v>
      </c>
      <c r="J1334" s="1" t="n">
        <v>1570894</v>
      </c>
      <c r="L1334" s="1" t="n">
        <v>214483</v>
      </c>
      <c r="M1334" s="1" t="s">
        <v>83</v>
      </c>
      <c r="N1334" s="1" t="s">
        <v>35</v>
      </c>
      <c r="P1334" s="1" t="n">
        <v>113</v>
      </c>
      <c r="Q1334" s="1" t="s">
        <v>36</v>
      </c>
      <c r="R1334" s="1" t="s">
        <v>48</v>
      </c>
      <c r="S1334" s="1" t="n">
        <v>1130101</v>
      </c>
      <c r="T1334" s="1" t="s">
        <v>49</v>
      </c>
      <c r="U1334" s="1" t="n">
        <v>431.3</v>
      </c>
      <c r="W1334" s="1" t="n">
        <v>0</v>
      </c>
      <c r="X1334" s="1" t="s">
        <v>1243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2</v>
      </c>
      <c r="B1335" s="22" t="n">
        <v>46253</v>
      </c>
      <c r="C1335" s="22" t="n">
        <v>46265</v>
      </c>
      <c r="D1335" s="1" t="n">
        <v>1616</v>
      </c>
      <c r="E1335" s="1" t="s">
        <v>80</v>
      </c>
      <c r="F1335" s="1" t="n">
        <v>24</v>
      </c>
      <c r="G1335" s="1" t="s">
        <v>77</v>
      </c>
      <c r="H1335" s="1" t="n">
        <v>2110405</v>
      </c>
      <c r="I1335" s="1" t="s">
        <v>41</v>
      </c>
      <c r="J1335" s="1" t="n">
        <v>1570971</v>
      </c>
      <c r="L1335" s="1" t="n">
        <v>214491</v>
      </c>
      <c r="M1335" s="1" t="s">
        <v>83</v>
      </c>
      <c r="N1335" s="1" t="s">
        <v>35</v>
      </c>
      <c r="P1335" s="1" t="n">
        <v>113</v>
      </c>
      <c r="Q1335" s="1" t="s">
        <v>36</v>
      </c>
      <c r="R1335" s="1" t="s">
        <v>48</v>
      </c>
      <c r="S1335" s="1" t="n">
        <v>1130101</v>
      </c>
      <c r="T1335" s="1" t="s">
        <v>49</v>
      </c>
      <c r="U1335" s="1" t="n">
        <v>606.55</v>
      </c>
      <c r="W1335" s="1" t="n">
        <v>0</v>
      </c>
      <c r="X1335" s="1" t="s">
        <v>1244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2</v>
      </c>
      <c r="B1336" s="22" t="n">
        <v>46254</v>
      </c>
      <c r="C1336" s="22" t="n">
        <v>46265</v>
      </c>
      <c r="D1336" s="1" t="n">
        <v>1683</v>
      </c>
      <c r="E1336" s="1" t="s">
        <v>369</v>
      </c>
      <c r="F1336" s="1" t="n">
        <v>34</v>
      </c>
      <c r="G1336" s="1" t="s">
        <v>97</v>
      </c>
      <c r="H1336" s="1" t="n">
        <v>2110405</v>
      </c>
      <c r="I1336" s="1" t="s">
        <v>41</v>
      </c>
      <c r="J1336" s="1" t="n">
        <v>1576184</v>
      </c>
      <c r="L1336" s="1" t="n">
        <v>215382</v>
      </c>
      <c r="M1336" s="1" t="s">
        <v>83</v>
      </c>
      <c r="N1336" s="1" t="s">
        <v>35</v>
      </c>
      <c r="P1336" s="1" t="n">
        <v>113</v>
      </c>
      <c r="Q1336" s="1" t="s">
        <v>36</v>
      </c>
      <c r="R1336" s="1" t="s">
        <v>48</v>
      </c>
      <c r="S1336" s="1" t="n">
        <v>1130101</v>
      </c>
      <c r="T1336" s="1" t="s">
        <v>49</v>
      </c>
      <c r="U1336" s="1" t="n">
        <v>156</v>
      </c>
      <c r="W1336" s="1" t="n">
        <v>0</v>
      </c>
      <c r="X1336" s="1" t="s">
        <v>371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2</v>
      </c>
      <c r="B1337" s="22" t="n">
        <v>46255</v>
      </c>
      <c r="C1337" s="22" t="n">
        <v>46265</v>
      </c>
      <c r="D1337" s="1" t="n">
        <v>1683</v>
      </c>
      <c r="E1337" s="1" t="s">
        <v>369</v>
      </c>
      <c r="F1337" s="1" t="n">
        <v>34</v>
      </c>
      <c r="G1337" s="1" t="s">
        <v>97</v>
      </c>
      <c r="H1337" s="1" t="n">
        <v>2110405</v>
      </c>
      <c r="I1337" s="1" t="s">
        <v>41</v>
      </c>
      <c r="J1337" s="1" t="n">
        <v>1582006</v>
      </c>
      <c r="L1337" s="1" t="n">
        <v>216486</v>
      </c>
      <c r="M1337" s="1" t="s">
        <v>83</v>
      </c>
      <c r="N1337" s="1" t="s">
        <v>35</v>
      </c>
      <c r="P1337" s="1" t="n">
        <v>113</v>
      </c>
      <c r="Q1337" s="1" t="s">
        <v>36</v>
      </c>
      <c r="R1337" s="1" t="s">
        <v>48</v>
      </c>
      <c r="S1337" s="1" t="n">
        <v>1130101</v>
      </c>
      <c r="T1337" s="1" t="s">
        <v>49</v>
      </c>
      <c r="U1337" s="1" t="n">
        <v>100.5</v>
      </c>
      <c r="W1337" s="1" t="n">
        <v>0</v>
      </c>
      <c r="X1337" s="1" t="s">
        <v>371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2</v>
      </c>
      <c r="B1338" s="22" t="n">
        <v>45992</v>
      </c>
      <c r="C1338" s="22" t="n">
        <v>46266</v>
      </c>
      <c r="D1338" s="1" t="n">
        <v>983</v>
      </c>
      <c r="E1338" s="1" t="s">
        <v>31</v>
      </c>
      <c r="F1338" s="1" t="n">
        <v>47</v>
      </c>
      <c r="G1338" s="1" t="s">
        <v>32</v>
      </c>
      <c r="H1338" s="1" t="n">
        <v>2110101</v>
      </c>
      <c r="I1338" s="1" t="s">
        <v>33</v>
      </c>
      <c r="J1338" s="1" t="n">
        <v>361903</v>
      </c>
      <c r="L1338" s="1" t="n">
        <v>47174</v>
      </c>
      <c r="M1338" s="1" t="s">
        <v>1245</v>
      </c>
      <c r="N1338" s="1" t="s">
        <v>35</v>
      </c>
      <c r="P1338" s="1" t="n">
        <v>113</v>
      </c>
      <c r="Q1338" s="1" t="s">
        <v>36</v>
      </c>
      <c r="R1338" s="1" t="s">
        <v>37</v>
      </c>
      <c r="S1338" s="1" t="n">
        <v>1240103</v>
      </c>
      <c r="T1338" s="1" t="s">
        <v>38</v>
      </c>
      <c r="U1338" s="1" t="n">
        <v>1898</v>
      </c>
      <c r="W1338" s="1" t="n">
        <v>0</v>
      </c>
      <c r="X1338" s="1" t="s">
        <v>1246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2</v>
      </c>
      <c r="B1339" s="22" t="n">
        <v>46055</v>
      </c>
      <c r="C1339" s="22" t="n">
        <v>46266</v>
      </c>
      <c r="D1339" s="1" t="n">
        <v>10039</v>
      </c>
      <c r="E1339" s="1" t="s">
        <v>70</v>
      </c>
      <c r="F1339" s="1" t="n">
        <v>47</v>
      </c>
      <c r="G1339" s="1" t="s">
        <v>32</v>
      </c>
      <c r="H1339" s="1" t="n">
        <v>2110405</v>
      </c>
      <c r="I1339" s="1" t="s">
        <v>41</v>
      </c>
      <c r="J1339" s="1" t="n">
        <v>846832</v>
      </c>
      <c r="L1339" s="1" t="n">
        <v>111506</v>
      </c>
      <c r="M1339" s="1" t="s">
        <v>34</v>
      </c>
      <c r="N1339" s="1" t="s">
        <v>35</v>
      </c>
      <c r="P1339" s="1" t="n">
        <v>113</v>
      </c>
      <c r="Q1339" s="1" t="s">
        <v>36</v>
      </c>
      <c r="R1339" s="1" t="s">
        <v>56</v>
      </c>
      <c r="S1339" s="1" t="n">
        <v>4210227</v>
      </c>
      <c r="T1339" s="1" t="s">
        <v>63</v>
      </c>
      <c r="U1339" s="1" t="n">
        <v>378.82</v>
      </c>
      <c r="W1339" s="1" t="n">
        <v>0</v>
      </c>
      <c r="X1339" s="1" t="s">
        <v>1247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2</v>
      </c>
      <c r="B1340" s="22" t="n">
        <v>46196</v>
      </c>
      <c r="C1340" s="22" t="n">
        <v>46266</v>
      </c>
      <c r="D1340" s="1" t="n">
        <v>875</v>
      </c>
      <c r="E1340" s="1" t="s">
        <v>73</v>
      </c>
      <c r="F1340" s="1" t="n">
        <v>47</v>
      </c>
      <c r="G1340" s="1" t="s">
        <v>32</v>
      </c>
      <c r="H1340" s="1" t="n">
        <v>2110101</v>
      </c>
      <c r="I1340" s="1" t="s">
        <v>33</v>
      </c>
      <c r="J1340" s="1" t="n">
        <v>1295066</v>
      </c>
      <c r="L1340" s="1" t="n">
        <v>173322</v>
      </c>
      <c r="M1340" s="1" t="s">
        <v>62</v>
      </c>
      <c r="N1340" s="1" t="s">
        <v>35</v>
      </c>
      <c r="P1340" s="1" t="n">
        <v>113</v>
      </c>
      <c r="Q1340" s="1" t="s">
        <v>36</v>
      </c>
      <c r="R1340" s="1" t="s">
        <v>48</v>
      </c>
      <c r="S1340" s="1" t="n">
        <v>1130101</v>
      </c>
      <c r="T1340" s="1" t="s">
        <v>49</v>
      </c>
      <c r="U1340" s="1" t="n">
        <v>1290.16</v>
      </c>
      <c r="W1340" s="1" t="n">
        <v>0</v>
      </c>
      <c r="X1340" s="1" t="s">
        <v>1248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2</v>
      </c>
      <c r="B1341" s="22" t="n">
        <v>46226</v>
      </c>
      <c r="C1341" s="22" t="n">
        <v>46266</v>
      </c>
      <c r="D1341" s="1" t="n">
        <v>957</v>
      </c>
      <c r="E1341" s="1" t="s">
        <v>554</v>
      </c>
      <c r="F1341" s="1" t="n">
        <v>24</v>
      </c>
      <c r="G1341" s="1" t="s">
        <v>77</v>
      </c>
      <c r="H1341" s="1" t="n">
        <v>1110203</v>
      </c>
      <c r="I1341" s="1" t="s">
        <v>108</v>
      </c>
      <c r="J1341" s="1" t="n">
        <v>1438932</v>
      </c>
      <c r="L1341" s="1" t="n">
        <v>194431</v>
      </c>
      <c r="M1341" s="1" t="s">
        <v>83</v>
      </c>
      <c r="N1341" s="1" t="s">
        <v>35</v>
      </c>
      <c r="P1341" s="1" t="n">
        <v>113</v>
      </c>
      <c r="Q1341" s="1" t="s">
        <v>36</v>
      </c>
      <c r="R1341" s="1" t="s">
        <v>48</v>
      </c>
      <c r="S1341" s="1" t="n">
        <v>1130101</v>
      </c>
      <c r="T1341" s="1" t="s">
        <v>49</v>
      </c>
      <c r="U1341" s="1" t="n">
        <v>1501.38</v>
      </c>
      <c r="W1341" s="1" t="n">
        <v>0</v>
      </c>
      <c r="X1341" s="1" t="s">
        <v>1097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2</v>
      </c>
      <c r="B1342" s="22" t="n">
        <v>46226</v>
      </c>
      <c r="C1342" s="22" t="n">
        <v>46266</v>
      </c>
      <c r="D1342" s="1" t="n">
        <v>10011</v>
      </c>
      <c r="E1342" s="1" t="s">
        <v>292</v>
      </c>
      <c r="F1342" s="1" t="n">
        <v>24</v>
      </c>
      <c r="G1342" s="1" t="s">
        <v>77</v>
      </c>
      <c r="H1342" s="1" t="n">
        <v>1110203</v>
      </c>
      <c r="I1342" s="1" t="s">
        <v>108</v>
      </c>
      <c r="J1342" s="1" t="n">
        <v>1438962</v>
      </c>
      <c r="L1342" s="1" t="n">
        <v>194443</v>
      </c>
      <c r="M1342" s="1" t="s">
        <v>83</v>
      </c>
      <c r="N1342" s="1" t="s">
        <v>35</v>
      </c>
      <c r="P1342" s="1" t="n">
        <v>113</v>
      </c>
      <c r="Q1342" s="1" t="s">
        <v>36</v>
      </c>
      <c r="R1342" s="1" t="s">
        <v>48</v>
      </c>
      <c r="S1342" s="1" t="n">
        <v>1130101</v>
      </c>
      <c r="T1342" s="1" t="s">
        <v>49</v>
      </c>
      <c r="U1342" s="1" t="n">
        <v>591.07</v>
      </c>
      <c r="W1342" s="1" t="n">
        <v>0</v>
      </c>
      <c r="X1342" s="1" t="s">
        <v>1098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2</v>
      </c>
      <c r="B1343" s="22" t="n">
        <v>46245</v>
      </c>
      <c r="C1343" s="22" t="n">
        <v>46266</v>
      </c>
      <c r="D1343" s="1" t="n">
        <v>1259</v>
      </c>
      <c r="E1343" s="1" t="s">
        <v>1249</v>
      </c>
      <c r="F1343" s="1" t="n">
        <v>47</v>
      </c>
      <c r="G1343" s="1" t="s">
        <v>32</v>
      </c>
      <c r="H1343" s="1" t="n">
        <v>2110405</v>
      </c>
      <c r="I1343" s="1" t="s">
        <v>41</v>
      </c>
      <c r="J1343" s="1" t="n">
        <v>1532317</v>
      </c>
      <c r="L1343" s="1" t="n">
        <v>208731</v>
      </c>
      <c r="M1343" s="1" t="s">
        <v>83</v>
      </c>
      <c r="N1343" s="1" t="s">
        <v>35</v>
      </c>
      <c r="P1343" s="1" t="n">
        <v>113</v>
      </c>
      <c r="Q1343" s="1" t="s">
        <v>36</v>
      </c>
      <c r="R1343" s="1" t="s">
        <v>56</v>
      </c>
      <c r="S1343" s="1" t="n">
        <v>4210209</v>
      </c>
      <c r="T1343" s="1" t="s">
        <v>605</v>
      </c>
      <c r="U1343" s="1" t="n">
        <v>200</v>
      </c>
      <c r="W1343" s="1" t="n">
        <v>0</v>
      </c>
      <c r="X1343" s="1" t="s">
        <v>1250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2</v>
      </c>
      <c r="B1344" s="22" t="n">
        <v>46246</v>
      </c>
      <c r="C1344" s="22" t="n">
        <v>46266</v>
      </c>
      <c r="D1344" s="1" t="n">
        <v>875</v>
      </c>
      <c r="E1344" s="1" t="s">
        <v>73</v>
      </c>
      <c r="F1344" s="1" t="n">
        <v>47</v>
      </c>
      <c r="G1344" s="1" t="s">
        <v>32</v>
      </c>
      <c r="H1344" s="1" t="n">
        <v>2110405</v>
      </c>
      <c r="I1344" s="1" t="s">
        <v>41</v>
      </c>
      <c r="J1344" s="1" t="n">
        <v>1534947</v>
      </c>
      <c r="L1344" s="1" t="n">
        <v>209452</v>
      </c>
      <c r="M1344" s="1" t="s">
        <v>83</v>
      </c>
      <c r="N1344" s="1" t="s">
        <v>35</v>
      </c>
      <c r="P1344" s="1" t="n">
        <v>113</v>
      </c>
      <c r="Q1344" s="1" t="s">
        <v>36</v>
      </c>
      <c r="R1344" s="1" t="s">
        <v>48</v>
      </c>
      <c r="S1344" s="1" t="n">
        <v>1130101</v>
      </c>
      <c r="T1344" s="1" t="s">
        <v>49</v>
      </c>
      <c r="U1344" s="1" t="n">
        <v>638.75</v>
      </c>
      <c r="W1344" s="1" t="n">
        <v>0</v>
      </c>
      <c r="X1344" s="1" t="s">
        <v>1251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2</v>
      </c>
      <c r="B1345" s="22" t="n">
        <v>46251</v>
      </c>
      <c r="C1345" s="22" t="n">
        <v>46266</v>
      </c>
      <c r="D1345" s="1" t="n">
        <v>10017</v>
      </c>
      <c r="E1345" s="1" t="s">
        <v>168</v>
      </c>
      <c r="F1345" s="1" t="n">
        <v>24</v>
      </c>
      <c r="G1345" s="1" t="s">
        <v>77</v>
      </c>
      <c r="H1345" s="1" t="n">
        <v>2110405</v>
      </c>
      <c r="I1345" s="1" t="s">
        <v>41</v>
      </c>
      <c r="J1345" s="1" t="n">
        <v>1561240</v>
      </c>
      <c r="L1345" s="1" t="n">
        <v>212990</v>
      </c>
      <c r="M1345" s="1" t="s">
        <v>83</v>
      </c>
      <c r="N1345" s="1" t="s">
        <v>35</v>
      </c>
      <c r="P1345" s="1" t="n">
        <v>113</v>
      </c>
      <c r="Q1345" s="1" t="s">
        <v>36</v>
      </c>
      <c r="R1345" s="1" t="s">
        <v>48</v>
      </c>
      <c r="S1345" s="1" t="n">
        <v>1130101</v>
      </c>
      <c r="T1345" s="1" t="s">
        <v>49</v>
      </c>
      <c r="U1345" s="1" t="n">
        <v>599.85</v>
      </c>
      <c r="W1345" s="1" t="n">
        <v>0</v>
      </c>
      <c r="X1345" s="1" t="s">
        <v>1252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2</v>
      </c>
      <c r="B1346" s="22" t="n">
        <v>46252</v>
      </c>
      <c r="C1346" s="22" t="n">
        <v>46266</v>
      </c>
      <c r="D1346" s="1" t="n">
        <v>1697</v>
      </c>
      <c r="E1346" s="1" t="s">
        <v>684</v>
      </c>
      <c r="F1346" s="1" t="n">
        <v>24</v>
      </c>
      <c r="G1346" s="1" t="s">
        <v>77</v>
      </c>
      <c r="H1346" s="1" t="n">
        <v>2110405</v>
      </c>
      <c r="I1346" s="1" t="s">
        <v>41</v>
      </c>
      <c r="J1346" s="1" t="n">
        <v>1566723</v>
      </c>
      <c r="L1346" s="1" t="n">
        <v>213866</v>
      </c>
      <c r="M1346" s="1" t="s">
        <v>83</v>
      </c>
      <c r="N1346" s="1" t="s">
        <v>35</v>
      </c>
      <c r="P1346" s="1" t="n">
        <v>113</v>
      </c>
      <c r="Q1346" s="1" t="s">
        <v>36</v>
      </c>
      <c r="R1346" s="1" t="s">
        <v>48</v>
      </c>
      <c r="S1346" s="1" t="n">
        <v>1130101</v>
      </c>
      <c r="T1346" s="1" t="s">
        <v>49</v>
      </c>
      <c r="U1346" s="1" t="n">
        <v>584.64</v>
      </c>
      <c r="W1346" s="1" t="n">
        <v>0</v>
      </c>
      <c r="X1346" s="1" t="s">
        <v>1253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2</v>
      </c>
      <c r="B1347" s="22" t="n">
        <v>46252</v>
      </c>
      <c r="C1347" s="22" t="n">
        <v>46266</v>
      </c>
      <c r="D1347" s="1" t="n">
        <v>1705</v>
      </c>
      <c r="E1347" s="1" t="s">
        <v>119</v>
      </c>
      <c r="F1347" s="1" t="n">
        <v>24</v>
      </c>
      <c r="G1347" s="1" t="s">
        <v>77</v>
      </c>
      <c r="H1347" s="1" t="n">
        <v>2110405</v>
      </c>
      <c r="I1347" s="1" t="s">
        <v>41</v>
      </c>
      <c r="J1347" s="1" t="n">
        <v>1567586</v>
      </c>
      <c r="L1347" s="1" t="n">
        <v>214037</v>
      </c>
      <c r="M1347" s="1" t="s">
        <v>83</v>
      </c>
      <c r="N1347" s="1" t="s">
        <v>35</v>
      </c>
      <c r="P1347" s="1" t="n">
        <v>113</v>
      </c>
      <c r="Q1347" s="1" t="s">
        <v>36</v>
      </c>
      <c r="R1347" s="1" t="s">
        <v>48</v>
      </c>
      <c r="S1347" s="1" t="n">
        <v>1130101</v>
      </c>
      <c r="T1347" s="1" t="s">
        <v>49</v>
      </c>
      <c r="U1347" s="1" t="n">
        <v>2351.65</v>
      </c>
      <c r="W1347" s="1" t="n">
        <v>0</v>
      </c>
      <c r="X1347" s="1" t="s">
        <v>1254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2</v>
      </c>
      <c r="B1348" s="22" t="n">
        <v>46252</v>
      </c>
      <c r="C1348" s="22" t="n">
        <v>46266</v>
      </c>
      <c r="D1348" s="1" t="n">
        <v>1711</v>
      </c>
      <c r="E1348" s="1" t="s">
        <v>1255</v>
      </c>
      <c r="F1348" s="1" t="n">
        <v>24</v>
      </c>
      <c r="G1348" s="1" t="s">
        <v>77</v>
      </c>
      <c r="H1348" s="1" t="n">
        <v>2110405</v>
      </c>
      <c r="I1348" s="1" t="s">
        <v>41</v>
      </c>
      <c r="J1348" s="1" t="n">
        <v>1568088</v>
      </c>
      <c r="L1348" s="1" t="n">
        <v>214108</v>
      </c>
      <c r="M1348" s="1" t="s">
        <v>83</v>
      </c>
      <c r="N1348" s="1" t="s">
        <v>35</v>
      </c>
      <c r="P1348" s="1" t="n">
        <v>113</v>
      </c>
      <c r="Q1348" s="1" t="s">
        <v>36</v>
      </c>
      <c r="R1348" s="1" t="s">
        <v>48</v>
      </c>
      <c r="S1348" s="1" t="n">
        <v>1130101</v>
      </c>
      <c r="T1348" s="1" t="s">
        <v>49</v>
      </c>
      <c r="U1348" s="1" t="n">
        <v>645.72</v>
      </c>
      <c r="W1348" s="1" t="n">
        <v>0</v>
      </c>
      <c r="X1348" s="1" t="s">
        <v>1256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2</v>
      </c>
      <c r="B1349" s="22" t="n">
        <v>46253</v>
      </c>
      <c r="C1349" s="22" t="n">
        <v>46266</v>
      </c>
      <c r="D1349" s="1" t="n">
        <v>1635</v>
      </c>
      <c r="E1349" s="1" t="s">
        <v>117</v>
      </c>
      <c r="F1349" s="1" t="n">
        <v>24</v>
      </c>
      <c r="G1349" s="1" t="s">
        <v>77</v>
      </c>
      <c r="H1349" s="1" t="n">
        <v>2110405</v>
      </c>
      <c r="I1349" s="1" t="s">
        <v>41</v>
      </c>
      <c r="J1349" s="1" t="n">
        <v>1570872</v>
      </c>
      <c r="L1349" s="1" t="n">
        <v>214482</v>
      </c>
      <c r="M1349" s="1" t="s">
        <v>83</v>
      </c>
      <c r="N1349" s="1" t="s">
        <v>35</v>
      </c>
      <c r="P1349" s="1" t="n">
        <v>113</v>
      </c>
      <c r="Q1349" s="1" t="s">
        <v>36</v>
      </c>
      <c r="R1349" s="1" t="s">
        <v>48</v>
      </c>
      <c r="S1349" s="1" t="n">
        <v>1130101</v>
      </c>
      <c r="T1349" s="1" t="s">
        <v>49</v>
      </c>
      <c r="U1349" s="1" t="n">
        <v>1276.2</v>
      </c>
      <c r="W1349" s="1" t="n">
        <v>0</v>
      </c>
      <c r="X1349" s="1" t="s">
        <v>1257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2</v>
      </c>
      <c r="B1350" s="22" t="n">
        <v>46253</v>
      </c>
      <c r="C1350" s="22" t="n">
        <v>46266</v>
      </c>
      <c r="D1350" s="1" t="n">
        <v>1708</v>
      </c>
      <c r="E1350" s="1" t="s">
        <v>245</v>
      </c>
      <c r="F1350" s="1" t="n">
        <v>24</v>
      </c>
      <c r="G1350" s="1" t="s">
        <v>77</v>
      </c>
      <c r="H1350" s="1" t="n">
        <v>2110405</v>
      </c>
      <c r="I1350" s="1" t="s">
        <v>41</v>
      </c>
      <c r="J1350" s="1" t="n">
        <v>1572967</v>
      </c>
      <c r="L1350" s="1" t="n">
        <v>214926</v>
      </c>
      <c r="M1350" s="1" t="s">
        <v>83</v>
      </c>
      <c r="N1350" s="1" t="s">
        <v>35</v>
      </c>
      <c r="P1350" s="1" t="n">
        <v>113</v>
      </c>
      <c r="Q1350" s="1" t="s">
        <v>36</v>
      </c>
      <c r="R1350" s="1" t="s">
        <v>48</v>
      </c>
      <c r="S1350" s="1" t="n">
        <v>1130101</v>
      </c>
      <c r="T1350" s="1" t="s">
        <v>49</v>
      </c>
      <c r="U1350" s="1" t="n">
        <v>548.18</v>
      </c>
      <c r="W1350" s="1" t="n">
        <v>0</v>
      </c>
      <c r="X1350" s="1" t="s">
        <v>1258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2</v>
      </c>
      <c r="B1351" s="22" t="n">
        <v>46254</v>
      </c>
      <c r="C1351" s="22" t="n">
        <v>46266</v>
      </c>
      <c r="D1351" s="1" t="n">
        <v>967</v>
      </c>
      <c r="E1351" s="1" t="s">
        <v>1259</v>
      </c>
      <c r="F1351" s="1" t="n">
        <v>24</v>
      </c>
      <c r="G1351" s="1" t="s">
        <v>77</v>
      </c>
      <c r="H1351" s="1" t="n">
        <v>2110405</v>
      </c>
      <c r="I1351" s="1" t="s">
        <v>41</v>
      </c>
      <c r="J1351" s="1" t="n">
        <v>1576159</v>
      </c>
      <c r="L1351" s="1" t="n">
        <v>215377</v>
      </c>
      <c r="M1351" s="1" t="s">
        <v>83</v>
      </c>
      <c r="N1351" s="1" t="s">
        <v>35</v>
      </c>
      <c r="P1351" s="1" t="n">
        <v>113</v>
      </c>
      <c r="Q1351" s="1" t="s">
        <v>36</v>
      </c>
      <c r="R1351" s="1" t="s">
        <v>48</v>
      </c>
      <c r="S1351" s="1" t="n">
        <v>1130101</v>
      </c>
      <c r="T1351" s="1" t="s">
        <v>49</v>
      </c>
      <c r="U1351" s="1" t="n">
        <v>421</v>
      </c>
      <c r="W1351" s="1" t="n">
        <v>0</v>
      </c>
      <c r="X1351" s="1" t="s">
        <v>1260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2</v>
      </c>
      <c r="B1352" s="22" t="n">
        <v>46247</v>
      </c>
      <c r="C1352" s="22" t="n">
        <v>46266</v>
      </c>
      <c r="D1352" s="1" t="n">
        <v>1974</v>
      </c>
      <c r="E1352" s="1" t="s">
        <v>604</v>
      </c>
      <c r="F1352" s="1" t="n">
        <v>47</v>
      </c>
      <c r="G1352" s="1" t="s">
        <v>32</v>
      </c>
      <c r="H1352" s="1" t="n">
        <v>2110405</v>
      </c>
      <c r="I1352" s="1" t="s">
        <v>41</v>
      </c>
      <c r="J1352" s="1" t="n">
        <v>1577528</v>
      </c>
      <c r="L1352" s="1" t="n">
        <v>215681</v>
      </c>
      <c r="M1352" s="1" t="s">
        <v>83</v>
      </c>
      <c r="N1352" s="1" t="s">
        <v>35</v>
      </c>
      <c r="P1352" s="1" t="n">
        <v>101</v>
      </c>
      <c r="Q1352" s="1" t="s">
        <v>42</v>
      </c>
      <c r="R1352" s="1" t="s">
        <v>56</v>
      </c>
      <c r="S1352" s="1" t="n">
        <v>4210209</v>
      </c>
      <c r="T1352" s="1" t="s">
        <v>605</v>
      </c>
      <c r="U1352" s="1" t="n">
        <v>489.15</v>
      </c>
      <c r="W1352" s="1" t="n">
        <v>0</v>
      </c>
      <c r="X1352" s="1" t="s">
        <v>1261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2</v>
      </c>
      <c r="B1353" s="22" t="n">
        <v>46252</v>
      </c>
      <c r="C1353" s="22" t="n">
        <v>46267</v>
      </c>
      <c r="D1353" s="1" t="n">
        <v>1612</v>
      </c>
      <c r="E1353" s="1" t="s">
        <v>76</v>
      </c>
      <c r="F1353" s="1" t="n">
        <v>24</v>
      </c>
      <c r="G1353" s="1" t="s">
        <v>77</v>
      </c>
      <c r="H1353" s="1" t="n">
        <v>2110405</v>
      </c>
      <c r="I1353" s="1" t="s">
        <v>41</v>
      </c>
      <c r="J1353" s="1" t="n">
        <v>1567416</v>
      </c>
      <c r="L1353" s="1" t="n">
        <v>214022</v>
      </c>
      <c r="M1353" s="1" t="s">
        <v>83</v>
      </c>
      <c r="N1353" s="1" t="s">
        <v>35</v>
      </c>
      <c r="P1353" s="1" t="n">
        <v>113</v>
      </c>
      <c r="Q1353" s="1" t="s">
        <v>36</v>
      </c>
      <c r="R1353" s="1" t="s">
        <v>48</v>
      </c>
      <c r="S1353" s="1" t="n">
        <v>1130101</v>
      </c>
      <c r="T1353" s="1" t="s">
        <v>49</v>
      </c>
      <c r="U1353" s="1" t="n">
        <v>1154.64</v>
      </c>
      <c r="W1353" s="1" t="n">
        <v>0</v>
      </c>
      <c r="X1353" s="1" t="s">
        <v>1262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2</v>
      </c>
      <c r="B1354" s="22" t="n">
        <v>46246</v>
      </c>
      <c r="C1354" s="22" t="n">
        <v>46267</v>
      </c>
      <c r="D1354" s="1" t="n">
        <v>1608</v>
      </c>
      <c r="E1354" s="1" t="s">
        <v>201</v>
      </c>
      <c r="F1354" s="1" t="n">
        <v>24</v>
      </c>
      <c r="G1354" s="1" t="s">
        <v>77</v>
      </c>
      <c r="H1354" s="1" t="n">
        <v>2110405</v>
      </c>
      <c r="I1354" s="1" t="s">
        <v>41</v>
      </c>
      <c r="J1354" s="1" t="n">
        <v>1534795</v>
      </c>
      <c r="L1354" s="1" t="n">
        <v>209428</v>
      </c>
      <c r="M1354" s="1" t="s">
        <v>83</v>
      </c>
      <c r="N1354" s="1" t="s">
        <v>35</v>
      </c>
      <c r="P1354" s="1" t="n">
        <v>113</v>
      </c>
      <c r="Q1354" s="1" t="s">
        <v>36</v>
      </c>
      <c r="R1354" s="1" t="s">
        <v>48</v>
      </c>
      <c r="S1354" s="1" t="n">
        <v>1130101</v>
      </c>
      <c r="T1354" s="1" t="s">
        <v>49</v>
      </c>
      <c r="U1354" s="1" t="n">
        <v>1279.58</v>
      </c>
      <c r="W1354" s="1" t="n">
        <v>0</v>
      </c>
      <c r="X1354" s="1" t="s">
        <v>1216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2</v>
      </c>
      <c r="B1355" s="22" t="n">
        <v>46246</v>
      </c>
      <c r="C1355" s="22" t="n">
        <v>46267</v>
      </c>
      <c r="D1355" s="1" t="n">
        <v>1634</v>
      </c>
      <c r="E1355" s="1" t="s">
        <v>261</v>
      </c>
      <c r="F1355" s="1" t="n">
        <v>24</v>
      </c>
      <c r="G1355" s="1" t="s">
        <v>77</v>
      </c>
      <c r="H1355" s="1" t="n">
        <v>2110405</v>
      </c>
      <c r="I1355" s="1" t="s">
        <v>41</v>
      </c>
      <c r="J1355" s="1" t="n">
        <v>1535495</v>
      </c>
      <c r="L1355" s="1" t="n">
        <v>209569</v>
      </c>
      <c r="M1355" s="1" t="s">
        <v>83</v>
      </c>
      <c r="N1355" s="1" t="s">
        <v>35</v>
      </c>
      <c r="P1355" s="1" t="n">
        <v>113</v>
      </c>
      <c r="Q1355" s="1" t="s">
        <v>36</v>
      </c>
      <c r="R1355" s="1" t="s">
        <v>48</v>
      </c>
      <c r="S1355" s="1" t="n">
        <v>1130101</v>
      </c>
      <c r="T1355" s="1" t="s">
        <v>49</v>
      </c>
      <c r="U1355" s="1" t="n">
        <v>700.7</v>
      </c>
      <c r="W1355" s="1" t="n">
        <v>0</v>
      </c>
      <c r="X1355" s="1" t="s">
        <v>1217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2</v>
      </c>
      <c r="B1356" s="22" t="n">
        <v>46246</v>
      </c>
      <c r="C1356" s="22" t="n">
        <v>46267</v>
      </c>
      <c r="D1356" s="1" t="n">
        <v>10010</v>
      </c>
      <c r="E1356" s="1" t="s">
        <v>728</v>
      </c>
      <c r="F1356" s="1" t="n">
        <v>24</v>
      </c>
      <c r="G1356" s="1" t="s">
        <v>77</v>
      </c>
      <c r="H1356" s="1" t="n">
        <v>2110405</v>
      </c>
      <c r="I1356" s="1" t="s">
        <v>41</v>
      </c>
      <c r="J1356" s="1" t="n">
        <v>1537384</v>
      </c>
      <c r="L1356" s="1" t="n">
        <v>209767</v>
      </c>
      <c r="M1356" s="1" t="s">
        <v>83</v>
      </c>
      <c r="N1356" s="1" t="s">
        <v>35</v>
      </c>
      <c r="P1356" s="1" t="n">
        <v>113</v>
      </c>
      <c r="Q1356" s="1" t="s">
        <v>36</v>
      </c>
      <c r="R1356" s="1" t="s">
        <v>48</v>
      </c>
      <c r="S1356" s="1" t="n">
        <v>1130101</v>
      </c>
      <c r="T1356" s="1" t="s">
        <v>49</v>
      </c>
      <c r="U1356" s="1" t="n">
        <v>205.44</v>
      </c>
      <c r="W1356" s="1" t="n">
        <v>0</v>
      </c>
      <c r="X1356" s="1" t="s">
        <v>1263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2</v>
      </c>
      <c r="B1357" s="22" t="n">
        <v>46247</v>
      </c>
      <c r="C1357" s="22" t="n">
        <v>46267</v>
      </c>
      <c r="D1357" s="1" t="n">
        <v>1624</v>
      </c>
      <c r="E1357" s="1" t="s">
        <v>300</v>
      </c>
      <c r="F1357" s="1" t="n">
        <v>24</v>
      </c>
      <c r="G1357" s="1" t="s">
        <v>77</v>
      </c>
      <c r="H1357" s="1" t="n">
        <v>2110405</v>
      </c>
      <c r="I1357" s="1" t="s">
        <v>41</v>
      </c>
      <c r="J1357" s="1" t="n">
        <v>1543912</v>
      </c>
      <c r="L1357" s="1" t="n">
        <v>210532</v>
      </c>
      <c r="M1357" s="1" t="s">
        <v>83</v>
      </c>
      <c r="N1357" s="1" t="s">
        <v>35</v>
      </c>
      <c r="P1357" s="1" t="n">
        <v>113</v>
      </c>
      <c r="Q1357" s="1" t="s">
        <v>36</v>
      </c>
      <c r="R1357" s="1" t="s">
        <v>48</v>
      </c>
      <c r="S1357" s="1" t="n">
        <v>1130101</v>
      </c>
      <c r="T1357" s="1" t="s">
        <v>49</v>
      </c>
      <c r="U1357" s="1" t="n">
        <v>830.14</v>
      </c>
      <c r="W1357" s="1" t="n">
        <v>0</v>
      </c>
      <c r="X1357" s="1" t="s">
        <v>1264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2</v>
      </c>
      <c r="B1358" s="22" t="n">
        <v>46248</v>
      </c>
      <c r="C1358" s="22" t="n">
        <v>46267</v>
      </c>
      <c r="D1358" s="1" t="n">
        <v>1613</v>
      </c>
      <c r="E1358" s="1" t="s">
        <v>94</v>
      </c>
      <c r="F1358" s="1" t="n">
        <v>24</v>
      </c>
      <c r="G1358" s="1" t="s">
        <v>77</v>
      </c>
      <c r="H1358" s="1" t="n">
        <v>2110405</v>
      </c>
      <c r="I1358" s="1" t="s">
        <v>41</v>
      </c>
      <c r="J1358" s="1" t="n">
        <v>1547487</v>
      </c>
      <c r="L1358" s="1" t="n">
        <v>211364</v>
      </c>
      <c r="M1358" s="1" t="s">
        <v>83</v>
      </c>
      <c r="N1358" s="1" t="s">
        <v>35</v>
      </c>
      <c r="P1358" s="1" t="n">
        <v>113</v>
      </c>
      <c r="Q1358" s="1" t="s">
        <v>36</v>
      </c>
      <c r="R1358" s="1" t="s">
        <v>48</v>
      </c>
      <c r="S1358" s="1" t="n">
        <v>1130101</v>
      </c>
      <c r="T1358" s="1" t="s">
        <v>49</v>
      </c>
      <c r="U1358" s="1" t="n">
        <v>1164.76</v>
      </c>
      <c r="W1358" s="1" t="n">
        <v>0</v>
      </c>
      <c r="X1358" s="1" t="s">
        <v>1220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2</v>
      </c>
      <c r="B1359" s="22" t="n">
        <v>46241</v>
      </c>
      <c r="C1359" s="22" t="n">
        <v>46268</v>
      </c>
      <c r="D1359" s="1" t="n">
        <v>794</v>
      </c>
      <c r="E1359" s="1" t="s">
        <v>305</v>
      </c>
      <c r="F1359" s="1" t="n">
        <v>24</v>
      </c>
      <c r="G1359" s="1" t="s">
        <v>77</v>
      </c>
      <c r="H1359" s="1" t="n">
        <v>2110405</v>
      </c>
      <c r="I1359" s="1" t="s">
        <v>41</v>
      </c>
      <c r="J1359" s="1" t="n">
        <v>1514442</v>
      </c>
      <c r="L1359" s="1" t="n">
        <v>206014</v>
      </c>
      <c r="M1359" s="1" t="s">
        <v>83</v>
      </c>
      <c r="N1359" s="1" t="s">
        <v>35</v>
      </c>
      <c r="P1359" s="1" t="n">
        <v>113</v>
      </c>
      <c r="Q1359" s="1" t="s">
        <v>36</v>
      </c>
      <c r="R1359" s="1" t="s">
        <v>56</v>
      </c>
      <c r="S1359" s="1" t="n">
        <v>4210299</v>
      </c>
      <c r="T1359" s="1" t="s">
        <v>115</v>
      </c>
      <c r="U1359" s="1" t="n">
        <v>520.46</v>
      </c>
      <c r="W1359" s="1" t="n">
        <v>0</v>
      </c>
      <c r="X1359" s="1" t="s">
        <v>1167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2</v>
      </c>
      <c r="B1360" s="22" t="n">
        <v>46241</v>
      </c>
      <c r="C1360" s="22" t="n">
        <v>46268</v>
      </c>
      <c r="D1360" s="1" t="n">
        <v>1705</v>
      </c>
      <c r="E1360" s="1" t="s">
        <v>119</v>
      </c>
      <c r="F1360" s="1" t="n">
        <v>24</v>
      </c>
      <c r="G1360" s="1" t="s">
        <v>77</v>
      </c>
      <c r="H1360" s="1" t="n">
        <v>2110405</v>
      </c>
      <c r="I1360" s="1" t="s">
        <v>41</v>
      </c>
      <c r="J1360" s="1" t="n">
        <v>1514117</v>
      </c>
      <c r="L1360" s="1" t="n">
        <v>205956</v>
      </c>
      <c r="M1360" s="1" t="s">
        <v>83</v>
      </c>
      <c r="N1360" s="1" t="s">
        <v>35</v>
      </c>
      <c r="P1360" s="1" t="n">
        <v>113</v>
      </c>
      <c r="Q1360" s="1" t="s">
        <v>36</v>
      </c>
      <c r="R1360" s="1" t="s">
        <v>48</v>
      </c>
      <c r="S1360" s="1" t="n">
        <v>1130101</v>
      </c>
      <c r="T1360" s="1" t="s">
        <v>49</v>
      </c>
      <c r="U1360" s="1" t="n">
        <v>77.62</v>
      </c>
      <c r="W1360" s="1" t="n">
        <v>0</v>
      </c>
      <c r="X1360" s="1" t="s">
        <v>1265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10" t="n">
        <v>2</v>
      </c>
      <c r="B1361" s="11" t="n">
        <v>46247</v>
      </c>
      <c r="C1361" s="11" t="n">
        <v>46268</v>
      </c>
      <c r="D1361" s="10" t="n">
        <v>1608</v>
      </c>
      <c r="E1361" s="12" t="s">
        <v>201</v>
      </c>
      <c r="F1361" s="10" t="n">
        <v>24</v>
      </c>
      <c r="G1361" s="12" t="s">
        <v>77</v>
      </c>
      <c r="H1361" s="10" t="n">
        <v>2110405</v>
      </c>
      <c r="I1361" s="12" t="s">
        <v>41</v>
      </c>
      <c r="J1361" s="10" t="n">
        <v>1540762</v>
      </c>
      <c r="L1361" s="10" t="n">
        <v>210179</v>
      </c>
      <c r="M1361" s="12" t="s">
        <v>83</v>
      </c>
      <c r="N1361" s="12" t="s">
        <v>35</v>
      </c>
      <c r="P1361" s="10" t="n">
        <v>113</v>
      </c>
      <c r="Q1361" s="12" t="s">
        <v>36</v>
      </c>
      <c r="R1361" s="12" t="s">
        <v>48</v>
      </c>
      <c r="S1361" s="10" t="n">
        <v>1130101</v>
      </c>
      <c r="T1361" s="12" t="s">
        <v>49</v>
      </c>
      <c r="U1361" s="13" t="n">
        <v>692.26</v>
      </c>
      <c r="W1361" s="13" t="n">
        <v>0</v>
      </c>
      <c r="X1361" s="12" t="s">
        <v>1223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10" t="n">
        <v>2</v>
      </c>
      <c r="B1362" s="11" t="n">
        <v>46247</v>
      </c>
      <c r="C1362" s="11" t="n">
        <v>46268</v>
      </c>
      <c r="D1362" s="10" t="n">
        <v>1667</v>
      </c>
      <c r="E1362" s="12" t="s">
        <v>82</v>
      </c>
      <c r="F1362" s="10" t="n">
        <v>24</v>
      </c>
      <c r="G1362" s="12" t="s">
        <v>77</v>
      </c>
      <c r="H1362" s="10" t="n">
        <v>2110405</v>
      </c>
      <c r="I1362" s="12" t="s">
        <v>41</v>
      </c>
      <c r="J1362" s="10" t="n">
        <v>1540925</v>
      </c>
      <c r="L1362" s="10" t="n">
        <v>210243</v>
      </c>
      <c r="M1362" s="12" t="s">
        <v>83</v>
      </c>
      <c r="N1362" s="12" t="s">
        <v>35</v>
      </c>
      <c r="P1362" s="10" t="n">
        <v>113</v>
      </c>
      <c r="Q1362" s="12" t="s">
        <v>36</v>
      </c>
      <c r="R1362" s="12" t="s">
        <v>48</v>
      </c>
      <c r="S1362" s="10" t="n">
        <v>1130101</v>
      </c>
      <c r="T1362" s="12" t="s">
        <v>49</v>
      </c>
      <c r="U1362" s="13" t="n">
        <v>668.78</v>
      </c>
      <c r="W1362" s="13" t="n">
        <v>0</v>
      </c>
      <c r="X1362" s="12" t="s">
        <v>1224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2</v>
      </c>
      <c r="B1363" s="11" t="n">
        <v>46248</v>
      </c>
      <c r="C1363" s="11" t="n">
        <v>46268</v>
      </c>
      <c r="D1363" s="10" t="n">
        <v>1720</v>
      </c>
      <c r="E1363" s="12" t="s">
        <v>743</v>
      </c>
      <c r="F1363" s="10" t="n">
        <v>24</v>
      </c>
      <c r="G1363" s="12" t="s">
        <v>77</v>
      </c>
      <c r="H1363" s="10" t="n">
        <v>2110405</v>
      </c>
      <c r="I1363" s="12" t="s">
        <v>41</v>
      </c>
      <c r="J1363" s="10" t="n">
        <v>1545774</v>
      </c>
      <c r="L1363" s="10" t="n">
        <v>211087</v>
      </c>
      <c r="M1363" s="12" t="s">
        <v>83</v>
      </c>
      <c r="N1363" s="12" t="s">
        <v>35</v>
      </c>
      <c r="P1363" s="10" t="n">
        <v>113</v>
      </c>
      <c r="Q1363" s="12" t="s">
        <v>36</v>
      </c>
      <c r="R1363" s="12" t="s">
        <v>48</v>
      </c>
      <c r="S1363" s="10" t="n">
        <v>1130101</v>
      </c>
      <c r="T1363" s="12" t="s">
        <v>49</v>
      </c>
      <c r="U1363" s="13" t="n">
        <v>1130.5</v>
      </c>
      <c r="W1363" s="13" t="n">
        <v>0</v>
      </c>
      <c r="X1363" s="12" t="s">
        <v>1266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2</v>
      </c>
      <c r="B1364" s="11" t="n">
        <v>46251</v>
      </c>
      <c r="C1364" s="11" t="n">
        <v>46268</v>
      </c>
      <c r="D1364" s="10" t="n">
        <v>1657</v>
      </c>
      <c r="E1364" s="12" t="s">
        <v>1267</v>
      </c>
      <c r="F1364" s="10" t="n">
        <v>24</v>
      </c>
      <c r="G1364" s="12" t="s">
        <v>77</v>
      </c>
      <c r="H1364" s="10" t="n">
        <v>2110405</v>
      </c>
      <c r="I1364" s="12" t="s">
        <v>41</v>
      </c>
      <c r="J1364" s="10" t="n">
        <v>1562800</v>
      </c>
      <c r="L1364" s="10" t="n">
        <v>213295</v>
      </c>
      <c r="M1364" s="12" t="s">
        <v>83</v>
      </c>
      <c r="N1364" s="12" t="s">
        <v>35</v>
      </c>
      <c r="P1364" s="10" t="n">
        <v>113</v>
      </c>
      <c r="Q1364" s="12" t="s">
        <v>36</v>
      </c>
      <c r="R1364" s="12" t="s">
        <v>48</v>
      </c>
      <c r="S1364" s="10" t="n">
        <v>1130101</v>
      </c>
      <c r="T1364" s="12" t="s">
        <v>49</v>
      </c>
      <c r="U1364" s="13" t="n">
        <v>1120.76</v>
      </c>
      <c r="W1364" s="13" t="n">
        <v>0</v>
      </c>
      <c r="X1364" s="12" t="s">
        <v>1268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54.75" hidden="false" customHeight="true" outlineLevel="0" collapsed="false">
      <c r="A1365" s="10" t="n">
        <v>2</v>
      </c>
      <c r="B1365" s="11" t="n">
        <v>46252</v>
      </c>
      <c r="C1365" s="11" t="n">
        <v>46268</v>
      </c>
      <c r="D1365" s="10" t="n">
        <v>1671</v>
      </c>
      <c r="E1365" s="12" t="s">
        <v>88</v>
      </c>
      <c r="F1365" s="10" t="n">
        <v>24</v>
      </c>
      <c r="G1365" s="12" t="s">
        <v>77</v>
      </c>
      <c r="H1365" s="10" t="n">
        <v>2110405</v>
      </c>
      <c r="I1365" s="12" t="s">
        <v>41</v>
      </c>
      <c r="J1365" s="10" t="n">
        <v>1567131</v>
      </c>
      <c r="L1365" s="10" t="n">
        <v>213983</v>
      </c>
      <c r="M1365" s="12" t="s">
        <v>83</v>
      </c>
      <c r="N1365" s="12" t="s">
        <v>35</v>
      </c>
      <c r="P1365" s="10" t="n">
        <v>113</v>
      </c>
      <c r="Q1365" s="12" t="s">
        <v>36</v>
      </c>
      <c r="R1365" s="12" t="s">
        <v>48</v>
      </c>
      <c r="S1365" s="10" t="n">
        <v>1130101</v>
      </c>
      <c r="T1365" s="12" t="s">
        <v>49</v>
      </c>
      <c r="U1365" s="13" t="n">
        <v>793.81</v>
      </c>
      <c r="W1365" s="13" t="n">
        <v>0</v>
      </c>
      <c r="X1365" s="12" t="s">
        <v>1229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2</v>
      </c>
      <c r="B1366" s="11" t="n">
        <v>46255</v>
      </c>
      <c r="C1366" s="11" t="n">
        <v>46268</v>
      </c>
      <c r="D1366" s="10" t="n">
        <v>1681</v>
      </c>
      <c r="E1366" s="12" t="s">
        <v>1269</v>
      </c>
      <c r="F1366" s="10" t="n">
        <v>24</v>
      </c>
      <c r="G1366" s="12" t="s">
        <v>77</v>
      </c>
      <c r="H1366" s="10" t="n">
        <v>2110405</v>
      </c>
      <c r="I1366" s="12" t="s">
        <v>41</v>
      </c>
      <c r="J1366" s="10" t="n">
        <v>1581162</v>
      </c>
      <c r="L1366" s="10" t="n">
        <v>216304</v>
      </c>
      <c r="M1366" s="12" t="s">
        <v>83</v>
      </c>
      <c r="N1366" s="12" t="s">
        <v>35</v>
      </c>
      <c r="P1366" s="10" t="n">
        <v>113</v>
      </c>
      <c r="Q1366" s="12" t="s">
        <v>36</v>
      </c>
      <c r="R1366" s="12" t="s">
        <v>48</v>
      </c>
      <c r="S1366" s="10" t="n">
        <v>1130101</v>
      </c>
      <c r="T1366" s="12" t="s">
        <v>49</v>
      </c>
      <c r="U1366" s="13" t="n">
        <v>2055.66</v>
      </c>
      <c r="W1366" s="13" t="n">
        <v>0</v>
      </c>
      <c r="X1366" s="12" t="s">
        <v>1270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2</v>
      </c>
      <c r="B1367" s="11" t="n">
        <v>46256</v>
      </c>
      <c r="C1367" s="11" t="n">
        <v>46268</v>
      </c>
      <c r="D1367" s="10" t="n">
        <v>1745</v>
      </c>
      <c r="E1367" s="12" t="s">
        <v>154</v>
      </c>
      <c r="F1367" s="10" t="n">
        <v>24</v>
      </c>
      <c r="G1367" s="12" t="s">
        <v>77</v>
      </c>
      <c r="H1367" s="10" t="n">
        <v>2110405</v>
      </c>
      <c r="I1367" s="12" t="s">
        <v>41</v>
      </c>
      <c r="J1367" s="10" t="n">
        <v>1585070</v>
      </c>
      <c r="L1367" s="10" t="n">
        <v>216839</v>
      </c>
      <c r="M1367" s="12" t="s">
        <v>83</v>
      </c>
      <c r="N1367" s="12" t="s">
        <v>35</v>
      </c>
      <c r="P1367" s="10" t="n">
        <v>113</v>
      </c>
      <c r="Q1367" s="12" t="s">
        <v>36</v>
      </c>
      <c r="R1367" s="12" t="s">
        <v>48</v>
      </c>
      <c r="S1367" s="10" t="n">
        <v>1130101</v>
      </c>
      <c r="T1367" s="12" t="s">
        <v>49</v>
      </c>
      <c r="U1367" s="13" t="n">
        <v>182.8</v>
      </c>
      <c r="W1367" s="13" t="n">
        <v>0</v>
      </c>
      <c r="X1367" s="12" t="s">
        <v>1271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10" t="n">
        <v>2</v>
      </c>
      <c r="B1368" s="11" t="n">
        <v>46209</v>
      </c>
      <c r="C1368" s="11" t="n">
        <v>46269</v>
      </c>
      <c r="D1368" s="10" t="n">
        <v>1768</v>
      </c>
      <c r="E1368" s="12" t="s">
        <v>345</v>
      </c>
      <c r="F1368" s="10" t="n">
        <v>34</v>
      </c>
      <c r="G1368" s="12" t="s">
        <v>97</v>
      </c>
      <c r="H1368" s="10" t="n">
        <v>1110202</v>
      </c>
      <c r="I1368" s="12" t="s">
        <v>346</v>
      </c>
      <c r="J1368" s="10" t="n">
        <v>628286</v>
      </c>
      <c r="L1368" s="10" t="n">
        <v>81552</v>
      </c>
      <c r="M1368" s="12" t="s">
        <v>34</v>
      </c>
      <c r="N1368" s="12" t="s">
        <v>35</v>
      </c>
      <c r="P1368" s="10" t="n">
        <v>102</v>
      </c>
      <c r="Q1368" s="12" t="s">
        <v>282</v>
      </c>
      <c r="R1368" s="12" t="s">
        <v>56</v>
      </c>
      <c r="S1368" s="10" t="n">
        <v>4210202</v>
      </c>
      <c r="T1368" s="12" t="s">
        <v>347</v>
      </c>
      <c r="U1368" s="13" t="n">
        <v>2431.5</v>
      </c>
      <c r="W1368" s="13" t="n">
        <v>0</v>
      </c>
      <c r="X1368" s="12" t="s">
        <v>348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10" t="n">
        <v>2</v>
      </c>
      <c r="B1369" s="11" t="n">
        <v>46238</v>
      </c>
      <c r="C1369" s="11" t="n">
        <v>46269</v>
      </c>
      <c r="D1369" s="10" t="n">
        <v>862</v>
      </c>
      <c r="E1369" s="12" t="s">
        <v>284</v>
      </c>
      <c r="F1369" s="10" t="n">
        <v>24</v>
      </c>
      <c r="G1369" s="12" t="s">
        <v>77</v>
      </c>
      <c r="H1369" s="10" t="n">
        <v>2110405</v>
      </c>
      <c r="I1369" s="12" t="s">
        <v>41</v>
      </c>
      <c r="J1369" s="10" t="n">
        <v>1498421</v>
      </c>
      <c r="L1369" s="10" t="n">
        <v>202608</v>
      </c>
      <c r="M1369" s="12" t="s">
        <v>74</v>
      </c>
      <c r="N1369" s="12" t="s">
        <v>35</v>
      </c>
      <c r="P1369" s="10" t="n">
        <v>101</v>
      </c>
      <c r="Q1369" s="12" t="s">
        <v>42</v>
      </c>
      <c r="R1369" s="12" t="s">
        <v>56</v>
      </c>
      <c r="S1369" s="10" t="n">
        <v>4210233</v>
      </c>
      <c r="T1369" s="12" t="s">
        <v>186</v>
      </c>
      <c r="U1369" s="13" t="n">
        <v>270.9</v>
      </c>
      <c r="W1369" s="13" t="n">
        <v>0</v>
      </c>
      <c r="X1369" s="12"/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10" t="n">
        <v>2</v>
      </c>
      <c r="B1370" s="11" t="n">
        <v>46247</v>
      </c>
      <c r="C1370" s="11" t="n">
        <v>46269</v>
      </c>
      <c r="D1370" s="10" t="n">
        <v>1136</v>
      </c>
      <c r="E1370" s="12" t="s">
        <v>1011</v>
      </c>
      <c r="F1370" s="10" t="n">
        <v>24</v>
      </c>
      <c r="G1370" s="12" t="s">
        <v>77</v>
      </c>
      <c r="H1370" s="10" t="n">
        <v>2110405</v>
      </c>
      <c r="I1370" s="12" t="s">
        <v>41</v>
      </c>
      <c r="J1370" s="10" t="n">
        <v>1543200</v>
      </c>
      <c r="L1370" s="10" t="n">
        <v>210474</v>
      </c>
      <c r="M1370" s="12" t="s">
        <v>83</v>
      </c>
      <c r="N1370" s="12" t="s">
        <v>35</v>
      </c>
      <c r="P1370" s="10" t="n">
        <v>113</v>
      </c>
      <c r="Q1370" s="12" t="s">
        <v>36</v>
      </c>
      <c r="R1370" s="12" t="s">
        <v>48</v>
      </c>
      <c r="S1370" s="10" t="n">
        <v>1130101</v>
      </c>
      <c r="T1370" s="12" t="s">
        <v>49</v>
      </c>
      <c r="U1370" s="13" t="n">
        <v>1393.49</v>
      </c>
      <c r="W1370" s="13" t="n">
        <v>0</v>
      </c>
      <c r="X1370" s="12" t="s">
        <v>1272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10" t="n">
        <v>2</v>
      </c>
      <c r="B1371" s="11" t="n">
        <v>46249</v>
      </c>
      <c r="C1371" s="11" t="n">
        <v>46269</v>
      </c>
      <c r="D1371" s="10" t="n">
        <v>1636</v>
      </c>
      <c r="E1371" s="12" t="s">
        <v>85</v>
      </c>
      <c r="F1371" s="10" t="n">
        <v>24</v>
      </c>
      <c r="G1371" s="12" t="s">
        <v>77</v>
      </c>
      <c r="H1371" s="10" t="n">
        <v>2110405</v>
      </c>
      <c r="I1371" s="12" t="s">
        <v>41</v>
      </c>
      <c r="J1371" s="10" t="n">
        <v>1551860</v>
      </c>
      <c r="L1371" s="10" t="n">
        <v>211776</v>
      </c>
      <c r="M1371" s="12" t="s">
        <v>83</v>
      </c>
      <c r="N1371" s="12" t="s">
        <v>35</v>
      </c>
      <c r="P1371" s="10" t="n">
        <v>113</v>
      </c>
      <c r="Q1371" s="12" t="s">
        <v>36</v>
      </c>
      <c r="R1371" s="12" t="s">
        <v>48</v>
      </c>
      <c r="S1371" s="10" t="n">
        <v>1130101</v>
      </c>
      <c r="T1371" s="12" t="s">
        <v>49</v>
      </c>
      <c r="U1371" s="13" t="n">
        <v>748.32</v>
      </c>
      <c r="W1371" s="13" t="n">
        <v>0</v>
      </c>
      <c r="X1371" s="12" t="s">
        <v>1273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2</v>
      </c>
      <c r="B1372" s="11" t="n">
        <v>46252</v>
      </c>
      <c r="C1372" s="11" t="n">
        <v>46269</v>
      </c>
      <c r="D1372" s="10" t="n">
        <v>1699</v>
      </c>
      <c r="E1372" s="12" t="s">
        <v>208</v>
      </c>
      <c r="F1372" s="10" t="n">
        <v>24</v>
      </c>
      <c r="G1372" s="12" t="s">
        <v>77</v>
      </c>
      <c r="H1372" s="10" t="n">
        <v>2110405</v>
      </c>
      <c r="I1372" s="12" t="s">
        <v>41</v>
      </c>
      <c r="J1372" s="10" t="n">
        <v>1568210</v>
      </c>
      <c r="L1372" s="10" t="n">
        <v>214139</v>
      </c>
      <c r="M1372" s="12" t="s">
        <v>83</v>
      </c>
      <c r="N1372" s="12" t="s">
        <v>35</v>
      </c>
      <c r="P1372" s="10" t="n">
        <v>113</v>
      </c>
      <c r="Q1372" s="12" t="s">
        <v>36</v>
      </c>
      <c r="R1372" s="12" t="s">
        <v>48</v>
      </c>
      <c r="S1372" s="10" t="n">
        <v>1130101</v>
      </c>
      <c r="T1372" s="12" t="s">
        <v>49</v>
      </c>
      <c r="U1372" s="13" t="n">
        <v>474.75</v>
      </c>
      <c r="W1372" s="13" t="n">
        <v>0</v>
      </c>
      <c r="X1372" s="12" t="s">
        <v>1234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2</v>
      </c>
      <c r="B1373" s="11" t="n">
        <v>46256</v>
      </c>
      <c r="C1373" s="11" t="n">
        <v>46269</v>
      </c>
      <c r="D1373" s="10" t="n">
        <v>1666</v>
      </c>
      <c r="E1373" s="12" t="s">
        <v>206</v>
      </c>
      <c r="F1373" s="10" t="n">
        <v>24</v>
      </c>
      <c r="G1373" s="12" t="s">
        <v>77</v>
      </c>
      <c r="H1373" s="10" t="n">
        <v>2110405</v>
      </c>
      <c r="I1373" s="12" t="s">
        <v>41</v>
      </c>
      <c r="J1373" s="10" t="n">
        <v>1585299</v>
      </c>
      <c r="L1373" s="10" t="n">
        <v>216889</v>
      </c>
      <c r="M1373" s="12" t="s">
        <v>83</v>
      </c>
      <c r="N1373" s="12" t="s">
        <v>35</v>
      </c>
      <c r="P1373" s="10" t="n">
        <v>113</v>
      </c>
      <c r="Q1373" s="12" t="s">
        <v>36</v>
      </c>
      <c r="R1373" s="12" t="s">
        <v>48</v>
      </c>
      <c r="S1373" s="10" t="n">
        <v>1130101</v>
      </c>
      <c r="T1373" s="12" t="s">
        <v>49</v>
      </c>
      <c r="U1373" s="13" t="n">
        <v>5720.74</v>
      </c>
      <c r="W1373" s="13" t="n">
        <v>0</v>
      </c>
      <c r="X1373" s="12" t="s">
        <v>1237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27.75" hidden="false" customHeight="true" outlineLevel="0" collapsed="false">
      <c r="A1374" s="10" t="n">
        <v>2</v>
      </c>
      <c r="B1374" s="11" t="n">
        <v>46244</v>
      </c>
      <c r="C1374" s="11" t="n">
        <v>46270</v>
      </c>
      <c r="D1374" s="10" t="n">
        <v>33</v>
      </c>
      <c r="E1374" s="12" t="s">
        <v>272</v>
      </c>
      <c r="F1374" s="10" t="n">
        <v>34</v>
      </c>
      <c r="G1374" s="12" t="s">
        <v>97</v>
      </c>
      <c r="H1374" s="10" t="n">
        <v>2110405</v>
      </c>
      <c r="I1374" s="12" t="s">
        <v>41</v>
      </c>
      <c r="J1374" s="10" t="n">
        <v>1530158</v>
      </c>
      <c r="L1374" s="10" t="n">
        <v>208205</v>
      </c>
      <c r="M1374" s="12" t="s">
        <v>83</v>
      </c>
      <c r="N1374" s="12" t="s">
        <v>35</v>
      </c>
      <c r="P1374" s="10" t="n">
        <v>101</v>
      </c>
      <c r="Q1374" s="12" t="s">
        <v>42</v>
      </c>
      <c r="R1374" s="12" t="s">
        <v>100</v>
      </c>
      <c r="S1374" s="10" t="n">
        <v>4210301</v>
      </c>
      <c r="T1374" s="12" t="s">
        <v>230</v>
      </c>
      <c r="U1374" s="13" t="n">
        <v>250.1</v>
      </c>
      <c r="W1374" s="13" t="n">
        <v>0</v>
      </c>
      <c r="X1374" s="12" t="s">
        <v>1274</v>
      </c>
      <c r="Z1374" s="1" t="str">
        <f aca="false">IF($T1374="","",IFERROR(INDEX('Resumo Grupos'!$AC$3:$AC$200,MATCH($T1374,'Resumo Grupos'!$AB$3:$AB$200,0)),"n/d"))</f>
        <v>Salários</v>
      </c>
      <c r="AA1374" s="1" t="str">
        <f aca="false">IF($T1374="","",IF(COUNTIF('Resumo Grupos'!$AE$3:$AE$40,$T1374)&gt;0,"NAO","SIM"))</f>
        <v>SIM</v>
      </c>
    </row>
    <row r="1375" customFormat="false" ht="54.75" hidden="false" customHeight="true" outlineLevel="0" collapsed="false">
      <c r="A1375" s="10" t="n">
        <v>2</v>
      </c>
      <c r="B1375" s="11" t="n">
        <v>46248</v>
      </c>
      <c r="C1375" s="11" t="n">
        <v>46270</v>
      </c>
      <c r="D1375" s="10" t="n">
        <v>1718</v>
      </c>
      <c r="E1375" s="12" t="s">
        <v>199</v>
      </c>
      <c r="F1375" s="10" t="n">
        <v>24</v>
      </c>
      <c r="G1375" s="12" t="s">
        <v>77</v>
      </c>
      <c r="H1375" s="10" t="n">
        <v>2110405</v>
      </c>
      <c r="I1375" s="12" t="s">
        <v>41</v>
      </c>
      <c r="J1375" s="10" t="n">
        <v>1547755</v>
      </c>
      <c r="L1375" s="10" t="n">
        <v>211394</v>
      </c>
      <c r="M1375" s="12" t="s">
        <v>83</v>
      </c>
      <c r="N1375" s="12" t="s">
        <v>35</v>
      </c>
      <c r="P1375" s="10" t="n">
        <v>113</v>
      </c>
      <c r="Q1375" s="12" t="s">
        <v>36</v>
      </c>
      <c r="R1375" s="12" t="s">
        <v>48</v>
      </c>
      <c r="S1375" s="10" t="n">
        <v>1130101</v>
      </c>
      <c r="T1375" s="12" t="s">
        <v>49</v>
      </c>
      <c r="U1375" s="13" t="n">
        <v>706.56</v>
      </c>
      <c r="W1375" s="13" t="n">
        <v>0</v>
      </c>
      <c r="X1375" s="12" t="s">
        <v>1238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63.75" hidden="false" customHeight="true" outlineLevel="0" collapsed="false">
      <c r="A1376" s="10" t="n">
        <v>2</v>
      </c>
      <c r="B1376" s="11" t="n">
        <v>46249</v>
      </c>
      <c r="C1376" s="11" t="n">
        <v>46270</v>
      </c>
      <c r="D1376" s="10" t="n">
        <v>1718</v>
      </c>
      <c r="E1376" s="12" t="s">
        <v>199</v>
      </c>
      <c r="F1376" s="10" t="n">
        <v>24</v>
      </c>
      <c r="G1376" s="12" t="s">
        <v>77</v>
      </c>
      <c r="H1376" s="10" t="n">
        <v>2110405</v>
      </c>
      <c r="I1376" s="12" t="s">
        <v>41</v>
      </c>
      <c r="J1376" s="10" t="n">
        <v>1551498</v>
      </c>
      <c r="L1376" s="10" t="n">
        <v>211718</v>
      </c>
      <c r="M1376" s="12" t="s">
        <v>83</v>
      </c>
      <c r="N1376" s="12" t="s">
        <v>35</v>
      </c>
      <c r="P1376" s="10" t="n">
        <v>113</v>
      </c>
      <c r="Q1376" s="12" t="s">
        <v>36</v>
      </c>
      <c r="R1376" s="12" t="s">
        <v>48</v>
      </c>
      <c r="S1376" s="10" t="n">
        <v>1130101</v>
      </c>
      <c r="T1376" s="12" t="s">
        <v>49</v>
      </c>
      <c r="U1376" s="13" t="n">
        <v>1422.67</v>
      </c>
      <c r="W1376" s="13" t="n">
        <v>0</v>
      </c>
      <c r="X1376" s="12" t="s">
        <v>1239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2</v>
      </c>
      <c r="B1377" s="11" t="n">
        <v>46232</v>
      </c>
      <c r="C1377" s="11" t="n">
        <v>46272</v>
      </c>
      <c r="D1377" s="10" t="n">
        <v>1932</v>
      </c>
      <c r="E1377" s="12" t="s">
        <v>256</v>
      </c>
      <c r="F1377" s="10" t="n">
        <v>34</v>
      </c>
      <c r="G1377" s="12" t="s">
        <v>97</v>
      </c>
      <c r="H1377" s="10" t="n">
        <v>2110405</v>
      </c>
      <c r="I1377" s="12" t="s">
        <v>41</v>
      </c>
      <c r="J1377" s="10" t="n">
        <v>1469462</v>
      </c>
      <c r="L1377" s="10" t="n">
        <v>199057</v>
      </c>
      <c r="M1377" s="12" t="s">
        <v>74</v>
      </c>
      <c r="N1377" s="12" t="s">
        <v>35</v>
      </c>
      <c r="P1377" s="10" t="n">
        <v>101</v>
      </c>
      <c r="Q1377" s="12" t="s">
        <v>42</v>
      </c>
      <c r="R1377" s="12" t="s">
        <v>100</v>
      </c>
      <c r="S1377" s="10" t="n">
        <v>4210315</v>
      </c>
      <c r="T1377" s="12" t="s">
        <v>257</v>
      </c>
      <c r="U1377" s="13" t="n">
        <v>119.97</v>
      </c>
      <c r="W1377" s="13" t="n">
        <v>0</v>
      </c>
      <c r="X1377" s="12" t="s">
        <v>1043</v>
      </c>
      <c r="Z1377" s="1" t="str">
        <f aca="false">IF($T1377="","",IFERROR(INDEX('Resumo Grupos'!$AC$3:$AC$200,MATCH($T1377,'Resumo Grupos'!$AB$3:$AB$200,0)),"n/d"))</f>
        <v>Despesa</v>
      </c>
      <c r="AA1377" s="1" t="str">
        <f aca="false">IF($T1377="","",IF(COUNTIF('Resumo Grupos'!$AE$3:$AE$40,$T1377)&gt;0,"NAO","SIM"))</f>
        <v>SIM</v>
      </c>
    </row>
    <row r="1378" customFormat="false" ht="91.5" hidden="false" customHeight="true" outlineLevel="0" collapsed="false">
      <c r="A1378" s="10" t="n">
        <v>2</v>
      </c>
      <c r="B1378" s="11" t="n">
        <v>46246</v>
      </c>
      <c r="C1378" s="11" t="n">
        <v>46272</v>
      </c>
      <c r="D1378" s="10" t="n">
        <v>1668</v>
      </c>
      <c r="E1378" s="12" t="s">
        <v>123</v>
      </c>
      <c r="F1378" s="10" t="n">
        <v>24</v>
      </c>
      <c r="G1378" s="12" t="s">
        <v>77</v>
      </c>
      <c r="H1378" s="10" t="n">
        <v>2110405</v>
      </c>
      <c r="I1378" s="12" t="s">
        <v>41</v>
      </c>
      <c r="J1378" s="10" t="n">
        <v>1534508</v>
      </c>
      <c r="L1378" s="10" t="n">
        <v>209393</v>
      </c>
      <c r="M1378" s="12" t="s">
        <v>83</v>
      </c>
      <c r="N1378" s="12" t="s">
        <v>35</v>
      </c>
      <c r="P1378" s="10" t="n">
        <v>113</v>
      </c>
      <c r="Q1378" s="12" t="s">
        <v>36</v>
      </c>
      <c r="R1378" s="12" t="s">
        <v>48</v>
      </c>
      <c r="S1378" s="10" t="n">
        <v>1130101</v>
      </c>
      <c r="T1378" s="12" t="s">
        <v>49</v>
      </c>
      <c r="U1378" s="13" t="n">
        <v>509.85</v>
      </c>
      <c r="W1378" s="13" t="n">
        <v>0</v>
      </c>
      <c r="X1378" s="12" t="s">
        <v>1275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36.75" hidden="false" customHeight="true" outlineLevel="0" collapsed="false">
      <c r="A1379" s="10" t="n">
        <v>2</v>
      </c>
      <c r="B1379" s="11" t="n">
        <v>46247</v>
      </c>
      <c r="C1379" s="11" t="n">
        <v>46272</v>
      </c>
      <c r="D1379" s="10" t="n">
        <v>1671</v>
      </c>
      <c r="E1379" s="12" t="s">
        <v>88</v>
      </c>
      <c r="F1379" s="10" t="n">
        <v>24</v>
      </c>
      <c r="G1379" s="12" t="s">
        <v>77</v>
      </c>
      <c r="H1379" s="10" t="n">
        <v>2110405</v>
      </c>
      <c r="I1379" s="12" t="s">
        <v>41</v>
      </c>
      <c r="J1379" s="10" t="n">
        <v>1543021</v>
      </c>
      <c r="L1379" s="10" t="n">
        <v>210470</v>
      </c>
      <c r="M1379" s="12" t="s">
        <v>83</v>
      </c>
      <c r="N1379" s="12" t="s">
        <v>35</v>
      </c>
      <c r="P1379" s="10" t="n">
        <v>113</v>
      </c>
      <c r="Q1379" s="12" t="s">
        <v>36</v>
      </c>
      <c r="R1379" s="12" t="s">
        <v>48</v>
      </c>
      <c r="S1379" s="10" t="n">
        <v>1130101</v>
      </c>
      <c r="T1379" s="12" t="s">
        <v>49</v>
      </c>
      <c r="U1379" s="13" t="n">
        <v>271.2</v>
      </c>
      <c r="W1379" s="13" t="n">
        <v>0</v>
      </c>
      <c r="X1379" s="12" t="s">
        <v>1276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54.75" hidden="false" customHeight="true" outlineLevel="0" collapsed="false">
      <c r="A1380" s="10" t="n">
        <v>2</v>
      </c>
      <c r="B1380" s="11" t="n">
        <v>46251</v>
      </c>
      <c r="C1380" s="11" t="n">
        <v>46272</v>
      </c>
      <c r="D1380" s="10" t="n">
        <v>1921</v>
      </c>
      <c r="E1380" s="12" t="s">
        <v>166</v>
      </c>
      <c r="F1380" s="10" t="n">
        <v>24</v>
      </c>
      <c r="G1380" s="12" t="s">
        <v>77</v>
      </c>
      <c r="H1380" s="10" t="n">
        <v>2110405</v>
      </c>
      <c r="I1380" s="12" t="s">
        <v>41</v>
      </c>
      <c r="J1380" s="10" t="n">
        <v>1562668</v>
      </c>
      <c r="L1380" s="10" t="n">
        <v>213270</v>
      </c>
      <c r="M1380" s="12" t="s">
        <v>83</v>
      </c>
      <c r="N1380" s="12" t="s">
        <v>35</v>
      </c>
      <c r="P1380" s="10" t="n">
        <v>113</v>
      </c>
      <c r="Q1380" s="12" t="s">
        <v>36</v>
      </c>
      <c r="R1380" s="12" t="s">
        <v>48</v>
      </c>
      <c r="S1380" s="10" t="n">
        <v>1130101</v>
      </c>
      <c r="T1380" s="12" t="s">
        <v>49</v>
      </c>
      <c r="U1380" s="13" t="n">
        <v>691.91</v>
      </c>
      <c r="W1380" s="13" t="n">
        <v>0</v>
      </c>
      <c r="X1380" s="12" t="s">
        <v>1277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36.75" hidden="false" customHeight="true" outlineLevel="0" collapsed="false">
      <c r="A1381" s="10" t="n">
        <v>2</v>
      </c>
      <c r="B1381" s="11" t="n">
        <v>46251</v>
      </c>
      <c r="C1381" s="11" t="n">
        <v>46272</v>
      </c>
      <c r="D1381" s="10" t="n">
        <v>1636</v>
      </c>
      <c r="E1381" s="12" t="s">
        <v>85</v>
      </c>
      <c r="F1381" s="10" t="n">
        <v>24</v>
      </c>
      <c r="G1381" s="12" t="s">
        <v>77</v>
      </c>
      <c r="H1381" s="10" t="n">
        <v>2110405</v>
      </c>
      <c r="I1381" s="12" t="s">
        <v>41</v>
      </c>
      <c r="J1381" s="10" t="n">
        <v>1562691</v>
      </c>
      <c r="L1381" s="10" t="n">
        <v>213277</v>
      </c>
      <c r="M1381" s="12" t="s">
        <v>83</v>
      </c>
      <c r="N1381" s="12" t="s">
        <v>35</v>
      </c>
      <c r="P1381" s="10" t="n">
        <v>113</v>
      </c>
      <c r="Q1381" s="12" t="s">
        <v>36</v>
      </c>
      <c r="R1381" s="12" t="s">
        <v>48</v>
      </c>
      <c r="S1381" s="10" t="n">
        <v>1130101</v>
      </c>
      <c r="T1381" s="12" t="s">
        <v>49</v>
      </c>
      <c r="U1381" s="13" t="n">
        <v>1352.12</v>
      </c>
      <c r="W1381" s="13" t="n">
        <v>0</v>
      </c>
      <c r="X1381" s="12" t="s">
        <v>1278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36.75" hidden="false" customHeight="true" outlineLevel="0" collapsed="false">
      <c r="A1382" s="10" t="n">
        <v>2</v>
      </c>
      <c r="B1382" s="11" t="n">
        <v>46253</v>
      </c>
      <c r="C1382" s="11" t="n">
        <v>46272</v>
      </c>
      <c r="D1382" s="10" t="n">
        <v>1616</v>
      </c>
      <c r="E1382" s="12" t="s">
        <v>80</v>
      </c>
      <c r="F1382" s="10" t="n">
        <v>24</v>
      </c>
      <c r="G1382" s="12" t="s">
        <v>77</v>
      </c>
      <c r="H1382" s="10" t="n">
        <v>2110405</v>
      </c>
      <c r="I1382" s="12" t="s">
        <v>41</v>
      </c>
      <c r="J1382" s="10" t="n">
        <v>1570979</v>
      </c>
      <c r="L1382" s="10" t="n">
        <v>214492</v>
      </c>
      <c r="M1382" s="12" t="s">
        <v>83</v>
      </c>
      <c r="N1382" s="12" t="s">
        <v>35</v>
      </c>
      <c r="P1382" s="10" t="n">
        <v>113</v>
      </c>
      <c r="Q1382" s="12" t="s">
        <v>36</v>
      </c>
      <c r="R1382" s="12" t="s">
        <v>48</v>
      </c>
      <c r="S1382" s="10" t="n">
        <v>1130101</v>
      </c>
      <c r="T1382" s="12" t="s">
        <v>49</v>
      </c>
      <c r="U1382" s="13" t="n">
        <v>606.56</v>
      </c>
      <c r="W1382" s="13" t="n">
        <v>0</v>
      </c>
      <c r="X1382" s="12" t="s">
        <v>1244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6.75" hidden="false" customHeight="true" outlineLevel="0" collapsed="false">
      <c r="A1383" s="10" t="n">
        <v>2</v>
      </c>
      <c r="B1383" s="11" t="n">
        <v>46253</v>
      </c>
      <c r="C1383" s="11" t="n">
        <v>46272</v>
      </c>
      <c r="D1383" s="10" t="n">
        <v>616</v>
      </c>
      <c r="E1383" s="12" t="s">
        <v>818</v>
      </c>
      <c r="F1383" s="10" t="n">
        <v>24</v>
      </c>
      <c r="G1383" s="12" t="s">
        <v>77</v>
      </c>
      <c r="H1383" s="10" t="n">
        <v>2110405</v>
      </c>
      <c r="I1383" s="12" t="s">
        <v>41</v>
      </c>
      <c r="J1383" s="10" t="n">
        <v>1572199</v>
      </c>
      <c r="L1383" s="10" t="n">
        <v>214772</v>
      </c>
      <c r="M1383" s="12" t="s">
        <v>83</v>
      </c>
      <c r="N1383" s="12" t="s">
        <v>35</v>
      </c>
      <c r="P1383" s="10" t="n">
        <v>113</v>
      </c>
      <c r="Q1383" s="12" t="s">
        <v>36</v>
      </c>
      <c r="R1383" s="12" t="s">
        <v>48</v>
      </c>
      <c r="S1383" s="10" t="n">
        <v>1130101</v>
      </c>
      <c r="T1383" s="12" t="s">
        <v>49</v>
      </c>
      <c r="U1383" s="13" t="n">
        <v>983.76</v>
      </c>
      <c r="W1383" s="13" t="n">
        <v>0</v>
      </c>
      <c r="X1383" s="12" t="s">
        <v>1279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45.75" hidden="false" customHeight="true" outlineLevel="0" collapsed="false">
      <c r="A1384" s="10" t="n">
        <v>2</v>
      </c>
      <c r="B1384" s="11" t="n">
        <v>46254</v>
      </c>
      <c r="C1384" s="11" t="n">
        <v>46272</v>
      </c>
      <c r="D1384" s="10" t="n">
        <v>10012</v>
      </c>
      <c r="E1384" s="12" t="s">
        <v>160</v>
      </c>
      <c r="F1384" s="10" t="n">
        <v>24</v>
      </c>
      <c r="G1384" s="12" t="s">
        <v>77</v>
      </c>
      <c r="H1384" s="10" t="n">
        <v>2110405</v>
      </c>
      <c r="I1384" s="12" t="s">
        <v>41</v>
      </c>
      <c r="J1384" s="10" t="n">
        <v>1577216</v>
      </c>
      <c r="L1384" s="10" t="n">
        <v>215616</v>
      </c>
      <c r="M1384" s="12" t="s">
        <v>83</v>
      </c>
      <c r="N1384" s="12" t="s">
        <v>35</v>
      </c>
      <c r="P1384" s="10" t="n">
        <v>113</v>
      </c>
      <c r="Q1384" s="12" t="s">
        <v>36</v>
      </c>
      <c r="R1384" s="12" t="s">
        <v>48</v>
      </c>
      <c r="S1384" s="10" t="n">
        <v>1130101</v>
      </c>
      <c r="T1384" s="12" t="s">
        <v>49</v>
      </c>
      <c r="U1384" s="13" t="n">
        <v>521.58</v>
      </c>
      <c r="W1384" s="13" t="n">
        <v>0</v>
      </c>
      <c r="X1384" s="12" t="s">
        <v>1280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10" t="n">
        <v>2</v>
      </c>
      <c r="B1385" s="11" t="n">
        <v>46239</v>
      </c>
      <c r="C1385" s="11" t="n">
        <v>46273</v>
      </c>
      <c r="D1385" s="10" t="n">
        <v>1637</v>
      </c>
      <c r="E1385" s="12" t="s">
        <v>764</v>
      </c>
      <c r="F1385" s="10" t="n">
        <v>24</v>
      </c>
      <c r="G1385" s="12" t="s">
        <v>77</v>
      </c>
      <c r="H1385" s="10" t="n">
        <v>1110203</v>
      </c>
      <c r="I1385" s="12" t="s">
        <v>108</v>
      </c>
      <c r="J1385" s="10" t="n">
        <v>1503931</v>
      </c>
      <c r="L1385" s="10" t="n">
        <v>204198</v>
      </c>
      <c r="M1385" s="12" t="s">
        <v>83</v>
      </c>
      <c r="N1385" s="12" t="s">
        <v>35</v>
      </c>
      <c r="P1385" s="10" t="n">
        <v>113</v>
      </c>
      <c r="Q1385" s="12" t="s">
        <v>36</v>
      </c>
      <c r="R1385" s="12" t="s">
        <v>48</v>
      </c>
      <c r="S1385" s="10" t="n">
        <v>1130101</v>
      </c>
      <c r="T1385" s="12" t="s">
        <v>49</v>
      </c>
      <c r="U1385" s="13" t="n">
        <v>1184.7</v>
      </c>
      <c r="W1385" s="13" t="n">
        <v>0</v>
      </c>
      <c r="X1385" s="12" t="s">
        <v>1281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10" t="n">
        <v>2</v>
      </c>
      <c r="B1386" s="11" t="n">
        <v>46251</v>
      </c>
      <c r="C1386" s="11" t="n">
        <v>46273</v>
      </c>
      <c r="D1386" s="10" t="n">
        <v>10017</v>
      </c>
      <c r="E1386" s="12" t="s">
        <v>168</v>
      </c>
      <c r="F1386" s="10" t="n">
        <v>24</v>
      </c>
      <c r="G1386" s="12" t="s">
        <v>77</v>
      </c>
      <c r="H1386" s="10" t="n">
        <v>2110405</v>
      </c>
      <c r="I1386" s="12" t="s">
        <v>41</v>
      </c>
      <c r="J1386" s="10" t="n">
        <v>1561245</v>
      </c>
      <c r="L1386" s="10" t="n">
        <v>212996</v>
      </c>
      <c r="M1386" s="12" t="s">
        <v>83</v>
      </c>
      <c r="N1386" s="12" t="s">
        <v>35</v>
      </c>
      <c r="P1386" s="10" t="n">
        <v>113</v>
      </c>
      <c r="Q1386" s="12" t="s">
        <v>36</v>
      </c>
      <c r="R1386" s="12" t="s">
        <v>48</v>
      </c>
      <c r="S1386" s="10" t="n">
        <v>1130101</v>
      </c>
      <c r="T1386" s="12" t="s">
        <v>49</v>
      </c>
      <c r="U1386" s="13" t="n">
        <v>599.85</v>
      </c>
      <c r="W1386" s="13" t="n">
        <v>0</v>
      </c>
      <c r="X1386" s="12" t="s">
        <v>1252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36.75" hidden="false" customHeight="true" outlineLevel="0" collapsed="false">
      <c r="A1387" s="10" t="n">
        <v>2</v>
      </c>
      <c r="B1387" s="11" t="n">
        <v>46252</v>
      </c>
      <c r="C1387" s="11" t="n">
        <v>46273</v>
      </c>
      <c r="D1387" s="10" t="n">
        <v>1697</v>
      </c>
      <c r="E1387" s="12" t="s">
        <v>684</v>
      </c>
      <c r="F1387" s="10" t="n">
        <v>24</v>
      </c>
      <c r="G1387" s="12" t="s">
        <v>77</v>
      </c>
      <c r="H1387" s="10" t="n">
        <v>2110405</v>
      </c>
      <c r="I1387" s="12" t="s">
        <v>41</v>
      </c>
      <c r="J1387" s="10" t="n">
        <v>1566729</v>
      </c>
      <c r="L1387" s="10" t="n">
        <v>213867</v>
      </c>
      <c r="M1387" s="12" t="s">
        <v>83</v>
      </c>
      <c r="N1387" s="12" t="s">
        <v>35</v>
      </c>
      <c r="P1387" s="10" t="n">
        <v>113</v>
      </c>
      <c r="Q1387" s="12" t="s">
        <v>36</v>
      </c>
      <c r="R1387" s="12" t="s">
        <v>48</v>
      </c>
      <c r="S1387" s="10" t="n">
        <v>1130101</v>
      </c>
      <c r="T1387" s="12" t="s">
        <v>49</v>
      </c>
      <c r="U1387" s="13" t="n">
        <v>584.64</v>
      </c>
      <c r="W1387" s="13" t="n">
        <v>0</v>
      </c>
      <c r="X1387" s="12" t="s">
        <v>1253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10" t="n">
        <v>2</v>
      </c>
      <c r="B1388" s="11" t="n">
        <v>46252</v>
      </c>
      <c r="C1388" s="11" t="n">
        <v>46273</v>
      </c>
      <c r="D1388" s="10" t="n">
        <v>1711</v>
      </c>
      <c r="E1388" s="12" t="s">
        <v>1255</v>
      </c>
      <c r="F1388" s="10" t="n">
        <v>24</v>
      </c>
      <c r="G1388" s="12" t="s">
        <v>77</v>
      </c>
      <c r="H1388" s="10" t="n">
        <v>2110405</v>
      </c>
      <c r="I1388" s="12" t="s">
        <v>41</v>
      </c>
      <c r="J1388" s="10" t="n">
        <v>1568092</v>
      </c>
      <c r="L1388" s="10" t="n">
        <v>214110</v>
      </c>
      <c r="M1388" s="12" t="s">
        <v>83</v>
      </c>
      <c r="N1388" s="12" t="s">
        <v>35</v>
      </c>
      <c r="P1388" s="10" t="n">
        <v>113</v>
      </c>
      <c r="Q1388" s="12" t="s">
        <v>36</v>
      </c>
      <c r="R1388" s="12" t="s">
        <v>48</v>
      </c>
      <c r="S1388" s="10" t="n">
        <v>1130101</v>
      </c>
      <c r="T1388" s="12" t="s">
        <v>49</v>
      </c>
      <c r="U1388" s="13" t="n">
        <v>645.71</v>
      </c>
      <c r="W1388" s="13" t="n">
        <v>0</v>
      </c>
      <c r="X1388" s="12" t="s">
        <v>1256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10" t="n">
        <v>2</v>
      </c>
      <c r="B1389" s="11" t="n">
        <v>46253</v>
      </c>
      <c r="C1389" s="11" t="n">
        <v>46273</v>
      </c>
      <c r="D1389" s="10" t="n">
        <v>1708</v>
      </c>
      <c r="E1389" s="12" t="s">
        <v>245</v>
      </c>
      <c r="F1389" s="10" t="n">
        <v>24</v>
      </c>
      <c r="G1389" s="12" t="s">
        <v>77</v>
      </c>
      <c r="H1389" s="10" t="n">
        <v>2110405</v>
      </c>
      <c r="I1389" s="12" t="s">
        <v>41</v>
      </c>
      <c r="J1389" s="10" t="n">
        <v>1572971</v>
      </c>
      <c r="L1389" s="10" t="n">
        <v>214927</v>
      </c>
      <c r="M1389" s="12" t="s">
        <v>83</v>
      </c>
      <c r="N1389" s="12" t="s">
        <v>35</v>
      </c>
      <c r="P1389" s="10" t="n">
        <v>113</v>
      </c>
      <c r="Q1389" s="12" t="s">
        <v>36</v>
      </c>
      <c r="R1389" s="12" t="s">
        <v>48</v>
      </c>
      <c r="S1389" s="10" t="n">
        <v>1130101</v>
      </c>
      <c r="T1389" s="12" t="s">
        <v>49</v>
      </c>
      <c r="U1389" s="13" t="n">
        <v>548.18</v>
      </c>
      <c r="W1389" s="13" t="n">
        <v>0</v>
      </c>
      <c r="X1389" s="12" t="s">
        <v>1258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46254</v>
      </c>
      <c r="C1390" s="11" t="n">
        <v>46273</v>
      </c>
      <c r="D1390" s="10" t="n">
        <v>967</v>
      </c>
      <c r="E1390" s="12" t="s">
        <v>1259</v>
      </c>
      <c r="F1390" s="10" t="n">
        <v>24</v>
      </c>
      <c r="G1390" s="12" t="s">
        <v>77</v>
      </c>
      <c r="H1390" s="10" t="n">
        <v>2110405</v>
      </c>
      <c r="I1390" s="12" t="s">
        <v>41</v>
      </c>
      <c r="J1390" s="10" t="n">
        <v>1576162</v>
      </c>
      <c r="L1390" s="10" t="n">
        <v>215378</v>
      </c>
      <c r="M1390" s="12" t="s">
        <v>83</v>
      </c>
      <c r="N1390" s="12" t="s">
        <v>35</v>
      </c>
      <c r="P1390" s="10" t="n">
        <v>113</v>
      </c>
      <c r="Q1390" s="12" t="s">
        <v>36</v>
      </c>
      <c r="R1390" s="12" t="s">
        <v>48</v>
      </c>
      <c r="S1390" s="10" t="n">
        <v>1130101</v>
      </c>
      <c r="T1390" s="12" t="s">
        <v>49</v>
      </c>
      <c r="U1390" s="13" t="n">
        <v>421</v>
      </c>
      <c r="W1390" s="13" t="n">
        <v>0</v>
      </c>
      <c r="X1390" s="12" t="s">
        <v>1260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10" t="n">
        <v>2</v>
      </c>
      <c r="B1391" s="11" t="n">
        <v>46246</v>
      </c>
      <c r="C1391" s="11" t="n">
        <v>46274</v>
      </c>
      <c r="D1391" s="10" t="n">
        <v>1608</v>
      </c>
      <c r="E1391" s="12" t="s">
        <v>201</v>
      </c>
      <c r="F1391" s="10" t="n">
        <v>24</v>
      </c>
      <c r="G1391" s="12" t="s">
        <v>77</v>
      </c>
      <c r="H1391" s="10" t="n">
        <v>2110405</v>
      </c>
      <c r="I1391" s="12" t="s">
        <v>41</v>
      </c>
      <c r="J1391" s="10" t="n">
        <v>1534806</v>
      </c>
      <c r="L1391" s="10" t="n">
        <v>209429</v>
      </c>
      <c r="M1391" s="12" t="s">
        <v>83</v>
      </c>
      <c r="N1391" s="12" t="s">
        <v>35</v>
      </c>
      <c r="P1391" s="10" t="n">
        <v>113</v>
      </c>
      <c r="Q1391" s="12" t="s">
        <v>36</v>
      </c>
      <c r="R1391" s="12" t="s">
        <v>48</v>
      </c>
      <c r="S1391" s="10" t="n">
        <v>1130101</v>
      </c>
      <c r="T1391" s="12" t="s">
        <v>49</v>
      </c>
      <c r="U1391" s="13" t="n">
        <v>1279.58</v>
      </c>
      <c r="W1391" s="13" t="n">
        <v>0</v>
      </c>
      <c r="X1391" s="12" t="s">
        <v>1216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10" t="n">
        <v>2</v>
      </c>
      <c r="B1392" s="11" t="n">
        <v>46247</v>
      </c>
      <c r="C1392" s="11" t="n">
        <v>46274</v>
      </c>
      <c r="D1392" s="10" t="n">
        <v>1624</v>
      </c>
      <c r="E1392" s="12" t="s">
        <v>300</v>
      </c>
      <c r="F1392" s="10" t="n">
        <v>24</v>
      </c>
      <c r="G1392" s="12" t="s">
        <v>77</v>
      </c>
      <c r="H1392" s="10" t="n">
        <v>2110405</v>
      </c>
      <c r="I1392" s="12" t="s">
        <v>41</v>
      </c>
      <c r="J1392" s="10" t="n">
        <v>1543917</v>
      </c>
      <c r="L1392" s="10" t="n">
        <v>210534</v>
      </c>
      <c r="M1392" s="12" t="s">
        <v>83</v>
      </c>
      <c r="N1392" s="12" t="s">
        <v>35</v>
      </c>
      <c r="P1392" s="10" t="n">
        <v>113</v>
      </c>
      <c r="Q1392" s="12" t="s">
        <v>36</v>
      </c>
      <c r="R1392" s="12" t="s">
        <v>48</v>
      </c>
      <c r="S1392" s="10" t="n">
        <v>1130101</v>
      </c>
      <c r="T1392" s="12" t="s">
        <v>49</v>
      </c>
      <c r="U1392" s="13" t="n">
        <v>830.13</v>
      </c>
      <c r="W1392" s="13" t="n">
        <v>0</v>
      </c>
      <c r="X1392" s="12" t="s">
        <v>1264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10" t="n">
        <v>2</v>
      </c>
      <c r="B1393" s="11" t="n">
        <v>46252</v>
      </c>
      <c r="C1393" s="11" t="n">
        <v>46274</v>
      </c>
      <c r="D1393" s="10" t="n">
        <v>1612</v>
      </c>
      <c r="E1393" s="12" t="s">
        <v>76</v>
      </c>
      <c r="F1393" s="10" t="n">
        <v>24</v>
      </c>
      <c r="G1393" s="12" t="s">
        <v>77</v>
      </c>
      <c r="H1393" s="10" t="n">
        <v>2110405</v>
      </c>
      <c r="I1393" s="12" t="s">
        <v>41</v>
      </c>
      <c r="J1393" s="10" t="n">
        <v>1567419</v>
      </c>
      <c r="L1393" s="10" t="n">
        <v>214024</v>
      </c>
      <c r="M1393" s="12" t="s">
        <v>83</v>
      </c>
      <c r="N1393" s="12" t="s">
        <v>35</v>
      </c>
      <c r="P1393" s="10" t="n">
        <v>113</v>
      </c>
      <c r="Q1393" s="12" t="s">
        <v>36</v>
      </c>
      <c r="R1393" s="12" t="s">
        <v>48</v>
      </c>
      <c r="S1393" s="10" t="n">
        <v>1130101</v>
      </c>
      <c r="T1393" s="12" t="s">
        <v>49</v>
      </c>
      <c r="U1393" s="13" t="n">
        <v>1154.65</v>
      </c>
      <c r="W1393" s="13" t="n">
        <v>0</v>
      </c>
      <c r="X1393" s="12" t="s">
        <v>1262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10" t="n">
        <v>2</v>
      </c>
      <c r="B1394" s="11" t="n">
        <v>46191</v>
      </c>
      <c r="C1394" s="11" t="n">
        <v>46275</v>
      </c>
      <c r="D1394" s="10" t="n">
        <v>957</v>
      </c>
      <c r="E1394" s="12" t="s">
        <v>554</v>
      </c>
      <c r="F1394" s="10" t="n">
        <v>24</v>
      </c>
      <c r="G1394" s="12" t="s">
        <v>77</v>
      </c>
      <c r="H1394" s="10" t="n">
        <v>2110101</v>
      </c>
      <c r="I1394" s="12" t="s">
        <v>33</v>
      </c>
      <c r="J1394" s="10" t="n">
        <v>1268715</v>
      </c>
      <c r="L1394" s="10" t="n">
        <v>20440</v>
      </c>
      <c r="M1394" s="12" t="s">
        <v>83</v>
      </c>
      <c r="N1394" s="12" t="s">
        <v>54</v>
      </c>
      <c r="P1394" s="10" t="n">
        <v>113</v>
      </c>
      <c r="Q1394" s="12" t="s">
        <v>36</v>
      </c>
      <c r="R1394" s="12" t="s">
        <v>48</v>
      </c>
      <c r="S1394" s="10" t="n">
        <v>1130101</v>
      </c>
      <c r="T1394" s="12" t="s">
        <v>49</v>
      </c>
      <c r="U1394" s="13" t="n">
        <v>128.85</v>
      </c>
      <c r="W1394" s="13" t="n">
        <v>0</v>
      </c>
      <c r="X1394" s="12" t="s">
        <v>1282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10" t="n">
        <v>2</v>
      </c>
      <c r="B1395" s="11" t="n">
        <v>46230</v>
      </c>
      <c r="C1395" s="11" t="n">
        <v>46275</v>
      </c>
      <c r="D1395" s="10" t="n">
        <v>513</v>
      </c>
      <c r="E1395" s="12" t="s">
        <v>314</v>
      </c>
      <c r="F1395" s="10" t="n">
        <v>24</v>
      </c>
      <c r="G1395" s="12" t="s">
        <v>77</v>
      </c>
      <c r="H1395" s="10" t="n">
        <v>2110405</v>
      </c>
      <c r="I1395" s="12" t="s">
        <v>41</v>
      </c>
      <c r="J1395" s="10" t="n">
        <v>1459285</v>
      </c>
      <c r="L1395" s="10" t="n">
        <v>197498</v>
      </c>
      <c r="M1395" s="12" t="s">
        <v>74</v>
      </c>
      <c r="N1395" s="12" t="s">
        <v>35</v>
      </c>
      <c r="P1395" s="10" t="n">
        <v>101</v>
      </c>
      <c r="Q1395" s="12" t="s">
        <v>42</v>
      </c>
      <c r="R1395" s="12" t="s">
        <v>100</v>
      </c>
      <c r="S1395" s="10" t="n">
        <v>4210315</v>
      </c>
      <c r="T1395" s="12" t="s">
        <v>257</v>
      </c>
      <c r="U1395" s="13" t="n">
        <v>160</v>
      </c>
      <c r="W1395" s="13" t="n">
        <v>0</v>
      </c>
      <c r="X1395" s="12" t="s">
        <v>713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</row>
    <row r="1396" customFormat="false" ht="54.75" hidden="false" customHeight="true" outlineLevel="0" collapsed="false">
      <c r="A1396" s="10" t="n">
        <v>2</v>
      </c>
      <c r="B1396" s="11" t="n">
        <v>46211</v>
      </c>
      <c r="C1396" s="11" t="n">
        <v>46275</v>
      </c>
      <c r="D1396" s="10" t="n">
        <v>33</v>
      </c>
      <c r="E1396" s="12" t="s">
        <v>272</v>
      </c>
      <c r="F1396" s="10" t="n">
        <v>34</v>
      </c>
      <c r="G1396" s="12" t="s">
        <v>97</v>
      </c>
      <c r="H1396" s="10" t="n">
        <v>2110405</v>
      </c>
      <c r="I1396" s="12" t="s">
        <v>41</v>
      </c>
      <c r="J1396" s="10" t="n">
        <v>1370733</v>
      </c>
      <c r="L1396" s="10" t="n">
        <v>184338</v>
      </c>
      <c r="M1396" s="12" t="s">
        <v>74</v>
      </c>
      <c r="N1396" s="12" t="s">
        <v>35</v>
      </c>
      <c r="P1396" s="10" t="n">
        <v>101</v>
      </c>
      <c r="Q1396" s="12" t="s">
        <v>42</v>
      </c>
      <c r="R1396" s="12" t="s">
        <v>56</v>
      </c>
      <c r="S1396" s="10" t="n">
        <v>4210222</v>
      </c>
      <c r="T1396" s="12" t="s">
        <v>1059</v>
      </c>
      <c r="U1396" s="13" t="n">
        <v>666.67</v>
      </c>
      <c r="W1396" s="13" t="n">
        <v>0</v>
      </c>
      <c r="X1396" s="12" t="s">
        <v>1060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</row>
    <row r="1397" customFormat="false" ht="54.75" hidden="false" customHeight="true" outlineLevel="0" collapsed="false">
      <c r="A1397" s="10" t="n">
        <v>2</v>
      </c>
      <c r="B1397" s="11" t="n">
        <v>46224</v>
      </c>
      <c r="C1397" s="11" t="n">
        <v>46275</v>
      </c>
      <c r="D1397" s="10" t="n">
        <v>1100</v>
      </c>
      <c r="E1397" s="12" t="s">
        <v>290</v>
      </c>
      <c r="F1397" s="10" t="n">
        <v>46</v>
      </c>
      <c r="G1397" s="12" t="s">
        <v>285</v>
      </c>
      <c r="H1397" s="10" t="n">
        <v>2110405</v>
      </c>
      <c r="I1397" s="12" t="s">
        <v>41</v>
      </c>
      <c r="J1397" s="10" t="n">
        <v>1427624</v>
      </c>
      <c r="L1397" s="10" t="n">
        <v>190916</v>
      </c>
      <c r="M1397" s="12" t="s">
        <v>74</v>
      </c>
      <c r="N1397" s="12" t="s">
        <v>35</v>
      </c>
      <c r="P1397" s="10" t="n">
        <v>113</v>
      </c>
      <c r="Q1397" s="12" t="s">
        <v>36</v>
      </c>
      <c r="R1397" s="12" t="s">
        <v>56</v>
      </c>
      <c r="S1397" s="10" t="n">
        <v>4210227</v>
      </c>
      <c r="T1397" s="12" t="s">
        <v>63</v>
      </c>
      <c r="U1397" s="13" t="n">
        <v>266.68</v>
      </c>
      <c r="W1397" s="13" t="n">
        <v>0</v>
      </c>
      <c r="X1397" s="12" t="s">
        <v>1283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</row>
    <row r="1398" customFormat="false" ht="36.75" hidden="false" customHeight="true" outlineLevel="0" collapsed="false">
      <c r="A1398" s="10" t="n">
        <v>2</v>
      </c>
      <c r="B1398" s="11" t="n">
        <v>46247</v>
      </c>
      <c r="C1398" s="11" t="n">
        <v>46275</v>
      </c>
      <c r="D1398" s="10" t="n">
        <v>1608</v>
      </c>
      <c r="E1398" s="12" t="s">
        <v>201</v>
      </c>
      <c r="F1398" s="10" t="n">
        <v>24</v>
      </c>
      <c r="G1398" s="12" t="s">
        <v>77</v>
      </c>
      <c r="H1398" s="10" t="n">
        <v>2110405</v>
      </c>
      <c r="I1398" s="12" t="s">
        <v>41</v>
      </c>
      <c r="J1398" s="10" t="n">
        <v>1540769</v>
      </c>
      <c r="L1398" s="10" t="n">
        <v>210180</v>
      </c>
      <c r="M1398" s="12" t="s">
        <v>83</v>
      </c>
      <c r="N1398" s="12" t="s">
        <v>35</v>
      </c>
      <c r="P1398" s="10" t="n">
        <v>113</v>
      </c>
      <c r="Q1398" s="12" t="s">
        <v>36</v>
      </c>
      <c r="R1398" s="12" t="s">
        <v>48</v>
      </c>
      <c r="S1398" s="10" t="n">
        <v>1130101</v>
      </c>
      <c r="T1398" s="12" t="s">
        <v>49</v>
      </c>
      <c r="U1398" s="13" t="n">
        <v>692.26</v>
      </c>
      <c r="W1398" s="13" t="n">
        <v>0</v>
      </c>
      <c r="X1398" s="12" t="s">
        <v>1223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36.75" hidden="false" customHeight="true" outlineLevel="0" collapsed="false">
      <c r="A1399" s="10" t="n">
        <v>2</v>
      </c>
      <c r="B1399" s="11" t="n">
        <v>46248</v>
      </c>
      <c r="C1399" s="11" t="n">
        <v>46275</v>
      </c>
      <c r="D1399" s="10" t="n">
        <v>1678</v>
      </c>
      <c r="E1399" s="12" t="s">
        <v>745</v>
      </c>
      <c r="F1399" s="10" t="n">
        <v>24</v>
      </c>
      <c r="G1399" s="12" t="s">
        <v>77</v>
      </c>
      <c r="H1399" s="10" t="n">
        <v>2110405</v>
      </c>
      <c r="I1399" s="12" t="s">
        <v>41</v>
      </c>
      <c r="J1399" s="10" t="n">
        <v>1545805</v>
      </c>
      <c r="L1399" s="10" t="n">
        <v>211100</v>
      </c>
      <c r="M1399" s="12" t="s">
        <v>83</v>
      </c>
      <c r="N1399" s="12" t="s">
        <v>35</v>
      </c>
      <c r="P1399" s="10" t="n">
        <v>113</v>
      </c>
      <c r="Q1399" s="12" t="s">
        <v>36</v>
      </c>
      <c r="R1399" s="12" t="s">
        <v>48</v>
      </c>
      <c r="S1399" s="10" t="n">
        <v>1130101</v>
      </c>
      <c r="T1399" s="12" t="s">
        <v>49</v>
      </c>
      <c r="U1399" s="13" t="n">
        <v>2153.25</v>
      </c>
      <c r="W1399" s="13" t="n">
        <v>0</v>
      </c>
      <c r="X1399" s="12" t="s">
        <v>1284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45.75" hidden="false" customHeight="true" outlineLevel="0" collapsed="false">
      <c r="A1400" s="10" t="n">
        <v>2</v>
      </c>
      <c r="B1400" s="11" t="n">
        <v>46251</v>
      </c>
      <c r="C1400" s="11" t="n">
        <v>46275</v>
      </c>
      <c r="D1400" s="10" t="n">
        <v>1637</v>
      </c>
      <c r="E1400" s="12" t="s">
        <v>764</v>
      </c>
      <c r="F1400" s="10" t="n">
        <v>24</v>
      </c>
      <c r="G1400" s="12" t="s">
        <v>77</v>
      </c>
      <c r="H1400" s="10" t="n">
        <v>2110405</v>
      </c>
      <c r="I1400" s="12" t="s">
        <v>41</v>
      </c>
      <c r="J1400" s="10" t="n">
        <v>1561330</v>
      </c>
      <c r="L1400" s="10" t="n">
        <v>213017</v>
      </c>
      <c r="M1400" s="12" t="s">
        <v>83</v>
      </c>
      <c r="N1400" s="12" t="s">
        <v>35</v>
      </c>
      <c r="P1400" s="10" t="n">
        <v>113</v>
      </c>
      <c r="Q1400" s="12" t="s">
        <v>36</v>
      </c>
      <c r="R1400" s="12" t="s">
        <v>48</v>
      </c>
      <c r="S1400" s="10" t="n">
        <v>1130101</v>
      </c>
      <c r="T1400" s="12" t="s">
        <v>49</v>
      </c>
      <c r="U1400" s="13" t="n">
        <v>561.84</v>
      </c>
      <c r="W1400" s="13" t="n">
        <v>0</v>
      </c>
      <c r="X1400" s="12" t="s">
        <v>1285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45.75" hidden="false" customHeight="true" outlineLevel="0" collapsed="false">
      <c r="A1401" s="10" t="n">
        <v>2</v>
      </c>
      <c r="B1401" s="11" t="n">
        <v>46252</v>
      </c>
      <c r="C1401" s="11" t="n">
        <v>46275</v>
      </c>
      <c r="D1401" s="10" t="n">
        <v>1671</v>
      </c>
      <c r="E1401" s="12" t="s">
        <v>88</v>
      </c>
      <c r="F1401" s="10" t="n">
        <v>24</v>
      </c>
      <c r="G1401" s="12" t="s">
        <v>77</v>
      </c>
      <c r="H1401" s="10" t="n">
        <v>2110405</v>
      </c>
      <c r="I1401" s="12" t="s">
        <v>41</v>
      </c>
      <c r="J1401" s="10" t="n">
        <v>1567132</v>
      </c>
      <c r="L1401" s="10" t="n">
        <v>213985</v>
      </c>
      <c r="M1401" s="12" t="s">
        <v>83</v>
      </c>
      <c r="N1401" s="12" t="s">
        <v>35</v>
      </c>
      <c r="P1401" s="10" t="n">
        <v>113</v>
      </c>
      <c r="Q1401" s="12" t="s">
        <v>36</v>
      </c>
      <c r="R1401" s="12" t="s">
        <v>48</v>
      </c>
      <c r="S1401" s="10" t="n">
        <v>1130101</v>
      </c>
      <c r="T1401" s="12" t="s">
        <v>49</v>
      </c>
      <c r="U1401" s="13" t="n">
        <v>793.81</v>
      </c>
      <c r="W1401" s="13" t="n">
        <v>0</v>
      </c>
      <c r="X1401" s="12" t="s">
        <v>1229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45.75" hidden="false" customHeight="true" outlineLevel="0" collapsed="false">
      <c r="A1402" s="10" t="n">
        <v>2</v>
      </c>
      <c r="B1402" s="11" t="n">
        <v>46256</v>
      </c>
      <c r="C1402" s="11" t="n">
        <v>46275</v>
      </c>
      <c r="D1402" s="10" t="n">
        <v>1745</v>
      </c>
      <c r="E1402" s="12" t="s">
        <v>154</v>
      </c>
      <c r="F1402" s="10" t="n">
        <v>24</v>
      </c>
      <c r="G1402" s="12" t="s">
        <v>77</v>
      </c>
      <c r="H1402" s="10" t="n">
        <v>2110405</v>
      </c>
      <c r="I1402" s="12" t="s">
        <v>41</v>
      </c>
      <c r="J1402" s="10" t="n">
        <v>1585074</v>
      </c>
      <c r="L1402" s="10" t="n">
        <v>216840</v>
      </c>
      <c r="M1402" s="12" t="s">
        <v>83</v>
      </c>
      <c r="N1402" s="12" t="s">
        <v>35</v>
      </c>
      <c r="P1402" s="10" t="n">
        <v>113</v>
      </c>
      <c r="Q1402" s="12" t="s">
        <v>36</v>
      </c>
      <c r="R1402" s="12" t="s">
        <v>48</v>
      </c>
      <c r="S1402" s="10" t="n">
        <v>1130101</v>
      </c>
      <c r="T1402" s="12" t="s">
        <v>49</v>
      </c>
      <c r="U1402" s="13" t="n">
        <v>182.8</v>
      </c>
      <c r="W1402" s="13" t="n">
        <v>0</v>
      </c>
      <c r="X1402" s="12" t="s">
        <v>1271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45.75" hidden="false" customHeight="true" outlineLevel="0" collapsed="false">
      <c r="A1403" s="10" t="n">
        <v>2</v>
      </c>
      <c r="B1403" s="11" t="n">
        <v>46256</v>
      </c>
      <c r="C1403" s="11" t="n">
        <v>46275</v>
      </c>
      <c r="D1403" s="10" t="n">
        <v>1713</v>
      </c>
      <c r="E1403" s="12" t="s">
        <v>61</v>
      </c>
      <c r="F1403" s="10" t="n">
        <v>46</v>
      </c>
      <c r="G1403" s="12" t="s">
        <v>285</v>
      </c>
      <c r="H1403" s="10" t="n">
        <v>2110405</v>
      </c>
      <c r="I1403" s="12" t="s">
        <v>41</v>
      </c>
      <c r="J1403" s="10" t="n">
        <v>1585399</v>
      </c>
      <c r="L1403" s="10" t="n">
        <v>216902</v>
      </c>
      <c r="M1403" s="12" t="s">
        <v>83</v>
      </c>
      <c r="N1403" s="12" t="s">
        <v>35</v>
      </c>
      <c r="P1403" s="10" t="n">
        <v>113</v>
      </c>
      <c r="Q1403" s="12" t="s">
        <v>36</v>
      </c>
      <c r="R1403" s="12" t="s">
        <v>56</v>
      </c>
      <c r="S1403" s="10" t="n">
        <v>4210227</v>
      </c>
      <c r="T1403" s="12" t="s">
        <v>63</v>
      </c>
      <c r="U1403" s="13" t="n">
        <v>79.8</v>
      </c>
      <c r="W1403" s="13" t="n">
        <v>0</v>
      </c>
      <c r="X1403" s="12" t="s">
        <v>1286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</row>
    <row r="1404" customFormat="false" ht="45.75" hidden="false" customHeight="true" outlineLevel="0" collapsed="false">
      <c r="A1404" s="10" t="n">
        <v>2</v>
      </c>
      <c r="B1404" s="11" t="n">
        <v>46256</v>
      </c>
      <c r="C1404" s="11" t="n">
        <v>46275</v>
      </c>
      <c r="D1404" s="10" t="n">
        <v>10106</v>
      </c>
      <c r="E1404" s="12" t="s">
        <v>1287</v>
      </c>
      <c r="F1404" s="10" t="n">
        <v>46</v>
      </c>
      <c r="G1404" s="12" t="s">
        <v>285</v>
      </c>
      <c r="H1404" s="10" t="n">
        <v>2110405</v>
      </c>
      <c r="I1404" s="12" t="s">
        <v>41</v>
      </c>
      <c r="J1404" s="10" t="n">
        <v>1585437</v>
      </c>
      <c r="L1404" s="10" t="n">
        <v>216905</v>
      </c>
      <c r="M1404" s="12" t="s">
        <v>83</v>
      </c>
      <c r="N1404" s="12" t="s">
        <v>35</v>
      </c>
      <c r="P1404" s="10" t="n">
        <v>113</v>
      </c>
      <c r="Q1404" s="12" t="s">
        <v>36</v>
      </c>
      <c r="R1404" s="12" t="s">
        <v>56</v>
      </c>
      <c r="S1404" s="10" t="n">
        <v>4210229</v>
      </c>
      <c r="T1404" s="12" t="s">
        <v>944</v>
      </c>
      <c r="U1404" s="13" t="n">
        <v>203.8</v>
      </c>
      <c r="W1404" s="13" t="n">
        <v>0</v>
      </c>
      <c r="X1404" s="12" t="s">
        <v>1288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</row>
    <row r="1405" customFormat="false" ht="36.75" hidden="false" customHeight="true" outlineLevel="0" collapsed="false">
      <c r="A1405" s="10" t="n">
        <v>2</v>
      </c>
      <c r="B1405" s="11" t="n">
        <v>46256</v>
      </c>
      <c r="C1405" s="11" t="n">
        <v>46276</v>
      </c>
      <c r="D1405" s="10" t="n">
        <v>1666</v>
      </c>
      <c r="E1405" s="12" t="s">
        <v>206</v>
      </c>
      <c r="F1405" s="10" t="n">
        <v>24</v>
      </c>
      <c r="G1405" s="12" t="s">
        <v>77</v>
      </c>
      <c r="H1405" s="10" t="n">
        <v>2110405</v>
      </c>
      <c r="I1405" s="12" t="s">
        <v>41</v>
      </c>
      <c r="J1405" s="10" t="n">
        <v>1585303</v>
      </c>
      <c r="L1405" s="10" t="n">
        <v>216891</v>
      </c>
      <c r="M1405" s="12" t="s">
        <v>83</v>
      </c>
      <c r="N1405" s="12" t="s">
        <v>35</v>
      </c>
      <c r="P1405" s="10" t="n">
        <v>113</v>
      </c>
      <c r="Q1405" s="12" t="s">
        <v>36</v>
      </c>
      <c r="R1405" s="12" t="s">
        <v>48</v>
      </c>
      <c r="S1405" s="10" t="n">
        <v>1130101</v>
      </c>
      <c r="T1405" s="12" t="s">
        <v>49</v>
      </c>
      <c r="U1405" s="13" t="n">
        <v>5894.1</v>
      </c>
      <c r="W1405" s="13" t="n">
        <v>0</v>
      </c>
      <c r="X1405" s="12" t="s">
        <v>1237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63.75" hidden="false" customHeight="true" outlineLevel="0" collapsed="false">
      <c r="A1406" s="10" t="n">
        <v>2</v>
      </c>
      <c r="B1406" s="11" t="n">
        <v>46248</v>
      </c>
      <c r="C1406" s="11" t="n">
        <v>46277</v>
      </c>
      <c r="D1406" s="10" t="n">
        <v>1718</v>
      </c>
      <c r="E1406" s="12" t="s">
        <v>199</v>
      </c>
      <c r="F1406" s="10" t="n">
        <v>24</v>
      </c>
      <c r="G1406" s="12" t="s">
        <v>77</v>
      </c>
      <c r="H1406" s="10" t="n">
        <v>2110405</v>
      </c>
      <c r="I1406" s="12" t="s">
        <v>41</v>
      </c>
      <c r="J1406" s="10" t="n">
        <v>1547763</v>
      </c>
      <c r="L1406" s="10" t="n">
        <v>211395</v>
      </c>
      <c r="M1406" s="12" t="s">
        <v>83</v>
      </c>
      <c r="N1406" s="12" t="s">
        <v>35</v>
      </c>
      <c r="P1406" s="10" t="n">
        <v>113</v>
      </c>
      <c r="Q1406" s="12" t="s">
        <v>36</v>
      </c>
      <c r="R1406" s="12" t="s">
        <v>48</v>
      </c>
      <c r="S1406" s="10" t="n">
        <v>1130101</v>
      </c>
      <c r="T1406" s="12" t="s">
        <v>49</v>
      </c>
      <c r="U1406" s="13" t="n">
        <v>706.55</v>
      </c>
      <c r="W1406" s="13" t="n">
        <v>0</v>
      </c>
      <c r="X1406" s="12" t="s">
        <v>1238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36.75" hidden="false" customHeight="true" outlineLevel="0" collapsed="false">
      <c r="A1407" s="10" t="n">
        <v>2</v>
      </c>
      <c r="B1407" s="11" t="n">
        <v>46249</v>
      </c>
      <c r="C1407" s="11" t="n">
        <v>46277</v>
      </c>
      <c r="D1407" s="10" t="n">
        <v>1718</v>
      </c>
      <c r="E1407" s="12" t="s">
        <v>199</v>
      </c>
      <c r="F1407" s="10" t="n">
        <v>24</v>
      </c>
      <c r="G1407" s="12" t="s">
        <v>77</v>
      </c>
      <c r="H1407" s="10" t="n">
        <v>2110405</v>
      </c>
      <c r="I1407" s="12" t="s">
        <v>41</v>
      </c>
      <c r="J1407" s="10" t="n">
        <v>1551508</v>
      </c>
      <c r="L1407" s="10" t="n">
        <v>211719</v>
      </c>
      <c r="M1407" s="12" t="s">
        <v>83</v>
      </c>
      <c r="N1407" s="12" t="s">
        <v>35</v>
      </c>
      <c r="P1407" s="10" t="n">
        <v>113</v>
      </c>
      <c r="Q1407" s="12" t="s">
        <v>36</v>
      </c>
      <c r="R1407" s="12" t="s">
        <v>48</v>
      </c>
      <c r="S1407" s="10" t="n">
        <v>1130101</v>
      </c>
      <c r="T1407" s="12" t="s">
        <v>49</v>
      </c>
      <c r="U1407" s="13" t="n">
        <v>1422.68</v>
      </c>
      <c r="W1407" s="13" t="n">
        <v>0</v>
      </c>
      <c r="X1407" s="12" t="s">
        <v>1239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36.75" hidden="false" customHeight="true" outlineLevel="0" collapsed="false">
      <c r="A1408" s="10" t="n">
        <v>2</v>
      </c>
      <c r="B1408" s="11" t="n">
        <v>46253</v>
      </c>
      <c r="C1408" s="11" t="n">
        <v>46279</v>
      </c>
      <c r="D1408" s="10" t="n">
        <v>616</v>
      </c>
      <c r="E1408" s="12" t="s">
        <v>818</v>
      </c>
      <c r="F1408" s="10" t="n">
        <v>24</v>
      </c>
      <c r="G1408" s="12" t="s">
        <v>77</v>
      </c>
      <c r="H1408" s="10" t="n">
        <v>2110405</v>
      </c>
      <c r="I1408" s="12" t="s">
        <v>41</v>
      </c>
      <c r="J1408" s="10" t="n">
        <v>1572201</v>
      </c>
      <c r="L1408" s="10" t="n">
        <v>214774</v>
      </c>
      <c r="M1408" s="12" t="s">
        <v>83</v>
      </c>
      <c r="N1408" s="12" t="s">
        <v>35</v>
      </c>
      <c r="P1408" s="10" t="n">
        <v>113</v>
      </c>
      <c r="Q1408" s="12" t="s">
        <v>36</v>
      </c>
      <c r="R1408" s="12" t="s">
        <v>48</v>
      </c>
      <c r="S1408" s="10" t="n">
        <v>1130101</v>
      </c>
      <c r="T1408" s="12" t="s">
        <v>49</v>
      </c>
      <c r="U1408" s="13" t="n">
        <v>983.77</v>
      </c>
      <c r="W1408" s="13" t="n">
        <v>0</v>
      </c>
      <c r="X1408" s="12" t="s">
        <v>1279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54.75" hidden="false" customHeight="true" outlineLevel="0" collapsed="false">
      <c r="A1409" s="10" t="n">
        <v>2</v>
      </c>
      <c r="B1409" s="11" t="n">
        <v>46254</v>
      </c>
      <c r="C1409" s="11" t="n">
        <v>46279</v>
      </c>
      <c r="D1409" s="10" t="n">
        <v>10012</v>
      </c>
      <c r="E1409" s="12" t="s">
        <v>160</v>
      </c>
      <c r="F1409" s="10" t="n">
        <v>24</v>
      </c>
      <c r="G1409" s="12" t="s">
        <v>77</v>
      </c>
      <c r="H1409" s="10" t="n">
        <v>2110405</v>
      </c>
      <c r="I1409" s="12" t="s">
        <v>41</v>
      </c>
      <c r="J1409" s="10" t="n">
        <v>1577219</v>
      </c>
      <c r="L1409" s="10" t="n">
        <v>215619</v>
      </c>
      <c r="M1409" s="12" t="s">
        <v>83</v>
      </c>
      <c r="N1409" s="12" t="s">
        <v>35</v>
      </c>
      <c r="P1409" s="10" t="n">
        <v>113</v>
      </c>
      <c r="Q1409" s="12" t="s">
        <v>36</v>
      </c>
      <c r="R1409" s="12" t="s">
        <v>48</v>
      </c>
      <c r="S1409" s="10" t="n">
        <v>1130101</v>
      </c>
      <c r="T1409" s="12" t="s">
        <v>49</v>
      </c>
      <c r="U1409" s="13" t="n">
        <v>521.58</v>
      </c>
      <c r="W1409" s="13" t="n">
        <v>0</v>
      </c>
      <c r="X1409" s="12" t="s">
        <v>1280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10" t="n">
        <v>2</v>
      </c>
      <c r="B1410" s="11" t="n">
        <v>46097</v>
      </c>
      <c r="C1410" s="11" t="n">
        <v>46280</v>
      </c>
      <c r="D1410" s="10" t="n">
        <v>1867</v>
      </c>
      <c r="E1410" s="12" t="s">
        <v>359</v>
      </c>
      <c r="F1410" s="10" t="n">
        <v>24</v>
      </c>
      <c r="G1410" s="12" t="s">
        <v>77</v>
      </c>
      <c r="H1410" s="10" t="n">
        <v>2110405</v>
      </c>
      <c r="I1410" s="12" t="s">
        <v>41</v>
      </c>
      <c r="J1410" s="10" t="n">
        <v>808550</v>
      </c>
      <c r="L1410" s="10" t="n">
        <v>2026</v>
      </c>
      <c r="M1410" s="12" t="s">
        <v>34</v>
      </c>
      <c r="N1410" s="12" t="s">
        <v>35</v>
      </c>
      <c r="P1410" s="10" t="n">
        <v>101</v>
      </c>
      <c r="Q1410" s="12" t="s">
        <v>42</v>
      </c>
      <c r="R1410" s="12" t="s">
        <v>360</v>
      </c>
      <c r="S1410" s="10" t="n">
        <v>4210401</v>
      </c>
      <c r="T1410" s="12" t="s">
        <v>361</v>
      </c>
      <c r="U1410" s="13" t="n">
        <v>228.88</v>
      </c>
      <c r="W1410" s="13" t="n">
        <v>0</v>
      </c>
      <c r="X1410" s="12" t="s">
        <v>1289</v>
      </c>
      <c r="Z1410" s="1" t="str">
        <f aca="false">IF($T1410="","",IFERROR(INDEX('Resumo Grupos'!$AC$3:$AC$200,MATCH($T1410,'Resumo Grupos'!$AB$3:$AB$200,0)),"n/d"))</f>
        <v>Impostos</v>
      </c>
      <c r="AA1410" s="1" t="str">
        <f aca="false">IF($T1410="","",IF(COUNTIF('Resumo Grupos'!$AE$3:$AE$40,$T1410)&gt;0,"NAO","SIM"))</f>
        <v>SIM</v>
      </c>
    </row>
    <row r="1411" customFormat="false" ht="45.75" hidden="false" customHeight="true" outlineLevel="0" collapsed="false">
      <c r="A1411" s="10" t="n">
        <v>2</v>
      </c>
      <c r="B1411" s="11" t="n">
        <v>46127</v>
      </c>
      <c r="C1411" s="11" t="n">
        <v>46280</v>
      </c>
      <c r="D1411" s="10" t="n">
        <v>512</v>
      </c>
      <c r="E1411" s="12" t="s">
        <v>363</v>
      </c>
      <c r="F1411" s="10" t="n">
        <v>34</v>
      </c>
      <c r="G1411" s="12" t="s">
        <v>97</v>
      </c>
      <c r="H1411" s="10" t="n">
        <v>2110405</v>
      </c>
      <c r="I1411" s="12" t="s">
        <v>41</v>
      </c>
      <c r="J1411" s="10" t="n">
        <v>954215</v>
      </c>
      <c r="L1411" s="10" t="n">
        <v>126220</v>
      </c>
      <c r="M1411" s="12" t="s">
        <v>47</v>
      </c>
      <c r="N1411" s="12" t="s">
        <v>35</v>
      </c>
      <c r="P1411" s="10" t="n">
        <v>101</v>
      </c>
      <c r="Q1411" s="12" t="s">
        <v>42</v>
      </c>
      <c r="R1411" s="12" t="s">
        <v>364</v>
      </c>
      <c r="S1411" s="10" t="n">
        <v>4210111</v>
      </c>
      <c r="T1411" s="12" t="s">
        <v>365</v>
      </c>
      <c r="U1411" s="13" t="n">
        <v>5700</v>
      </c>
      <c r="W1411" s="13" t="n">
        <v>0</v>
      </c>
      <c r="X1411" s="12" t="s">
        <v>366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10" t="n">
        <v>2</v>
      </c>
      <c r="B1412" s="11" t="n">
        <v>46252</v>
      </c>
      <c r="C1412" s="11" t="n">
        <v>46280</v>
      </c>
      <c r="D1412" s="10" t="n">
        <v>1697</v>
      </c>
      <c r="E1412" s="12" t="s">
        <v>684</v>
      </c>
      <c r="F1412" s="10" t="n">
        <v>24</v>
      </c>
      <c r="G1412" s="12" t="s">
        <v>77</v>
      </c>
      <c r="H1412" s="10" t="n">
        <v>2110405</v>
      </c>
      <c r="I1412" s="12" t="s">
        <v>41</v>
      </c>
      <c r="J1412" s="10" t="n">
        <v>1566735</v>
      </c>
      <c r="L1412" s="10" t="n">
        <v>213868</v>
      </c>
      <c r="M1412" s="12" t="s">
        <v>83</v>
      </c>
      <c r="N1412" s="12" t="s">
        <v>35</v>
      </c>
      <c r="P1412" s="10" t="n">
        <v>113</v>
      </c>
      <c r="Q1412" s="12" t="s">
        <v>36</v>
      </c>
      <c r="R1412" s="12" t="s">
        <v>48</v>
      </c>
      <c r="S1412" s="10" t="n">
        <v>1130101</v>
      </c>
      <c r="T1412" s="12" t="s">
        <v>49</v>
      </c>
      <c r="U1412" s="13" t="n">
        <v>584.64</v>
      </c>
      <c r="W1412" s="13" t="n">
        <v>0</v>
      </c>
      <c r="X1412" s="12" t="s">
        <v>1253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10" t="n">
        <v>2</v>
      </c>
      <c r="B1413" s="11" t="n">
        <v>46252</v>
      </c>
      <c r="C1413" s="11" t="n">
        <v>46280</v>
      </c>
      <c r="D1413" s="10" t="n">
        <v>1711</v>
      </c>
      <c r="E1413" s="12" t="s">
        <v>1255</v>
      </c>
      <c r="F1413" s="10" t="n">
        <v>24</v>
      </c>
      <c r="G1413" s="12" t="s">
        <v>77</v>
      </c>
      <c r="H1413" s="10" t="n">
        <v>2110405</v>
      </c>
      <c r="I1413" s="12" t="s">
        <v>41</v>
      </c>
      <c r="J1413" s="10" t="n">
        <v>1568100</v>
      </c>
      <c r="L1413" s="10" t="n">
        <v>214112</v>
      </c>
      <c r="M1413" s="12" t="s">
        <v>83</v>
      </c>
      <c r="N1413" s="12" t="s">
        <v>35</v>
      </c>
      <c r="P1413" s="10" t="n">
        <v>113</v>
      </c>
      <c r="Q1413" s="12" t="s">
        <v>36</v>
      </c>
      <c r="R1413" s="12" t="s">
        <v>48</v>
      </c>
      <c r="S1413" s="10" t="n">
        <v>1130101</v>
      </c>
      <c r="T1413" s="12" t="s">
        <v>49</v>
      </c>
      <c r="U1413" s="13" t="n">
        <v>645.71</v>
      </c>
      <c r="W1413" s="13" t="n">
        <v>0</v>
      </c>
      <c r="X1413" s="12" t="s">
        <v>1256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10" t="n">
        <v>2</v>
      </c>
      <c r="B1414" s="11" t="n">
        <v>46253</v>
      </c>
      <c r="C1414" s="11" t="n">
        <v>46280</v>
      </c>
      <c r="D1414" s="10" t="n">
        <v>1708</v>
      </c>
      <c r="E1414" s="12" t="s">
        <v>245</v>
      </c>
      <c r="F1414" s="10" t="n">
        <v>24</v>
      </c>
      <c r="G1414" s="12" t="s">
        <v>77</v>
      </c>
      <c r="H1414" s="10" t="n">
        <v>2110405</v>
      </c>
      <c r="I1414" s="12" t="s">
        <v>41</v>
      </c>
      <c r="J1414" s="10" t="n">
        <v>1572979</v>
      </c>
      <c r="L1414" s="10" t="n">
        <v>214928</v>
      </c>
      <c r="M1414" s="12" t="s">
        <v>83</v>
      </c>
      <c r="N1414" s="12" t="s">
        <v>35</v>
      </c>
      <c r="P1414" s="10" t="n">
        <v>113</v>
      </c>
      <c r="Q1414" s="12" t="s">
        <v>36</v>
      </c>
      <c r="R1414" s="12" t="s">
        <v>48</v>
      </c>
      <c r="S1414" s="10" t="n">
        <v>1130101</v>
      </c>
      <c r="T1414" s="12" t="s">
        <v>49</v>
      </c>
      <c r="U1414" s="13" t="n">
        <v>548.18</v>
      </c>
      <c r="W1414" s="13" t="n">
        <v>0</v>
      </c>
      <c r="X1414" s="12" t="s">
        <v>1258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45.75" hidden="false" customHeight="true" outlineLevel="0" collapsed="false">
      <c r="A1415" s="10" t="n">
        <v>2</v>
      </c>
      <c r="B1415" s="11" t="n">
        <v>46226</v>
      </c>
      <c r="C1415" s="11" t="n">
        <v>46281</v>
      </c>
      <c r="D1415" s="10" t="n">
        <v>957</v>
      </c>
      <c r="E1415" s="12" t="s">
        <v>554</v>
      </c>
      <c r="F1415" s="10" t="n">
        <v>24</v>
      </c>
      <c r="G1415" s="12" t="s">
        <v>77</v>
      </c>
      <c r="H1415" s="10" t="n">
        <v>1110203</v>
      </c>
      <c r="I1415" s="12" t="s">
        <v>108</v>
      </c>
      <c r="J1415" s="10" t="n">
        <v>1438939</v>
      </c>
      <c r="L1415" s="10" t="n">
        <v>194433</v>
      </c>
      <c r="M1415" s="12" t="s">
        <v>83</v>
      </c>
      <c r="N1415" s="12" t="s">
        <v>35</v>
      </c>
      <c r="P1415" s="10" t="n">
        <v>113</v>
      </c>
      <c r="Q1415" s="12" t="s">
        <v>36</v>
      </c>
      <c r="R1415" s="12" t="s">
        <v>48</v>
      </c>
      <c r="S1415" s="10" t="n">
        <v>1130101</v>
      </c>
      <c r="T1415" s="12" t="s">
        <v>49</v>
      </c>
      <c r="U1415" s="13" t="n">
        <v>1501.38</v>
      </c>
      <c r="W1415" s="13" t="n">
        <v>0</v>
      </c>
      <c r="X1415" s="12" t="s">
        <v>1097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46281</v>
      </c>
      <c r="D1416" s="10" t="n">
        <v>1624</v>
      </c>
      <c r="E1416" s="12" t="s">
        <v>300</v>
      </c>
      <c r="F1416" s="10" t="n">
        <v>24</v>
      </c>
      <c r="G1416" s="12" t="s">
        <v>77</v>
      </c>
      <c r="H1416" s="10" t="n">
        <v>2110405</v>
      </c>
      <c r="I1416" s="12" t="s">
        <v>41</v>
      </c>
      <c r="J1416" s="10" t="n">
        <v>1543920</v>
      </c>
      <c r="L1416" s="10" t="n">
        <v>210536</v>
      </c>
      <c r="M1416" s="12" t="s">
        <v>83</v>
      </c>
      <c r="N1416" s="12" t="s">
        <v>35</v>
      </c>
      <c r="P1416" s="10" t="n">
        <v>113</v>
      </c>
      <c r="Q1416" s="12" t="s">
        <v>36</v>
      </c>
      <c r="R1416" s="12" t="s">
        <v>48</v>
      </c>
      <c r="S1416" s="10" t="n">
        <v>1130101</v>
      </c>
      <c r="T1416" s="12" t="s">
        <v>49</v>
      </c>
      <c r="U1416" s="13" t="n">
        <v>830.13</v>
      </c>
      <c r="W1416" s="13" t="n">
        <v>0</v>
      </c>
      <c r="X1416" s="12" t="s">
        <v>1264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" t="n">
        <v>2</v>
      </c>
      <c r="B1417" s="22" t="n">
        <v>46252</v>
      </c>
      <c r="C1417" s="22" t="n">
        <v>46281</v>
      </c>
      <c r="D1417" s="1" t="n">
        <v>1612</v>
      </c>
      <c r="E1417" s="1" t="s">
        <v>76</v>
      </c>
      <c r="F1417" s="1" t="n">
        <v>24</v>
      </c>
      <c r="G1417" s="1" t="s">
        <v>77</v>
      </c>
      <c r="H1417" s="1" t="n">
        <v>2110405</v>
      </c>
      <c r="I1417" s="1" t="s">
        <v>41</v>
      </c>
      <c r="J1417" s="1" t="n">
        <v>1567422</v>
      </c>
      <c r="L1417" s="1" t="n">
        <v>214026</v>
      </c>
      <c r="M1417" s="1" t="s">
        <v>83</v>
      </c>
      <c r="N1417" s="1" t="s">
        <v>35</v>
      </c>
      <c r="P1417" s="1" t="n">
        <v>113</v>
      </c>
      <c r="Q1417" s="1" t="s">
        <v>36</v>
      </c>
      <c r="R1417" s="1" t="s">
        <v>48</v>
      </c>
      <c r="S1417" s="1" t="n">
        <v>1130101</v>
      </c>
      <c r="T1417" s="1" t="s">
        <v>49</v>
      </c>
      <c r="U1417" s="1" t="n">
        <v>1154.65</v>
      </c>
      <c r="W1417" s="1" t="n">
        <v>0</v>
      </c>
      <c r="X1417" s="1" t="s">
        <v>1262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" t="n">
        <v>2</v>
      </c>
      <c r="B1418" s="22" t="n">
        <v>46253</v>
      </c>
      <c r="C1418" s="22" t="n">
        <v>46281</v>
      </c>
      <c r="D1418" s="1" t="n">
        <v>1830</v>
      </c>
      <c r="E1418" s="1" t="s">
        <v>449</v>
      </c>
      <c r="F1418" s="1" t="n">
        <v>24</v>
      </c>
      <c r="G1418" s="1" t="s">
        <v>77</v>
      </c>
      <c r="H1418" s="1" t="n">
        <v>2110405</v>
      </c>
      <c r="I1418" s="1" t="s">
        <v>41</v>
      </c>
      <c r="J1418" s="1" t="n">
        <v>1573122</v>
      </c>
      <c r="L1418" s="1" t="n">
        <v>1308</v>
      </c>
      <c r="M1418" s="1" t="s">
        <v>83</v>
      </c>
      <c r="N1418" s="1" t="s">
        <v>35</v>
      </c>
      <c r="P1418" s="1" t="n">
        <v>101</v>
      </c>
      <c r="Q1418" s="1" t="s">
        <v>42</v>
      </c>
      <c r="R1418" s="1" t="s">
        <v>100</v>
      </c>
      <c r="S1418" s="1" t="n">
        <v>4210319</v>
      </c>
      <c r="T1418" s="1" t="s">
        <v>450</v>
      </c>
      <c r="U1418" s="1" t="n">
        <v>58</v>
      </c>
      <c r="W1418" s="1" t="n">
        <v>0</v>
      </c>
      <c r="X1418" s="1" t="s">
        <v>1290</v>
      </c>
      <c r="Z1418" s="1" t="str">
        <f aca="false">IF($T1418="","",IFERROR(INDEX('Resumo Grupos'!$AC$3:$AC$200,MATCH($T1418,'Resumo Grupos'!$AB$3:$AB$200,0)),"n/d"))</f>
        <v>Salários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" t="n">
        <v>2</v>
      </c>
      <c r="B1419" s="22" t="n">
        <v>46248</v>
      </c>
      <c r="C1419" s="22" t="n">
        <v>46282</v>
      </c>
      <c r="D1419" s="1" t="n">
        <v>10011</v>
      </c>
      <c r="E1419" s="1" t="s">
        <v>292</v>
      </c>
      <c r="F1419" s="1" t="n">
        <v>24</v>
      </c>
      <c r="G1419" s="1" t="s">
        <v>77</v>
      </c>
      <c r="H1419" s="1" t="n">
        <v>2110405</v>
      </c>
      <c r="I1419" s="1" t="s">
        <v>41</v>
      </c>
      <c r="J1419" s="1" t="n">
        <v>1545976</v>
      </c>
      <c r="L1419" s="1" t="n">
        <v>211185</v>
      </c>
      <c r="M1419" s="1" t="s">
        <v>83</v>
      </c>
      <c r="N1419" s="1" t="s">
        <v>35</v>
      </c>
      <c r="P1419" s="1" t="n">
        <v>113</v>
      </c>
      <c r="Q1419" s="1" t="s">
        <v>36</v>
      </c>
      <c r="R1419" s="1" t="s">
        <v>48</v>
      </c>
      <c r="S1419" s="1" t="n">
        <v>1130101</v>
      </c>
      <c r="T1419" s="1" t="s">
        <v>49</v>
      </c>
      <c r="U1419" s="1" t="n">
        <v>685.15</v>
      </c>
      <c r="W1419" s="1" t="n">
        <v>0</v>
      </c>
      <c r="X1419" s="1" t="s">
        <v>1291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" t="n">
        <v>2</v>
      </c>
      <c r="B1420" s="22" t="n">
        <v>46252</v>
      </c>
      <c r="C1420" s="22" t="n">
        <v>46282</v>
      </c>
      <c r="D1420" s="1" t="n">
        <v>1671</v>
      </c>
      <c r="E1420" s="1" t="s">
        <v>88</v>
      </c>
      <c r="F1420" s="1" t="n">
        <v>24</v>
      </c>
      <c r="G1420" s="1" t="s">
        <v>77</v>
      </c>
      <c r="H1420" s="1" t="n">
        <v>2110405</v>
      </c>
      <c r="I1420" s="1" t="s">
        <v>41</v>
      </c>
      <c r="J1420" s="1" t="n">
        <v>1567135</v>
      </c>
      <c r="L1420" s="1" t="n">
        <v>213986</v>
      </c>
      <c r="M1420" s="1" t="s">
        <v>83</v>
      </c>
      <c r="N1420" s="1" t="s">
        <v>35</v>
      </c>
      <c r="P1420" s="1" t="n">
        <v>113</v>
      </c>
      <c r="Q1420" s="1" t="s">
        <v>36</v>
      </c>
      <c r="R1420" s="1" t="s">
        <v>48</v>
      </c>
      <c r="S1420" s="1" t="n">
        <v>1130101</v>
      </c>
      <c r="T1420" s="1" t="s">
        <v>49</v>
      </c>
      <c r="U1420" s="1" t="n">
        <v>793.81</v>
      </c>
      <c r="W1420" s="1" t="n">
        <v>0</v>
      </c>
      <c r="X1420" s="1" t="s">
        <v>1229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" t="n">
        <v>2</v>
      </c>
      <c r="B1421" s="22" t="n">
        <v>46256</v>
      </c>
      <c r="C1421" s="22" t="n">
        <v>46282</v>
      </c>
      <c r="D1421" s="1" t="n">
        <v>1745</v>
      </c>
      <c r="E1421" s="1" t="s">
        <v>154</v>
      </c>
      <c r="F1421" s="1" t="n">
        <v>24</v>
      </c>
      <c r="G1421" s="1" t="s">
        <v>77</v>
      </c>
      <c r="H1421" s="1" t="n">
        <v>2110405</v>
      </c>
      <c r="I1421" s="1" t="s">
        <v>41</v>
      </c>
      <c r="J1421" s="1" t="n">
        <v>1585080</v>
      </c>
      <c r="L1421" s="1" t="n">
        <v>216841</v>
      </c>
      <c r="M1421" s="1" t="s">
        <v>83</v>
      </c>
      <c r="N1421" s="1" t="s">
        <v>35</v>
      </c>
      <c r="P1421" s="1" t="n">
        <v>113</v>
      </c>
      <c r="Q1421" s="1" t="s">
        <v>36</v>
      </c>
      <c r="R1421" s="1" t="s">
        <v>48</v>
      </c>
      <c r="S1421" s="1" t="n">
        <v>1130101</v>
      </c>
      <c r="T1421" s="1" t="s">
        <v>49</v>
      </c>
      <c r="U1421" s="1" t="n">
        <v>182.82</v>
      </c>
      <c r="W1421" s="1" t="n">
        <v>0</v>
      </c>
      <c r="X1421" s="1" t="s">
        <v>1271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" t="n">
        <v>2</v>
      </c>
      <c r="B1422" s="22" t="n">
        <v>46206</v>
      </c>
      <c r="C1422" s="22" t="n">
        <v>46283</v>
      </c>
      <c r="D1422" s="1" t="n">
        <v>33</v>
      </c>
      <c r="E1422" s="1" t="s">
        <v>272</v>
      </c>
      <c r="F1422" s="1" t="n">
        <v>34</v>
      </c>
      <c r="G1422" s="1" t="s">
        <v>97</v>
      </c>
      <c r="H1422" s="1" t="n">
        <v>2110405</v>
      </c>
      <c r="I1422" s="1" t="s">
        <v>41</v>
      </c>
      <c r="J1422" s="1" t="n">
        <v>1345312</v>
      </c>
      <c r="L1422" s="1" t="n">
        <v>180690</v>
      </c>
      <c r="M1422" s="1" t="s">
        <v>62</v>
      </c>
      <c r="N1422" s="1" t="s">
        <v>35</v>
      </c>
      <c r="P1422" s="1" t="n">
        <v>101</v>
      </c>
      <c r="Q1422" s="1" t="s">
        <v>42</v>
      </c>
      <c r="R1422" s="1" t="s">
        <v>56</v>
      </c>
      <c r="S1422" s="1" t="n">
        <v>4210203</v>
      </c>
      <c r="T1422" s="1" t="s">
        <v>664</v>
      </c>
      <c r="U1422" s="1" t="n">
        <v>247.27</v>
      </c>
      <c r="W1422" s="1" t="n">
        <v>0</v>
      </c>
      <c r="X1422" s="1" t="s">
        <v>815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" t="n">
        <v>2</v>
      </c>
      <c r="B1423" s="22" t="n">
        <v>46223</v>
      </c>
      <c r="C1423" s="22" t="n">
        <v>46285</v>
      </c>
      <c r="D1423" s="1" t="n">
        <v>33</v>
      </c>
      <c r="E1423" s="1" t="s">
        <v>272</v>
      </c>
      <c r="F1423" s="1" t="n">
        <v>34</v>
      </c>
      <c r="G1423" s="1" t="s">
        <v>97</v>
      </c>
      <c r="H1423" s="1" t="n">
        <v>2110405</v>
      </c>
      <c r="I1423" s="1" t="s">
        <v>41</v>
      </c>
      <c r="J1423" s="1" t="n">
        <v>1424244</v>
      </c>
      <c r="L1423" s="1" t="n">
        <v>190900</v>
      </c>
      <c r="M1423" s="1" t="s">
        <v>62</v>
      </c>
      <c r="N1423" s="1" t="s">
        <v>35</v>
      </c>
      <c r="P1423" s="1" t="n">
        <v>101</v>
      </c>
      <c r="Q1423" s="1" t="s">
        <v>42</v>
      </c>
      <c r="R1423" s="1" t="s">
        <v>364</v>
      </c>
      <c r="S1423" s="1" t="n">
        <v>4210107</v>
      </c>
      <c r="T1423" s="1" t="s">
        <v>441</v>
      </c>
      <c r="U1423" s="1" t="n">
        <v>138.3</v>
      </c>
      <c r="W1423" s="1" t="n">
        <v>0</v>
      </c>
      <c r="X1423" s="1" t="s">
        <v>1292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" t="n">
        <v>2</v>
      </c>
      <c r="B1424" s="22" t="n">
        <v>46241</v>
      </c>
      <c r="C1424" s="22" t="n">
        <v>46285</v>
      </c>
      <c r="D1424" s="1" t="n">
        <v>10028</v>
      </c>
      <c r="E1424" s="1" t="s">
        <v>439</v>
      </c>
      <c r="F1424" s="1" t="n">
        <v>24</v>
      </c>
      <c r="G1424" s="1" t="s">
        <v>77</v>
      </c>
      <c r="H1424" s="1" t="n">
        <v>2110405</v>
      </c>
      <c r="I1424" s="1" t="s">
        <v>41</v>
      </c>
      <c r="J1424" s="1" t="n">
        <v>1370757</v>
      </c>
      <c r="L1424" s="1" t="n">
        <v>184341</v>
      </c>
      <c r="M1424" s="1" t="s">
        <v>62</v>
      </c>
      <c r="N1424" s="1" t="s">
        <v>35</v>
      </c>
      <c r="P1424" s="1" t="n">
        <v>101</v>
      </c>
      <c r="Q1424" s="1" t="s">
        <v>42</v>
      </c>
      <c r="R1424" s="1" t="s">
        <v>100</v>
      </c>
      <c r="S1424" s="1" t="n">
        <v>4210315</v>
      </c>
      <c r="T1424" s="1" t="s">
        <v>257</v>
      </c>
      <c r="U1424" s="1" t="n">
        <v>595.9</v>
      </c>
      <c r="W1424" s="1" t="n">
        <v>0</v>
      </c>
      <c r="X1424" s="1" t="s">
        <v>440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2</v>
      </c>
      <c r="B1425" s="22" t="n">
        <v>46253</v>
      </c>
      <c r="C1425" s="22" t="n">
        <v>46286</v>
      </c>
      <c r="D1425" s="1" t="n">
        <v>616</v>
      </c>
      <c r="E1425" s="1" t="s">
        <v>818</v>
      </c>
      <c r="F1425" s="1" t="n">
        <v>24</v>
      </c>
      <c r="G1425" s="1" t="s">
        <v>77</v>
      </c>
      <c r="H1425" s="1" t="n">
        <v>2110405</v>
      </c>
      <c r="I1425" s="1" t="s">
        <v>41</v>
      </c>
      <c r="J1425" s="1" t="n">
        <v>1572206</v>
      </c>
      <c r="L1425" s="1" t="n">
        <v>214775</v>
      </c>
      <c r="M1425" s="1" t="s">
        <v>83</v>
      </c>
      <c r="N1425" s="1" t="s">
        <v>35</v>
      </c>
      <c r="P1425" s="1" t="n">
        <v>113</v>
      </c>
      <c r="Q1425" s="1" t="s">
        <v>36</v>
      </c>
      <c r="R1425" s="1" t="s">
        <v>48</v>
      </c>
      <c r="S1425" s="1" t="n">
        <v>1130101</v>
      </c>
      <c r="T1425" s="1" t="s">
        <v>49</v>
      </c>
      <c r="U1425" s="1" t="n">
        <v>983.77</v>
      </c>
      <c r="W1425" s="1" t="n">
        <v>0</v>
      </c>
      <c r="X1425" s="1" t="s">
        <v>1279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2</v>
      </c>
      <c r="B1426" s="22" t="n">
        <v>46254</v>
      </c>
      <c r="C1426" s="22" t="n">
        <v>46286</v>
      </c>
      <c r="D1426" s="1" t="n">
        <v>10012</v>
      </c>
      <c r="E1426" s="1" t="s">
        <v>160</v>
      </c>
      <c r="F1426" s="1" t="n">
        <v>24</v>
      </c>
      <c r="G1426" s="1" t="s">
        <v>77</v>
      </c>
      <c r="H1426" s="1" t="n">
        <v>2110405</v>
      </c>
      <c r="I1426" s="1" t="s">
        <v>41</v>
      </c>
      <c r="J1426" s="1" t="n">
        <v>1577225</v>
      </c>
      <c r="L1426" s="1" t="n">
        <v>215620</v>
      </c>
      <c r="M1426" s="1" t="s">
        <v>83</v>
      </c>
      <c r="N1426" s="1" t="s">
        <v>35</v>
      </c>
      <c r="P1426" s="1" t="n">
        <v>113</v>
      </c>
      <c r="Q1426" s="1" t="s">
        <v>36</v>
      </c>
      <c r="R1426" s="1" t="s">
        <v>48</v>
      </c>
      <c r="S1426" s="1" t="n">
        <v>1130101</v>
      </c>
      <c r="T1426" s="1" t="s">
        <v>49</v>
      </c>
      <c r="U1426" s="1" t="n">
        <v>521.74</v>
      </c>
      <c r="W1426" s="1" t="n">
        <v>0</v>
      </c>
      <c r="X1426" s="1" t="s">
        <v>1280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" t="n">
        <v>2</v>
      </c>
      <c r="B1427" s="22" t="n">
        <v>46244</v>
      </c>
      <c r="C1427" s="22" t="n">
        <v>46289</v>
      </c>
      <c r="D1427" s="1" t="n">
        <v>1789</v>
      </c>
      <c r="E1427" s="1" t="s">
        <v>485</v>
      </c>
      <c r="F1427" s="1" t="n">
        <v>24</v>
      </c>
      <c r="G1427" s="1" t="s">
        <v>77</v>
      </c>
      <c r="H1427" s="1" t="n">
        <v>2110405</v>
      </c>
      <c r="I1427" s="1" t="s">
        <v>41</v>
      </c>
      <c r="J1427" s="1" t="n">
        <v>1529685</v>
      </c>
      <c r="L1427" s="1" t="n">
        <v>208126</v>
      </c>
      <c r="M1427" s="1" t="s">
        <v>83</v>
      </c>
      <c r="N1427" s="1" t="s">
        <v>35</v>
      </c>
      <c r="P1427" s="1" t="n">
        <v>113</v>
      </c>
      <c r="Q1427" s="1" t="s">
        <v>36</v>
      </c>
      <c r="R1427" s="1" t="s">
        <v>364</v>
      </c>
      <c r="S1427" s="1" t="n">
        <v>4210112</v>
      </c>
      <c r="T1427" s="1" t="s">
        <v>486</v>
      </c>
      <c r="U1427" s="1" t="n">
        <v>10645.93</v>
      </c>
      <c r="W1427" s="1" t="n">
        <v>0</v>
      </c>
      <c r="X1427" s="1" t="s">
        <v>1293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" t="n">
        <v>2</v>
      </c>
      <c r="B1428" s="22" t="n">
        <v>46013</v>
      </c>
      <c r="C1428" s="22" t="n">
        <v>46290</v>
      </c>
      <c r="D1428" s="1" t="n">
        <v>17</v>
      </c>
      <c r="E1428" s="1" t="s">
        <v>436</v>
      </c>
      <c r="F1428" s="1" t="n">
        <v>48</v>
      </c>
      <c r="G1428" s="1" t="s">
        <v>503</v>
      </c>
      <c r="H1428" s="1" t="n">
        <v>2110405</v>
      </c>
      <c r="I1428" s="1" t="s">
        <v>41</v>
      </c>
      <c r="J1428" s="1" t="n">
        <v>660421</v>
      </c>
      <c r="L1428" s="1" t="n">
        <v>86128</v>
      </c>
      <c r="M1428" s="1" t="s">
        <v>970</v>
      </c>
      <c r="N1428" s="1" t="s">
        <v>35</v>
      </c>
      <c r="P1428" s="1" t="n">
        <v>101</v>
      </c>
      <c r="Q1428" s="1" t="s">
        <v>42</v>
      </c>
      <c r="R1428" s="1" t="s">
        <v>43</v>
      </c>
      <c r="S1428" s="1" t="n">
        <v>4220199</v>
      </c>
      <c r="T1428" s="1" t="s">
        <v>44</v>
      </c>
      <c r="U1428" s="1" t="n">
        <v>362.14</v>
      </c>
      <c r="W1428" s="1" t="n">
        <v>0</v>
      </c>
      <c r="X1428" s="1" t="s">
        <v>505</v>
      </c>
      <c r="Z1428" s="1" t="str">
        <f aca="false">IF($T1428="","",IFERROR(INDEX('Resumo Grupos'!$AC$3:$AC$200,MATCH($T1428,'Resumo Grupos'!$AB$3:$AB$200,0)),"n/d"))</f>
        <v>Pagamentos outros não operacionais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" t="n">
        <v>2</v>
      </c>
      <c r="B1429" s="22" t="n">
        <v>46029</v>
      </c>
      <c r="C1429" s="22" t="n">
        <v>46290</v>
      </c>
      <c r="D1429" s="1" t="n">
        <v>17</v>
      </c>
      <c r="E1429" s="1" t="s">
        <v>436</v>
      </c>
      <c r="F1429" s="1" t="n">
        <v>48</v>
      </c>
      <c r="G1429" s="1" t="s">
        <v>503</v>
      </c>
      <c r="H1429" s="1" t="n">
        <v>2110405</v>
      </c>
      <c r="I1429" s="1" t="s">
        <v>41</v>
      </c>
      <c r="J1429" s="1" t="n">
        <v>660305</v>
      </c>
      <c r="L1429" s="1" t="n">
        <v>86116</v>
      </c>
      <c r="M1429" s="1" t="s">
        <v>970</v>
      </c>
      <c r="N1429" s="1" t="s">
        <v>35</v>
      </c>
      <c r="P1429" s="1" t="n">
        <v>101</v>
      </c>
      <c r="Q1429" s="1" t="s">
        <v>42</v>
      </c>
      <c r="R1429" s="1" t="s">
        <v>43</v>
      </c>
      <c r="S1429" s="1" t="n">
        <v>4220199</v>
      </c>
      <c r="T1429" s="1" t="s">
        <v>44</v>
      </c>
      <c r="U1429" s="1" t="n">
        <v>84.03</v>
      </c>
      <c r="W1429" s="1" t="n">
        <v>0</v>
      </c>
      <c r="X1429" s="1" t="s">
        <v>504</v>
      </c>
      <c r="Z1429" s="1" t="str">
        <f aca="false">IF($T1429="","",IFERROR(INDEX('Resumo Grupos'!$AC$3:$AC$200,MATCH($T1429,'Resumo Grupos'!$AB$3:$AB$200,0)),"n/d"))</f>
        <v>Pagamentos outros não operacionais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" t="n">
        <v>2</v>
      </c>
      <c r="B1430" s="22" t="n">
        <v>46243</v>
      </c>
      <c r="C1430" s="22" t="n">
        <v>46290</v>
      </c>
      <c r="D1430" s="1" t="n">
        <v>17</v>
      </c>
      <c r="E1430" s="1" t="s">
        <v>436</v>
      </c>
      <c r="F1430" s="1" t="n">
        <v>48</v>
      </c>
      <c r="G1430" s="1" t="s">
        <v>503</v>
      </c>
      <c r="H1430" s="1" t="n">
        <v>2110405</v>
      </c>
      <c r="I1430" s="1" t="s">
        <v>41</v>
      </c>
      <c r="J1430" s="1" t="n">
        <v>1551938</v>
      </c>
      <c r="L1430" s="1" t="n">
        <v>211786</v>
      </c>
      <c r="M1430" s="1" t="s">
        <v>74</v>
      </c>
      <c r="N1430" s="1" t="s">
        <v>35</v>
      </c>
      <c r="P1430" s="1" t="n">
        <v>101</v>
      </c>
      <c r="Q1430" s="1" t="s">
        <v>42</v>
      </c>
      <c r="R1430" s="1" t="s">
        <v>43</v>
      </c>
      <c r="S1430" s="1" t="n">
        <v>4220199</v>
      </c>
      <c r="T1430" s="1" t="s">
        <v>44</v>
      </c>
      <c r="U1430" s="1" t="n">
        <v>52.52</v>
      </c>
      <c r="W1430" s="1" t="n">
        <v>0</v>
      </c>
      <c r="X1430" s="1" t="s">
        <v>1294</v>
      </c>
      <c r="Z1430" s="1" t="str">
        <f aca="false">IF($T1430="","",IFERROR(INDEX('Resumo Grupos'!$AC$3:$AC$200,MATCH($T1430,'Resumo Grupos'!$AB$3:$AB$200,0)),"n/d"))</f>
        <v>Pagamentos outros não operacionais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2</v>
      </c>
      <c r="B1431" s="22" t="n">
        <v>46023</v>
      </c>
      <c r="C1431" s="22" t="n">
        <v>46293</v>
      </c>
      <c r="D1431" s="1" t="n">
        <v>515</v>
      </c>
      <c r="E1431" s="1" t="s">
        <v>143</v>
      </c>
      <c r="F1431" s="1" t="n">
        <v>34</v>
      </c>
      <c r="G1431" s="1" t="s">
        <v>97</v>
      </c>
      <c r="H1431" s="1" t="n">
        <v>2110405</v>
      </c>
      <c r="I1431" s="1" t="s">
        <v>41</v>
      </c>
      <c r="J1431" s="1" t="n">
        <v>1012266</v>
      </c>
      <c r="L1431" s="1" t="n">
        <v>133812</v>
      </c>
      <c r="M1431" s="1" t="s">
        <v>970</v>
      </c>
      <c r="N1431" s="1" t="s">
        <v>35</v>
      </c>
      <c r="P1431" s="1" t="n">
        <v>101</v>
      </c>
      <c r="Q1431" s="1" t="s">
        <v>42</v>
      </c>
      <c r="R1431" s="1" t="s">
        <v>295</v>
      </c>
      <c r="S1431" s="1" t="n">
        <v>2110901</v>
      </c>
      <c r="T1431" s="1" t="s">
        <v>296</v>
      </c>
      <c r="U1431" s="1" t="n">
        <v>4168.41</v>
      </c>
      <c r="W1431" s="1" t="n">
        <v>0</v>
      </c>
      <c r="X1431" s="1" t="s">
        <v>1295</v>
      </c>
      <c r="Z1431" s="1" t="str">
        <f aca="false">IF($T1431="","",IFERROR(INDEX('Resumo Grupos'!$AC$3:$AC$200,MATCH($T1431,'Resumo Grupos'!$AB$3:$AB$200,0)),"n/d"))</f>
        <v>Empréstimo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2</v>
      </c>
      <c r="B1432" s="22" t="n">
        <v>46055</v>
      </c>
      <c r="C1432" s="22" t="n">
        <v>46296</v>
      </c>
      <c r="D1432" s="1" t="n">
        <v>10039</v>
      </c>
      <c r="E1432" s="1" t="s">
        <v>70</v>
      </c>
      <c r="F1432" s="1" t="n">
        <v>47</v>
      </c>
      <c r="G1432" s="1" t="s">
        <v>32</v>
      </c>
      <c r="H1432" s="1" t="n">
        <v>2110405</v>
      </c>
      <c r="I1432" s="1" t="s">
        <v>41</v>
      </c>
      <c r="J1432" s="1" t="n">
        <v>846832</v>
      </c>
      <c r="L1432" s="1" t="n">
        <v>111506</v>
      </c>
      <c r="M1432" s="1" t="s">
        <v>596</v>
      </c>
      <c r="N1432" s="1" t="s">
        <v>35</v>
      </c>
      <c r="P1432" s="1" t="n">
        <v>113</v>
      </c>
      <c r="Q1432" s="1" t="s">
        <v>36</v>
      </c>
      <c r="R1432" s="1" t="s">
        <v>56</v>
      </c>
      <c r="S1432" s="1" t="n">
        <v>4210227</v>
      </c>
      <c r="T1432" s="1" t="s">
        <v>63</v>
      </c>
      <c r="U1432" s="1" t="n">
        <v>378.82</v>
      </c>
      <c r="W1432" s="1" t="n">
        <v>0</v>
      </c>
      <c r="X1432" s="1" t="s">
        <v>1296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2</v>
      </c>
      <c r="B1433" s="22" t="n">
        <v>46246</v>
      </c>
      <c r="C1433" s="22" t="n">
        <v>46296</v>
      </c>
      <c r="D1433" s="1" t="n">
        <v>875</v>
      </c>
      <c r="E1433" s="1" t="s">
        <v>73</v>
      </c>
      <c r="F1433" s="1" t="n">
        <v>47</v>
      </c>
      <c r="G1433" s="1" t="s">
        <v>32</v>
      </c>
      <c r="H1433" s="1" t="n">
        <v>2110405</v>
      </c>
      <c r="I1433" s="1" t="s">
        <v>41</v>
      </c>
      <c r="J1433" s="1" t="n">
        <v>1534947</v>
      </c>
      <c r="L1433" s="1" t="n">
        <v>209452</v>
      </c>
      <c r="M1433" s="1" t="s">
        <v>74</v>
      </c>
      <c r="N1433" s="1" t="s">
        <v>35</v>
      </c>
      <c r="P1433" s="1" t="n">
        <v>113</v>
      </c>
      <c r="Q1433" s="1" t="s">
        <v>36</v>
      </c>
      <c r="R1433" s="1" t="s">
        <v>48</v>
      </c>
      <c r="S1433" s="1" t="n">
        <v>1130101</v>
      </c>
      <c r="T1433" s="1" t="s">
        <v>49</v>
      </c>
      <c r="U1433" s="1" t="n">
        <v>638.75</v>
      </c>
      <c r="W1433" s="1" t="n">
        <v>0</v>
      </c>
      <c r="X1433" s="1" t="s">
        <v>1297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2</v>
      </c>
      <c r="B1434" s="22" t="n">
        <v>46238</v>
      </c>
      <c r="C1434" s="22" t="n">
        <v>46299</v>
      </c>
      <c r="D1434" s="1" t="n">
        <v>862</v>
      </c>
      <c r="E1434" s="1" t="s">
        <v>284</v>
      </c>
      <c r="F1434" s="1" t="n">
        <v>24</v>
      </c>
      <c r="G1434" s="1" t="s">
        <v>77</v>
      </c>
      <c r="H1434" s="1" t="n">
        <v>2110405</v>
      </c>
      <c r="I1434" s="1" t="s">
        <v>41</v>
      </c>
      <c r="J1434" s="1" t="n">
        <v>1498421</v>
      </c>
      <c r="L1434" s="1" t="n">
        <v>202608</v>
      </c>
      <c r="M1434" s="1" t="s">
        <v>62</v>
      </c>
      <c r="N1434" s="1" t="s">
        <v>35</v>
      </c>
      <c r="P1434" s="1" t="n">
        <v>101</v>
      </c>
      <c r="Q1434" s="1" t="s">
        <v>42</v>
      </c>
      <c r="R1434" s="1" t="s">
        <v>56</v>
      </c>
      <c r="S1434" s="1" t="n">
        <v>4210233</v>
      </c>
      <c r="T1434" s="1" t="s">
        <v>186</v>
      </c>
      <c r="U1434" s="1" t="n">
        <v>270.9</v>
      </c>
      <c r="W1434" s="1" t="n">
        <v>0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" t="n">
        <v>2</v>
      </c>
      <c r="B1435" s="22" t="n">
        <v>46244</v>
      </c>
      <c r="C1435" s="22" t="n">
        <v>46300</v>
      </c>
      <c r="D1435" s="1" t="n">
        <v>33</v>
      </c>
      <c r="E1435" s="1" t="s">
        <v>272</v>
      </c>
      <c r="F1435" s="1" t="n">
        <v>34</v>
      </c>
      <c r="G1435" s="1" t="s">
        <v>97</v>
      </c>
      <c r="H1435" s="1" t="n">
        <v>2110405</v>
      </c>
      <c r="I1435" s="1" t="s">
        <v>41</v>
      </c>
      <c r="J1435" s="1" t="n">
        <v>1530158</v>
      </c>
      <c r="L1435" s="1" t="n">
        <v>208205</v>
      </c>
      <c r="M1435" s="1" t="s">
        <v>74</v>
      </c>
      <c r="N1435" s="1" t="s">
        <v>35</v>
      </c>
      <c r="P1435" s="1" t="n">
        <v>101</v>
      </c>
      <c r="Q1435" s="1" t="s">
        <v>42</v>
      </c>
      <c r="R1435" s="1" t="s">
        <v>100</v>
      </c>
      <c r="S1435" s="1" t="n">
        <v>4210301</v>
      </c>
      <c r="T1435" s="1" t="s">
        <v>230</v>
      </c>
      <c r="U1435" s="1" t="n">
        <v>250.1</v>
      </c>
      <c r="W1435" s="1" t="n">
        <v>0</v>
      </c>
      <c r="X1435" s="1" t="s">
        <v>1274</v>
      </c>
      <c r="Z1435" s="1" t="str">
        <f aca="false">IF($T1435="","",IFERROR(INDEX('Resumo Grupos'!$AC$3:$AC$200,MATCH($T1435,'Resumo Grupos'!$AB$3:$AB$200,0)),"n/d"))</f>
        <v>Salários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" t="n">
        <v>2</v>
      </c>
      <c r="B1436" s="22" t="n">
        <v>46232</v>
      </c>
      <c r="C1436" s="22" t="n">
        <v>46302</v>
      </c>
      <c r="D1436" s="1" t="n">
        <v>1932</v>
      </c>
      <c r="E1436" s="1" t="s">
        <v>256</v>
      </c>
      <c r="F1436" s="1" t="n">
        <v>34</v>
      </c>
      <c r="G1436" s="1" t="s">
        <v>97</v>
      </c>
      <c r="H1436" s="1" t="n">
        <v>2110405</v>
      </c>
      <c r="I1436" s="1" t="s">
        <v>41</v>
      </c>
      <c r="J1436" s="1" t="n">
        <v>1469462</v>
      </c>
      <c r="L1436" s="1" t="n">
        <v>199057</v>
      </c>
      <c r="M1436" s="1" t="s">
        <v>62</v>
      </c>
      <c r="N1436" s="1" t="s">
        <v>35</v>
      </c>
      <c r="P1436" s="1" t="n">
        <v>101</v>
      </c>
      <c r="Q1436" s="1" t="s">
        <v>42</v>
      </c>
      <c r="R1436" s="1" t="s">
        <v>100</v>
      </c>
      <c r="S1436" s="1" t="n">
        <v>4210315</v>
      </c>
      <c r="T1436" s="1" t="s">
        <v>257</v>
      </c>
      <c r="U1436" s="1" t="n">
        <v>119.97</v>
      </c>
      <c r="W1436" s="1" t="n">
        <v>0</v>
      </c>
      <c r="X1436" s="1" t="s">
        <v>1043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" t="n">
        <v>2</v>
      </c>
      <c r="B1437" s="22" t="n">
        <v>46211</v>
      </c>
      <c r="C1437" s="22" t="n">
        <v>46305</v>
      </c>
      <c r="D1437" s="1" t="n">
        <v>33</v>
      </c>
      <c r="E1437" s="1" t="s">
        <v>272</v>
      </c>
      <c r="F1437" s="1" t="n">
        <v>34</v>
      </c>
      <c r="G1437" s="1" t="s">
        <v>97</v>
      </c>
      <c r="H1437" s="1" t="n">
        <v>2110405</v>
      </c>
      <c r="I1437" s="1" t="s">
        <v>41</v>
      </c>
      <c r="J1437" s="1" t="n">
        <v>1370733</v>
      </c>
      <c r="L1437" s="1" t="n">
        <v>184338</v>
      </c>
      <c r="M1437" s="1" t="s">
        <v>62</v>
      </c>
      <c r="N1437" s="1" t="s">
        <v>35</v>
      </c>
      <c r="P1437" s="1" t="n">
        <v>101</v>
      </c>
      <c r="Q1437" s="1" t="s">
        <v>42</v>
      </c>
      <c r="R1437" s="1" t="s">
        <v>56</v>
      </c>
      <c r="S1437" s="1" t="n">
        <v>4210222</v>
      </c>
      <c r="T1437" s="1" t="s">
        <v>1059</v>
      </c>
      <c r="U1437" s="1" t="n">
        <v>666.67</v>
      </c>
      <c r="W1437" s="1" t="n">
        <v>0</v>
      </c>
      <c r="X1437" s="1" t="s">
        <v>1060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" t="n">
        <v>2</v>
      </c>
      <c r="B1438" s="22" t="n">
        <v>46242</v>
      </c>
      <c r="C1438" s="22" t="n">
        <v>46305</v>
      </c>
      <c r="D1438" s="1" t="n">
        <v>1100</v>
      </c>
      <c r="E1438" s="1" t="s">
        <v>290</v>
      </c>
      <c r="F1438" s="1" t="n">
        <v>46</v>
      </c>
      <c r="G1438" s="1" t="s">
        <v>285</v>
      </c>
      <c r="H1438" s="1" t="n">
        <v>2110405</v>
      </c>
      <c r="I1438" s="1" t="s">
        <v>41</v>
      </c>
      <c r="J1438" s="1" t="n">
        <v>1427624</v>
      </c>
      <c r="L1438" s="1" t="n">
        <v>190916</v>
      </c>
      <c r="M1438" s="1" t="s">
        <v>62</v>
      </c>
      <c r="N1438" s="1" t="s">
        <v>35</v>
      </c>
      <c r="P1438" s="1" t="n">
        <v>101</v>
      </c>
      <c r="Q1438" s="1" t="s">
        <v>42</v>
      </c>
      <c r="R1438" s="1" t="s">
        <v>56</v>
      </c>
      <c r="S1438" s="1" t="n">
        <v>4210227</v>
      </c>
      <c r="T1438" s="1" t="s">
        <v>63</v>
      </c>
      <c r="U1438" s="1" t="n">
        <v>266.68</v>
      </c>
      <c r="W1438" s="1" t="n">
        <v>0</v>
      </c>
      <c r="X1438" s="1" t="s">
        <v>1298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2</v>
      </c>
      <c r="B1439" s="22" t="n">
        <v>46254</v>
      </c>
      <c r="C1439" s="22" t="n">
        <v>46308</v>
      </c>
      <c r="D1439" s="1" t="n">
        <v>33</v>
      </c>
      <c r="E1439" s="1" t="s">
        <v>272</v>
      </c>
      <c r="F1439" s="1" t="n">
        <v>34</v>
      </c>
      <c r="G1439" s="1" t="s">
        <v>97</v>
      </c>
      <c r="H1439" s="1" t="n">
        <v>2110405</v>
      </c>
      <c r="I1439" s="1" t="s">
        <v>41</v>
      </c>
      <c r="J1439" s="1" t="n">
        <v>1577428</v>
      </c>
      <c r="L1439" s="1" t="n">
        <v>215659</v>
      </c>
      <c r="M1439" s="1" t="s">
        <v>83</v>
      </c>
      <c r="N1439" s="1" t="s">
        <v>35</v>
      </c>
      <c r="P1439" s="1" t="n">
        <v>101</v>
      </c>
      <c r="Q1439" s="1" t="s">
        <v>42</v>
      </c>
      <c r="R1439" s="1" t="s">
        <v>56</v>
      </c>
      <c r="S1439" s="1" t="n">
        <v>4210222</v>
      </c>
      <c r="T1439" s="1" t="s">
        <v>1059</v>
      </c>
      <c r="U1439" s="1" t="n">
        <v>522.5</v>
      </c>
      <c r="W1439" s="1" t="n">
        <v>0</v>
      </c>
      <c r="X1439" s="1" t="s">
        <v>1299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" t="n">
        <v>2</v>
      </c>
      <c r="B1440" s="22" t="n">
        <v>46097</v>
      </c>
      <c r="C1440" s="22" t="n">
        <v>46310</v>
      </c>
      <c r="D1440" s="1" t="n">
        <v>1867</v>
      </c>
      <c r="E1440" s="1" t="s">
        <v>359</v>
      </c>
      <c r="F1440" s="1" t="n">
        <v>24</v>
      </c>
      <c r="G1440" s="1" t="s">
        <v>77</v>
      </c>
      <c r="H1440" s="1" t="n">
        <v>2110405</v>
      </c>
      <c r="I1440" s="1" t="s">
        <v>41</v>
      </c>
      <c r="J1440" s="1" t="n">
        <v>808550</v>
      </c>
      <c r="L1440" s="1" t="n">
        <v>2026</v>
      </c>
      <c r="M1440" s="1" t="s">
        <v>596</v>
      </c>
      <c r="N1440" s="1" t="s">
        <v>35</v>
      </c>
      <c r="P1440" s="1" t="n">
        <v>101</v>
      </c>
      <c r="Q1440" s="1" t="s">
        <v>42</v>
      </c>
      <c r="R1440" s="1" t="s">
        <v>360</v>
      </c>
      <c r="S1440" s="1" t="n">
        <v>4210401</v>
      </c>
      <c r="T1440" s="1" t="s">
        <v>361</v>
      </c>
      <c r="U1440" s="1" t="n">
        <v>228.88</v>
      </c>
      <c r="W1440" s="1" t="n">
        <v>0</v>
      </c>
      <c r="X1440" s="1" t="s">
        <v>1300</v>
      </c>
      <c r="Z1440" s="1" t="str">
        <f aca="false">IF($T1440="","",IFERROR(INDEX('Resumo Grupos'!$AC$3:$AC$200,MATCH($T1440,'Resumo Grupos'!$AB$3:$AB$200,0)),"n/d"))</f>
        <v>Impostos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" t="n">
        <v>2</v>
      </c>
      <c r="B1441" s="22" t="n">
        <v>46127</v>
      </c>
      <c r="C1441" s="22" t="n">
        <v>46310</v>
      </c>
      <c r="D1441" s="1" t="n">
        <v>512</v>
      </c>
      <c r="E1441" s="1" t="s">
        <v>363</v>
      </c>
      <c r="F1441" s="1" t="n">
        <v>34</v>
      </c>
      <c r="G1441" s="1" t="s">
        <v>97</v>
      </c>
      <c r="H1441" s="1" t="n">
        <v>2110405</v>
      </c>
      <c r="I1441" s="1" t="s">
        <v>41</v>
      </c>
      <c r="J1441" s="1" t="n">
        <v>954215</v>
      </c>
      <c r="L1441" s="1" t="n">
        <v>126220</v>
      </c>
      <c r="M1441" s="1" t="s">
        <v>34</v>
      </c>
      <c r="N1441" s="1" t="s">
        <v>35</v>
      </c>
      <c r="P1441" s="1" t="n">
        <v>101</v>
      </c>
      <c r="Q1441" s="1" t="s">
        <v>42</v>
      </c>
      <c r="R1441" s="1" t="s">
        <v>364</v>
      </c>
      <c r="S1441" s="1" t="n">
        <v>4210111</v>
      </c>
      <c r="T1441" s="1" t="s">
        <v>365</v>
      </c>
      <c r="U1441" s="1" t="n">
        <v>5700</v>
      </c>
      <c r="W1441" s="1" t="n">
        <v>0</v>
      </c>
      <c r="X1441" s="1" t="s">
        <v>366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2</v>
      </c>
      <c r="B1442" s="22" t="n">
        <v>46206</v>
      </c>
      <c r="C1442" s="22" t="n">
        <v>46313</v>
      </c>
      <c r="D1442" s="1" t="n">
        <v>33</v>
      </c>
      <c r="E1442" s="1" t="s">
        <v>272</v>
      </c>
      <c r="F1442" s="1" t="n">
        <v>34</v>
      </c>
      <c r="G1442" s="1" t="s">
        <v>97</v>
      </c>
      <c r="H1442" s="1" t="n">
        <v>2110405</v>
      </c>
      <c r="I1442" s="1" t="s">
        <v>41</v>
      </c>
      <c r="J1442" s="1" t="n">
        <v>1345312</v>
      </c>
      <c r="L1442" s="1" t="n">
        <v>180690</v>
      </c>
      <c r="M1442" s="1" t="s">
        <v>71</v>
      </c>
      <c r="N1442" s="1" t="s">
        <v>35</v>
      </c>
      <c r="P1442" s="1" t="n">
        <v>101</v>
      </c>
      <c r="Q1442" s="1" t="s">
        <v>42</v>
      </c>
      <c r="R1442" s="1" t="s">
        <v>56</v>
      </c>
      <c r="S1442" s="1" t="n">
        <v>4210203</v>
      </c>
      <c r="T1442" s="1" t="s">
        <v>664</v>
      </c>
      <c r="U1442" s="1" t="n">
        <v>247.27</v>
      </c>
      <c r="W1442" s="1" t="n">
        <v>0</v>
      </c>
      <c r="X1442" s="1" t="s">
        <v>815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2</v>
      </c>
      <c r="B1443" s="22" t="n">
        <v>46013</v>
      </c>
      <c r="C1443" s="22" t="n">
        <v>46320</v>
      </c>
      <c r="D1443" s="1" t="n">
        <v>17</v>
      </c>
      <c r="E1443" s="1" t="s">
        <v>436</v>
      </c>
      <c r="F1443" s="1" t="n">
        <v>48</v>
      </c>
      <c r="G1443" s="1" t="s">
        <v>503</v>
      </c>
      <c r="H1443" s="1" t="n">
        <v>2110405</v>
      </c>
      <c r="I1443" s="1" t="s">
        <v>41</v>
      </c>
      <c r="J1443" s="1" t="n">
        <v>660421</v>
      </c>
      <c r="L1443" s="1" t="n">
        <v>86128</v>
      </c>
      <c r="M1443" s="1" t="s">
        <v>1245</v>
      </c>
      <c r="N1443" s="1" t="s">
        <v>35</v>
      </c>
      <c r="P1443" s="1" t="n">
        <v>101</v>
      </c>
      <c r="Q1443" s="1" t="s">
        <v>42</v>
      </c>
      <c r="R1443" s="1" t="s">
        <v>43</v>
      </c>
      <c r="S1443" s="1" t="n">
        <v>4220199</v>
      </c>
      <c r="T1443" s="1" t="s">
        <v>44</v>
      </c>
      <c r="U1443" s="1" t="n">
        <v>362.14</v>
      </c>
      <c r="W1443" s="1" t="n">
        <v>0</v>
      </c>
      <c r="X1443" s="1" t="s">
        <v>505</v>
      </c>
      <c r="Z1443" s="1" t="str">
        <f aca="false">IF($T1443="","",IFERROR(INDEX('Resumo Grupos'!$AC$3:$AC$200,MATCH($T1443,'Resumo Grupos'!$AB$3:$AB$200,0)),"n/d"))</f>
        <v>Pagamentos outros não operacionais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2</v>
      </c>
      <c r="B1444" s="22" t="n">
        <v>46029</v>
      </c>
      <c r="C1444" s="22" t="n">
        <v>46320</v>
      </c>
      <c r="D1444" s="1" t="n">
        <v>17</v>
      </c>
      <c r="E1444" s="1" t="s">
        <v>436</v>
      </c>
      <c r="F1444" s="1" t="n">
        <v>48</v>
      </c>
      <c r="G1444" s="1" t="s">
        <v>503</v>
      </c>
      <c r="H1444" s="1" t="n">
        <v>2110405</v>
      </c>
      <c r="I1444" s="1" t="s">
        <v>41</v>
      </c>
      <c r="J1444" s="1" t="n">
        <v>660305</v>
      </c>
      <c r="L1444" s="1" t="n">
        <v>86116</v>
      </c>
      <c r="M1444" s="1" t="s">
        <v>1245</v>
      </c>
      <c r="N1444" s="1" t="s">
        <v>35</v>
      </c>
      <c r="P1444" s="1" t="n">
        <v>101</v>
      </c>
      <c r="Q1444" s="1" t="s">
        <v>42</v>
      </c>
      <c r="R1444" s="1" t="s">
        <v>43</v>
      </c>
      <c r="S1444" s="1" t="n">
        <v>4220199</v>
      </c>
      <c r="T1444" s="1" t="s">
        <v>44</v>
      </c>
      <c r="U1444" s="1" t="n">
        <v>84.03</v>
      </c>
      <c r="W1444" s="1" t="n">
        <v>0</v>
      </c>
      <c r="X1444" s="1" t="s">
        <v>504</v>
      </c>
      <c r="Z1444" s="1" t="str">
        <f aca="false">IF($T1444="","",IFERROR(INDEX('Resumo Grupos'!$AC$3:$AC$200,MATCH($T1444,'Resumo Grupos'!$AB$3:$AB$200,0)),"n/d"))</f>
        <v>Pagamentos outros não operacionais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" t="n">
        <v>2</v>
      </c>
      <c r="B1445" s="22" t="n">
        <v>46023</v>
      </c>
      <c r="C1445" s="22" t="n">
        <v>46321</v>
      </c>
      <c r="D1445" s="1" t="n">
        <v>515</v>
      </c>
      <c r="E1445" s="1" t="s">
        <v>143</v>
      </c>
      <c r="F1445" s="1" t="n">
        <v>34</v>
      </c>
      <c r="G1445" s="1" t="s">
        <v>97</v>
      </c>
      <c r="H1445" s="1" t="n">
        <v>2110405</v>
      </c>
      <c r="I1445" s="1" t="s">
        <v>41</v>
      </c>
      <c r="J1445" s="1" t="n">
        <v>1012266</v>
      </c>
      <c r="L1445" s="1" t="n">
        <v>133812</v>
      </c>
      <c r="M1445" s="1" t="s">
        <v>1245</v>
      </c>
      <c r="N1445" s="1" t="s">
        <v>35</v>
      </c>
      <c r="P1445" s="1" t="n">
        <v>101</v>
      </c>
      <c r="Q1445" s="1" t="s">
        <v>42</v>
      </c>
      <c r="R1445" s="1" t="s">
        <v>295</v>
      </c>
      <c r="S1445" s="1" t="n">
        <v>2110901</v>
      </c>
      <c r="T1445" s="1" t="s">
        <v>296</v>
      </c>
      <c r="U1445" s="1" t="n">
        <v>4168.41</v>
      </c>
      <c r="W1445" s="1" t="n">
        <v>0</v>
      </c>
      <c r="X1445" s="1" t="s">
        <v>1301</v>
      </c>
      <c r="Z1445" s="1" t="str">
        <f aca="false">IF($T1445="","",IFERROR(INDEX('Resumo Grupos'!$AC$3:$AC$200,MATCH($T1445,'Resumo Grupos'!$AB$3:$AB$200,0)),"n/d"))</f>
        <v>Empréstimo</v>
      </c>
      <c r="AA1445" s="1" t="str">
        <f aca="false">IF($T1445="","",IF(COUNTIF('Resumo Grupos'!$AE$3:$AE$40,$T1445)&gt;0,"NAO","SIM"))</f>
        <v>SIM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1302</v>
      </c>
      <c r="D1" s="25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7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7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7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7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7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7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7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7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7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7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7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7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7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7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7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7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7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7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7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7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7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7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7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7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7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7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7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7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7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7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7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7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7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7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7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7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7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7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7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7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7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7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7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7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7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7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7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7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7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7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7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7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7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7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7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7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7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7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7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7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7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7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7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7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7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7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7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7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7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7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7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7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7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7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7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7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7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7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7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7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7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7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7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7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7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7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7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7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7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7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7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7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7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7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7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7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7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7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7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7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7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7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7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7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7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7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7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7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7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7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7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7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7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7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7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7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7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7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7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7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7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7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7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7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7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7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7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7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7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7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7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7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7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7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7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7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7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7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7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7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7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7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7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7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7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7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7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7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7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7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7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7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7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7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7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7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7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7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7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7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7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7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7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7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7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7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7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7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7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7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7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7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7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7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7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7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7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7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7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7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7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7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7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7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7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7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7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7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7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7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7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7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7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7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7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7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7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7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7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7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7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7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7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7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7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7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7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7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7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7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7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7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7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7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7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7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7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7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7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7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7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7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7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7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7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7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7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7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7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7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7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7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7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7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7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7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7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7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7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7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7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7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7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7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7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7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7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7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7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7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7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7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7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7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7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7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7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7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7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7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7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7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7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7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7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7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7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7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7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7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7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7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7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7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7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7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7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7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7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7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7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7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7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7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7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7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7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7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7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7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7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7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7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7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7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7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7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7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7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7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7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7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7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7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7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7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7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7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7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7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7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7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7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7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7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7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7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7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7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7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7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7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7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7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7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7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7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7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7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7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7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7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7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7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7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7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7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7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7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7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7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7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7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7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7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7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7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7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7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7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7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7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7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7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7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7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7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7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7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7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7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7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7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7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7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7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7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7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7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7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7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7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7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7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7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7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7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7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7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7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7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7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7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7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7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7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7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7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7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7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7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7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7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7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7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7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7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7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7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7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7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Report!C543</f>
        <v>46206</v>
      </c>
      <c r="B403" s="1" t="str">
        <f aca="false">Report!E543</f>
        <v>CHARLES MO2</v>
      </c>
      <c r="C403" s="17" t="n">
        <f aca="false">Report!U543</f>
        <v>1217.33</v>
      </c>
      <c r="D403" s="1" t="str">
        <f aca="false">Report!X543</f>
        <v>DESPESA LOJA - COMPRAS CHARLES 06/26  - KEILA</v>
      </c>
    </row>
    <row r="404" customFormat="false" ht="12.75" hidden="false" customHeight="true" outlineLevel="0" collapsed="false">
      <c r="A404" s="15" t="n">
        <f aca="false">Report!C544</f>
        <v>46206</v>
      </c>
      <c r="B404" s="1" t="str">
        <f aca="false">Report!E544</f>
        <v>BROTHERS  INDUSTRIA DE ALIMENTOS LTDA</v>
      </c>
      <c r="C404" s="17" t="n">
        <f aca="false">Report!U544</f>
        <v>305.38</v>
      </c>
      <c r="D404" s="1" t="str">
        <f aca="false">Report!X544</f>
        <v>NF 102906 ELLEN</v>
      </c>
    </row>
    <row r="405" customFormat="false" ht="12.75" hidden="false" customHeight="true" outlineLevel="0" collapsed="false">
      <c r="A405" s="15" t="n">
        <f aca="false">Report!C545</f>
        <v>46206</v>
      </c>
      <c r="B405" s="1" t="str">
        <f aca="false">Report!E545</f>
        <v>L S M COMERCIO DE ALIMENTOS E NAVEGACAO</v>
      </c>
      <c r="C405" s="17" t="n">
        <f aca="false">Report!U545</f>
        <v>1184.07</v>
      </c>
      <c r="D405" s="1" t="str">
        <f aca="false">Report!X545</f>
        <v>NF 305929 ELLEN</v>
      </c>
    </row>
    <row r="406" customFormat="false" ht="12.75" hidden="false" customHeight="true" outlineLevel="0" collapsed="false">
      <c r="A406" s="15" t="n">
        <f aca="false">Report!C546</f>
        <v>46206</v>
      </c>
      <c r="B406" s="1" t="str">
        <f aca="false">Report!E546</f>
        <v>SOUZA CRUZ LTDA.</v>
      </c>
      <c r="C406" s="17" t="n">
        <f aca="false">Report!U546</f>
        <v>5761.35</v>
      </c>
      <c r="D406" s="1" t="str">
        <f aca="false">Report!X546</f>
        <v>NF 564993 ELLEN</v>
      </c>
    </row>
    <row r="407" customFormat="false" ht="12.75" hidden="false" customHeight="true" outlineLevel="0" collapsed="false">
      <c r="A407" s="15" t="n">
        <f aca="false">Report!C547</f>
        <v>46206</v>
      </c>
      <c r="B407" s="1" t="str">
        <f aca="false">Report!E547</f>
        <v>BRAGA TABACARIA EIRELI ME</v>
      </c>
      <c r="C407" s="17" t="n">
        <f aca="false">Report!U547</f>
        <v>796.74</v>
      </c>
      <c r="D407" s="1" t="str">
        <f aca="false">Report!X547</f>
        <v>NF 18889 ELLEN</v>
      </c>
    </row>
    <row r="408" customFormat="false" ht="12.75" hidden="false" customHeight="true" outlineLevel="0" collapsed="false">
      <c r="A408" s="15" t="n">
        <f aca="false">Report!C548</f>
        <v>46206</v>
      </c>
      <c r="B408" s="1" t="str">
        <f aca="false">Report!E548</f>
        <v>MAXFRI DISTRIUIDORA LTDA</v>
      </c>
      <c r="C408" s="17" t="n">
        <f aca="false">Report!U548</f>
        <v>1997.03</v>
      </c>
      <c r="D408" s="1" t="str">
        <f aca="false">Report!X548</f>
        <v>NF 14560 ELLEN</v>
      </c>
    </row>
    <row r="409" customFormat="false" ht="12.75" hidden="false" customHeight="true" outlineLevel="0" collapsed="false">
      <c r="A409" s="15" t="n">
        <f aca="false">Report!C549</f>
        <v>46206</v>
      </c>
      <c r="B409" s="1" t="str">
        <f aca="false">Report!E549</f>
        <v>J G COMERCIO DE PRODUTOS ALIMENTICIOS LTDA</v>
      </c>
      <c r="C409" s="17" t="n">
        <f aca="false">Report!U549</f>
        <v>371.88</v>
      </c>
      <c r="D409" s="1" t="str">
        <f aca="false">Report!X549</f>
        <v>NF 389368 ELLEN</v>
      </c>
    </row>
    <row r="410" customFormat="false" ht="12.75" hidden="false" customHeight="true" outlineLevel="0" collapsed="false">
      <c r="A410" s="15" t="n">
        <f aca="false">Report!C550</f>
        <v>46206</v>
      </c>
      <c r="B410" s="1" t="str">
        <f aca="false">Report!E550</f>
        <v>CRBS S/A</v>
      </c>
      <c r="C410" s="17" t="n">
        <f aca="false">Report!U550</f>
        <v>2177.83</v>
      </c>
      <c r="D410" s="1" t="str">
        <f aca="false">Report!X550</f>
        <v>NF 877177 ELLEN</v>
      </c>
    </row>
    <row r="411" customFormat="false" ht="12.75" hidden="false" customHeight="true" outlineLevel="0" collapsed="false">
      <c r="A411" s="15" t="n">
        <f aca="false">Report!C551</f>
        <v>46206</v>
      </c>
      <c r="B411" s="1" t="str">
        <f aca="false">Report!E551</f>
        <v>CRBS S/A</v>
      </c>
      <c r="C411" s="17" t="n">
        <f aca="false">Report!U551</f>
        <v>1.55</v>
      </c>
      <c r="D411" s="1" t="str">
        <f aca="false">Report!X551</f>
        <v>NF 877177 REF TARIFA AMBEV - 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7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7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7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7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OPPORTUNITY ALIMENTOS PARA ANIMAIS LTDA</v>
      </c>
      <c r="C416" s="17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BRASIL NORTE BEBIDAS S/A</v>
      </c>
      <c r="C417" s="17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7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7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7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7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7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7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7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7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7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7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7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7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7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7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7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7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7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7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7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7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7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7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7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7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7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7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7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7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7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7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7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7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7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7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7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7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7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7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7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7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7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7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7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7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7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7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7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7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7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7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7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7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7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7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7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7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7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7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7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7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7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7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7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7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7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7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7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AGM INDUSTRIA COMERCIO E REPRESENTACAO LTDA</v>
      </c>
      <c r="C485" s="17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COMERCIO E DISTRIBUIDORA DE MATERIAS DE PERFUMARIA E LIMPEZA LTDA</v>
      </c>
      <c r="C486" s="17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E. D. SENA &amp; CIA LTDA</v>
      </c>
      <c r="C487" s="17" t="n">
        <f aca="false">Report!U670</f>
        <v>531.2</v>
      </c>
      <c r="D487" s="1" t="str">
        <f aca="false">Report!X670</f>
        <v>NF 9495 ELLEN</v>
      </c>
    </row>
    <row r="488" customFormat="false" ht="12.75" hidden="false" customHeight="true" outlineLevel="0" collapsed="false">
      <c r="A488" s="15" t="n">
        <f aca="false">Report!C671</f>
        <v>46213</v>
      </c>
      <c r="B488" s="1" t="str">
        <f aca="false">Report!E671</f>
        <v>GLG COMERCIO E INDUSTRIA DO VESTUARIO LTDA</v>
      </c>
      <c r="C488" s="17" t="n">
        <f aca="false">Report!U671</f>
        <v>160</v>
      </c>
      <c r="D488" s="1" t="str">
        <f aca="false">Report!X671</f>
        <v>CALCA UNIFORME ACOUGUEIROS MO2 - KEILA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SOUZA CRUZ LTDA.</v>
      </c>
      <c r="C489" s="17" t="n">
        <f aca="false">Report!U673</f>
        <v>5621.36</v>
      </c>
      <c r="D489" s="1" t="str">
        <f aca="false">Report!X673</f>
        <v>NF 564993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J G COMERCIO DE PRODUTOS ALIMENTICIOS LTDA</v>
      </c>
      <c r="C490" s="17" t="n">
        <f aca="false">Report!U674</f>
        <v>371.88</v>
      </c>
      <c r="D490" s="1" t="n">
        <f aca="false">Report!X674</f>
        <v>0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BROTHERS  INDUSTRIA DE ALIMENTOS LTDA</v>
      </c>
      <c r="C491" s="17" t="n">
        <f aca="false">Report!U675</f>
        <v>279.82</v>
      </c>
      <c r="D491" s="1" t="str">
        <f aca="false">Report!X675</f>
        <v>NF 1030058 ELLEN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H. L. DO NASCIMENTO</v>
      </c>
      <c r="C492" s="17" t="n">
        <f aca="false">Report!U676</f>
        <v>430.3</v>
      </c>
      <c r="D492" s="1" t="str">
        <f aca="false">Report!X676</f>
        <v>NF 5765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G A COMERCIO DE PRODUTOS HOSPITALARES LTDA</v>
      </c>
      <c r="C493" s="17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CRBS S/A</v>
      </c>
      <c r="C494" s="17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7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7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7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7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7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7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7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7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7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7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7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7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7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7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7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7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7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7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7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7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7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7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7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7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7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7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7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7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7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7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7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7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7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7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7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7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7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7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7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7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7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7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7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7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7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7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7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7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7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7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7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7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7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7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7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7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7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7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7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7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7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7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7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7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7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7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7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7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7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7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7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7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7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7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7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7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7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7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7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7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7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7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7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7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7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7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7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7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7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7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7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7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7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7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NEXUS DISTRIBUIDORA</v>
      </c>
      <c r="C589" s="17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15" t="n">
        <f aca="false">Report!C786</f>
        <v>46223</v>
      </c>
      <c r="B590" s="1" t="str">
        <f aca="false">Report!E786</f>
        <v>EYES NWHERE SISTEMAS INTELIGENTES DE IMAGEM SA</v>
      </c>
      <c r="C590" s="17" t="n">
        <f aca="false">Report!U786</f>
        <v>595.9</v>
      </c>
      <c r="D590" s="1" t="str">
        <f aca="false">Report!X786</f>
        <v>MENSALIDADE INTERNET MO2 - KEILA</v>
      </c>
    </row>
    <row r="591" customFormat="false" ht="12.75" hidden="false" customHeight="true" outlineLevel="0" collapsed="false">
      <c r="A591" s="15" t="n">
        <f aca="false">Report!C788</f>
        <v>46223</v>
      </c>
      <c r="B591" s="1" t="str">
        <f aca="false">Report!E788</f>
        <v>CRBS S/A</v>
      </c>
      <c r="C591" s="17" t="n">
        <f aca="false">Report!U788</f>
        <v>661.73</v>
      </c>
      <c r="D591" s="1" t="str">
        <f aca="false">Report!X788</f>
        <v>NF 899238 ELLEN</v>
      </c>
    </row>
    <row r="592" customFormat="false" ht="12.75" hidden="false" customHeight="true" outlineLevel="0" collapsed="false">
      <c r="A592" s="15" t="n">
        <f aca="false">Report!C789</f>
        <v>46223</v>
      </c>
      <c r="B592" s="1" t="str">
        <f aca="false">Report!E789</f>
        <v>KAROLINY RODRIGUES SOUZA VENANCIO 915783</v>
      </c>
      <c r="C592" s="17" t="n">
        <f aca="false">Report!U789</f>
        <v>250</v>
      </c>
      <c r="D592" s="1" t="str">
        <f aca="false">Report!X789</f>
        <v>NF 1791 ELLEN</v>
      </c>
    </row>
    <row r="593" customFormat="false" ht="12.75" hidden="false" customHeight="true" outlineLevel="0" collapsed="false">
      <c r="A593" s="15" t="n">
        <f aca="false">Report!C790</f>
        <v>46223</v>
      </c>
      <c r="B593" s="1" t="str">
        <f aca="false">Report!E790</f>
        <v>FENNIX BRASIL DISTRIBUIDORA DE PRODUTOS</v>
      </c>
      <c r="C593" s="17" t="n">
        <f aca="false">Report!U790</f>
        <v>368.05</v>
      </c>
      <c r="D593" s="1" t="str">
        <f aca="false">Report!X790</f>
        <v>NF 312916 ELLEN</v>
      </c>
    </row>
    <row r="594" customFormat="false" ht="12.75" hidden="false" customHeight="true" outlineLevel="0" collapsed="false">
      <c r="A594" s="15" t="n">
        <f aca="false">Report!C791</f>
        <v>46223</v>
      </c>
      <c r="B594" s="1" t="str">
        <f aca="false">Report!E791</f>
        <v>T. M. L. DA SILVA LTDA</v>
      </c>
      <c r="C594" s="17" t="n">
        <f aca="false">Report!U791</f>
        <v>361.6</v>
      </c>
      <c r="D594" s="1" t="str">
        <f aca="false">Report!X791</f>
        <v>NF 15127 ELLEN</v>
      </c>
    </row>
    <row r="595" customFormat="false" ht="12.75" hidden="false" customHeight="true" outlineLevel="0" collapsed="false">
      <c r="A595" s="15" t="n">
        <f aca="false">Report!C795</f>
        <v>46223</v>
      </c>
      <c r="B595" s="1" t="str">
        <f aca="false">Report!E795</f>
        <v>E S O CONSULTORIA EIRELI</v>
      </c>
      <c r="C595" s="17" t="n">
        <f aca="false">Report!U795</f>
        <v>2788.06</v>
      </c>
      <c r="D595" s="1" t="str">
        <f aca="false">Report!X795</f>
        <v>FGTS MO2 ESO 06/26 - KEILA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7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7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7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7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7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7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7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7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7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BROTHERS  INDUSTRIA DE ALIMENTOS LTDA</v>
      </c>
      <c r="C605" s="17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NESTLÉ BRASIL LTDA.</v>
      </c>
      <c r="C606" s="17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PANIFICADORA E CONFEITARIA REAL MADRI LTDA</v>
      </c>
      <c r="C607" s="17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ADICSO FABIAN GONZALEZ MONTILLA 70302186</v>
      </c>
      <c r="C608" s="17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NEYLIANE S DE OLIVEIRA &amp; CIA LTDA</v>
      </c>
      <c r="C609" s="17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FEIRA</v>
      </c>
      <c r="C610" s="17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NEYLIANE S DE OLIVEIRA &amp; CIA LTDA</v>
      </c>
      <c r="C611" s="17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7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7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7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7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7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7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7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7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7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7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7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7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7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7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7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7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7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7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7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7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7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7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7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7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7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7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7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7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7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7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7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7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7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7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7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7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7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7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7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7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7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7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7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7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7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7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7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7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7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7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7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7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7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7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7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7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7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7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7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7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7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7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7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7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7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7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7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7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7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7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7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7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7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7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7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7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7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7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7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7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7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7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7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7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7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7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7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7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7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Report!C926</f>
        <v>46233</v>
      </c>
      <c r="B701" s="1" t="str">
        <f aca="false">Report!E926</f>
        <v>RENATO DE O AZEVEDO E CIA LTDA</v>
      </c>
      <c r="C701" s="17" t="n">
        <f aca="false">Report!U926</f>
        <v>260.64</v>
      </c>
      <c r="D701" s="1" t="str">
        <f aca="false">Report!X926</f>
        <v>CONVENIO DROGARIA 04/26 MO2 - KEILA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7" t="n">
        <f aca="false">Report!U927</f>
        <v>658.6</v>
      </c>
      <c r="D702" s="1" t="str">
        <f aca="false">Report!X927</f>
        <v>NF 2299705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EMPRESA BRASILEIRA DE DISTRIBUICAO LTDA</v>
      </c>
      <c r="C703" s="17" t="n">
        <f aca="false">Report!U928</f>
        <v>377.46</v>
      </c>
      <c r="D703" s="1" t="str">
        <f aca="false">Report!X928</f>
        <v>NF 2299703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FENNIX BRASIL DISTRIBUIDORA DE PRODUTOS</v>
      </c>
      <c r="C704" s="17" t="n">
        <f aca="false">Report!U929</f>
        <v>321.77</v>
      </c>
      <c r="D704" s="1" t="str">
        <f aca="false">Report!X929</f>
        <v>NF 396261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7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7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7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7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7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7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7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7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7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7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7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7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7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7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7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7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7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7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7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7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7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7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7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7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7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7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7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7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7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7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7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7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7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7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7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7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7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7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7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7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7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7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7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7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7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7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7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7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7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7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7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7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7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7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7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7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7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7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7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7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7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7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7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7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7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7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7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7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7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7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7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7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7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7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7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7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7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7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7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7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7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7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7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7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7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7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7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SABIA COMERCIO DE COSMETICOS LTDA</v>
      </c>
      <c r="C792" s="17" t="n">
        <f aca="false">Report!U1054</f>
        <v>306.18</v>
      </c>
      <c r="D792" s="1" t="str">
        <f aca="false">Report!X1054</f>
        <v>NF 253576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D DE J SANTOS LTDA</v>
      </c>
      <c r="C793" s="17" t="n">
        <f aca="false">Report!U1055</f>
        <v>1040</v>
      </c>
      <c r="D793" s="1" t="str">
        <f aca="false">Report!X1055</f>
        <v>NF 261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7" t="n">
        <f aca="false">Report!U1056</f>
        <v>1717.19</v>
      </c>
      <c r="D794" s="1" t="str">
        <f aca="false">Report!X1056</f>
        <v>NF 1949480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BRASIL NORTE BEBIDAS S/A</v>
      </c>
      <c r="C795" s="17" t="n">
        <f aca="false">Report!U1057</f>
        <v>203.42</v>
      </c>
      <c r="D795" s="1" t="str">
        <f aca="false">Report!X1057</f>
        <v>NF 1215300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7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7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7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7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7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7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7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7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7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7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7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7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7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7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7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7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7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7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7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7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7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7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7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7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7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7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7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7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7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7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7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7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7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7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7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7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7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7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7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7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7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7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7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7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7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7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7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7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7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7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7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7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7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7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7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7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7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7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7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7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7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7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7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7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7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7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7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7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7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7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7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7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7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7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7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7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7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7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7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7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7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7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7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7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7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7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7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BF COMERCIO DE ALIMENTOS REPRESENTACAO L</v>
      </c>
      <c r="C883" s="17" t="n">
        <f aca="false">Report!U1167</f>
        <v>581.65</v>
      </c>
      <c r="D883" s="1" t="str">
        <f aca="false">Report!X1167</f>
        <v>NF 21130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SOUZA CRUZ LTDA.</v>
      </c>
      <c r="C884" s="17" t="n">
        <f aca="false">Report!U1168</f>
        <v>6409.6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DISTRIBUIDORA LOPES LTDA</v>
      </c>
      <c r="C885" s="17" t="n">
        <f aca="false">Report!U1169</f>
        <v>1111.12</v>
      </c>
      <c r="D885" s="1" t="str">
        <f aca="false">Report!X1169</f>
        <v>NF 1698151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MIKITOS IND.COM.DE GEN. ALIM. DO AM. LTD</v>
      </c>
      <c r="C886" s="17" t="n">
        <f aca="false">Report!U1170</f>
        <v>690</v>
      </c>
      <c r="D886" s="1" t="str">
        <f aca="false">Report!X1170</f>
        <v>NF 294640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BONNA VITTA INDUSTRIA E COMERCIO LTDA.</v>
      </c>
      <c r="C887" s="17" t="n">
        <f aca="false">Report!U1171</f>
        <v>740.52</v>
      </c>
      <c r="D887" s="1" t="str">
        <f aca="false">Report!X1171</f>
        <v>NF 1842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ORIENTE COM. ATACADISTA E REPRES. LTDA</v>
      </c>
      <c r="C888" s="17" t="n">
        <f aca="false">Report!U1172</f>
        <v>2975.9</v>
      </c>
      <c r="D888" s="1" t="str">
        <f aca="false">Report!X1172</f>
        <v>NF 3040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EDSON AGUIAR DE SOUZA</v>
      </c>
      <c r="C889" s="17" t="n">
        <f aca="false">Report!U1173</f>
        <v>120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7" t="n">
        <f aca="false">Report!U1174</f>
        <v>144.5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7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7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7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7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7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7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7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7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7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7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7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7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7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7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7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7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7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7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7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7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7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7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7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7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7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7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7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7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7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7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7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7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7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7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7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7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7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7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7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7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7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7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7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7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7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7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7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7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7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7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7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7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7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7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7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7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7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7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7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7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7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7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7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Report!C1250</f>
        <v>46254</v>
      </c>
      <c r="B954" s="1" t="str">
        <f aca="false">Report!E1250</f>
        <v>FRANCISCO HELIO SERAFIM</v>
      </c>
      <c r="C954" s="17" t="n">
        <f aca="false">Report!U1250</f>
        <v>1000</v>
      </c>
      <c r="D954" s="1" t="str">
        <f aca="false">Report!X1250</f>
        <v>DINHEIRO TROCADO-ANDREZA</v>
      </c>
    </row>
    <row r="955" customFormat="false" ht="12.75" hidden="false" customHeight="true" outlineLevel="0" collapsed="false">
      <c r="A955" s="15" t="n">
        <f aca="false">Report!C1251</f>
        <v>46255</v>
      </c>
      <c r="B955" s="1" t="str">
        <f aca="false">Report!E1251</f>
        <v>PRIME PET DISTRIBUIDORA LTDA</v>
      </c>
      <c r="C955" s="17" t="n">
        <f aca="false">Report!U1251</f>
        <v>1361.81</v>
      </c>
      <c r="D955" s="1" t="str">
        <f aca="false">Report!X1251</f>
        <v>NF 10860 ELLEN</v>
      </c>
    </row>
    <row r="956" customFormat="false" ht="12.75" hidden="false" customHeight="true" outlineLevel="0" collapsed="false">
      <c r="A956" s="15" t="n">
        <f aca="false">Report!C1252</f>
        <v>46255</v>
      </c>
      <c r="B956" s="1" t="str">
        <f aca="false">Report!E1252</f>
        <v>MIKITOS IND.COM.DE GEN. ALIM. DO AM. LTD</v>
      </c>
      <c r="C956" s="17" t="n">
        <f aca="false">Report!U1252</f>
        <v>690</v>
      </c>
      <c r="D956" s="1" t="str">
        <f aca="false">Report!X1252</f>
        <v>NF 294640 ELLEN</v>
      </c>
    </row>
    <row r="957" customFormat="false" ht="12.75" hidden="false" customHeight="true" outlineLevel="0" collapsed="false">
      <c r="A957" s="15" t="n">
        <f aca="false">Report!C1253</f>
        <v>46255</v>
      </c>
      <c r="B957" s="1" t="str">
        <f aca="false">Report!E1253</f>
        <v>BRASIL NORTE BEBIDAS S/A</v>
      </c>
      <c r="C957" s="17" t="n">
        <f aca="false">Report!U1253</f>
        <v>540.41</v>
      </c>
      <c r="D957" s="1" t="str">
        <f aca="false">Report!X1253</f>
        <v>NF 1237147 ELLEN</v>
      </c>
    </row>
    <row r="958" customFormat="false" ht="12.75" hidden="false" customHeight="true" outlineLevel="0" collapsed="false">
      <c r="A958" s="15" t="n">
        <f aca="false">Report!C1254</f>
        <v>46255</v>
      </c>
      <c r="B958" s="1" t="str">
        <f aca="false">Report!E1254</f>
        <v>BRASIL NORTE BEBIDAS S/A</v>
      </c>
      <c r="C958" s="17" t="n">
        <f aca="false">Report!U1254</f>
        <v>3289.2</v>
      </c>
      <c r="D958" s="1" t="str">
        <f aca="false">Report!X1254</f>
        <v>NF 1973888 ELLEN</v>
      </c>
    </row>
    <row r="959" customFormat="false" ht="12.75" hidden="false" customHeight="true" outlineLevel="0" collapsed="false">
      <c r="A959" s="15" t="n">
        <f aca="false">Report!C1255</f>
        <v>46255</v>
      </c>
      <c r="B959" s="1" t="str">
        <f aca="false">Report!E1255</f>
        <v>BRASIL NORTE BEBIDAS S/A</v>
      </c>
      <c r="C959" s="17" t="n">
        <f aca="false">Report!U1255</f>
        <v>201.65</v>
      </c>
      <c r="D959" s="1" t="str">
        <f aca="false">Report!X1255</f>
        <v>NF 1236446 ELLEN</v>
      </c>
    </row>
    <row r="960" customFormat="false" ht="12.75" hidden="false" customHeight="true" outlineLevel="0" collapsed="false">
      <c r="A960" s="15" t="n">
        <f aca="false">Report!C1256</f>
        <v>46255</v>
      </c>
      <c r="B960" s="1" t="str">
        <f aca="false">Report!E1256</f>
        <v>FALCAO INDUSTRIA DE ALIMENTOS LTDA</v>
      </c>
      <c r="C960" s="17" t="n">
        <f aca="false">Report!U1256</f>
        <v>1023.97</v>
      </c>
      <c r="D960" s="1" t="str">
        <f aca="false">Report!X1256</f>
        <v>NF 32318 ELLEN</v>
      </c>
    </row>
    <row r="961" customFormat="false" ht="12.75" hidden="false" customHeight="true" outlineLevel="0" collapsed="false">
      <c r="A961" s="15" t="n">
        <f aca="false">Report!C1257</f>
        <v>46255</v>
      </c>
      <c r="B961" s="1" t="str">
        <f aca="false">Report!E1257</f>
        <v>SOUZA CRUZ LTDA.</v>
      </c>
      <c r="C961" s="17" t="n">
        <f aca="false">Report!U1257</f>
        <v>4470.03</v>
      </c>
      <c r="D961" s="1" t="str">
        <f aca="false">Report!X1257</f>
        <v>NF 569335 ELLEN</v>
      </c>
    </row>
    <row r="962" customFormat="false" ht="12.75" hidden="false" customHeight="true" outlineLevel="0" collapsed="false">
      <c r="A962" s="15" t="n">
        <f aca="false">Report!C1258</f>
        <v>46255</v>
      </c>
      <c r="B962" s="1" t="str">
        <f aca="false">Report!E1258</f>
        <v>LIMA E BARANDA COMERCIO DE PRODUTOS REGI</v>
      </c>
      <c r="C962" s="17" t="n">
        <f aca="false">Report!U1258</f>
        <v>195</v>
      </c>
      <c r="D962" s="1" t="str">
        <f aca="false">Report!X1258</f>
        <v>NF 31936 ELLEN</v>
      </c>
    </row>
    <row r="963" customFormat="false" ht="12.75" hidden="false" customHeight="true" outlineLevel="0" collapsed="false">
      <c r="A963" s="15" t="n">
        <f aca="false">Report!C1259</f>
        <v>46255</v>
      </c>
      <c r="B963" s="1" t="str">
        <f aca="false">Report!E1259</f>
        <v>D DE J SANTOS LTDA</v>
      </c>
      <c r="C963" s="17" t="n">
        <f aca="false">Report!U1259</f>
        <v>1045</v>
      </c>
      <c r="D963" s="1" t="str">
        <f aca="false">Report!X1259</f>
        <v>NF 269 ELLEN</v>
      </c>
    </row>
    <row r="964" customFormat="false" ht="12.75" hidden="false" customHeight="true" outlineLevel="0" collapsed="false">
      <c r="A964" s="15" t="n">
        <f aca="false">Report!C1260</f>
        <v>46255</v>
      </c>
      <c r="B964" s="1" t="str">
        <f aca="false">Report!E1260</f>
        <v>DISTRIBUIDORA LOPES LTDA</v>
      </c>
      <c r="C964" s="17" t="n">
        <f aca="false">Report!U1260</f>
        <v>877.23</v>
      </c>
      <c r="D964" s="1" t="str">
        <f aca="false">Report!X1260</f>
        <v>NF 1711525 ELLEN</v>
      </c>
    </row>
    <row r="965" customFormat="false" ht="12.75" hidden="false" customHeight="true" outlineLevel="0" collapsed="false">
      <c r="A965" s="15" t="n">
        <f aca="false">Report!C1261</f>
        <v>46255</v>
      </c>
      <c r="B965" s="1" t="str">
        <f aca="false">Report!E1261</f>
        <v>NORTELAC DISTRIBUIDORA DE FRIOS LTDA</v>
      </c>
      <c r="C965" s="17" t="n">
        <f aca="false">Report!U1261</f>
        <v>460</v>
      </c>
      <c r="D965" s="1" t="str">
        <f aca="false">Report!X1261</f>
        <v>NF 46106 ELLEN</v>
      </c>
    </row>
    <row r="966" customFormat="false" ht="12.75" hidden="false" customHeight="true" outlineLevel="0" collapsed="false">
      <c r="A966" s="15" t="n">
        <f aca="false">Report!C1262</f>
        <v>46255</v>
      </c>
      <c r="B966" s="1" t="str">
        <f aca="false">Report!E1262</f>
        <v>FRUTAL INDUSTRIA E COMERCIO LTDA</v>
      </c>
      <c r="C966" s="17" t="n">
        <f aca="false">Report!U1262</f>
        <v>571.73</v>
      </c>
      <c r="D966" s="1" t="str">
        <f aca="false">Report!X1262</f>
        <v>NF 228832 ELLEN</v>
      </c>
    </row>
    <row r="967" customFormat="false" ht="12.75" hidden="false" customHeight="true" outlineLevel="0" collapsed="false">
      <c r="A967" s="15" t="n">
        <f aca="false">Report!C1263</f>
        <v>46255</v>
      </c>
      <c r="B967" s="1" t="str">
        <f aca="false">Report!E1263</f>
        <v>JAB COMERCIO DE PRODUTOS ALIMENTICIOS LT</v>
      </c>
      <c r="C967" s="17" t="n">
        <f aca="false">Report!U1263</f>
        <v>142</v>
      </c>
      <c r="D967" s="1" t="str">
        <f aca="false">Report!X1263</f>
        <v>NF 3728 ELLEN</v>
      </c>
    </row>
    <row r="968" customFormat="false" ht="12.75" hidden="false" customHeight="true" outlineLevel="0" collapsed="false">
      <c r="A968" s="15" t="n">
        <f aca="false">Report!C1264</f>
        <v>46255</v>
      </c>
      <c r="B968" s="1" t="str">
        <f aca="false">Report!E1264</f>
        <v>PANIFICADORA E CONFEITARIA REAL MADRI LTDA</v>
      </c>
      <c r="C968" s="17" t="n">
        <f aca="false">Report!U1264</f>
        <v>237.74</v>
      </c>
      <c r="D968" s="1" t="str">
        <f aca="false">Report!X1264</f>
        <v>NF 767 ELLEN</v>
      </c>
    </row>
    <row r="969" customFormat="false" ht="12.75" hidden="false" customHeight="true" outlineLevel="0" collapsed="false">
      <c r="A969" s="15" t="n">
        <f aca="false">Report!C1265</f>
        <v>46255</v>
      </c>
      <c r="B969" s="1" t="str">
        <f aca="false">Report!E1265</f>
        <v>NEYLIANE S DE OLIVEIRA &amp; CIA LTDA</v>
      </c>
      <c r="C969" s="17" t="n">
        <f aca="false">Report!U1265</f>
        <v>150.17</v>
      </c>
      <c r="D969" s="1" t="str">
        <f aca="false">Report!X1265</f>
        <v>Devolução ref. a nota: 73523/201 Data: 20/08/2026    </v>
      </c>
    </row>
    <row r="970" customFormat="false" ht="12.75" hidden="false" customHeight="true" outlineLevel="0" collapsed="false">
      <c r="A970" s="23" t="n">
        <f aca="false">Report!C1266</f>
        <v>46255</v>
      </c>
      <c r="B970" s="1" t="str">
        <f aca="false">Report!E1266</f>
        <v>NEYLIANE S DE OLIVEIRA &amp; CIA LTDA</v>
      </c>
      <c r="C970" s="17" t="n">
        <f aca="false">Report!U1266</f>
        <v>300</v>
      </c>
      <c r="D970" s="1" t="str">
        <f aca="false">Report!X1266</f>
        <v>COMPRAS - 20L DE AÇAI - PG NO P 21/8/26- ELLEN</v>
      </c>
    </row>
    <row r="971" customFormat="false" ht="12.75" hidden="false" customHeight="true" outlineLevel="0" collapsed="false">
      <c r="A971" s="23" t="n">
        <f aca="false">Report!C1267</f>
        <v>46255</v>
      </c>
      <c r="B971" s="1" t="str">
        <f aca="false">Report!E1267</f>
        <v>NEYLIANE S DE OLIVEIRA &amp; CIA LTDA</v>
      </c>
      <c r="C971" s="17" t="n">
        <f aca="false">Report!U1267</f>
        <v>200</v>
      </c>
      <c r="D971" s="1" t="str">
        <f aca="false">Report!X1267</f>
        <v>COMPRAS-PACOVA/LIMAO-PG P/ CNPJ:67144863/0001-03-ELLEN</v>
      </c>
    </row>
    <row r="972" customFormat="false" ht="12.75" hidden="false" customHeight="true" outlineLevel="0" collapsed="false">
      <c r="A972" s="23" t="n">
        <f aca="false">Report!C1268</f>
        <v>46255</v>
      </c>
      <c r="B972" s="1" t="str">
        <f aca="false">Report!E1268</f>
        <v>H L M PADARIA E CONFEITARIA LTDA</v>
      </c>
      <c r="C972" s="17" t="n">
        <f aca="false">Report!U1268</f>
        <v>200</v>
      </c>
      <c r="D972" s="1" t="str">
        <f aca="false">Report!X1268</f>
        <v>NF 189 COMPRAS-BOLO PG NO P 21/8/26 ELLEN</v>
      </c>
    </row>
    <row r="973" customFormat="false" ht="12.75" hidden="false" customHeight="true" outlineLevel="0" collapsed="false">
      <c r="A973" s="23" t="n">
        <f aca="false">Report!C1269</f>
        <v>46256</v>
      </c>
      <c r="B973" s="1" t="str">
        <f aca="false">Report!E1269</f>
        <v>FUNNY PET DISTRIBUIDORA DE ALIMENTOS PAR</v>
      </c>
      <c r="C973" s="17" t="n">
        <f aca="false">Report!U1269</f>
        <v>1501.38</v>
      </c>
      <c r="D973" s="1" t="str">
        <f aca="false">Report!X1269</f>
        <v>NF 21189 ELLEN</v>
      </c>
    </row>
    <row r="974" customFormat="false" ht="12.75" hidden="false" customHeight="true" outlineLevel="0" collapsed="false">
      <c r="A974" s="23" t="n">
        <f aca="false">Report!C1270</f>
        <v>46256</v>
      </c>
      <c r="B974" s="1" t="str">
        <f aca="false">Report!E1270</f>
        <v>OPPORTUNITY ALIMENTOS PARA ANIMAIS LTDA</v>
      </c>
      <c r="C974" s="17" t="n">
        <f aca="false">Report!U1270</f>
        <v>591.07</v>
      </c>
      <c r="D974" s="1" t="str">
        <f aca="false">Report!X1270</f>
        <v>NF 34738 ELLEN</v>
      </c>
    </row>
    <row r="975" customFormat="false" ht="12.75" hidden="false" customHeight="true" outlineLevel="0" collapsed="false">
      <c r="A975" s="23" t="n">
        <f aca="false">Report!C1271</f>
        <v>46256</v>
      </c>
      <c r="B975" s="1" t="str">
        <f aca="false">Report!E1271</f>
        <v>ADRIANA DISTRIBUIDORA DE PRODUTOS ALIMEN</v>
      </c>
      <c r="C975" s="17" t="n">
        <f aca="false">Report!U1271</f>
        <v>1006.03</v>
      </c>
      <c r="D975" s="1" t="str">
        <f aca="false">Report!X1271</f>
        <v>NF 886799 ELLEN</v>
      </c>
    </row>
    <row r="976" customFormat="false" ht="12.75" hidden="false" customHeight="true" outlineLevel="0" collapsed="false">
      <c r="A976" s="23" t="n">
        <f aca="false">Report!C1272</f>
        <v>46256</v>
      </c>
      <c r="B976" s="1" t="str">
        <f aca="false">Report!E1272</f>
        <v>BRAGA TABACARIA EIRELI ME</v>
      </c>
      <c r="C976" s="17" t="n">
        <f aca="false">Report!U1272</f>
        <v>1563.4</v>
      </c>
      <c r="D976" s="1" t="str">
        <f aca="false">Report!X1272</f>
        <v>NF 19579 ELLEN</v>
      </c>
    </row>
    <row r="977" customFormat="false" ht="12.75" hidden="false" customHeight="true" outlineLevel="0" collapsed="false">
      <c r="A977" s="23" t="n">
        <f aca="false">Report!C1273</f>
        <v>46256</v>
      </c>
      <c r="B977" s="1" t="str">
        <f aca="false">Report!E1273</f>
        <v>MARE DISTRIBUIDORA DE BEBIDAS E DE PRODUTOS ALIMENTICIOS LTDA</v>
      </c>
      <c r="C977" s="17" t="n">
        <f aca="false">Report!U1273</f>
        <v>2852.4</v>
      </c>
      <c r="D977" s="1" t="str">
        <f aca="false">Report!X1273</f>
        <v>NF 1414620 ELLEN</v>
      </c>
    </row>
    <row r="978" customFormat="false" ht="12.75" hidden="false" customHeight="true" outlineLevel="0" collapsed="false">
      <c r="A978" s="23" t="n">
        <f aca="false">Report!C1274</f>
        <v>46256</v>
      </c>
      <c r="B978" s="1" t="str">
        <f aca="false">Report!E1274</f>
        <v>J G COMERCIO DE PRODUTOS ALIMENTICIOS LTDA</v>
      </c>
      <c r="C978" s="17" t="n">
        <f aca="false">Report!U1274</f>
        <v>511.98</v>
      </c>
      <c r="D978" s="1" t="str">
        <f aca="false">Report!X1274</f>
        <v>NF 398015 ELLEN</v>
      </c>
    </row>
    <row r="979" customFormat="false" ht="12.75" hidden="false" customHeight="true" outlineLevel="0" collapsed="false">
      <c r="A979" s="23" t="n">
        <f aca="false">Report!C1275</f>
        <v>46256</v>
      </c>
      <c r="B979" s="1" t="str">
        <f aca="false">Report!E1275</f>
        <v>MAXFRI DISTRIUIDORA LTDA</v>
      </c>
      <c r="C979" s="17" t="n">
        <f aca="false">Report!U1275</f>
        <v>3472.5</v>
      </c>
      <c r="D979" s="1" t="str">
        <f aca="false">Report!X1275</f>
        <v>NF 15061 ELLEN</v>
      </c>
    </row>
    <row r="980" customFormat="false" ht="12.75" hidden="false" customHeight="true" outlineLevel="0" collapsed="false">
      <c r="A980" s="23" t="n">
        <f aca="false">Report!C1278</f>
        <v>46258</v>
      </c>
      <c r="B980" s="1" t="str">
        <f aca="false">Report!E1278</f>
        <v>ATACADAO S.A.</v>
      </c>
      <c r="C980" s="17" t="n">
        <f aca="false">Report!U1278</f>
        <v>1184.7</v>
      </c>
      <c r="D980" s="1" t="str">
        <f aca="false">Report!X1278</f>
        <v>NF 1915874 ELLEN</v>
      </c>
    </row>
    <row r="981" customFormat="false" ht="12.75" hidden="false" customHeight="true" outlineLevel="0" collapsed="false">
      <c r="A981" s="23" t="n">
        <f aca="false">Report!C1279</f>
        <v>46258</v>
      </c>
      <c r="B981" s="1" t="str">
        <f aca="false">Report!E1279</f>
        <v>BRASIL NORTE BEBIDAS S/A</v>
      </c>
      <c r="C981" s="17" t="n">
        <f aca="false">Report!U1279</f>
        <v>268.07</v>
      </c>
      <c r="D981" s="1" t="str">
        <f aca="false">Report!X1279</f>
        <v>NF 1236941 ELLEN</v>
      </c>
    </row>
    <row r="982" customFormat="false" ht="12.75" hidden="false" customHeight="true" outlineLevel="0" collapsed="false">
      <c r="A982" s="23" t="n">
        <f aca="false">Report!C1282</f>
        <v>46258</v>
      </c>
      <c r="B982" s="1" t="str">
        <f aca="false">Report!E1282</f>
        <v>AMAZONAS ENERGIA S/A</v>
      </c>
      <c r="C982" s="17" t="n">
        <f aca="false">Report!U1282</f>
        <v>109.86</v>
      </c>
      <c r="D982" s="1" t="str">
        <f aca="false">Report!X1282</f>
        <v>CONTA DE ENERGIA - KEILA</v>
      </c>
    </row>
    <row r="983" customFormat="false" ht="12.75" hidden="false" customHeight="true" outlineLevel="0" collapsed="false">
      <c r="A983" s="23" t="n">
        <f aca="false">Report!C1285</f>
        <v>46258</v>
      </c>
      <c r="B983" s="1" t="str">
        <f aca="false">Report!E1285</f>
        <v>J W N DOS SANTOS</v>
      </c>
      <c r="C983" s="17" t="n">
        <f aca="false">Report!U1285</f>
        <v>183</v>
      </c>
      <c r="D983" s="1" t="str">
        <f aca="false">Report!X1285</f>
        <v>NF 398 ELLEN</v>
      </c>
    </row>
    <row r="984" customFormat="false" ht="12.75" hidden="false" customHeight="true" outlineLevel="0" collapsed="false">
      <c r="A984" s="23" t="n">
        <f aca="false">Report!C1287</f>
        <v>46258</v>
      </c>
      <c r="B984" s="1" t="str">
        <f aca="false">Report!E1287</f>
        <v>FEIRA</v>
      </c>
      <c r="C984" s="17" t="n">
        <f aca="false">Report!U1287</f>
        <v>460</v>
      </c>
      <c r="D984" s="1" t="str">
        <f aca="false">Report!X1287</f>
        <v>FEIRA-PG P C6-BANK/RENATO (MAÇA/PERA) SOMAR C NF 2623- ELLEN</v>
      </c>
    </row>
    <row r="985" customFormat="false" ht="12.75" hidden="false" customHeight="true" outlineLevel="0" collapsed="false">
      <c r="A985" s="23" t="n">
        <f aca="false">Report!C1288</f>
        <v>46259</v>
      </c>
      <c r="B985" s="1" t="str">
        <f aca="false">Report!E1288</f>
        <v>NEYLIANE SILVA DE OLIVEIRA</v>
      </c>
      <c r="C985" s="17" t="n">
        <f aca="false">Report!U1288</f>
        <v>362.14</v>
      </c>
      <c r="D985" s="1" t="str">
        <f aca="false">Report!X1288</f>
        <v>PL NEILA </v>
      </c>
    </row>
    <row r="986" customFormat="false" ht="12.75" hidden="false" customHeight="true" outlineLevel="0" collapsed="false">
      <c r="A986" s="23" t="n">
        <f aca="false">Report!C1289</f>
        <v>46259</v>
      </c>
      <c r="B986" s="1" t="str">
        <f aca="false">Report!E1289</f>
        <v>NEYLIANE SILVA DE OLIVEIRA</v>
      </c>
      <c r="C986" s="17" t="n">
        <f aca="false">Report!U1289</f>
        <v>84.03</v>
      </c>
      <c r="D986" s="1" t="str">
        <f aca="false">Report!X1289</f>
        <v>PL NEILA CARTAO MO2 </v>
      </c>
    </row>
    <row r="987" customFormat="false" ht="12.75" hidden="false" customHeight="true" outlineLevel="0" collapsed="false">
      <c r="A987" s="23" t="n">
        <f aca="false">Report!C1290</f>
        <v>46259</v>
      </c>
      <c r="B987" s="1" t="str">
        <f aca="false">Report!E1290</f>
        <v>FE COMERCIO DE MATERIAIS DE CONSTRUCAO</v>
      </c>
      <c r="C987" s="17" t="n">
        <f aca="false">Report!U1290</f>
        <v>818.55</v>
      </c>
      <c r="D987" s="1" t="str">
        <f aca="false">Report!X1290</f>
        <v>NF 4467 ELLEN</v>
      </c>
    </row>
    <row r="988" customFormat="false" ht="12.75" hidden="false" customHeight="true" outlineLevel="0" collapsed="false">
      <c r="A988" s="23" t="n">
        <f aca="false">Report!C1291</f>
        <v>46259</v>
      </c>
      <c r="B988" s="1" t="str">
        <f aca="false">Report!E1291</f>
        <v>NEYLIANE SILVA DE OLIVEIRA</v>
      </c>
      <c r="C988" s="17" t="n">
        <f aca="false">Report!U1291</f>
        <v>52.52</v>
      </c>
      <c r="D988" s="1" t="str">
        <f aca="false">Report!X1291</f>
        <v>PL NEILA PG OUTROD SEGURO CARRO 05/06</v>
      </c>
    </row>
    <row r="989" customFormat="false" ht="12.75" hidden="false" customHeight="true" outlineLevel="0" collapsed="false">
      <c r="A989" s="23" t="n">
        <f aca="false">Report!C1292</f>
        <v>46259</v>
      </c>
      <c r="B989" s="1" t="str">
        <f aca="false">Report!E1292</f>
        <v>NEYLIANE SILVA DE OLIVEIRA</v>
      </c>
      <c r="C989" s="17" t="n">
        <f aca="false">Report!U1292</f>
        <v>595.39</v>
      </c>
      <c r="D989" s="1" t="str">
        <f aca="false">Report!X1292</f>
        <v>P NEILA PAG OUTROS COMPRAS CARTAO - KEILA</v>
      </c>
    </row>
    <row r="990" customFormat="false" ht="12.75" hidden="false" customHeight="true" outlineLevel="0" collapsed="false">
      <c r="A990" s="23" t="n">
        <f aca="false">Report!C1293</f>
        <v>46259</v>
      </c>
      <c r="B990" s="1" t="str">
        <f aca="false">Report!E1293</f>
        <v>BROTHERS  INDUSTRIA DE ALIMENTOS LTDA</v>
      </c>
      <c r="C990" s="17" t="n">
        <f aca="false">Report!U1293</f>
        <v>512.38</v>
      </c>
      <c r="D990" s="1" t="str">
        <f aca="false">Report!X1293</f>
        <v>NF 1037278 ELLEN</v>
      </c>
    </row>
    <row r="991" customFormat="false" ht="12.75" hidden="false" customHeight="true" outlineLevel="0" collapsed="false">
      <c r="A991" s="23" t="n">
        <f aca="false">Report!C1294</f>
        <v>46259</v>
      </c>
      <c r="B991" s="1" t="str">
        <f aca="false">Report!E1294</f>
        <v>J W N DOS SANTOS</v>
      </c>
      <c r="C991" s="17" t="n">
        <f aca="false">Report!U1294</f>
        <v>183</v>
      </c>
      <c r="D991" s="1" t="str">
        <f aca="false">Report!X1294</f>
        <v>NF 408 ELLEN</v>
      </c>
    </row>
    <row r="992" customFormat="false" ht="12.75" hidden="false" customHeight="true" outlineLevel="0" collapsed="false">
      <c r="A992" s="23" t="n">
        <f aca="false">Report!C1295</f>
        <v>46259</v>
      </c>
      <c r="B992" s="1" t="str">
        <f aca="false">Report!E1295</f>
        <v>ADICSO FABIAN GONZALEZ MONTILLA 70302186</v>
      </c>
      <c r="C992" s="17" t="n">
        <f aca="false">Report!U1295</f>
        <v>240</v>
      </c>
      <c r="D992" s="1" t="str">
        <f aca="false">Report!X1295</f>
        <v>NF 613 ELLEN</v>
      </c>
    </row>
    <row r="993" customFormat="false" ht="12.75" hidden="false" customHeight="true" outlineLevel="0" collapsed="false">
      <c r="A993" s="23" t="n">
        <f aca="false">Report!C1296</f>
        <v>46260</v>
      </c>
      <c r="B993" s="1" t="str">
        <f aca="false">Report!E1296</f>
        <v>ITAU SA</v>
      </c>
      <c r="C993" s="17" t="n">
        <f aca="false">Report!U1296</f>
        <v>4168.41</v>
      </c>
      <c r="D993" s="1" t="str">
        <f aca="false">Report!X1296</f>
        <v>EMPRESTIMO PARC 33/42 INICIO 26.12.23 A 26.05.27</v>
      </c>
    </row>
    <row r="994" customFormat="false" ht="12.75" hidden="false" customHeight="true" outlineLevel="0" collapsed="false">
      <c r="A994" s="23" t="n">
        <f aca="false">Report!C1297</f>
        <v>46260</v>
      </c>
      <c r="B994" s="1" t="str">
        <f aca="false">Report!E1297</f>
        <v>BRF S A</v>
      </c>
      <c r="C994" s="17" t="n">
        <f aca="false">Report!U1297</f>
        <v>1275.53</v>
      </c>
      <c r="D994" s="1" t="str">
        <f aca="false">Report!X1297</f>
        <v>NF 1616567 ELLEN</v>
      </c>
    </row>
    <row r="995" customFormat="false" ht="12.75" hidden="false" customHeight="true" outlineLevel="0" collapsed="false">
      <c r="A995" s="23" t="n">
        <f aca="false">Report!C1299</f>
        <v>46260</v>
      </c>
      <c r="B995" s="1" t="str">
        <f aca="false">Report!E1299</f>
        <v>DISTRIBUIDORA LOPES LTDA</v>
      </c>
      <c r="C995" s="17" t="n">
        <f aca="false">Report!U1299</f>
        <v>1279.58</v>
      </c>
      <c r="D995" s="1" t="str">
        <f aca="false">Report!X1299</f>
        <v>NF 1709601 ELLEN</v>
      </c>
    </row>
    <row r="996" customFormat="false" ht="12.75" hidden="false" customHeight="true" outlineLevel="0" collapsed="false">
      <c r="A996" s="23" t="n">
        <f aca="false">Report!C1300</f>
        <v>46260</v>
      </c>
      <c r="B996" s="1" t="str">
        <f aca="false">Report!E1300</f>
        <v>FH DISTRIBUIDORA DE ALIM. E BEBIDAS LTDA</v>
      </c>
      <c r="C996" s="17" t="n">
        <f aca="false">Report!U1300</f>
        <v>700.7</v>
      </c>
      <c r="D996" s="1" t="str">
        <f aca="false">Report!X1300</f>
        <v>NF 330057 ELLEN</v>
      </c>
    </row>
    <row r="997" customFormat="false" ht="12.75" hidden="false" customHeight="true" outlineLevel="0" collapsed="false">
      <c r="A997" s="23" t="n">
        <f aca="false">Report!C1301</f>
        <v>46260</v>
      </c>
      <c r="B997" s="1" t="str">
        <f aca="false">Report!E1301</f>
        <v>BONNA VITTA INDUSTRIA E COMERCIO LTDA.</v>
      </c>
      <c r="C997" s="17" t="n">
        <f aca="false">Report!U1301</f>
        <v>600</v>
      </c>
      <c r="D997" s="1" t="str">
        <f aca="false">Report!X1301</f>
        <v>NF 3231 ELLEN</v>
      </c>
    </row>
    <row r="998" customFormat="false" ht="12.75" hidden="false" customHeight="true" outlineLevel="0" collapsed="false">
      <c r="A998" s="23" t="n">
        <f aca="false">Report!C1302</f>
        <v>46260</v>
      </c>
      <c r="B998" s="1" t="str">
        <f aca="false">Report!E1302</f>
        <v>TOYA INDUSTRIA E COMERCIO LTDA.</v>
      </c>
      <c r="C998" s="17" t="n">
        <f aca="false">Report!U1302</f>
        <v>1050.07</v>
      </c>
      <c r="D998" s="1" t="str">
        <f aca="false">Report!X1302</f>
        <v>NF 257600 ELLEN</v>
      </c>
    </row>
    <row r="999" customFormat="false" ht="12.75" hidden="false" customHeight="true" outlineLevel="0" collapsed="false">
      <c r="A999" s="23" t="n">
        <f aca="false">Report!C1303</f>
        <v>46260</v>
      </c>
      <c r="B999" s="1" t="str">
        <f aca="false">Report!E1303</f>
        <v>BRF S A</v>
      </c>
      <c r="C999" s="17" t="n">
        <f aca="false">Report!U1303</f>
        <v>1164.76</v>
      </c>
      <c r="D999" s="1" t="str">
        <f aca="false">Report!X1303</f>
        <v>NF 1619132 ELLEN</v>
      </c>
    </row>
    <row r="1000" customFormat="false" ht="12.75" hidden="false" customHeight="true" outlineLevel="0" collapsed="false">
      <c r="A1000" s="23" t="n">
        <f aca="false">Report!C1304</f>
        <v>46260</v>
      </c>
      <c r="B1000" s="1" t="str">
        <f aca="false">Report!E1304</f>
        <v>SILVA E SANTOS FRIGORIFICO LTDA</v>
      </c>
      <c r="C1000" s="17" t="n">
        <f aca="false">Report!U1304</f>
        <v>1293.6</v>
      </c>
      <c r="D1000" s="1" t="str">
        <f aca="false">Report!X1304</f>
        <v>NF 32564 ELLEN</v>
      </c>
    </row>
    <row r="1001" customFormat="false" ht="12.75" hidden="false" customHeight="true" outlineLevel="0" collapsed="false">
      <c r="A1001" s="23" t="n">
        <f aca="false">Report!C1305</f>
        <v>46260</v>
      </c>
      <c r="B1001" s="1" t="str">
        <f aca="false">Report!E1305</f>
        <v>NEYLIANE S DE OLIVEIRA &amp; CIA LTDA</v>
      </c>
      <c r="C1001" s="17" t="n">
        <f aca="false">Report!U1305</f>
        <v>300</v>
      </c>
      <c r="D1001" s="1" t="str">
        <f aca="false">Report!X1305</f>
        <v>COMPRAS - VISCERAS (BOLETO) - ELLEN</v>
      </c>
    </row>
    <row r="1002" customFormat="false" ht="12.75" hidden="false" customHeight="true" outlineLevel="0" collapsed="false">
      <c r="A1002" s="23" t="n">
        <f aca="false">Report!C1306</f>
        <v>46261</v>
      </c>
      <c r="B1002" s="1" t="str">
        <f aca="false">Report!E1306</f>
        <v>J G COMERCIO DE PRODUTOS ALIMENTICIOS LTDA</v>
      </c>
      <c r="C1002" s="17" t="n">
        <f aca="false">Report!U1306</f>
        <v>628.19</v>
      </c>
      <c r="D1002" s="1" t="str">
        <f aca="false">Report!X1306</f>
        <v>NF 396443 ELLEN</v>
      </c>
    </row>
    <row r="1003" customFormat="false" ht="12.75" hidden="false" customHeight="true" outlineLevel="0" collapsed="false">
      <c r="A1003" s="23" t="n">
        <f aca="false">Report!C1307</f>
        <v>46261</v>
      </c>
      <c r="B1003" s="1" t="str">
        <f aca="false">Report!E1307</f>
        <v>EDMARA COMERCIO DE HIGIENE PESSOAL LTDA</v>
      </c>
      <c r="C1003" s="17" t="n">
        <f aca="false">Report!U1307</f>
        <v>382.62</v>
      </c>
      <c r="D1003" s="1" t="str">
        <f aca="false">Report!X1307</f>
        <v>NF 8582 ELLEN</v>
      </c>
    </row>
    <row r="1004" customFormat="false" ht="12.75" hidden="false" customHeight="true" outlineLevel="0" collapsed="false">
      <c r="A1004" s="23" t="n">
        <f aca="false">Report!C1308</f>
        <v>46261</v>
      </c>
      <c r="B1004" s="1" t="str">
        <f aca="false">Report!E1308</f>
        <v>EDMARA COMERCIO DE HIGIENE PESSOAL LTDA</v>
      </c>
      <c r="C1004" s="17" t="n">
        <f aca="false">Report!U1308</f>
        <v>520.47</v>
      </c>
      <c r="D1004" s="1" t="str">
        <f aca="false">Report!X1308</f>
        <v>NF 8583 - DESPESAS-SACOLAS/FILME - ELLEN</v>
      </c>
    </row>
    <row r="1005" customFormat="false" ht="12.75" hidden="false" customHeight="true" outlineLevel="0" collapsed="false">
      <c r="A1005" s="23" t="n">
        <f aca="false">Report!C1309</f>
        <v>46261</v>
      </c>
      <c r="B1005" s="1" t="str">
        <f aca="false">Report!E1309</f>
        <v>DISTRIBUIDORA LOPES LTDA</v>
      </c>
      <c r="C1005" s="17" t="n">
        <f aca="false">Report!U1309</f>
        <v>692.26</v>
      </c>
      <c r="D1005" s="1" t="str">
        <f aca="false">Report!X1309</f>
        <v>NF 1710665 ELLEN</v>
      </c>
    </row>
    <row r="1006" customFormat="false" ht="12.75" hidden="false" customHeight="true" outlineLevel="0" collapsed="false">
      <c r="A1006" s="23" t="n">
        <f aca="false">Report!C1310</f>
        <v>46261</v>
      </c>
      <c r="B1006" s="1" t="str">
        <f aca="false">Report!E1310</f>
        <v>FENNIX BRASIL DISTRIBUIDORA DE PRODUTOS</v>
      </c>
      <c r="C1006" s="17" t="n">
        <f aca="false">Report!U1310</f>
        <v>668.77</v>
      </c>
      <c r="D1006" s="1" t="str">
        <f aca="false">Report!X1310</f>
        <v>NF 398227 ELLEN</v>
      </c>
    </row>
    <row r="1007" customFormat="false" ht="12.75" hidden="false" customHeight="true" outlineLevel="0" collapsed="false">
      <c r="A1007" s="23" t="n">
        <f aca="false">Report!C1311</f>
        <v>46261</v>
      </c>
      <c r="B1007" s="1" t="str">
        <f aca="false">Report!E1311</f>
        <v>OCIDENTAL COMERCIO DE FRIOS LTDA</v>
      </c>
      <c r="C1007" s="17" t="n">
        <f aca="false">Report!U1311</f>
        <v>386.74</v>
      </c>
      <c r="D1007" s="1" t="str">
        <f aca="false">Report!X1311</f>
        <v>NF 1258801 ELLEN</v>
      </c>
    </row>
    <row r="1008" customFormat="false" ht="12.75" hidden="false" customHeight="true" outlineLevel="0" collapsed="false">
      <c r="A1008" s="23" t="n">
        <f aca="false">Report!C1312</f>
        <v>46261</v>
      </c>
      <c r="B1008" s="1" t="str">
        <f aca="false">Report!E1312</f>
        <v>CB COMERCIO E DISTRIBUIDORA DE ALIMENTOS</v>
      </c>
      <c r="C1008" s="17" t="n">
        <f aca="false">Report!U1312</f>
        <v>436.02</v>
      </c>
      <c r="D1008" s="1" t="str">
        <f aca="false">Report!X1312</f>
        <v>NF 862791 ELLEN</v>
      </c>
    </row>
    <row r="1009" customFormat="false" ht="12.75" hidden="false" customHeight="true" outlineLevel="0" collapsed="false">
      <c r="A1009" s="23" t="n">
        <f aca="false">Report!C1314</f>
        <v>46261</v>
      </c>
      <c r="B1009" s="1" t="str">
        <f aca="false">Report!E1314</f>
        <v>TAPAJOS COM DE PERFUMARIA COSMETICOS E G</v>
      </c>
      <c r="C1009" s="17" t="n">
        <f aca="false">Report!U1314</f>
        <v>793.82</v>
      </c>
      <c r="D1009" s="1" t="str">
        <f aca="false">Report!X1314</f>
        <v>NF 586415 ELLEN</v>
      </c>
    </row>
    <row r="1010" customFormat="false" ht="12.75" hidden="false" customHeight="true" outlineLevel="0" collapsed="false">
      <c r="A1010" s="23" t="n">
        <f aca="false">Report!C1315</f>
        <v>46261</v>
      </c>
      <c r="B1010" s="1" t="str">
        <f aca="false">Report!E1315</f>
        <v>ADRIANO FEITOSA OLIVEIRA LTDA</v>
      </c>
      <c r="C1010" s="17" t="n">
        <f aca="false">Report!U1315</f>
        <v>1734.8</v>
      </c>
      <c r="D1010" s="1" t="str">
        <f aca="false">Report!X1315</f>
        <v>NF 368 ELLEN</v>
      </c>
    </row>
    <row r="1011" customFormat="false" ht="12.75" hidden="false" customHeight="true" outlineLevel="0" collapsed="false">
      <c r="A1011" s="23" t="n">
        <f aca="false">Report!C1316</f>
        <v>46262</v>
      </c>
      <c r="B1011" s="1" t="str">
        <f aca="false">Report!E1316</f>
        <v>SOUZA CRUZ LTDA.</v>
      </c>
      <c r="C1011" s="17" t="n">
        <f aca="false">Report!U1316</f>
        <v>4605.48</v>
      </c>
      <c r="D1011" s="1" t="str">
        <f aca="false">Report!X1316</f>
        <v>NF 569335 ELLEN</v>
      </c>
    </row>
    <row r="1012" customFormat="false" ht="12.75" hidden="false" customHeight="true" outlineLevel="0" collapsed="false">
      <c r="A1012" s="23" t="n">
        <f aca="false">Report!C1317</f>
        <v>46262</v>
      </c>
      <c r="B1012" s="1" t="str">
        <f aca="false">Report!E1317</f>
        <v>BRASIL NORTE BEBIDAS S/A</v>
      </c>
      <c r="C1012" s="17" t="n">
        <f aca="false">Report!U1317</f>
        <v>50.85</v>
      </c>
      <c r="D1012" s="1" t="str">
        <f aca="false">Report!X1317</f>
        <v>NF 1246872 ELLEN</v>
      </c>
    </row>
    <row r="1013" customFormat="false" ht="12.75" hidden="false" customHeight="true" outlineLevel="0" collapsed="false">
      <c r="A1013" s="23" t="n">
        <f aca="false">Report!C1318</f>
        <v>46262</v>
      </c>
      <c r="B1013" s="1" t="str">
        <f aca="false">Report!E1318</f>
        <v>BRASIL NORTE BEBIDAS S/A</v>
      </c>
      <c r="C1013" s="17" t="n">
        <f aca="false">Report!U1318</f>
        <v>620.26</v>
      </c>
      <c r="D1013" s="1" t="str">
        <f aca="false">Report!X1318</f>
        <v>NF 1246873 ELLEN</v>
      </c>
    </row>
    <row r="1014" customFormat="false" ht="12.75" hidden="false" customHeight="true" outlineLevel="0" collapsed="false">
      <c r="A1014" s="23" t="n">
        <f aca="false">Report!C1319</f>
        <v>46262</v>
      </c>
      <c r="B1014" s="1" t="str">
        <f aca="false">Report!E1319</f>
        <v>BRASIL NORTE BEBIDAS S/A</v>
      </c>
      <c r="C1014" s="17" t="n">
        <f aca="false">Report!U1319</f>
        <v>2148.12</v>
      </c>
      <c r="D1014" s="1" t="str">
        <f aca="false">Report!X1319</f>
        <v>NF 1986776 ELLEN</v>
      </c>
    </row>
    <row r="1015" customFormat="false" ht="12.75" hidden="false" customHeight="true" outlineLevel="0" collapsed="false">
      <c r="A1015" s="23" t="n">
        <f aca="false">Report!C1320</f>
        <v>46262</v>
      </c>
      <c r="B1015" s="1" t="str">
        <f aca="false">Report!E1320</f>
        <v>L S M COMERCIO DE ALIMENTOS E NAVEGACAO</v>
      </c>
      <c r="C1015" s="17" t="n">
        <f aca="false">Report!U1320</f>
        <v>474.75</v>
      </c>
      <c r="D1015" s="1" t="str">
        <f aca="false">Report!X1320</f>
        <v>NF 311351 ELLEN</v>
      </c>
    </row>
    <row r="1016" customFormat="false" ht="12.75" hidden="false" customHeight="true" outlineLevel="0" collapsed="false">
      <c r="A1016" s="23" t="n">
        <f aca="false">Report!C1321</f>
        <v>46262</v>
      </c>
      <c r="B1016" s="1" t="str">
        <f aca="false">Report!E1321</f>
        <v>COMERCIO DE FRIOS MANAUS LTDA</v>
      </c>
      <c r="C1016" s="17" t="n">
        <f aca="false">Report!U1321</f>
        <v>2334.75</v>
      </c>
      <c r="D1016" s="1" t="str">
        <f aca="false">Report!X1321</f>
        <v>NF 175038 ELLEN</v>
      </c>
    </row>
    <row r="1017" customFormat="false" ht="12.75" hidden="false" customHeight="true" outlineLevel="0" collapsed="false">
      <c r="A1017" s="23" t="n">
        <f aca="false">Report!C1324</f>
        <v>46262</v>
      </c>
      <c r="B1017" s="1" t="str">
        <f aca="false">Report!E1324</f>
        <v>SOUZA CRUZ LTDA.</v>
      </c>
      <c r="C1017" s="17" t="n">
        <f aca="false">Report!U1324</f>
        <v>5860.74</v>
      </c>
      <c r="D1017" s="1" t="str">
        <f aca="false">Report!X1324</f>
        <v>NF 570907 ELLEN</v>
      </c>
    </row>
    <row r="1018" customFormat="false" ht="12.75" hidden="false" customHeight="true" outlineLevel="0" collapsed="false">
      <c r="A1018" s="23" t="n">
        <f aca="false">Report!C1325</f>
        <v>46263</v>
      </c>
      <c r="B1018" s="1" t="str">
        <f aca="false">Report!E1325</f>
        <v>DISTRIBUIDORA FARIAS LTDA.</v>
      </c>
      <c r="C1018" s="17" t="n">
        <f aca="false">Report!U1325</f>
        <v>706.56</v>
      </c>
      <c r="D1018" s="1" t="str">
        <f aca="false">Report!X1325</f>
        <v>NF 689222 ELLEN</v>
      </c>
    </row>
    <row r="1019" customFormat="false" ht="12.75" hidden="false" customHeight="true" outlineLevel="0" collapsed="false">
      <c r="A1019" s="23" t="n">
        <f aca="false">Report!C1326</f>
        <v>46263</v>
      </c>
      <c r="B1019" s="1" t="str">
        <f aca="false">Report!E1326</f>
        <v>DISTRIBUIDORA FARIAS LTDA.</v>
      </c>
      <c r="C1019" s="17" t="n">
        <f aca="false">Report!U1326</f>
        <v>1422.67</v>
      </c>
      <c r="D1019" s="1" t="str">
        <f aca="false">Report!X1326</f>
        <v>NF 689224 ELLEN</v>
      </c>
    </row>
    <row r="1020" customFormat="false" ht="12.75" hidden="false" customHeight="true" outlineLevel="0" collapsed="false">
      <c r="A1020" s="23" t="n">
        <f aca="false">Report!C1328</f>
        <v>46264</v>
      </c>
      <c r="B1020" s="1" t="str">
        <f aca="false">Report!E1328</f>
        <v>PRIME PET DISTRIBUIDORA LTDA</v>
      </c>
      <c r="C1020" s="17" t="n">
        <f aca="false">Report!U1328</f>
        <v>446.28</v>
      </c>
      <c r="D1020" s="1" t="str">
        <f aca="false">Report!X1328</f>
        <v>NF 11173 ELLEN</v>
      </c>
    </row>
    <row r="1021" customFormat="false" ht="12.75" hidden="false" customHeight="true" outlineLevel="0" collapsed="false">
      <c r="A1021" s="23" t="n">
        <f aca="false">Report!C1329</f>
        <v>46264</v>
      </c>
      <c r="B1021" s="1" t="str">
        <f aca="false">Report!E1329</f>
        <v>COMERCIO DE FRIOS MANAUS LTDA</v>
      </c>
      <c r="C1021" s="17" t="n">
        <f aca="false">Report!U1329</f>
        <v>3809.5</v>
      </c>
      <c r="D1021" s="1" t="str">
        <f aca="false">Report!X1329</f>
        <v>NF 175169 ELLEN</v>
      </c>
    </row>
    <row r="1022" customFormat="false" ht="12.75" hidden="false" customHeight="true" outlineLevel="0" collapsed="false">
      <c r="A1022" s="23" t="n">
        <f aca="false">Report!C1330</f>
        <v>46265</v>
      </c>
      <c r="B1022" s="1" t="str">
        <f aca="false">Report!E1330</f>
        <v>ATACADAO S.A.</v>
      </c>
      <c r="C1022" s="17" t="n">
        <f aca="false">Report!U1330</f>
        <v>1220.6</v>
      </c>
      <c r="D1022" s="1" t="str">
        <f aca="false">Report!X1330</f>
        <v>NF 1915875 ELLEN</v>
      </c>
    </row>
    <row r="1023" customFormat="false" ht="12.75" hidden="false" customHeight="true" outlineLevel="0" collapsed="false">
      <c r="A1023" s="23" t="n">
        <f aca="false">Report!C1331</f>
        <v>46265</v>
      </c>
      <c r="B1023" s="1" t="str">
        <f aca="false">Report!E1331</f>
        <v>EDSON AGUIAR DE SOUZA</v>
      </c>
      <c r="C1023" s="17" t="n">
        <f aca="false">Report!U1331</f>
        <v>97.5</v>
      </c>
      <c r="D1023" s="1" t="str">
        <f aca="false">Report!X1331</f>
        <v>COMPRAS - CHEIRO-VERDE - ELLEN</v>
      </c>
    </row>
    <row r="1024" customFormat="false" ht="12.75" hidden="false" customHeight="true" outlineLevel="0" collapsed="false">
      <c r="A1024" s="23" t="n">
        <f aca="false">Report!C1332</f>
        <v>46265</v>
      </c>
      <c r="B1024" s="1" t="str">
        <f aca="false">Report!E1332</f>
        <v>EDSON AGUIAR DE SOUZA</v>
      </c>
      <c r="C1024" s="17" t="n">
        <f aca="false">Report!U1332</f>
        <v>151</v>
      </c>
      <c r="D1024" s="1" t="str">
        <f aca="false">Report!X1332</f>
        <v>COMPRAS - CHEIRO-VERDE - ELLEN</v>
      </c>
    </row>
    <row r="1025" customFormat="false" ht="12.75" hidden="false" customHeight="true" outlineLevel="0" collapsed="false">
      <c r="A1025" s="23" t="n">
        <f aca="false">Report!C1333</f>
        <v>46265</v>
      </c>
      <c r="B1025" s="1" t="str">
        <f aca="false">Report!E1333</f>
        <v>MARQUES &amp; MELO LTDA - FILIAL</v>
      </c>
      <c r="C1025" s="17" t="n">
        <f aca="false">Report!U1333</f>
        <v>470.34</v>
      </c>
      <c r="D1025" s="1" t="str">
        <f aca="false">Report!X1333</f>
        <v>NF 508442 ELLEN</v>
      </c>
    </row>
    <row r="1026" customFormat="false" ht="12.75" hidden="false" customHeight="true" outlineLevel="0" collapsed="false">
      <c r="A1026" s="23" t="n">
        <f aca="false">Report!C1334</f>
        <v>46265</v>
      </c>
      <c r="B1026" s="1" t="str">
        <f aca="false">Report!E1334</f>
        <v>DURAES DISTRIBUIDORA DE ESTIVAS LTDA</v>
      </c>
      <c r="C1026" s="17" t="n">
        <f aca="false">Report!U1334</f>
        <v>431.3</v>
      </c>
      <c r="D1026" s="1" t="str">
        <f aca="false">Report!X1334</f>
        <v>NF 654908 ELLEN</v>
      </c>
    </row>
    <row r="1027" customFormat="false" ht="12.75" hidden="false" customHeight="true" outlineLevel="0" collapsed="false">
      <c r="A1027" s="23" t="n">
        <f aca="false">Report!C1335</f>
        <v>46265</v>
      </c>
      <c r="B1027" s="1" t="str">
        <f aca="false">Report!E1335</f>
        <v>DURAES DISTRIBUIDORA DE ESTIVAS LTDA</v>
      </c>
      <c r="C1027" s="17" t="n">
        <f aca="false">Report!U1335</f>
        <v>606.55</v>
      </c>
      <c r="D1027" s="1" t="str">
        <f aca="false">Report!X1335</f>
        <v>NF 654907 ELLEN</v>
      </c>
    </row>
    <row r="1028" customFormat="false" ht="12.75" hidden="false" customHeight="true" outlineLevel="0" collapsed="false">
      <c r="A1028" s="23" t="n">
        <f aca="false">Report!C1336</f>
        <v>46265</v>
      </c>
      <c r="B1028" s="1" t="str">
        <f aca="false">Report!E1336</f>
        <v>EDSON AGUIAR DE SOUZA</v>
      </c>
      <c r="C1028" s="17" t="n">
        <f aca="false">Report!U1336</f>
        <v>156</v>
      </c>
      <c r="D1028" s="1" t="str">
        <f aca="false">Report!X1336</f>
        <v>COMPRAS - CHEIRO-VERDE - ELLEN</v>
      </c>
    </row>
    <row r="1029" customFormat="false" ht="12.75" hidden="false" customHeight="true" outlineLevel="0" collapsed="false">
      <c r="A1029" s="23" t="n">
        <f aca="false">Report!C1337</f>
        <v>46265</v>
      </c>
      <c r="B1029" s="1" t="str">
        <f aca="false">Report!E1337</f>
        <v>EDSON AGUIAR DE SOUZA</v>
      </c>
      <c r="C1029" s="17" t="n">
        <f aca="false">Report!U1337</f>
        <v>100.5</v>
      </c>
      <c r="D1029" s="1" t="str">
        <f aca="false">Report!X1337</f>
        <v>COMPRAS - CHEIRO-VERDE - ELLEN</v>
      </c>
    </row>
    <row r="1030" customFormat="false" ht="12.75" hidden="false" customHeight="true" outlineLevel="0" collapsed="false">
      <c r="A1030" s="23" t="n">
        <f aca="false">Report!C1338</f>
        <v>46266</v>
      </c>
      <c r="B1030" s="1" t="str">
        <f aca="false">Report!E1338</f>
        <v>PANAMERICAN ELETRIC DO BRASIL LTDA</v>
      </c>
      <c r="C1030" s="17" t="n">
        <f aca="false">Report!U1338</f>
        <v>1898</v>
      </c>
      <c r="D1030" s="1" t="str">
        <f aca="false">Report!X1338</f>
        <v>NF 17382 DESPESA-AR CONDICIONADOS-CT DIA 1 PARC10/10-ELLEN</v>
      </c>
    </row>
    <row r="1031" customFormat="false" ht="12.75" hidden="false" customHeight="true" outlineLevel="0" collapsed="false">
      <c r="A1031" s="23" t="n">
        <f aca="false">Report!C1339</f>
        <v>46266</v>
      </c>
      <c r="B1031" s="1" t="str">
        <f aca="false">Report!E1339</f>
        <v>L S C DA SILVA PRADO LTDA</v>
      </c>
      <c r="C1031" s="17" t="n">
        <f aca="false">Report!U1339</f>
        <v>378.82</v>
      </c>
      <c r="D1031" s="1" t="str">
        <f aca="false">Report!X1339</f>
        <v>NF 258 DESPESAS - CT DIA 1 - PARC 7/12 - ELLEN</v>
      </c>
    </row>
    <row r="1032" customFormat="false" ht="12.75" hidden="false" customHeight="true" outlineLevel="0" collapsed="false">
      <c r="A1032" s="23" t="n">
        <f aca="false">Report!C1340</f>
        <v>46266</v>
      </c>
      <c r="B1032" s="1" t="str">
        <f aca="false">Report!E1340</f>
        <v>A. CORREA JUNIOR</v>
      </c>
      <c r="C1032" s="17" t="n">
        <f aca="false">Report!U1340</f>
        <v>1290.16</v>
      </c>
      <c r="D1032" s="1" t="str">
        <f aca="false">Report!X1340</f>
        <v>NF 1829 CARTÃO DIA 1 PARC 3/3 - ELLEN</v>
      </c>
    </row>
    <row r="1033" customFormat="false" ht="12.75" hidden="false" customHeight="true" outlineLevel="0" collapsed="false">
      <c r="A1033" s="15" t="n">
        <f aca="false">Report!C1341</f>
        <v>46266</v>
      </c>
      <c r="B1033" s="1" t="str">
        <f aca="false">Report!E1341</f>
        <v>FUNNY PET DISTRIBUIDORA DE ALIMENTOS PAR</v>
      </c>
      <c r="C1033" s="17" t="n">
        <f aca="false">Report!U1341</f>
        <v>1501.38</v>
      </c>
      <c r="D1033" s="1" t="str">
        <f aca="false">Report!X1341</f>
        <v>NF 21189 ELLEN</v>
      </c>
    </row>
    <row r="1034" customFormat="false" ht="12.75" hidden="false" customHeight="true" outlineLevel="0" collapsed="false">
      <c r="A1034" s="15" t="n">
        <f aca="false">Report!C1342</f>
        <v>46266</v>
      </c>
      <c r="B1034" s="1" t="str">
        <f aca="false">Report!E1342</f>
        <v>OPPORTUNITY ALIMENTOS PARA ANIMAIS LTDA</v>
      </c>
      <c r="C1034" s="17" t="n">
        <f aca="false">Report!U1342</f>
        <v>591.07</v>
      </c>
      <c r="D1034" s="1" t="str">
        <f aca="false">Report!X1342</f>
        <v>NF 34738 ELLEN</v>
      </c>
    </row>
    <row r="1035" customFormat="false" ht="12.75" hidden="false" customHeight="true" outlineLevel="0" collapsed="false">
      <c r="A1035" s="15" t="n">
        <f aca="false">Report!C1344</f>
        <v>46266</v>
      </c>
      <c r="B1035" s="1" t="str">
        <f aca="false">Report!E1344</f>
        <v>A. CORREA JUNIOR</v>
      </c>
      <c r="C1035" s="17" t="n">
        <f aca="false">Report!U1344</f>
        <v>638.75</v>
      </c>
      <c r="D1035" s="1" t="str">
        <f aca="false">Report!X1344</f>
        <v>NF 1898 CT DIA 1 - PARC 1/2 - ELLEN</v>
      </c>
    </row>
    <row r="1036" customFormat="false" ht="12.75" hidden="false" customHeight="true" outlineLevel="0" collapsed="false">
      <c r="A1036" s="15" t="n">
        <f aca="false">Report!C1345</f>
        <v>46266</v>
      </c>
      <c r="B1036" s="1" t="str">
        <f aca="false">Report!E1345</f>
        <v>PIARARA COMERCIO, IMPORTACAO E EXPORTACAO LTDA</v>
      </c>
      <c r="C1036" s="17" t="n">
        <f aca="false">Report!U1345</f>
        <v>599.85</v>
      </c>
      <c r="D1036" s="1" t="str">
        <f aca="false">Report!X1345</f>
        <v>NF 195597 ELLEN</v>
      </c>
    </row>
    <row r="1037" customFormat="false" ht="12.75" hidden="false" customHeight="true" outlineLevel="0" collapsed="false">
      <c r="A1037" s="15" t="n">
        <f aca="false">Report!C1346</f>
        <v>46266</v>
      </c>
      <c r="B1037" s="1" t="str">
        <f aca="false">Report!E1346</f>
        <v>ROCHA E PAIVA LTDA</v>
      </c>
      <c r="C1037" s="17" t="n">
        <f aca="false">Report!U1346</f>
        <v>584.64</v>
      </c>
      <c r="D1037" s="1" t="str">
        <f aca="false">Report!X1346</f>
        <v>NF 211355 ELLEN</v>
      </c>
    </row>
    <row r="1038" customFormat="false" ht="12.75" hidden="false" customHeight="true" outlineLevel="0" collapsed="false">
      <c r="A1038" s="15" t="n">
        <f aca="false">Report!C1347</f>
        <v>46266</v>
      </c>
      <c r="B1038" s="1" t="str">
        <f aca="false">Report!E1347</f>
        <v>BRASIL NORTE BEBIDAS S/A</v>
      </c>
      <c r="C1038" s="17" t="n">
        <f aca="false">Report!U1347</f>
        <v>2351.65</v>
      </c>
      <c r="D1038" s="1" t="str">
        <f aca="false">Report!X1347</f>
        <v>NF 1993231 ELLEN</v>
      </c>
    </row>
    <row r="1039" customFormat="false" ht="12.75" hidden="false" customHeight="true" outlineLevel="0" collapsed="false">
      <c r="A1039" s="15" t="n">
        <f aca="false">Report!C1348</f>
        <v>46266</v>
      </c>
      <c r="B1039" s="1" t="str">
        <f aca="false">Report!E1348</f>
        <v>J. A. F. DE LIMA</v>
      </c>
      <c r="C1039" s="17" t="n">
        <f aca="false">Report!U1348</f>
        <v>645.72</v>
      </c>
      <c r="D1039" s="1" t="str">
        <f aca="false">Report!X1348</f>
        <v>NF 160332 ELLEN</v>
      </c>
    </row>
    <row r="1040" customFormat="false" ht="12.75" hidden="false" customHeight="true" outlineLevel="0" collapsed="false">
      <c r="A1040" s="15" t="n">
        <f aca="false">Report!C1351</f>
        <v>46266</v>
      </c>
      <c r="B1040" s="1" t="str">
        <f aca="false">Report!E1351</f>
        <v>L. J. DA SILVA LTDA</v>
      </c>
      <c r="C1040" s="17" t="n">
        <f aca="false">Report!U1351</f>
        <v>421</v>
      </c>
      <c r="D1040" s="1" t="str">
        <f aca="false">Report!X1351</f>
        <v>NF 37213 ELLEN</v>
      </c>
    </row>
    <row r="1041" customFormat="false" ht="12.75" hidden="false" customHeight="true" outlineLevel="0" collapsed="false">
      <c r="A1041" s="15" t="n">
        <f aca="false">Report!C1352</f>
        <v>46266</v>
      </c>
      <c r="B1041" s="1" t="str">
        <f aca="false">Report!E1352</f>
        <v>AUTO POSTO FILIAL</v>
      </c>
      <c r="C1041" s="17" t="n">
        <f aca="false">Report!U1352</f>
        <v>489.15</v>
      </c>
      <c r="D1041" s="1" t="str">
        <f aca="false">Report!X1352</f>
        <v>COMBUSTIVEL S10 RENATO MO2 - KEILA</v>
      </c>
    </row>
    <row r="1042" customFormat="false" ht="12.75" hidden="false" customHeight="true" outlineLevel="0" collapsed="false">
      <c r="A1042" s="15" t="n">
        <f aca="false">Report!C1353</f>
        <v>46267</v>
      </c>
      <c r="B1042" s="1" t="str">
        <f aca="false">Report!E1353</f>
        <v>EMPRESA BRASILEIRA DE DISTRIBUICAO LTDA</v>
      </c>
      <c r="C1042" s="17" t="n">
        <f aca="false">Report!U1353</f>
        <v>1154.64</v>
      </c>
      <c r="D1042" s="1" t="str">
        <f aca="false">Report!X1353</f>
        <v>NF 2310769 ELLEN</v>
      </c>
    </row>
    <row r="1043" customFormat="false" ht="12.75" hidden="false" customHeight="true" outlineLevel="0" collapsed="false">
      <c r="A1043" s="15" t="n">
        <f aca="false">Report!C1355</f>
        <v>46267</v>
      </c>
      <c r="B1043" s="1" t="str">
        <f aca="false">Report!E1355</f>
        <v>FH DISTRIBUIDORA DE ALIM. E BEBIDAS LTDA</v>
      </c>
      <c r="C1043" s="17" t="n">
        <f aca="false">Report!U1355</f>
        <v>700.7</v>
      </c>
      <c r="D1043" s="1" t="str">
        <f aca="false">Report!X1355</f>
        <v>NF 330057 ELLEN</v>
      </c>
    </row>
    <row r="1044" customFormat="false" ht="12.75" hidden="false" customHeight="true" outlineLevel="0" collapsed="false">
      <c r="A1044" s="15" t="n">
        <f aca="false">Report!C1356</f>
        <v>46267</v>
      </c>
      <c r="B1044" s="1" t="str">
        <f aca="false">Report!E1356</f>
        <v>VIA CERTA INDUSTRIA E COMERCIO DE SANEANTES LTDA</v>
      </c>
      <c r="C1044" s="17" t="n">
        <f aca="false">Report!U1356</f>
        <v>205.44</v>
      </c>
      <c r="D1044" s="1" t="str">
        <f aca="false">Report!X1356</f>
        <v>NF 44054 ELLEN</v>
      </c>
    </row>
    <row r="1045" customFormat="false" ht="12.75" hidden="false" customHeight="true" outlineLevel="0" collapsed="false">
      <c r="A1045" s="15" t="n">
        <f aca="false">Report!C1358</f>
        <v>46267</v>
      </c>
      <c r="B1045" s="1" t="str">
        <f aca="false">Report!E1358</f>
        <v>BRF S A</v>
      </c>
      <c r="C1045" s="17" t="n">
        <f aca="false">Report!U1358</f>
        <v>1164.76</v>
      </c>
      <c r="D1045" s="1" t="str">
        <f aca="false">Report!X1358</f>
        <v>NF 1619132 ELLEN</v>
      </c>
    </row>
    <row r="1046" customFormat="false" ht="12.75" hidden="false" customHeight="true" outlineLevel="0" collapsed="false">
      <c r="A1046" s="15" t="n">
        <f aca="false">Report!C1359</f>
        <v>46268</v>
      </c>
      <c r="B1046" s="1" t="str">
        <f aca="false">Report!E1359</f>
        <v>EDMARA COMERCIO DE HIGIENE PESSOAL LTDA</v>
      </c>
      <c r="C1046" s="17" t="n">
        <f aca="false">Report!U1359</f>
        <v>520.46</v>
      </c>
      <c r="D1046" s="1" t="str">
        <f aca="false">Report!X1359</f>
        <v>NF 8583 - DESPESAS-SACOLAS/FILME - ELLEN</v>
      </c>
    </row>
    <row r="1047" customFormat="false" ht="12.75" hidden="false" customHeight="true" outlineLevel="0" collapsed="false">
      <c r="A1047" s="15" t="n">
        <f aca="false">Report!C1360</f>
        <v>46268</v>
      </c>
      <c r="B1047" s="1" t="str">
        <f aca="false">Report!E1360</f>
        <v>BRASIL NORTE BEBIDAS S/A</v>
      </c>
      <c r="C1047" s="17" t="n">
        <f aca="false">Report!U1360</f>
        <v>77.62</v>
      </c>
      <c r="D1047" s="1" t="str">
        <f aca="false">Report!X1360</f>
        <v>NF 1236492 ELLEN</v>
      </c>
    </row>
    <row r="1048" customFormat="false" ht="12.75" hidden="false" customHeight="true" outlineLevel="0" collapsed="false">
      <c r="A1048" s="15" t="n">
        <f aca="false">Report!C1361</f>
        <v>46268</v>
      </c>
      <c r="B1048" s="1" t="str">
        <f aca="false">Report!E1361</f>
        <v>DISTRIBUIDORA LOPES LTDA</v>
      </c>
      <c r="C1048" s="17" t="n">
        <f aca="false">Report!U1361</f>
        <v>692.26</v>
      </c>
      <c r="D1048" s="1" t="str">
        <f aca="false">Report!X1361</f>
        <v>NF 1710665 ELLEN</v>
      </c>
    </row>
    <row r="1049" customFormat="false" ht="12.75" hidden="false" customHeight="true" outlineLevel="0" collapsed="false">
      <c r="A1049" s="15" t="n">
        <f aca="false">Report!C1362</f>
        <v>46268</v>
      </c>
      <c r="B1049" s="1" t="str">
        <f aca="false">Report!E1362</f>
        <v>FENNIX BRASIL DISTRIBUIDORA DE PRODUTOS</v>
      </c>
      <c r="C1049" s="17" t="n">
        <f aca="false">Report!U1362</f>
        <v>668.78</v>
      </c>
      <c r="D1049" s="1" t="str">
        <f aca="false">Report!X1362</f>
        <v>NF 398227 ELLEN</v>
      </c>
    </row>
    <row r="1050" customFormat="false" ht="12.75" hidden="false" customHeight="true" outlineLevel="0" collapsed="false">
      <c r="A1050" s="15" t="n">
        <f aca="false">Report!C1363</f>
        <v>46268</v>
      </c>
      <c r="B1050" s="1" t="str">
        <f aca="false">Report!E1363</f>
        <v>AGM INDUSTRIA COMERCIO E REPRESENTACAO LTDA</v>
      </c>
      <c r="C1050" s="17" t="n">
        <f aca="false">Report!U1363</f>
        <v>1130.5</v>
      </c>
      <c r="D1050" s="1" t="str">
        <f aca="false">Report!X1363</f>
        <v>NF 48205 ELLEN</v>
      </c>
    </row>
    <row r="1051" customFormat="false" ht="12.75" hidden="false" customHeight="true" outlineLevel="0" collapsed="false">
      <c r="A1051" s="15" t="n">
        <f aca="false">Report!C1364</f>
        <v>46268</v>
      </c>
      <c r="B1051" s="1" t="str">
        <f aca="false">Report!E1364</f>
        <v>IRMÃOS LIMA  ATACADO  DE ALIMENTOS LTDA</v>
      </c>
      <c r="C1051" s="17" t="n">
        <f aca="false">Report!U1364</f>
        <v>1120.76</v>
      </c>
      <c r="D1051" s="1" t="str">
        <f aca="false">Report!X1364</f>
        <v>NF 297321 ELLEN</v>
      </c>
    </row>
    <row r="1052" customFormat="false" ht="12.75" hidden="false" customHeight="true" outlineLevel="0" collapsed="false">
      <c r="A1052" s="15" t="n">
        <f aca="false">Report!C1365</f>
        <v>46268</v>
      </c>
      <c r="B1052" s="1" t="str">
        <f aca="false">Report!E1365</f>
        <v>TAPAJOS COM DE PERFUMARIA COSMETICOS E G</v>
      </c>
      <c r="C1052" s="17" t="n">
        <f aca="false">Report!U1365</f>
        <v>793.81</v>
      </c>
      <c r="D1052" s="1" t="str">
        <f aca="false">Report!X1365</f>
        <v>NF 586415 ELLEN</v>
      </c>
    </row>
    <row r="1053" customFormat="false" ht="12.75" hidden="false" customHeight="true" outlineLevel="0" collapsed="false">
      <c r="A1053" s="15" t="n">
        <f aca="false">Report!C1366</f>
        <v>46268</v>
      </c>
      <c r="B1053" s="1" t="str">
        <f aca="false">Report!E1366</f>
        <v>FRIOTRANS COMERCIO E TRANSPORTES DE CARGAS LTDA</v>
      </c>
      <c r="C1053" s="17" t="n">
        <f aca="false">Report!U1366</f>
        <v>2055.66</v>
      </c>
      <c r="D1053" s="1" t="str">
        <f aca="false">Report!X1366</f>
        <v>NF 39521 ELLEN</v>
      </c>
    </row>
    <row r="1054" customFormat="false" ht="12.75" hidden="false" customHeight="true" outlineLevel="0" collapsed="false">
      <c r="A1054" s="15" t="n">
        <f aca="false">Report!C1367</f>
        <v>46268</v>
      </c>
      <c r="B1054" s="1" t="str">
        <f aca="false">Report!E1367</f>
        <v>TRES CORACOES ALIMENTOS S.A.</v>
      </c>
      <c r="C1054" s="17" t="n">
        <f aca="false">Report!U1367</f>
        <v>182.8</v>
      </c>
      <c r="D1054" s="1" t="str">
        <f aca="false">Report!X1367</f>
        <v>NF 357892 ELLEN</v>
      </c>
    </row>
    <row r="1055" customFormat="false" ht="12.75" hidden="false" customHeight="true" outlineLevel="0" collapsed="false">
      <c r="A1055" s="15" t="n">
        <f aca="false">Report!C1368</f>
        <v>46269</v>
      </c>
      <c r="B1055" s="1" t="str">
        <f aca="false">Report!E1368</f>
        <v>GOLD SERVICE</v>
      </c>
      <c r="C1055" s="17" t="n">
        <f aca="false">Report!U1368</f>
        <v>2431.5</v>
      </c>
      <c r="D1055" s="1" t="str">
        <f aca="false">Report!X1368</f>
        <v>MENSALIDADE GOLD MO2 - KEILA</v>
      </c>
    </row>
    <row r="1056" customFormat="false" ht="12.75" hidden="false" customHeight="true" outlineLevel="0" collapsed="false">
      <c r="A1056" s="15" t="n">
        <f aca="false">Report!C1369</f>
        <v>46269</v>
      </c>
      <c r="B1056" s="1" t="str">
        <f aca="false">Report!E1369</f>
        <v>ACL REPARACAO E TECNOLOGIA DA INFORMACAO LTDA</v>
      </c>
      <c r="C1056" s="17" t="n">
        <f aca="false">Report!U1369</f>
        <v>270.9</v>
      </c>
      <c r="D1056" s="1" t="n">
        <f aca="false">Report!X1369</f>
        <v>0</v>
      </c>
    </row>
    <row r="1057" customFormat="false" ht="12.75" hidden="false" customHeight="true" outlineLevel="0" collapsed="false">
      <c r="A1057" s="15" t="n">
        <f aca="false">Report!C1370</f>
        <v>46269</v>
      </c>
      <c r="B1057" s="1" t="str">
        <f aca="false">Report!E1370</f>
        <v>VIA CERTA IMPORTACAO E DISTRIBUICAO DE A</v>
      </c>
      <c r="C1057" s="17" t="n">
        <f aca="false">Report!U1370</f>
        <v>1393.49</v>
      </c>
      <c r="D1057" s="1" t="str">
        <f aca="false">Report!X1370</f>
        <v>NF 53859 ELLEN</v>
      </c>
    </row>
    <row r="1058" customFormat="false" ht="12.75" hidden="false" customHeight="true" outlineLevel="0" collapsed="false">
      <c r="A1058" s="15" t="n">
        <f aca="false">Report!C1371</f>
        <v>46269</v>
      </c>
      <c r="B1058" s="1" t="str">
        <f aca="false">Report!E1371</f>
        <v>DUNORTE DISTRIBUIDORA DE PRODUTOS DE CONSUMO LTDA</v>
      </c>
      <c r="C1058" s="17" t="n">
        <f aca="false">Report!U1371</f>
        <v>748.32</v>
      </c>
      <c r="D1058" s="1" t="str">
        <f aca="false">Report!X1371</f>
        <v>NF 3237036 ELLEN</v>
      </c>
    </row>
    <row r="1059" customFormat="false" ht="12.75" hidden="false" customHeight="true" outlineLevel="0" collapsed="false">
      <c r="A1059" s="15" t="n">
        <f aca="false">Report!C1372</f>
        <v>46269</v>
      </c>
      <c r="B1059" s="1" t="str">
        <f aca="false">Report!E1372</f>
        <v>L S M COMERCIO DE ALIMENTOS E NAVEGACAO</v>
      </c>
      <c r="C1059" s="17" t="n">
        <f aca="false">Report!U1372</f>
        <v>474.75</v>
      </c>
      <c r="D1059" s="1" t="str">
        <f aca="false">Report!X1372</f>
        <v>NF 311351 ELLEN</v>
      </c>
    </row>
    <row r="1060" customFormat="false" ht="12.75" hidden="false" customHeight="true" outlineLevel="0" collapsed="false">
      <c r="A1060" s="15" t="n">
        <f aca="false">Report!C1373</f>
        <v>46269</v>
      </c>
      <c r="B1060" s="1" t="str">
        <f aca="false">Report!E1373</f>
        <v>SOUZA CRUZ LTDA.</v>
      </c>
      <c r="C1060" s="17" t="n">
        <f aca="false">Report!U1373</f>
        <v>5720.74</v>
      </c>
      <c r="D1060" s="1" t="str">
        <f aca="false">Report!X1373</f>
        <v>NF 570907 ELLEN</v>
      </c>
    </row>
    <row r="1061" customFormat="false" ht="12.75" hidden="false" customHeight="true" outlineLevel="0" collapsed="false">
      <c r="A1061" s="15" t="n">
        <f aca="false">Report!C1377</f>
        <v>46272</v>
      </c>
      <c r="B1061" s="1" t="str">
        <f aca="false">Report!E1377</f>
        <v>OI S.A</v>
      </c>
      <c r="C1061" s="17" t="n">
        <f aca="false">Report!U1377</f>
        <v>119.97</v>
      </c>
      <c r="D1061" s="1" t="str">
        <f aca="false">Report!X1377</f>
        <v>MENS INTERNET OI MO2 - KEILA</v>
      </c>
    </row>
    <row r="1062" customFormat="false" ht="12.75" hidden="false" customHeight="true" outlineLevel="0" collapsed="false">
      <c r="A1062" s="15" t="n">
        <f aca="false">Report!C1378</f>
        <v>46272</v>
      </c>
      <c r="B1062" s="1" t="str">
        <f aca="false">Report!E1378</f>
        <v>NATUREZA COMERCIO DE DESCARTAVEIS LTDA</v>
      </c>
      <c r="C1062" s="17" t="n">
        <f aca="false">Report!U1378</f>
        <v>509.85</v>
      </c>
      <c r="D1062" s="1" t="str">
        <f aca="false">Report!X1378</f>
        <v>NF 747704 ELLEN</v>
      </c>
    </row>
    <row r="1063" customFormat="false" ht="12.75" hidden="false" customHeight="true" outlineLevel="0" collapsed="false">
      <c r="A1063" s="15" t="n">
        <f aca="false">Report!C1379</f>
        <v>46272</v>
      </c>
      <c r="B1063" s="1" t="str">
        <f aca="false">Report!E1379</f>
        <v>TAPAJOS COM DE PERFUMARIA COSMETICOS E G</v>
      </c>
      <c r="C1063" s="17" t="n">
        <f aca="false">Report!U1379</f>
        <v>271.2</v>
      </c>
      <c r="D1063" s="1" t="str">
        <f aca="false">Report!X1379</f>
        <v>NF 586317 ELLEN</v>
      </c>
    </row>
    <row r="1064" customFormat="false" ht="12.75" hidden="false" customHeight="true" outlineLevel="0" collapsed="false">
      <c r="A1064" s="15" t="n">
        <f aca="false">Report!C1380</f>
        <v>46272</v>
      </c>
      <c r="B1064" s="1" t="str">
        <f aca="false">Report!E1380</f>
        <v>BF COMERCIO DE ALIMENTOS REPRESENTACAO L</v>
      </c>
      <c r="C1064" s="17" t="n">
        <f aca="false">Report!U1380</f>
        <v>691.91</v>
      </c>
      <c r="D1064" s="1" t="str">
        <f aca="false">Report!X1380</f>
        <v>NF 21279 ELLEN</v>
      </c>
    </row>
    <row r="1065" customFormat="false" ht="12.75" hidden="false" customHeight="true" outlineLevel="0" collapsed="false">
      <c r="A1065" s="15" t="n">
        <f aca="false">Report!C1381</f>
        <v>46272</v>
      </c>
      <c r="B1065" s="1" t="str">
        <f aca="false">Report!E1381</f>
        <v>DUNORTE DISTRIBUIDORA DE PRODUTOS DE CONSUMO LTDA</v>
      </c>
      <c r="C1065" s="17" t="n">
        <f aca="false">Report!U1381</f>
        <v>1352.12</v>
      </c>
      <c r="D1065" s="1" t="str">
        <f aca="false">Report!X1381</f>
        <v>NF 3237634 ELLEN</v>
      </c>
    </row>
    <row r="1066" customFormat="false" ht="12.75" hidden="false" customHeight="true" outlineLevel="0" collapsed="false">
      <c r="A1066" s="15" t="n">
        <f aca="false">Report!C1382</f>
        <v>46272</v>
      </c>
      <c r="B1066" s="1" t="str">
        <f aca="false">Report!E1382</f>
        <v>DURAES DISTRIBUIDORA DE ESTIVAS LTDA</v>
      </c>
      <c r="C1066" s="17" t="n">
        <f aca="false">Report!U1382</f>
        <v>606.56</v>
      </c>
      <c r="D1066" s="1" t="str">
        <f aca="false">Report!X1382</f>
        <v>NF 654907 ELLEN</v>
      </c>
    </row>
    <row r="1067" customFormat="false" ht="12.75" hidden="false" customHeight="true" outlineLevel="0" collapsed="false">
      <c r="A1067" s="15" t="n">
        <f aca="false">Report!C1383</f>
        <v>46272</v>
      </c>
      <c r="B1067" s="1" t="str">
        <f aca="false">Report!E1383</f>
        <v>MAXPEL COMERCIAL LTDA</v>
      </c>
      <c r="C1067" s="17" t="n">
        <f aca="false">Report!U1383</f>
        <v>983.76</v>
      </c>
      <c r="D1067" s="1" t="str">
        <f aca="false">Report!X1383</f>
        <v>NFS 319296/319297 - ELLEN</v>
      </c>
    </row>
    <row r="1068" customFormat="false" ht="12.75" hidden="false" customHeight="true" outlineLevel="0" collapsed="false">
      <c r="A1068" s="15" t="n">
        <f aca="false">Report!C1386</f>
        <v>46273</v>
      </c>
      <c r="B1068" s="1" t="str">
        <f aca="false">Report!E1386</f>
        <v>PIARARA COMERCIO, IMPORTACAO E EXPORTACAO LTDA</v>
      </c>
      <c r="C1068" s="17" t="n">
        <f aca="false">Report!U1386</f>
        <v>599.85</v>
      </c>
      <c r="D1068" s="1" t="str">
        <f aca="false">Report!X1386</f>
        <v>NF 195597 ELLEN</v>
      </c>
    </row>
    <row r="1069" customFormat="false" ht="12.75" hidden="false" customHeight="true" outlineLevel="0" collapsed="false">
      <c r="A1069" s="15" t="n">
        <f aca="false">Report!C1387</f>
        <v>46273</v>
      </c>
      <c r="B1069" s="1" t="str">
        <f aca="false">Report!E1387</f>
        <v>ROCHA E PAIVA LTDA</v>
      </c>
      <c r="C1069" s="17" t="n">
        <f aca="false">Report!U1387</f>
        <v>584.64</v>
      </c>
      <c r="D1069" s="1" t="str">
        <f aca="false">Report!X1387</f>
        <v>NF 211355 ELLEN</v>
      </c>
    </row>
    <row r="1070" customFormat="false" ht="12.75" hidden="false" customHeight="true" outlineLevel="0" collapsed="false">
      <c r="A1070" s="15" t="n">
        <f aca="false">Report!C1388</f>
        <v>46273</v>
      </c>
      <c r="B1070" s="1" t="str">
        <f aca="false">Report!E1388</f>
        <v>J. A. F. DE LIMA</v>
      </c>
      <c r="C1070" s="17" t="n">
        <f aca="false">Report!U1388</f>
        <v>645.71</v>
      </c>
      <c r="D1070" s="1" t="str">
        <f aca="false">Report!X1388</f>
        <v>NF 160332 ELLEN</v>
      </c>
    </row>
    <row r="1071" customFormat="false" ht="12.75" hidden="false" customHeight="true" outlineLevel="0" collapsed="false">
      <c r="A1071" s="15" t="n">
        <f aca="false">Report!C1389</f>
        <v>46273</v>
      </c>
      <c r="B1071" s="1" t="str">
        <f aca="false">Report!E1389</f>
        <v>SUPER CANCUN COMERCIO DE PRODUTOS ALIMEN</v>
      </c>
      <c r="C1071" s="17" t="n">
        <f aca="false">Report!U1389</f>
        <v>548.18</v>
      </c>
      <c r="D1071" s="1" t="str">
        <f aca="false">Report!X1389</f>
        <v>NF 265359 ELLEN</v>
      </c>
    </row>
    <row r="1072" customFormat="false" ht="12.75" hidden="false" customHeight="true" outlineLevel="0" collapsed="false">
      <c r="A1072" s="15" t="n">
        <f aca="false">Report!C1390</f>
        <v>46273</v>
      </c>
      <c r="B1072" s="1" t="str">
        <f aca="false">Report!E1390</f>
        <v>L. J. DA SILVA LTDA</v>
      </c>
      <c r="C1072" s="17" t="n">
        <f aca="false">Report!U1390</f>
        <v>421</v>
      </c>
      <c r="D1072" s="1" t="str">
        <f aca="false">Report!X1390</f>
        <v>NF 37213 ELLEN</v>
      </c>
    </row>
    <row r="1073" customFormat="false" ht="12.75" hidden="false" customHeight="true" outlineLevel="0" collapsed="false">
      <c r="A1073" s="15" t="n">
        <f aca="false">Report!C1391</f>
        <v>46274</v>
      </c>
      <c r="B1073" s="1" t="str">
        <f aca="false">Report!E1391</f>
        <v>DISTRIBUIDORA LOPES LTDA</v>
      </c>
      <c r="C1073" s="17" t="n">
        <f aca="false">Report!U1391</f>
        <v>1279.58</v>
      </c>
      <c r="D1073" s="1" t="str">
        <f aca="false">Report!X1391</f>
        <v>NF 1709601 ELLEN</v>
      </c>
    </row>
    <row r="1074" customFormat="false" ht="12.75" hidden="false" customHeight="true" outlineLevel="0" collapsed="false">
      <c r="A1074" s="15" t="n">
        <f aca="false">Report!C1393</f>
        <v>46274</v>
      </c>
      <c r="B1074" s="1" t="str">
        <f aca="false">Report!E1393</f>
        <v>EMPRESA BRASILEIRA DE DISTRIBUICAO LTDA</v>
      </c>
      <c r="C1074" s="17" t="n">
        <f aca="false">Report!U1393</f>
        <v>1154.65</v>
      </c>
      <c r="D1074" s="1" t="str">
        <f aca="false">Report!X1393</f>
        <v>NF 2310769 ELLEN</v>
      </c>
    </row>
    <row r="1075" customFormat="false" ht="12.75" hidden="false" customHeight="true" outlineLevel="0" collapsed="false">
      <c r="A1075" s="15" t="n">
        <f aca="false">Report!C1394</f>
        <v>46275</v>
      </c>
      <c r="B1075" s="1" t="str">
        <f aca="false">Report!E1394</f>
        <v>FUNNY PET DISTRIBUIDORA DE ALIMENTOS PAR</v>
      </c>
      <c r="C1075" s="17" t="n">
        <f aca="false">Report!U1394</f>
        <v>128.85</v>
      </c>
      <c r="D1075" s="1" t="str">
        <f aca="false">Report!X1394</f>
        <v>NF 20440 ELLEN</v>
      </c>
    </row>
    <row r="1076" customFormat="false" ht="12.75" hidden="false" customHeight="true" outlineLevel="0" collapsed="false">
      <c r="A1076" s="15" t="n">
        <f aca="false">Report!C1398</f>
        <v>46275</v>
      </c>
      <c r="B1076" s="1" t="str">
        <f aca="false">Report!E1398</f>
        <v>DISTRIBUIDORA LOPES LTDA</v>
      </c>
      <c r="C1076" s="17" t="n">
        <f aca="false">Report!U1398</f>
        <v>692.26</v>
      </c>
      <c r="D1076" s="1" t="str">
        <f aca="false">Report!X1398</f>
        <v>NF 1710665 ELLEN</v>
      </c>
    </row>
    <row r="1077" customFormat="false" ht="12.75" hidden="false" customHeight="true" outlineLevel="0" collapsed="false">
      <c r="A1077" s="15" t="n">
        <f aca="false">Report!C1405</f>
        <v>46276</v>
      </c>
      <c r="B1077" s="1" t="str">
        <f aca="false">Report!E1405</f>
        <v>SOUZA CRUZ LTDA.</v>
      </c>
      <c r="C1077" s="17" t="n">
        <f aca="false">Report!U1405</f>
        <v>5894.1</v>
      </c>
      <c r="D1077" s="1" t="str">
        <f aca="false">Report!X1405</f>
        <v>NF 570907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8" t="s">
        <v>1303</v>
      </c>
      <c r="B1" s="26" t="s">
        <v>1304</v>
      </c>
      <c r="C1" s="26" t="s">
        <v>1305</v>
      </c>
      <c r="D1" s="26" t="s">
        <v>1306</v>
      </c>
    </row>
    <row r="2" customFormat="false" ht="12.75" hidden="false" customHeight="true" outlineLevel="0" collapsed="false">
      <c r="A2" s="27" t="s">
        <v>1307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1308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1309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1310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1311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1312</v>
      </c>
      <c r="B7" s="17" t="n">
        <f aca="false">SUMIFS(Report!$U:$U,Report!$T:$T,"&lt;&gt;"&amp;"MERCADORIAS P/REVENDA",Report!$AA:$AA,"SIM",Report!$C:$C,"&gt;="&amp;DATE(2026,6,1),Report!$C:$C,"&lt;="&amp;DATE(2026,6,30))</f>
        <v>114942.97</v>
      </c>
      <c r="C7" s="17" t="n">
        <f aca="false">SUMIFS(Report!$U:$U,Report!$T:$T,"MERCADORIAS P/REVENDA",Report!$AA:$AA,"SIM",Report!$C:$C,"&gt;="&amp;DATE(2026,6,1),Report!$C:$C,"&lt;="&amp;DATE(2026,6,30))</f>
        <v>277892.68</v>
      </c>
      <c r="D7" s="17" t="n">
        <f aca="false">B7+C7</f>
        <v>392835.65</v>
      </c>
    </row>
    <row r="8" customFormat="false" ht="12.75" hidden="false" customHeight="true" outlineLevel="0" collapsed="false">
      <c r="A8" s="27" t="s">
        <v>1313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7" t="s">
        <v>1314</v>
      </c>
      <c r="B9" s="17" t="n">
        <f aca="false">SUMIFS(Report!$U:$U,Report!$T:$T,"&lt;&gt;"&amp;"MERCADORIAS P/REVENDA",Report!$AA:$AA,"SIM",Report!$C:$C,"&gt;="&amp;DATE(2026,8,1),Report!$C:$C,"&lt;="&amp;DATE(2026,8,31))</f>
        <v>65702.96</v>
      </c>
      <c r="C9" s="17" t="n">
        <f aca="false">SUMIFS(Report!$U:$U,Report!$T:$T,"MERCADORIAS P/REVENDA",Report!$AA:$AA,"SIM",Report!$C:$C,"&gt;="&amp;DATE(2026,8,1),Report!$C:$C,"&lt;="&amp;DATE(2026,8,31))</f>
        <v>268531.41</v>
      </c>
      <c r="D9" s="17" t="n">
        <f aca="false">B9+C9</f>
        <v>334234.37</v>
      </c>
    </row>
    <row r="10" customFormat="false" ht="12.75" hidden="false" customHeight="true" outlineLevel="0" collapsed="false">
      <c r="A10" s="27" t="s">
        <v>1315</v>
      </c>
      <c r="B10" s="17" t="n">
        <f aca="false">SUMIFS(Report!$U:$U,Report!$T:$T,"&lt;&gt;"&amp;"MERCADORIAS P/REVENDA",Report!$AA:$AA,"SIM",Report!$C:$C,"&gt;="&amp;DATE(2026,9,1),Report!$C:$C,"&lt;="&amp;DATE(2026,9,30))</f>
        <v>30217.23</v>
      </c>
      <c r="C10" s="17" t="n">
        <f aca="false">SUMIFS(Report!$U:$U,Report!$T:$T,"MERCADORIAS P/REVENDA",Report!$AA:$AA,"SIM",Report!$C:$C,"&gt;="&amp;DATE(2026,9,1),Report!$C:$C,"&lt;="&amp;DATE(2026,9,30))</f>
        <v>67631.47</v>
      </c>
      <c r="D10" s="17" t="n">
        <f aca="false">B10+C10</f>
        <v>97848.7</v>
      </c>
    </row>
    <row r="11" customFormat="false" ht="12.75" hidden="false" customHeight="true" outlineLevel="0" collapsed="false">
      <c r="A11" s="27" t="s">
        <v>1316</v>
      </c>
      <c r="B11" s="17" t="n">
        <f aca="false">SUMIFS(Report!$U:$U,Report!$T:$T,"&lt;&gt;"&amp;"MERCADORIAS P/REVENDA",Report!$AA:$AA,"SIM",Report!$C:$C,"&gt;="&amp;DATE(2026,10,1),Report!$C:$C,"&lt;="&amp;DATE(2026,10,31))</f>
        <v>13266.37</v>
      </c>
      <c r="C11" s="17" t="n">
        <f aca="false">SUMIFS(Report!$U:$U,Report!$T:$T,"MERCADORIAS P/REVENDA",Report!$AA:$AA,"SIM",Report!$C:$C,"&gt;="&amp;DATE(2026,10,1),Report!$C:$C,"&lt;="&amp;DATE(2026,10,31))</f>
        <v>638.75</v>
      </c>
      <c r="D11" s="17" t="n">
        <f aca="false">B11+C11</f>
        <v>13905.12</v>
      </c>
    </row>
    <row r="12" customFormat="false" ht="12.75" hidden="false" customHeight="true" outlineLevel="0" collapsed="false">
      <c r="A12" s="27" t="s">
        <v>1317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1318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1319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1320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1321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1322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1323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1324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1325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1326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1327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1328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1329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1330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1331</v>
      </c>
      <c r="B26" s="30" t="n">
        <f aca="false">SUM(B2:B25)</f>
        <v>314382.4</v>
      </c>
      <c r="C26" s="30" t="n">
        <f aca="false">SUM(C2:C25)</f>
        <v>914750.44</v>
      </c>
      <c r="D26" s="30" t="n">
        <f aca="false">SUM(D2:D25)</f>
        <v>1229132.84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1332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1306</v>
      </c>
      <c r="AA2" s="32"/>
      <c r="AB2" s="33" t="s">
        <v>1333</v>
      </c>
      <c r="AC2" s="33" t="s">
        <v>1334</v>
      </c>
      <c r="AE2" s="33" t="s">
        <v>1335</v>
      </c>
    </row>
    <row r="3" customFormat="false" ht="12.75" hidden="false" customHeight="true" outlineLevel="0" collapsed="false">
      <c r="A3" s="34" t="s">
        <v>1336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392835.65</v>
      </c>
      <c r="H3" s="30" t="n">
        <f aca="false">SUMIFS(Report!$U:$U,Report!$AA:$AA,"SIM",Report!$C:$C,"&gt;="&amp;DATE(2026,7,1),Report!$C:$C,"&lt;="&amp;DATE(2026,7,31))</f>
        <v>390309</v>
      </c>
      <c r="I3" s="30" t="n">
        <f aca="false">SUMIFS(Report!$U:$U,Report!$AA:$AA,"SIM",Report!$C:$C,"&gt;="&amp;DATE(2026,8,1),Report!$C:$C,"&lt;="&amp;DATE(2026,8,31))</f>
        <v>334234.37</v>
      </c>
      <c r="J3" s="30" t="n">
        <f aca="false">SUMIFS(Report!$U:$U,Report!$AA:$AA,"SIM",Report!$C:$C,"&gt;="&amp;DATE(2026,9,1),Report!$C:$C,"&lt;="&amp;DATE(2026,9,30))</f>
        <v>97848.7</v>
      </c>
      <c r="K3" s="30" t="n">
        <f aca="false">SUMIFS(Report!$U:$U,Report!$AA:$AA,"SIM",Report!$C:$C,"&gt;="&amp;DATE(2026,10,1),Report!$C:$C,"&lt;="&amp;DATE(2026,10,31))</f>
        <v>13905.12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1229132.84</v>
      </c>
      <c r="AB3" s="1" t="s">
        <v>192</v>
      </c>
      <c r="AC3" s="1" t="s">
        <v>1337</v>
      </c>
      <c r="AE3" s="1" t="s">
        <v>1338</v>
      </c>
    </row>
    <row r="4" customFormat="false" ht="12.75" hidden="false" customHeight="true" outlineLevel="0" collapsed="false">
      <c r="A4" s="1" t="s">
        <v>1337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56009.08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32788.65</v>
      </c>
      <c r="J4" s="17" t="n">
        <f aca="false">SUMIFS(Report!$U:$U,Report!$Z:$Z,"Despesa",Report!$AA:$AA,"SIM",Report!$C:$C,"&gt;="&amp;DATE(2026,9,1),Report!$C:$C,"&lt;="&amp;DATE(2026,9,30))</f>
        <v>25013.15</v>
      </c>
      <c r="K4" s="17" t="n">
        <f aca="false">SUMIFS(Report!$U:$U,Report!$Z:$Z,"Despesa",Report!$AA:$AA,"SIM",Report!$C:$C,"&gt;="&amp;DATE(2026,10,1),Report!$C:$C,"&lt;="&amp;DATE(2026,10,31))</f>
        <v>8172.81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161956.35</v>
      </c>
      <c r="AB4" s="1" t="s">
        <v>136</v>
      </c>
      <c r="AC4" s="1" t="s">
        <v>1337</v>
      </c>
    </row>
    <row r="5" customFormat="false" ht="12.75" hidden="false" customHeight="true" outlineLevel="0" collapsed="false">
      <c r="A5" s="1" t="s">
        <v>1339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14217.15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8865.1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44870.72</v>
      </c>
      <c r="AB5" s="1" t="s">
        <v>365</v>
      </c>
      <c r="AC5" s="1" t="s">
        <v>1337</v>
      </c>
    </row>
    <row r="6" customFormat="false" ht="12.75" hidden="false" customHeight="true" outlineLevel="0" collapsed="false">
      <c r="A6" s="1" t="s">
        <v>1340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6236.68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6049.89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18485.72</v>
      </c>
      <c r="AB6" s="1" t="s">
        <v>467</v>
      </c>
      <c r="AC6" s="1" t="s">
        <v>1337</v>
      </c>
    </row>
    <row r="7" customFormat="false" ht="12.75" hidden="false" customHeight="true" outlineLevel="0" collapsed="false">
      <c r="A7" s="1" t="s">
        <v>1341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277892.68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268531.41</v>
      </c>
      <c r="J7" s="17" t="n">
        <f aca="false">SUMIFS(Report!$U:$U,Report!$Z:$Z,"Mercadoria",Report!$AA:$AA,"SIM",Report!$C:$C,"&gt;="&amp;DATE(2026,9,1),Report!$C:$C,"&lt;="&amp;DATE(2026,9,30))</f>
        <v>67631.47</v>
      </c>
      <c r="K7" s="17" t="n">
        <f aca="false">SUMIFS(Report!$U:$U,Report!$Z:$Z,"Mercadoria",Report!$AA:$AA,"SIM",Report!$C:$C,"&gt;="&amp;DATE(2026,10,1),Report!$C:$C,"&lt;="&amp;DATE(2026,10,31))</f>
        <v>638.75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914750.44</v>
      </c>
      <c r="AB7" s="1" t="s">
        <v>450</v>
      </c>
      <c r="AC7" s="1" t="s">
        <v>1342</v>
      </c>
    </row>
    <row r="8" customFormat="false" ht="12.75" hidden="false" customHeight="true" outlineLevel="0" collapsed="false">
      <c r="A8" s="1" t="s">
        <v>1343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13993.94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3380.74</v>
      </c>
      <c r="J8" s="17" t="n">
        <f aca="false">SUMIFS(Report!$U:$U,Report!$Z:$Z,"Pagamentos outros não operacionais",Report!$AA:$AA,"SIM",Report!$C:$C,"&gt;="&amp;DATE(2026,9,1),Report!$C:$C,"&lt;="&amp;DATE(2026,9,30))</f>
        <v>498.69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27860.81</v>
      </c>
      <c r="AB8" s="1" t="s">
        <v>850</v>
      </c>
      <c r="AC8" s="1" t="s">
        <v>1337</v>
      </c>
    </row>
    <row r="9" customFormat="false" ht="12.75" hidden="false" customHeight="true" outlineLevel="0" collapsed="false">
      <c r="A9" s="1" t="s">
        <v>1342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24486.12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14468.41</v>
      </c>
      <c r="J9" s="17" t="n">
        <f aca="false">SUMIFS(Report!$U:$U,Report!$Z:$Z,"Salários",Report!$AA:$AA,"SIM",Report!$C:$C,"&gt;="&amp;DATE(2026,9,1),Report!$C:$C,"&lt;="&amp;DATE(2026,9,30))</f>
        <v>308.1</v>
      </c>
      <c r="K9" s="17" t="n">
        <f aca="false">SUMIFS(Report!$U:$U,Report!$Z:$Z,"Salários",Report!$AA:$AA,"SIM",Report!$C:$C,"&gt;="&amp;DATE(2026,10,1),Report!$C:$C,"&lt;="&amp;DATE(2026,10,31))</f>
        <v>250.1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61058.63</v>
      </c>
      <c r="AB9" s="1" t="s">
        <v>535</v>
      </c>
      <c r="AC9" s="1" t="s">
        <v>1337</v>
      </c>
    </row>
    <row r="10" customFormat="false" ht="12.75" hidden="false" customHeight="true" outlineLevel="0" collapsed="false">
      <c r="A10" s="34" t="s">
        <v>1344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150.170000000042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150.170000000042</v>
      </c>
      <c r="AB10" s="1" t="s">
        <v>605</v>
      </c>
      <c r="AC10" s="1" t="s">
        <v>1337</v>
      </c>
    </row>
    <row r="11" customFormat="false" ht="12.75" hidden="false" customHeight="true" outlineLevel="0" collapsed="false">
      <c r="AB11" s="1" t="s">
        <v>444</v>
      </c>
      <c r="AC11" s="1" t="s">
        <v>1337</v>
      </c>
    </row>
    <row r="12" customFormat="false" ht="12.75" hidden="false" customHeight="true" outlineLevel="0" collapsed="false">
      <c r="A12" s="1" t="s">
        <v>1345</v>
      </c>
      <c r="B12" s="17" t="n">
        <f aca="false">SUMIFS(Report!$U:$U,Report!$AA:$AA,"NAO",Report!$C:$C,"&gt;="&amp;DATE(2026,1,1),Report!$C:$C,"&lt;="&amp;DATE(2027,12,31))</f>
        <v>0</v>
      </c>
      <c r="AB12" s="1" t="s">
        <v>115</v>
      </c>
      <c r="AC12" s="1" t="s">
        <v>1337</v>
      </c>
    </row>
    <row r="13" customFormat="false" ht="12.75" hidden="false" customHeight="true" outlineLevel="0" collapsed="false">
      <c r="A13" s="1" t="s">
        <v>1346</v>
      </c>
      <c r="AB13" s="1" t="s">
        <v>944</v>
      </c>
      <c r="AC13" s="1" t="s">
        <v>1337</v>
      </c>
    </row>
    <row r="14" customFormat="false" ht="12.75" hidden="false" customHeight="true" outlineLevel="0" collapsed="false">
      <c r="AB14" s="1" t="s">
        <v>149</v>
      </c>
      <c r="AC14" s="1" t="s">
        <v>1337</v>
      </c>
    </row>
    <row r="15" customFormat="false" ht="12.75" hidden="false" customHeight="true" outlineLevel="0" collapsed="false">
      <c r="AB15" s="1" t="s">
        <v>63</v>
      </c>
      <c r="AC15" s="1" t="s">
        <v>1337</v>
      </c>
    </row>
    <row r="16" customFormat="false" ht="12.75" hidden="false" customHeight="true" outlineLevel="0" collapsed="false">
      <c r="AB16" s="1" t="s">
        <v>590</v>
      </c>
      <c r="AC16" s="1" t="s">
        <v>1342</v>
      </c>
    </row>
    <row r="17" customFormat="false" ht="12.75" hidden="false" customHeight="true" outlineLevel="0" collapsed="false">
      <c r="AB17" s="1" t="s">
        <v>296</v>
      </c>
      <c r="AC17" s="1" t="s">
        <v>1339</v>
      </c>
    </row>
    <row r="18" customFormat="false" ht="12.75" hidden="false" customHeight="true" outlineLevel="0" collapsed="false">
      <c r="AB18" s="1" t="s">
        <v>486</v>
      </c>
      <c r="AC18" s="1" t="s">
        <v>1337</v>
      </c>
    </row>
    <row r="19" customFormat="false" ht="12.75" hidden="false" customHeight="true" outlineLevel="0" collapsed="false">
      <c r="AB19" s="1" t="s">
        <v>748</v>
      </c>
      <c r="AC19" s="1" t="s">
        <v>1342</v>
      </c>
    </row>
    <row r="20" customFormat="false" ht="12.75" hidden="false" customHeight="true" outlineLevel="0" collapsed="false">
      <c r="AB20" s="1" t="s">
        <v>963</v>
      </c>
      <c r="AC20" s="1" t="s">
        <v>1342</v>
      </c>
    </row>
    <row r="21" customFormat="false" ht="12.75" hidden="false" customHeight="true" outlineLevel="0" collapsed="false">
      <c r="AB21" s="1" t="s">
        <v>429</v>
      </c>
      <c r="AC21" s="1" t="s">
        <v>1340</v>
      </c>
    </row>
    <row r="22" customFormat="false" ht="12.75" hidden="false" customHeight="true" outlineLevel="0" collapsed="false">
      <c r="AB22" s="1" t="s">
        <v>33</v>
      </c>
      <c r="AC22" s="1" t="s">
        <v>1337</v>
      </c>
    </row>
    <row r="23" customFormat="false" ht="12.75" hidden="false" customHeight="true" outlineLevel="0" collapsed="false">
      <c r="AB23" s="1" t="s">
        <v>347</v>
      </c>
      <c r="AC23" s="1" t="s">
        <v>1337</v>
      </c>
    </row>
    <row r="24" customFormat="false" ht="12.75" hidden="false" customHeight="true" outlineLevel="0" collapsed="false">
      <c r="AB24" s="1" t="s">
        <v>664</v>
      </c>
      <c r="AC24" s="1" t="s">
        <v>1337</v>
      </c>
    </row>
    <row r="25" customFormat="false" ht="12.75" hidden="false" customHeight="true" outlineLevel="0" collapsed="false">
      <c r="AB25" s="1" t="s">
        <v>1347</v>
      </c>
      <c r="AC25" s="1" t="s">
        <v>1340</v>
      </c>
    </row>
    <row r="26" customFormat="false" ht="12.75" hidden="false" customHeight="true" outlineLevel="0" collapsed="false">
      <c r="AB26" s="1" t="s">
        <v>682</v>
      </c>
      <c r="AC26" s="1" t="s">
        <v>1337</v>
      </c>
    </row>
    <row r="27" customFormat="false" ht="12.75" hidden="false" customHeight="true" outlineLevel="0" collapsed="false">
      <c r="AB27" s="1" t="s">
        <v>427</v>
      </c>
      <c r="AC27" s="1" t="s">
        <v>1340</v>
      </c>
    </row>
    <row r="28" customFormat="false" ht="12.75" hidden="false" customHeight="true" outlineLevel="0" collapsed="false">
      <c r="AB28" s="1" t="s">
        <v>257</v>
      </c>
      <c r="AC28" s="1" t="s">
        <v>1337</v>
      </c>
    </row>
    <row r="29" customFormat="false" ht="12.75" hidden="false" customHeight="true" outlineLevel="0" collapsed="false">
      <c r="AB29" s="1" t="s">
        <v>145</v>
      </c>
      <c r="AC29" s="1" t="s">
        <v>1337</v>
      </c>
    </row>
    <row r="30" customFormat="false" ht="12.75" hidden="false" customHeight="true" outlineLevel="0" collapsed="false">
      <c r="AB30" s="1" t="s">
        <v>361</v>
      </c>
      <c r="AC30" s="1" t="s">
        <v>1340</v>
      </c>
    </row>
    <row r="31" customFormat="false" ht="12.75" hidden="false" customHeight="true" outlineLevel="0" collapsed="false">
      <c r="AB31" s="1" t="s">
        <v>938</v>
      </c>
      <c r="AC31" s="1" t="s">
        <v>1337</v>
      </c>
    </row>
    <row r="32" customFormat="false" ht="12.75" hidden="false" customHeight="true" outlineLevel="0" collapsed="false">
      <c r="AB32" s="1" t="s">
        <v>243</v>
      </c>
      <c r="AC32" s="1" t="s">
        <v>1339</v>
      </c>
    </row>
    <row r="33" customFormat="false" ht="12.75" hidden="false" customHeight="true" outlineLevel="0" collapsed="false">
      <c r="AB33" s="1" t="s">
        <v>651</v>
      </c>
      <c r="AC33" s="1" t="s">
        <v>1337</v>
      </c>
    </row>
    <row r="34" customFormat="false" ht="12.75" hidden="false" customHeight="true" outlineLevel="0" collapsed="false">
      <c r="AB34" s="1" t="s">
        <v>286</v>
      </c>
      <c r="AC34" s="1" t="s">
        <v>1337</v>
      </c>
    </row>
    <row r="35" customFormat="false" ht="12.75" hidden="false" customHeight="true" outlineLevel="0" collapsed="false">
      <c r="AB35" s="1" t="s">
        <v>38</v>
      </c>
      <c r="AC35" s="1" t="s">
        <v>1337</v>
      </c>
    </row>
    <row r="36" customFormat="false" ht="12.75" hidden="false" customHeight="true" outlineLevel="0" collapsed="false">
      <c r="AB36" s="1" t="s">
        <v>57</v>
      </c>
      <c r="AC36" s="1" t="s">
        <v>1337</v>
      </c>
    </row>
    <row r="37" customFormat="false" ht="12.75" hidden="false" customHeight="true" outlineLevel="0" collapsed="false">
      <c r="AB37" s="1" t="s">
        <v>538</v>
      </c>
      <c r="AC37" s="1" t="s">
        <v>1337</v>
      </c>
    </row>
    <row r="38" customFormat="false" ht="12.75" hidden="false" customHeight="true" outlineLevel="0" collapsed="false">
      <c r="AB38" s="1" t="s">
        <v>186</v>
      </c>
      <c r="AC38" s="1" t="s">
        <v>1337</v>
      </c>
    </row>
    <row r="39" customFormat="false" ht="12.75" hidden="false" customHeight="true" outlineLevel="0" collapsed="false">
      <c r="AB39" s="1" t="s">
        <v>49</v>
      </c>
      <c r="AC39" s="1" t="s">
        <v>1341</v>
      </c>
    </row>
    <row r="40" customFormat="false" ht="12.75" hidden="false" customHeight="true" outlineLevel="0" collapsed="false">
      <c r="AB40" s="1" t="s">
        <v>434</v>
      </c>
      <c r="AC40" s="1" t="s">
        <v>1337</v>
      </c>
    </row>
    <row r="41" customFormat="false" ht="12.75" hidden="false" customHeight="true" outlineLevel="0" collapsed="false">
      <c r="AB41" s="1" t="s">
        <v>44</v>
      </c>
      <c r="AC41" s="1" t="s">
        <v>1343</v>
      </c>
    </row>
    <row r="42" customFormat="false" ht="12.75" hidden="false" customHeight="true" outlineLevel="0" collapsed="false">
      <c r="AB42" s="1" t="s">
        <v>940</v>
      </c>
      <c r="AC42" s="1" t="s">
        <v>1337</v>
      </c>
    </row>
    <row r="43" customFormat="false" ht="12.75" hidden="false" customHeight="true" outlineLevel="0" collapsed="false">
      <c r="AB43" s="1" t="s">
        <v>405</v>
      </c>
      <c r="AC43" s="1" t="s">
        <v>1342</v>
      </c>
    </row>
    <row r="44" customFormat="false" ht="12.75" hidden="false" customHeight="true" outlineLevel="0" collapsed="false">
      <c r="AB44" s="1" t="s">
        <v>441</v>
      </c>
      <c r="AC44" s="1" t="s">
        <v>1337</v>
      </c>
    </row>
    <row r="45" customFormat="false" ht="12.75" hidden="false" customHeight="true" outlineLevel="0" collapsed="false">
      <c r="AB45" s="1" t="s">
        <v>225</v>
      </c>
      <c r="AC45" s="1" t="s">
        <v>1342</v>
      </c>
    </row>
    <row r="46" customFormat="false" ht="12.75" hidden="false" customHeight="true" outlineLevel="0" collapsed="false">
      <c r="AB46" s="1" t="s">
        <v>230</v>
      </c>
      <c r="AC46" s="1" t="s">
        <v>1342</v>
      </c>
    </row>
    <row r="47" customFormat="false" ht="12.75" hidden="false" customHeight="true" outlineLevel="0" collapsed="false">
      <c r="AB47" s="1" t="s">
        <v>455</v>
      </c>
      <c r="AC47" s="1" t="s">
        <v>1340</v>
      </c>
    </row>
    <row r="48" customFormat="false" ht="12.75" hidden="false" customHeight="true" outlineLevel="0" collapsed="false">
      <c r="AB48" s="1" t="s">
        <v>110</v>
      </c>
      <c r="AC48" s="1" t="s">
        <v>1337</v>
      </c>
    </row>
    <row r="49" customFormat="false" ht="12.75" hidden="false" customHeight="true" outlineLevel="0" collapsed="false">
      <c r="AB49" s="1" t="s">
        <v>1059</v>
      </c>
      <c r="AC49" s="1" t="s">
        <v>1337</v>
      </c>
    </row>
    <row r="50" customFormat="false" ht="12.75" hidden="false" customHeight="true" outlineLevel="0" collapsed="false">
      <c r="AB50" s="1" t="s">
        <v>101</v>
      </c>
      <c r="AC50" s="1" t="s">
        <v>1342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1348</v>
      </c>
      <c r="B1" s="25" t="s">
        <v>1332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1306</v>
      </c>
    </row>
    <row r="2" customFormat="false" ht="12.75" hidden="false" customHeight="true" outlineLevel="0" collapsed="false">
      <c r="A2" s="1" t="s">
        <v>192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1862.64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2483.52</v>
      </c>
    </row>
    <row r="3" customFormat="false" ht="12.75" hidden="false" customHeight="true" outlineLevel="0" collapsed="false">
      <c r="A3" s="1" t="s">
        <v>136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1174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5700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17165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541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58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654</v>
      </c>
    </row>
    <row r="7" customFormat="false" ht="12.75" hidden="false" customHeight="true" outlineLevel="0" collapsed="false">
      <c r="A7" s="1" t="s">
        <v>850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31.57</v>
      </c>
      <c r="I8" s="17" t="n">
        <f aca="false">SUMIFS(Report!$U:$U,Report!$T:$T,$A8,Report!$C:$C,"&gt;="&amp;DATE(2026,7,1),Report!$C:$C,"&lt;="&amp;DATE(2026,7,31))</f>
        <v>0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727.8</v>
      </c>
      <c r="J9" s="17" t="n">
        <f aca="false">SUMIFS(Report!$U:$U,Report!$T:$T,$A9,Report!$C:$C,"&gt;="&amp;DATE(2026,8,1),Report!$C:$C,"&lt;="&amp;DATE(2026,8,31))</f>
        <v>106.35</v>
      </c>
      <c r="K9" s="17" t="n">
        <f aca="false">SUMIFS(Report!$U:$U,Report!$T:$T,$A9,Report!$C:$C,"&gt;="&amp;DATE(2026,9,1),Report!$C:$C,"&lt;="&amp;DATE(2026,9,30))</f>
        <v>689.15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1523.3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396.67</v>
      </c>
      <c r="I10" s="17" t="n">
        <f aca="false">SUMIFS(Report!$U:$U,Report!$T:$T,$A10,Report!$C:$C,"&gt;="&amp;DATE(2026,7,1),Report!$C:$C,"&lt;="&amp;DATE(2026,7,31))</f>
        <v>396.64</v>
      </c>
      <c r="J10" s="17" t="n">
        <f aca="false">SUMIFS(Report!$U:$U,Report!$T:$T,$A10,Report!$C:$C,"&gt;="&amp;DATE(2026,8,1),Report!$C:$C,"&lt;="&amp;DATE(2026,8,31))</f>
        <v>420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1213.31</v>
      </c>
    </row>
    <row r="11" customFormat="false" ht="12.75" hidden="false" customHeight="true" outlineLevel="0" collapsed="false">
      <c r="A11" s="1" t="s">
        <v>115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2708.68</v>
      </c>
      <c r="I11" s="17" t="n">
        <f aca="false">SUMIFS(Report!$U:$U,Report!$T:$T,$A11,Report!$C:$C,"&gt;="&amp;DATE(2026,7,1),Report!$C:$C,"&lt;="&amp;DATE(2026,7,31))</f>
        <v>2212.3</v>
      </c>
      <c r="J11" s="17" t="n">
        <f aca="false">SUMIFS(Report!$U:$U,Report!$T:$T,$A11,Report!$C:$C,"&gt;="&amp;DATE(2026,8,1),Report!$C:$C,"&lt;="&amp;DATE(2026,8,31))</f>
        <v>2541.35</v>
      </c>
      <c r="K11" s="17" t="n">
        <f aca="false">SUMIFS(Report!$U:$U,Report!$T:$T,$A11,Report!$C:$C,"&gt;="&amp;DATE(2026,9,1),Report!$C:$C,"&lt;="&amp;DATE(2026,9,30))</f>
        <v>520.46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7982.79</v>
      </c>
    </row>
    <row r="12" customFormat="false" ht="12.75" hidden="false" customHeight="true" outlineLevel="0" collapsed="false">
      <c r="A12" s="1" t="s">
        <v>944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215</v>
      </c>
      <c r="J12" s="17" t="n">
        <f aca="false">SUMIFS(Report!$U:$U,Report!$T:$T,$A12,Report!$C:$C,"&gt;="&amp;DATE(2026,8,1),Report!$C:$C,"&lt;="&amp;DATE(2026,8,31))</f>
        <v>325</v>
      </c>
      <c r="K12" s="17" t="n">
        <f aca="false">SUMIFS(Report!$U:$U,Report!$T:$T,$A12,Report!$C:$C,"&gt;="&amp;DATE(2026,9,1),Report!$C:$C,"&lt;="&amp;DATE(2026,9,30))</f>
        <v>203.8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743.8</v>
      </c>
    </row>
    <row r="13" customFormat="false" ht="12.75" hidden="false" customHeight="true" outlineLevel="0" collapsed="false">
      <c r="A13" s="1" t="s">
        <v>149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846.17</v>
      </c>
      <c r="I13" s="17" t="n">
        <f aca="false">SUMIFS(Report!$U:$U,Report!$T:$T,$A13,Report!$C:$C,"&gt;="&amp;DATE(2026,7,1),Report!$C:$C,"&lt;="&amp;DATE(2026,7,31))</f>
        <v>2184.91</v>
      </c>
      <c r="J13" s="17" t="n">
        <f aca="false">SUMIFS(Report!$U:$U,Report!$T:$T,$A13,Report!$C:$C,"&gt;="&amp;DATE(2026,8,1),Report!$C:$C,"&lt;="&amp;DATE(2026,8,31))</f>
        <v>608.53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3639.61</v>
      </c>
    </row>
    <row r="14" customFormat="false" ht="12.75" hidden="false" customHeight="true" outlineLevel="0" collapsed="false">
      <c r="A14" s="1" t="s">
        <v>63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4292.77</v>
      </c>
      <c r="I14" s="17" t="n">
        <f aca="false">SUMIFS(Report!$U:$U,Report!$T:$T,$A14,Report!$C:$C,"&gt;="&amp;DATE(2026,7,1),Report!$C:$C,"&lt;="&amp;DATE(2026,7,31))</f>
        <v>5507</v>
      </c>
      <c r="J14" s="17" t="n">
        <f aca="false">SUMIFS(Report!$U:$U,Report!$T:$T,$A14,Report!$C:$C,"&gt;="&amp;DATE(2026,8,1),Report!$C:$C,"&lt;="&amp;DATE(2026,8,31))</f>
        <v>1221.55</v>
      </c>
      <c r="K14" s="17" t="n">
        <f aca="false">SUMIFS(Report!$U:$U,Report!$T:$T,$A14,Report!$C:$C,"&gt;="&amp;DATE(2026,9,1),Report!$C:$C,"&lt;="&amp;DATE(2026,9,30))</f>
        <v>725.3</v>
      </c>
      <c r="L14" s="17" t="n">
        <f aca="false">SUMIFS(Report!$U:$U,Report!$T:$T,$A14,Report!$C:$C,"&gt;="&amp;DATE(2026,10,1),Report!$C:$C,"&lt;="&amp;DATE(2026,10,31))</f>
        <v>645.5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12392.12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2790</v>
      </c>
      <c r="I15" s="17" t="n">
        <f aca="false">SUMIFS(Report!$U:$U,Report!$T:$T,$A15,Report!$C:$C,"&gt;="&amp;DATE(2026,7,1),Report!$C:$C,"&lt;="&amp;DATE(2026,7,31))</f>
        <v>0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2790</v>
      </c>
    </row>
    <row r="16" customFormat="false" ht="12.75" hidden="false" customHeight="true" outlineLevel="0" collapsed="false">
      <c r="A16" s="1" t="s">
        <v>296</v>
      </c>
      <c r="B16" s="1" t="str">
        <f aca="false">IFERROR(INDEX('Resumo Grupos'!$AC$3:$AC$200,MATCH($A16,'Resumo Grupos'!$AB$3:$AB$200,0)),"n/d")</f>
        <v>Empréstimo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6500.6</v>
      </c>
      <c r="I16" s="17" t="n">
        <f aca="false">SUMIFS(Report!$U:$U,Report!$T:$T,$A16,Report!$C:$C,"&gt;="&amp;DATE(2026,7,1),Report!$C:$C,"&lt;="&amp;DATE(2026,7,31))</f>
        <v>6504.77</v>
      </c>
      <c r="J16" s="17" t="n">
        <f aca="false">SUMIFS(Report!$U:$U,Report!$T:$T,$A16,Report!$C:$C,"&gt;="&amp;DATE(2026,8,1),Report!$C:$C,"&lt;="&amp;DATE(2026,8,31))</f>
        <v>6508.97</v>
      </c>
      <c r="K16" s="17" t="n">
        <f aca="false">SUMIFS(Report!$U:$U,Report!$T:$T,$A16,Report!$C:$C,"&gt;="&amp;DATE(2026,9,1),Report!$C:$C,"&lt;="&amp;DATE(2026,9,30))</f>
        <v>4168.41</v>
      </c>
      <c r="L16" s="17" t="n">
        <f aca="false">SUMIFS(Report!$U:$U,Report!$T:$T,$A16,Report!$C:$C,"&gt;="&amp;DATE(2026,10,1),Report!$C:$C,"&lt;="&amp;DATE(2026,10,31))</f>
        <v>4168.41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8088.96</v>
      </c>
      <c r="I17" s="17" t="n">
        <f aca="false">SUMIFS(Report!$U:$U,Report!$T:$T,$A17,Report!$C:$C,"&gt;="&amp;DATE(2026,7,1),Report!$C:$C,"&lt;="&amp;DATE(2026,7,31))</f>
        <v>8621.9</v>
      </c>
      <c r="J17" s="17" t="n">
        <f aca="false">SUMIFS(Report!$U:$U,Report!$T:$T,$A17,Report!$C:$C,"&gt;="&amp;DATE(2026,8,1),Report!$C:$C,"&lt;="&amp;DATE(2026,8,31))</f>
        <v>10755.79</v>
      </c>
      <c r="K17" s="17" t="n">
        <f aca="false">SUMIFS(Report!$U:$U,Report!$T:$T,$A17,Report!$C:$C,"&gt;="&amp;DATE(2026,9,1),Report!$C:$C,"&lt;="&amp;DATE(2026,9,30))</f>
        <v>10645.93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38112.58</v>
      </c>
    </row>
    <row r="18" customFormat="false" ht="12.75" hidden="false" customHeight="true" outlineLevel="0" collapsed="false">
      <c r="A18" s="1" t="s">
        <v>748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160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160</v>
      </c>
    </row>
    <row r="19" customFormat="false" ht="12.75" hidden="false" customHeight="true" outlineLevel="0" collapsed="false">
      <c r="A19" s="1" t="s">
        <v>963</v>
      </c>
      <c r="B19" s="1" t="str">
        <f aca="false">IFERROR(INDEX('Resumo Grupos'!$AC$3:$AC$200,MATCH($A19,'Resumo Grupos'!$AB$3:$AB$200,0)),"n/d")</f>
        <v>Salários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2355.82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3059.01</v>
      </c>
      <c r="I20" s="17" t="n">
        <f aca="false">SUMIFS(Report!$U:$U,Report!$T:$T,$A20,Report!$C:$C,"&gt;="&amp;DATE(2026,7,1),Report!$C:$C,"&lt;="&amp;DATE(2026,7,31))</f>
        <v>2788.06</v>
      </c>
      <c r="J20" s="17" t="n">
        <f aca="false">SUMIFS(Report!$U:$U,Report!$T:$T,$A20,Report!$C:$C,"&gt;="&amp;DATE(2026,8,1),Report!$C:$C,"&lt;="&amp;DATE(2026,8,31))</f>
        <v>2846.45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8693.52</v>
      </c>
    </row>
    <row r="21" customFormat="false" ht="12.75" hidden="false" customHeight="true" outlineLevel="0" collapsed="false">
      <c r="A21" s="1" t="s">
        <v>33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226.67</v>
      </c>
      <c r="I21" s="17" t="n">
        <f aca="false">SUMIFS(Report!$U:$U,Report!$T:$T,$A21,Report!$C:$C,"&gt;="&amp;DATE(2026,7,1),Report!$C:$C,"&lt;="&amp;DATE(2026,7,31))</f>
        <v>226.67</v>
      </c>
      <c r="J21" s="17" t="n">
        <f aca="false">SUMIFS(Report!$U:$U,Report!$T:$T,$A21,Report!$C:$C,"&gt;="&amp;DATE(2026,8,1),Report!$C:$C,"&lt;="&amp;DATE(2026,8,31))</f>
        <v>2516.66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2431.5</v>
      </c>
      <c r="I22" s="17" t="n">
        <f aca="false">SUMIFS(Report!$U:$U,Report!$T:$T,$A22,Report!$C:$C,"&gt;="&amp;DATE(2026,7,1),Report!$C:$C,"&lt;="&amp;DATE(2026,7,31))</f>
        <v>2431.5</v>
      </c>
      <c r="J22" s="17" t="n">
        <f aca="false">SUMIFS(Report!$U:$U,Report!$T:$T,$A22,Report!$C:$C,"&gt;="&amp;DATE(2026,8,1),Report!$C:$C,"&lt;="&amp;DATE(2026,8,31))</f>
        <v>2431.5</v>
      </c>
      <c r="K22" s="17" t="n">
        <f aca="false">SUMIFS(Report!$U:$U,Report!$T:$T,$A22,Report!$C:$C,"&gt;="&amp;DATE(2026,9,1),Report!$C:$C,"&lt;="&amp;DATE(2026,9,30))</f>
        <v>2431.5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989.08</v>
      </c>
      <c r="J23" s="17" t="n">
        <f aca="false">SUMIFS(Report!$U:$U,Report!$T:$T,$A23,Report!$C:$C,"&gt;="&amp;DATE(2026,8,1),Report!$C:$C,"&lt;="&amp;DATE(2026,8,31))</f>
        <v>247.27</v>
      </c>
      <c r="K23" s="17" t="n">
        <f aca="false">SUMIFS(Report!$U:$U,Report!$T:$T,$A23,Report!$C:$C,"&gt;="&amp;DATE(2026,9,1),Report!$C:$C,"&lt;="&amp;DATE(2026,9,30))</f>
        <v>247.27</v>
      </c>
      <c r="L23" s="17" t="n">
        <f aca="false">SUMIFS(Report!$U:$U,Report!$T:$T,$A23,Report!$C:$C,"&gt;="&amp;DATE(2026,10,1),Report!$C:$C,"&lt;="&amp;DATE(2026,10,31))</f>
        <v>247.27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1730.89</v>
      </c>
    </row>
    <row r="24" customFormat="false" ht="12.75" hidden="false" customHeight="true" outlineLevel="0" collapsed="false">
      <c r="A24" s="1" t="s">
        <v>1347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573.02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1402.37</v>
      </c>
      <c r="I26" s="17" t="n">
        <f aca="false">SUMIFS(Report!$U:$U,Report!$T:$T,$A26,Report!$C:$C,"&gt;="&amp;DATE(2026,7,1),Report!$C:$C,"&lt;="&amp;DATE(2026,7,31))</f>
        <v>1128.04</v>
      </c>
      <c r="J26" s="17" t="n">
        <f aca="false">SUMIFS(Report!$U:$U,Report!$T:$T,$A26,Report!$C:$C,"&gt;="&amp;DATE(2026,8,1),Report!$C:$C,"&lt;="&amp;DATE(2026,8,31))</f>
        <v>1097.42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3627.83</v>
      </c>
    </row>
    <row r="27" customFormat="false" ht="12.75" hidden="false" customHeight="true" outlineLevel="0" collapsed="false">
      <c r="A27" s="1" t="s">
        <v>257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875.87</v>
      </c>
      <c r="I27" s="17" t="n">
        <f aca="false">SUMIFS(Report!$U:$U,Report!$T:$T,$A27,Report!$C:$C,"&gt;="&amp;DATE(2026,7,1),Report!$C:$C,"&lt;="&amp;DATE(2026,7,31))</f>
        <v>875.87</v>
      </c>
      <c r="J27" s="17" t="n">
        <f aca="false">SUMIFS(Report!$U:$U,Report!$T:$T,$A27,Report!$C:$C,"&gt;="&amp;DATE(2026,8,1),Report!$C:$C,"&lt;="&amp;DATE(2026,8,31))</f>
        <v>875.87</v>
      </c>
      <c r="K27" s="17" t="n">
        <f aca="false">SUMIFS(Report!$U:$U,Report!$T:$T,$A27,Report!$C:$C,"&gt;="&amp;DATE(2026,9,1),Report!$C:$C,"&lt;="&amp;DATE(2026,9,30))</f>
        <v>875.87</v>
      </c>
      <c r="L27" s="17" t="n">
        <f aca="false">SUMIFS(Report!$U:$U,Report!$T:$T,$A27,Report!$C:$C,"&gt;="&amp;DATE(2026,10,1),Report!$C:$C,"&lt;="&amp;DATE(2026,10,31))</f>
        <v>119.97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3623.45</v>
      </c>
    </row>
    <row r="28" customFormat="false" ht="12.75" hidden="false" customHeight="true" outlineLevel="0" collapsed="false">
      <c r="A28" s="1" t="s">
        <v>145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656.81</v>
      </c>
      <c r="I28" s="17" t="n">
        <f aca="false">SUMIFS(Report!$U:$U,Report!$T:$T,$A28,Report!$C:$C,"&gt;="&amp;DATE(2026,7,1),Report!$C:$C,"&lt;="&amp;DATE(2026,7,31))</f>
        <v>239.24</v>
      </c>
      <c r="J28" s="17" t="n">
        <f aca="false">SUMIFS(Report!$U:$U,Report!$T:$T,$A28,Report!$C:$C,"&gt;="&amp;DATE(2026,8,1),Report!$C:$C,"&lt;="&amp;DATE(2026,8,31))</f>
        <v>855.71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228.88</v>
      </c>
      <c r="I29" s="17" t="n">
        <f aca="false">SUMIFS(Report!$U:$U,Report!$T:$T,$A29,Report!$C:$C,"&gt;="&amp;DATE(2026,7,1),Report!$C:$C,"&lt;="&amp;DATE(2026,7,31))</f>
        <v>228.88</v>
      </c>
      <c r="J29" s="17" t="n">
        <f aca="false">SUMIFS(Report!$U:$U,Report!$T:$T,$A29,Report!$C:$C,"&gt;="&amp;DATE(2026,8,1),Report!$C:$C,"&lt;="&amp;DATE(2026,8,31))</f>
        <v>228.88</v>
      </c>
      <c r="K29" s="17" t="n">
        <f aca="false">SUMIFS(Report!$U:$U,Report!$T:$T,$A29,Report!$C:$C,"&gt;="&amp;DATE(2026,9,1),Report!$C:$C,"&lt;="&amp;DATE(2026,9,30))</f>
        <v>228.88</v>
      </c>
      <c r="L29" s="17" t="n">
        <f aca="false">SUMIFS(Report!$U:$U,Report!$T:$T,$A29,Report!$C:$C,"&gt;="&amp;DATE(2026,10,1),Report!$C:$C,"&lt;="&amp;DATE(2026,10,31))</f>
        <v>228.88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1144.4</v>
      </c>
    </row>
    <row r="30" customFormat="false" ht="12.75" hidden="false" customHeight="true" outlineLevel="0" collapsed="false">
      <c r="A30" s="1" t="s">
        <v>938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1575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1575</v>
      </c>
    </row>
    <row r="31" customFormat="false" ht="12.75" hidden="false" customHeight="true" outlineLevel="0" collapsed="false">
      <c r="A31" s="1" t="s">
        <v>243</v>
      </c>
      <c r="B31" s="1" t="str">
        <f aca="false">IFERROR(INDEX('Resumo Grupos'!$AC$3:$AC$200,MATCH($A31,'Resumo Grupos'!$AB$3:$AB$200,0)),"n/d")</f>
        <v>Empréstimo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7716.55</v>
      </c>
      <c r="I31" s="17" t="n">
        <f aca="false">SUMIFS(Report!$U:$U,Report!$T:$T,$A31,Report!$C:$C,"&gt;="&amp;DATE(2026,7,1),Report!$C:$C,"&lt;="&amp;DATE(2026,7,31))</f>
        <v>6946.88</v>
      </c>
      <c r="J31" s="17" t="n">
        <f aca="false">SUMIFS(Report!$U:$U,Report!$T:$T,$A31,Report!$C:$C,"&gt;="&amp;DATE(2026,8,1),Report!$C:$C,"&lt;="&amp;DATE(2026,8,31))</f>
        <v>2356.13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17019.56</v>
      </c>
    </row>
    <row r="32" customFormat="false" ht="12.75" hidden="false" customHeight="true" outlineLevel="0" collapsed="false">
      <c r="A32" s="1" t="s">
        <v>651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1217.33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1217.33</v>
      </c>
    </row>
    <row r="33" customFormat="false" ht="12.75" hidden="false" customHeight="true" outlineLevel="0" collapsed="false">
      <c r="A33" s="1" t="s">
        <v>286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2561.26</v>
      </c>
      <c r="I33" s="17" t="n">
        <f aca="false">SUMIFS(Report!$U:$U,Report!$T:$T,$A33,Report!$C:$C,"&gt;="&amp;DATE(2026,7,1),Report!$C:$C,"&lt;="&amp;DATE(2026,7,31))</f>
        <v>835.26</v>
      </c>
      <c r="J33" s="17" t="n">
        <f aca="false">SUMIFS(Report!$U:$U,Report!$T:$T,$A33,Report!$C:$C,"&gt;="&amp;DATE(2026,8,1),Report!$C:$C,"&lt;="&amp;DATE(2026,8,31))</f>
        <v>415.26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3811.78</v>
      </c>
    </row>
    <row r="34" customFormat="false" ht="12.75" hidden="false" customHeight="true" outlineLevel="0" collapsed="false">
      <c r="A34" s="1" t="s">
        <v>38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1898</v>
      </c>
      <c r="I34" s="17" t="n">
        <f aca="false">SUMIFS(Report!$U:$U,Report!$T:$T,$A34,Report!$C:$C,"&gt;="&amp;DATE(2026,7,1),Report!$C:$C,"&lt;="&amp;DATE(2026,7,31))</f>
        <v>1898</v>
      </c>
      <c r="J34" s="17" t="n">
        <f aca="false">SUMIFS(Report!$U:$U,Report!$T:$T,$A34,Report!$C:$C,"&gt;="&amp;DATE(2026,8,1),Report!$C:$C,"&lt;="&amp;DATE(2026,8,31))</f>
        <v>1898</v>
      </c>
      <c r="K34" s="17" t="n">
        <f aca="false">SUMIFS(Report!$U:$U,Report!$T:$T,$A34,Report!$C:$C,"&gt;="&amp;DATE(2026,9,1),Report!$C:$C,"&lt;="&amp;DATE(2026,9,30))</f>
        <v>1898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7592</v>
      </c>
    </row>
    <row r="35" customFormat="false" ht="12.75" hidden="false" customHeight="true" outlineLevel="0" collapsed="false">
      <c r="A35" s="1" t="s">
        <v>57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831.67</v>
      </c>
      <c r="I35" s="17" t="n">
        <f aca="false">SUMIFS(Report!$U:$U,Report!$T:$T,$A35,Report!$C:$C,"&gt;="&amp;DATE(2026,7,1),Report!$C:$C,"&lt;="&amp;DATE(2026,7,31))</f>
        <v>831.65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50.91</v>
      </c>
      <c r="I36" s="17" t="n">
        <f aca="false">SUMIFS(Report!$U:$U,Report!$T:$T,$A36,Report!$C:$C,"&gt;="&amp;DATE(2026,7,1),Report!$C:$C,"&lt;="&amp;DATE(2026,7,31))</f>
        <v>0</v>
      </c>
      <c r="J36" s="17" t="n">
        <f aca="false">SUMIFS(Report!$U:$U,Report!$T:$T,$A36,Report!$C:$C,"&gt;="&amp;DATE(2026,8,1),Report!$C:$C,"&lt;="&amp;DATE(2026,8,31))</f>
        <v>56.51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107.42</v>
      </c>
    </row>
    <row r="37" customFormat="false" ht="12.75" hidden="false" customHeight="true" outlineLevel="0" collapsed="false">
      <c r="A37" s="1" t="s">
        <v>186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258</v>
      </c>
      <c r="I37" s="17" t="n">
        <f aca="false">SUMIFS(Report!$U:$U,Report!$T:$T,$A37,Report!$C:$C,"&gt;="&amp;DATE(2026,7,1),Report!$C:$C,"&lt;="&amp;DATE(2026,7,31))</f>
        <v>258</v>
      </c>
      <c r="J37" s="17" t="n">
        <f aca="false">SUMIFS(Report!$U:$U,Report!$T:$T,$A37,Report!$C:$C,"&gt;="&amp;DATE(2026,8,1),Report!$C:$C,"&lt;="&amp;DATE(2026,8,31))</f>
        <v>270.9</v>
      </c>
      <c r="K37" s="17" t="n">
        <f aca="false">SUMIFS(Report!$U:$U,Report!$T:$T,$A37,Report!$C:$C,"&gt;="&amp;DATE(2026,9,1),Report!$C:$C,"&lt;="&amp;DATE(2026,9,30))</f>
        <v>270.9</v>
      </c>
      <c r="L37" s="17" t="n">
        <f aca="false">SUMIFS(Report!$U:$U,Report!$T:$T,$A37,Report!$C:$C,"&gt;="&amp;DATE(2026,10,1),Report!$C:$C,"&lt;="&amp;DATE(2026,10,31))</f>
        <v>270.9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1328.7</v>
      </c>
    </row>
    <row r="38" customFormat="false" ht="12.75" hidden="false" customHeight="true" outlineLevel="0" collapsed="false">
      <c r="A38" s="1" t="s">
        <v>49</v>
      </c>
      <c r="B38" s="1" t="str">
        <f aca="false">IFERROR(INDEX('Resumo Grupos'!$AC$3:$AC$200,MATCH($A38,'Resumo Grupos'!$AB$3:$AB$200,0)),"n/d")</f>
        <v>Mercadoria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277892.68</v>
      </c>
      <c r="I38" s="17" t="n">
        <f aca="false">SUMIFS(Report!$U:$U,Report!$T:$T,$A38,Report!$C:$C,"&gt;="&amp;DATE(2026,7,1),Report!$C:$C,"&lt;="&amp;DATE(2026,7,31))</f>
        <v>300056.13</v>
      </c>
      <c r="J38" s="17" t="n">
        <f aca="false">SUMIFS(Report!$U:$U,Report!$T:$T,$A38,Report!$C:$C,"&gt;="&amp;DATE(2026,8,1),Report!$C:$C,"&lt;="&amp;DATE(2026,8,31))</f>
        <v>268531.41</v>
      </c>
      <c r="K38" s="17" t="n">
        <f aca="false">SUMIFS(Report!$U:$U,Report!$T:$T,$A38,Report!$C:$C,"&gt;="&amp;DATE(2026,9,1),Report!$C:$C,"&lt;="&amp;DATE(2026,9,30))</f>
        <v>67631.47</v>
      </c>
      <c r="L38" s="17" t="n">
        <f aca="false">SUMIFS(Report!$U:$U,Report!$T:$T,$A38,Report!$C:$C,"&gt;="&amp;DATE(2026,10,1),Report!$C:$C,"&lt;="&amp;DATE(2026,10,31))</f>
        <v>638.75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914750.44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2600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2600</v>
      </c>
    </row>
    <row r="40" customFormat="false" ht="12.75" hidden="false" customHeight="true" outlineLevel="0" collapsed="false">
      <c r="A40" s="1" t="s">
        <v>44</v>
      </c>
      <c r="B40" s="1" t="str">
        <f aca="false">IFERROR(INDEX('Resumo Grupos'!$AC$3:$AC$200,MATCH($A40,'Resumo Grupos'!$AB$3:$AB$200,0)),"n/d")</f>
        <v>Pagamentos outros não operacionais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13993.94</v>
      </c>
      <c r="I40" s="17" t="n">
        <f aca="false">SUMIFS(Report!$U:$U,Report!$T:$T,$A40,Report!$C:$C,"&gt;="&amp;DATE(2026,7,1),Report!$C:$C,"&lt;="&amp;DATE(2026,7,31))</f>
        <v>9541.27</v>
      </c>
      <c r="J40" s="17" t="n">
        <f aca="false">SUMIFS(Report!$U:$U,Report!$T:$T,$A40,Report!$C:$C,"&gt;="&amp;DATE(2026,8,1),Report!$C:$C,"&lt;="&amp;DATE(2026,8,31))</f>
        <v>3380.74</v>
      </c>
      <c r="K40" s="17" t="n">
        <f aca="false">SUMIFS(Report!$U:$U,Report!$T:$T,$A40,Report!$C:$C,"&gt;="&amp;DATE(2026,9,1),Report!$C:$C,"&lt;="&amp;DATE(2026,9,30))</f>
        <v>498.69</v>
      </c>
      <c r="L40" s="17" t="n">
        <f aca="false">SUMIFS(Report!$U:$U,Report!$T:$T,$A40,Report!$C:$C,"&gt;="&amp;DATE(2026,10,1),Report!$C:$C,"&lt;="&amp;DATE(2026,10,31))</f>
        <v>446.17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27860.81</v>
      </c>
    </row>
    <row r="41" customFormat="false" ht="12.75" hidden="false" customHeight="true" outlineLevel="0" collapsed="false">
      <c r="A41" s="1" t="s">
        <v>940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945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945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1396.73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280.48</v>
      </c>
      <c r="I43" s="17" t="n">
        <f aca="false">SUMIFS(Report!$U:$U,Report!$T:$T,$A43,Report!$C:$C,"&gt;="&amp;DATE(2026,7,1),Report!$C:$C,"&lt;="&amp;DATE(2026,7,31))</f>
        <v>138.43</v>
      </c>
      <c r="J43" s="17" t="n">
        <f aca="false">SUMIFS(Report!$U:$U,Report!$T:$T,$A43,Report!$C:$C,"&gt;="&amp;DATE(2026,8,1),Report!$C:$C,"&lt;="&amp;DATE(2026,8,31))</f>
        <v>154.85</v>
      </c>
      <c r="K43" s="17" t="n">
        <f aca="false">SUMIFS(Report!$U:$U,Report!$T:$T,$A43,Report!$C:$C,"&gt;="&amp;DATE(2026,9,1),Report!$C:$C,"&lt;="&amp;DATE(2026,9,30))</f>
        <v>138.3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712.06</v>
      </c>
    </row>
    <row r="44" customFormat="false" ht="12.75" hidden="false" customHeight="true" outlineLevel="0" collapsed="false">
      <c r="A44" s="32" t="s">
        <v>225</v>
      </c>
      <c r="B44" s="32" t="str">
        <f aca="false">IFERROR(INDEX('Resumo Grupos'!$AC$3:$AC$200,MATCH($A44,'Resumo Grupos'!$AB$3:$AB$200,0)),"n/d")</f>
        <v>Salários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2147.05</v>
      </c>
      <c r="I44" s="35" t="n">
        <f aca="false">SUMIFS(Report!$U:$U,Report!$T:$T,$A44,Report!$C:$C,"&gt;="&amp;DATE(2026,7,1),Report!$C:$C,"&lt;="&amp;DATE(2026,7,31))</f>
        <v>0</v>
      </c>
      <c r="J44" s="35" t="n">
        <f aca="false">SUMIFS(Report!$U:$U,Report!$T:$T,$A44,Report!$C:$C,"&gt;="&amp;DATE(2026,8,1),Report!$C:$C,"&lt;="&amp;DATE(2026,8,31))</f>
        <v>0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2147.05</v>
      </c>
    </row>
    <row r="45" customFormat="false" ht="12.75" hidden="false" customHeight="true" outlineLevel="0" collapsed="false">
      <c r="A45" s="1" t="s">
        <v>230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16841.34</v>
      </c>
      <c r="I45" s="17" t="n">
        <f aca="false">SUMIFS(Report!$U:$U,Report!$T:$T,$A45,Report!$C:$C,"&gt;="&amp;DATE(2026,7,1),Report!$C:$C,"&lt;="&amp;DATE(2026,7,31))</f>
        <v>18220.08</v>
      </c>
      <c r="J45" s="17" t="n">
        <f aca="false">SUMIFS(Report!$U:$U,Report!$T:$T,$A45,Report!$C:$C,"&gt;="&amp;DATE(2026,8,1),Report!$C:$C,"&lt;="&amp;DATE(2026,8,31))</f>
        <v>13633.41</v>
      </c>
      <c r="K45" s="17" t="n">
        <f aca="false">SUMIFS(Report!$U:$U,Report!$T:$T,$A45,Report!$C:$C,"&gt;="&amp;DATE(2026,9,1),Report!$C:$C,"&lt;="&amp;DATE(2026,9,30))</f>
        <v>250.1</v>
      </c>
      <c r="L45" s="17" t="n">
        <f aca="false">SUMIFS(Report!$U:$U,Report!$T:$T,$A45,Report!$C:$C,"&gt;="&amp;DATE(2026,10,1),Report!$C:$C,"&lt;="&amp;DATE(2026,10,31))</f>
        <v>250.1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1546.42</v>
      </c>
      <c r="I46" s="17" t="n">
        <f aca="false">SUMIFS(Report!$U:$U,Report!$T:$T,$A46,Report!$C:$C,"&gt;="&amp;DATE(2026,7,1),Report!$C:$C,"&lt;="&amp;DATE(2026,7,31))</f>
        <v>1596.41</v>
      </c>
      <c r="J46" s="17" t="n">
        <f aca="false">SUMIFS(Report!$U:$U,Report!$T:$T,$A46,Report!$C:$C,"&gt;="&amp;DATE(2026,8,1),Report!$C:$C,"&lt;="&amp;DATE(2026,8,31))</f>
        <v>1877.14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5019.97</v>
      </c>
    </row>
    <row r="47" customFormat="false" ht="12.75" hidden="false" customHeight="true" outlineLevel="0" collapsed="false">
      <c r="A47" s="1" t="s">
        <v>110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1071.45</v>
      </c>
      <c r="I47" s="17" t="n">
        <f aca="false">SUMIFS(Report!$U:$U,Report!$T:$T,$A47,Report!$C:$C,"&gt;="&amp;DATE(2026,7,1),Report!$C:$C,"&lt;="&amp;DATE(2026,7,31))</f>
        <v>1071.45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2142.9</v>
      </c>
    </row>
    <row r="48" customFormat="false" ht="12.75" hidden="false" customHeight="true" outlineLevel="0" collapsed="false">
      <c r="A48" s="1" t="s">
        <v>1059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0</v>
      </c>
      <c r="J48" s="17" t="n">
        <f aca="false">SUMIFS(Report!$U:$U,Report!$T:$T,$A48,Report!$C:$C,"&gt;="&amp;DATE(2026,8,1),Report!$C:$C,"&lt;="&amp;DATE(2026,8,31))</f>
        <v>666.67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1189.17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2522.51</v>
      </c>
    </row>
    <row r="49" customFormat="false" ht="12.75" hidden="false" customHeight="true" outlineLevel="0" collapsed="false">
      <c r="A49" s="1" t="s">
        <v>101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770</v>
      </c>
      <c r="I49" s="17" t="n">
        <f aca="false">SUMIFS(Report!$U:$U,Report!$T:$T,$A49,Report!$C:$C,"&gt;="&amp;DATE(2026,7,1),Report!$C:$C,"&lt;="&amp;DATE(2026,7,31))</f>
        <v>810</v>
      </c>
      <c r="J49" s="17" t="n">
        <f aca="false">SUMIFS(Report!$U:$U,Report!$T:$T,$A49,Report!$C:$C,"&gt;="&amp;DATE(2026,8,1),Report!$C:$C,"&lt;="&amp;DATE(2026,8,31))</f>
        <v>780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2360</v>
      </c>
    </row>
    <row r="50" customFormat="false" ht="13.5" hidden="false" customHeight="true" outlineLevel="0" collapsed="false">
      <c r="A50" s="34" t="s">
        <v>1331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392835.65</v>
      </c>
      <c r="I50" s="30" t="n">
        <f aca="false">SUM(I2:I49)</f>
        <v>390309</v>
      </c>
      <c r="J50" s="30" t="n">
        <f aca="false">SUM(J2:J49)</f>
        <v>334084.2</v>
      </c>
      <c r="K50" s="30" t="n">
        <f aca="false">SUM(K2:K49)</f>
        <v>97848.7</v>
      </c>
      <c r="L50" s="30" t="n">
        <f aca="false">SUM(L2:L49)</f>
        <v>13905.12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1228982.67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6" t="s">
        <v>1349</v>
      </c>
      <c r="B1" s="37" t="n">
        <f aca="false">SUMIFS(Report!$U:$U,Report!$T:$T,"&lt;&gt;"&amp;"MERCADORIAS P/REVENDA",Report!$AA:$AA,"SIM",Report!$C:$C,"&gt;="&amp;DATE(2026,1,1),Report!$C:$C,"&lt;="&amp;DATE(2027,12,31))</f>
        <v>314382.4</v>
      </c>
      <c r="C1" s="37" t="n">
        <f aca="false">SUMIFS(Report!$U:$U,Report!$T:$T,"MERCADORIAS P/REVENDA",Report!$AA:$AA,"SIM",Report!$C:$C,"&gt;="&amp;DATE(2026,1,1),Report!$C:$C,"&lt;="&amp;DATE(2027,12,31))</f>
        <v>914750.44</v>
      </c>
      <c r="D1" s="38" t="s">
        <v>1350</v>
      </c>
      <c r="E1" s="37" t="n">
        <f aca="false">SUMIFS(Report!$U:$U,Report!$AA:$AA,"NAO",Report!$C:$C,"&gt;="&amp;DATE(2026,1,1),Report!$C:$C,"&lt;="&amp;DATE(2027,12,31))</f>
        <v>0</v>
      </c>
      <c r="F1" s="37" t="n">
        <f aca="false">B1+C1</f>
        <v>1229132.84</v>
      </c>
      <c r="H1" s="1"/>
      <c r="I1" s="17"/>
    </row>
    <row r="2" customFormat="false" ht="12.75" hidden="false" customHeight="true" outlineLevel="0" collapsed="false">
      <c r="A2" s="24" t="s">
        <v>1351</v>
      </c>
      <c r="B2" s="26" t="s">
        <v>1304</v>
      </c>
      <c r="C2" s="26" t="s">
        <v>1305</v>
      </c>
      <c r="D2" s="38" t="s">
        <v>1352</v>
      </c>
      <c r="E2" s="37" t="n">
        <f aca="false">F1+E1</f>
        <v>1229132.84</v>
      </c>
      <c r="F2" s="26" t="s">
        <v>1353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6989.25</v>
      </c>
      <c r="C175" s="40" t="n">
        <f aca="false">SUMIFS(Report!$U:$U,Report!$T:$T,"MERCADORIAS P/REVENDA",Report!$AA:$AA,"SIM",Report!$C:$C,A175)</f>
        <v>7658.53</v>
      </c>
      <c r="D175" s="41"/>
      <c r="E175" s="41"/>
      <c r="F175" s="40" t="n">
        <f aca="false">B175+C175</f>
        <v>14647.78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6989.25</v>
      </c>
      <c r="C176" s="30" t="n">
        <f aca="false">SUM(C169:C175)</f>
        <v>7658.53</v>
      </c>
      <c r="D176" s="34"/>
      <c r="E176" s="34"/>
      <c r="F176" s="30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3194.38</v>
      </c>
      <c r="C177" s="17" t="n">
        <f aca="false">SUMIFS(Report!$U:$U,Report!$T:$T,"MERCADORIAS P/REVENDA",Report!$AA:$AA,"SIM",Report!$C:$C,A177)</f>
        <v>11181.32</v>
      </c>
      <c r="F177" s="17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9127.46</v>
      </c>
      <c r="F178" s="17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878.88</v>
      </c>
      <c r="C179" s="17" t="n">
        <f aca="false">SUMIFS(Report!$U:$U,Report!$T:$T,"MERCADORIAS P/REVENDA",Report!$AA:$AA,"SIM",Report!$C:$C,A179)</f>
        <v>7350.14</v>
      </c>
      <c r="F179" s="17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15402.56</v>
      </c>
      <c r="C180" s="17" t="n">
        <f aca="false">SUMIFS(Report!$U:$U,Report!$T:$T,"MERCADORIAS P/REVENDA",Report!$AA:$AA,"SIM",Report!$C:$C,A180)</f>
        <v>16042.39</v>
      </c>
      <c r="F180" s="17" t="n">
        <f aca="false">B180+C180</f>
        <v>31444.95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8636.65</v>
      </c>
      <c r="D181" s="41"/>
      <c r="E181" s="41"/>
      <c r="F181" s="40" t="n">
        <f aca="false">B181+C181</f>
        <v>8636.65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119.97</v>
      </c>
      <c r="C182" s="40" t="n">
        <f aca="false">SUMIFS(Report!$U:$U,Report!$T:$T,"MERCADORIAS P/REVENDA",Report!$AA:$AA,"SIM",Report!$C:$C,A182)</f>
        <v>644.97</v>
      </c>
      <c r="D182" s="41"/>
      <c r="E182" s="41"/>
      <c r="F182" s="40" t="n">
        <f aca="false">B182+C182</f>
        <v>764.94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620.88</v>
      </c>
      <c r="C183" s="40" t="n">
        <f aca="false">SUMIFS(Report!$U:$U,Report!$T:$T,"MERCADORIAS P/REVENDA",Report!$AA:$AA,"SIM",Report!$C:$C,A183)</f>
        <v>8613.99</v>
      </c>
      <c r="D183" s="41"/>
      <c r="E183" s="41"/>
      <c r="F183" s="40" t="n">
        <f aca="false">B183+C183</f>
        <v>9234.87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20216.67</v>
      </c>
      <c r="C184" s="30" t="n">
        <f aca="false">SUM(C177:C183)</f>
        <v>61596.92</v>
      </c>
      <c r="D184" s="34"/>
      <c r="E184" s="34"/>
      <c r="F184" s="30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2104.28</v>
      </c>
      <c r="C185" s="17" t="n">
        <f aca="false">SUMIFS(Report!$U:$U,Report!$T:$T,"MERCADORIAS P/REVENDA",Report!$AA:$AA,"SIM",Report!$C:$C,A185)</f>
        <v>4888.89</v>
      </c>
      <c r="F185" s="17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5449.8</v>
      </c>
      <c r="C186" s="17" t="n">
        <f aca="false">SUMIFS(Report!$U:$U,Report!$T:$T,"MERCADORIAS P/REVENDA",Report!$AA:$AA,"SIM",Report!$C:$C,A186)</f>
        <v>16941.42</v>
      </c>
      <c r="F186" s="17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8812.95</v>
      </c>
      <c r="F187" s="17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6620.5</v>
      </c>
      <c r="C188" s="17" t="n">
        <f aca="false">SUMIFS(Report!$U:$U,Report!$T:$T,"MERCADORIAS P/REVENDA",Report!$AA:$AA,"SIM",Report!$C:$C,A188)</f>
        <v>17431.61</v>
      </c>
      <c r="F188" s="17" t="n">
        <f aca="false">B188+C188</f>
        <v>24052.11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3761.67</v>
      </c>
      <c r="D189" s="41"/>
      <c r="E189" s="41"/>
      <c r="F189" s="40" t="n">
        <f aca="false">B189+C189</f>
        <v>3761.67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2080.52</v>
      </c>
      <c r="D190" s="41"/>
      <c r="E190" s="41"/>
      <c r="F190" s="40" t="n">
        <f aca="false">B190+C190</f>
        <v>2080.52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9488.68</v>
      </c>
      <c r="C191" s="40" t="n">
        <f aca="false">SUMIFS(Report!$U:$U,Report!$T:$T,"MERCADORIAS P/REVENDA",Report!$AA:$AA,"SIM",Report!$C:$C,A191)</f>
        <v>17195.06</v>
      </c>
      <c r="D191" s="41"/>
      <c r="E191" s="41"/>
      <c r="F191" s="40" t="n">
        <f aca="false">B191+C191</f>
        <v>26683.74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23663.26</v>
      </c>
      <c r="C192" s="30" t="n">
        <f aca="false">SUM(C185:C191)</f>
        <v>71112.12</v>
      </c>
      <c r="D192" s="34"/>
      <c r="E192" s="34"/>
      <c r="F192" s="30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8476.32</v>
      </c>
      <c r="F193" s="17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1827.08</v>
      </c>
      <c r="C194" s="17" t="n">
        <f aca="false">SUMIFS(Report!$U:$U,Report!$T:$T,"MERCADORIAS P/REVENDA",Report!$AA:$AA,"SIM",Report!$C:$C,A194)</f>
        <v>10249.35</v>
      </c>
      <c r="F194" s="17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6245.48</v>
      </c>
      <c r="F195" s="17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10038.05</v>
      </c>
      <c r="C196" s="17" t="n">
        <f aca="false">SUMIFS(Report!$U:$U,Report!$T:$T,"MERCADORIAS P/REVENDA",Report!$AA:$AA,"SIM",Report!$C:$C,A196)</f>
        <v>8325.58</v>
      </c>
      <c r="F196" s="17" t="n">
        <f aca="false">B196+C196</f>
        <v>18363.63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1015.07</v>
      </c>
      <c r="C197" s="40" t="n">
        <f aca="false">SUMIFS(Report!$U:$U,Report!$T:$T,"MERCADORIAS P/REVENDA",Report!$AA:$AA,"SIM",Report!$C:$C,A197)</f>
        <v>1362.17</v>
      </c>
      <c r="D197" s="41"/>
      <c r="E197" s="41"/>
      <c r="F197" s="40" t="n">
        <f aca="false">B197+C197</f>
        <v>2377.24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0</v>
      </c>
      <c r="D198" s="41"/>
      <c r="E198" s="41"/>
      <c r="F198" s="40" t="n">
        <f aca="false">B198+C198</f>
        <v>0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13464.33</v>
      </c>
      <c r="C199" s="40" t="n">
        <f aca="false">SUMIFS(Report!$U:$U,Report!$T:$T,"MERCADORIAS P/REVENDA",Report!$AA:$AA,"SIM",Report!$C:$C,A199)</f>
        <v>13427.7</v>
      </c>
      <c r="D199" s="41"/>
      <c r="E199" s="41"/>
      <c r="F199" s="40" t="n">
        <f aca="false">B199+C199</f>
        <v>26892.03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26344.53</v>
      </c>
      <c r="C200" s="30" t="n">
        <f aca="false">SUM(C193:C199)</f>
        <v>48086.6</v>
      </c>
      <c r="D200" s="34"/>
      <c r="E200" s="34"/>
      <c r="F200" s="30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7000</v>
      </c>
      <c r="C201" s="17" t="n">
        <f aca="false">SUMIFS(Report!$U:$U,Report!$T:$T,"MERCADORIAS P/REVENDA",Report!$AA:$AA,"SIM",Report!$C:$C,A201)</f>
        <v>11395.34</v>
      </c>
      <c r="F201" s="17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13562.26</v>
      </c>
      <c r="C202" s="17" t="n">
        <f aca="false">SUMIFS(Report!$U:$U,Report!$T:$T,"MERCADORIAS P/REVENDA",Report!$AA:$AA,"SIM",Report!$C:$C,A202)</f>
        <v>13711.65</v>
      </c>
      <c r="F202" s="17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1285.01</v>
      </c>
      <c r="C203" s="17" t="n">
        <f aca="false">SUMIFS(Report!$U:$U,Report!$T:$T,"MERCADORIAS P/REVENDA",Report!$AA:$AA,"SIM",Report!$C:$C,A203)</f>
        <v>16800.27</v>
      </c>
      <c r="F203" s="17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10106.49</v>
      </c>
      <c r="C204" s="17" t="n">
        <f aca="false">SUMIFS(Report!$U:$U,Report!$T:$T,"MERCADORIAS P/REVENDA",Report!$AA:$AA,"SIM",Report!$C:$C,A204)</f>
        <v>10623.69</v>
      </c>
      <c r="F204" s="17" t="n">
        <f aca="false">B204+C204</f>
        <v>20730.18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7347.72</v>
      </c>
      <c r="D205" s="41"/>
      <c r="E205" s="41"/>
      <c r="F205" s="40" t="n">
        <f aca="false">B205+C205</f>
        <v>7347.72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1589.28</v>
      </c>
      <c r="D206" s="41"/>
      <c r="E206" s="41"/>
      <c r="F206" s="40" t="n">
        <f aca="false">B206+C206</f>
        <v>1589.28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1305</v>
      </c>
      <c r="C207" s="40" t="n">
        <f aca="false">SUMIFS(Report!$U:$U,Report!$T:$T,"MERCADORIAS P/REVENDA",Report!$AA:$AA,"SIM",Report!$C:$C,A207)</f>
        <v>14050.67</v>
      </c>
      <c r="D207" s="41"/>
      <c r="E207" s="41"/>
      <c r="F207" s="40" t="n">
        <f aca="false">B207+C207</f>
        <v>15355.67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33258.76</v>
      </c>
      <c r="C208" s="30" t="n">
        <f aca="false">SUM(C201:C207)</f>
        <v>75518.62</v>
      </c>
      <c r="D208" s="34"/>
      <c r="E208" s="34"/>
      <c r="F208" s="30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258</v>
      </c>
      <c r="C213" s="40" t="n">
        <f aca="false">SUMIFS(Report!$U:$U,Report!$T:$T,"MERCADORIAS P/REVENDA",Report!$AA:$AA,"SIM",Report!$C:$C,A213)</f>
        <v>8204.38</v>
      </c>
      <c r="D213" s="41"/>
      <c r="E213" s="41"/>
      <c r="F213" s="40" t="n">
        <f aca="false">B213+C213</f>
        <v>8462.38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573.02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573.02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5330.98</v>
      </c>
      <c r="C215" s="40" t="n">
        <f aca="false">SUMIFS(Report!$U:$U,Report!$T:$T,"MERCADORIAS P/REVENDA",Report!$AA:$AA,"SIM",Report!$C:$C,A215)</f>
        <v>4940.99</v>
      </c>
      <c r="D215" s="41"/>
      <c r="E215" s="41"/>
      <c r="F215" s="40" t="n">
        <f aca="false">B215+C215</f>
        <v>10271.97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36832.46</v>
      </c>
      <c r="C216" s="30" t="n">
        <f aca="false">SUM(C209:C215)</f>
        <v>75148.66</v>
      </c>
      <c r="D216" s="34"/>
      <c r="E216" s="34"/>
      <c r="F216" s="30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0</v>
      </c>
      <c r="C221" s="40" t="n">
        <f aca="false">SUMIFS(Report!$U:$U,Report!$T:$T,"MERCADORIAS P/REVENDA",Report!$AA:$AA,"SIM",Report!$C:$C,A221)</f>
        <v>2664.11</v>
      </c>
      <c r="D221" s="41"/>
      <c r="E221" s="41"/>
      <c r="F221" s="40" t="n">
        <f aca="false">B221+C221</f>
        <v>2664.11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1361.81</v>
      </c>
      <c r="D222" s="41"/>
      <c r="E222" s="41"/>
      <c r="F222" s="40" t="n">
        <f aca="false">B222+C222</f>
        <v>1361.81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737.43</v>
      </c>
      <c r="C223" s="40" t="n">
        <f aca="false">SUMIFS(Report!$U:$U,Report!$T:$T,"MERCADORIAS P/REVENDA",Report!$AA:$AA,"SIM",Report!$C:$C,A223)</f>
        <v>7819.88</v>
      </c>
      <c r="D223" s="41"/>
      <c r="E223" s="41"/>
      <c r="F223" s="40" t="n">
        <f aca="false">B223+C223</f>
        <v>8557.31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6780.66</v>
      </c>
      <c r="C224" s="30" t="n">
        <f aca="false">SUM(C217:C223)</f>
        <v>73517.39</v>
      </c>
      <c r="D224" s="34"/>
      <c r="E224" s="34"/>
      <c r="F224" s="30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247.27</v>
      </c>
      <c r="C229" s="40" t="n">
        <f aca="false">SUMIFS(Report!$U:$U,Report!$T:$T,"MERCADORIAS P/REVENDA",Report!$AA:$AA,"SIM",Report!$C:$C,A229)</f>
        <v>6413.08</v>
      </c>
      <c r="D229" s="41"/>
      <c r="E229" s="41"/>
      <c r="F229" s="40" t="n">
        <f aca="false">B229+C229</f>
        <v>6660.35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2273.8</v>
      </c>
      <c r="D230" s="41"/>
      <c r="E230" s="41"/>
      <c r="F230" s="40" t="n">
        <f aca="false">B230+C230</f>
        <v>2273.8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8024.28</v>
      </c>
      <c r="C231" s="40" t="n">
        <f aca="false">SUMIFS(Report!$U:$U,Report!$T:$T,"MERCADORIAS P/REVENDA",Report!$AA:$AA,"SIM",Report!$C:$C,A231)</f>
        <v>3792.93</v>
      </c>
      <c r="D231" s="41"/>
      <c r="E231" s="41"/>
      <c r="F231" s="40" t="n">
        <f aca="false">B231+C231</f>
        <v>11817.21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16918.09</v>
      </c>
      <c r="C232" s="30" t="n">
        <f aca="false">SUM(C225:C231)</f>
        <v>60989.77</v>
      </c>
      <c r="D232" s="34"/>
      <c r="E232" s="34"/>
      <c r="F232" s="30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646.17</v>
      </c>
      <c r="C237" s="40" t="n">
        <f aca="false">SUMIFS(Report!$U:$U,Report!$T:$T,"MERCADORIAS P/REVENDA",Report!$AA:$AA,"SIM",Report!$C:$C,A237)</f>
        <v>4144</v>
      </c>
      <c r="D237" s="41"/>
      <c r="E237" s="41"/>
      <c r="F237" s="40" t="n">
        <f aca="false">B237+C237</f>
        <v>4790.17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50</v>
      </c>
      <c r="C238" s="40" t="n">
        <f aca="false">SUMIFS(Report!$U:$U,Report!$T:$T,"MERCADORIAS P/REVENDA",Report!$AA:$AA,"SIM",Report!$C:$C,A238)</f>
        <v>819.53</v>
      </c>
      <c r="D238" s="41"/>
      <c r="E238" s="41"/>
      <c r="F238" s="40" t="n">
        <f aca="false">B238+C238</f>
        <v>869.53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6704.11</v>
      </c>
      <c r="C239" s="40" t="n">
        <f aca="false">SUMIFS(Report!$U:$U,Report!$T:$T,"MERCADORIAS P/REVENDA",Report!$AA:$AA,"SIM",Report!$C:$C,A239)</f>
        <v>6271.3</v>
      </c>
      <c r="D239" s="41"/>
      <c r="E239" s="41"/>
      <c r="F239" s="40" t="n">
        <f aca="false">B239+C239</f>
        <v>12975.41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26951.71</v>
      </c>
      <c r="C240" s="30" t="n">
        <f aca="false">SUM(C233:C239)</f>
        <v>60496.77</v>
      </c>
      <c r="D240" s="34"/>
      <c r="E240" s="34"/>
      <c r="F240" s="30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3056.82</v>
      </c>
      <c r="C245" s="40" t="n">
        <f aca="false">SUMIFS(Report!$U:$U,Report!$T:$T,"MERCADORIAS P/REVENDA",Report!$AA:$AA,"SIM",Report!$C:$C,A245)</f>
        <v>12984.07</v>
      </c>
      <c r="D245" s="41"/>
      <c r="E245" s="41"/>
      <c r="F245" s="40" t="n">
        <f aca="false">B245+C245</f>
        <v>16040.89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0</v>
      </c>
      <c r="C246" s="40" t="n">
        <f aca="false">SUMIFS(Report!$U:$U,Report!$T:$T,"MERCADORIAS P/REVENDA",Report!$AA:$AA,"SIM",Report!$C:$C,A246)</f>
        <v>0</v>
      </c>
      <c r="D246" s="41"/>
      <c r="E246" s="41"/>
      <c r="F246" s="40" t="n">
        <f aca="false">B246+C246</f>
        <v>0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0</v>
      </c>
      <c r="C247" s="40" t="n">
        <f aca="false">SUMIFS(Report!$U:$U,Report!$T:$T,"MERCADORIAS P/REVENDA",Report!$AA:$AA,"SIM",Report!$C:$C,A247)</f>
        <v>8325.77</v>
      </c>
      <c r="D247" s="41"/>
      <c r="E247" s="41"/>
      <c r="F247" s="40" t="n">
        <f aca="false">B247+C247</f>
        <v>8325.77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10297.27</v>
      </c>
      <c r="C248" s="30" t="n">
        <f aca="false">SUM(C241:C247)</f>
        <v>65133.27</v>
      </c>
      <c r="D248" s="34"/>
      <c r="E248" s="34"/>
      <c r="F248" s="30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14131.05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8307.55</v>
      </c>
      <c r="D253" s="41"/>
      <c r="E253" s="41"/>
      <c r="F253" s="40" t="n">
        <f aca="false">B253+C253</f>
        <v>8307.55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707.65</v>
      </c>
      <c r="C254" s="40" t="n">
        <f aca="false">SUMIFS(Report!$U:$U,Report!$T:$T,"MERCADORIAS P/REVENDA",Report!$AA:$AA,"SIM",Report!$C:$C,A254)</f>
        <v>0</v>
      </c>
      <c r="D254" s="41"/>
      <c r="E254" s="41"/>
      <c r="F254" s="40" t="n">
        <f aca="false">B254+C254</f>
        <v>707.65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4717.24</v>
      </c>
      <c r="C255" s="40" t="n">
        <f aca="false">SUMIFS(Report!$U:$U,Report!$T:$T,"MERCADORIAS P/REVENDA",Report!$AA:$AA,"SIM",Report!$C:$C,A255)</f>
        <v>15280.87</v>
      </c>
      <c r="D255" s="41"/>
      <c r="E255" s="41"/>
      <c r="F255" s="40" t="n">
        <f aca="false">B255+C255</f>
        <v>19998.11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26468.97</v>
      </c>
      <c r="C256" s="30" t="n">
        <f aca="false">SUM(C249:C255)</f>
        <v>66739.1</v>
      </c>
      <c r="D256" s="34"/>
      <c r="E256" s="34"/>
      <c r="F256" s="30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641.36</v>
      </c>
      <c r="C257" s="17" t="n">
        <f aca="false">SUMIFS(Report!$U:$U,Report!$T:$T,"MERCADORIAS P/REVENDA",Report!$AA:$AA,"SIM",Report!$C:$C,A257)</f>
        <v>9197.28</v>
      </c>
      <c r="F257" s="17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12379.7</v>
      </c>
      <c r="F258" s="17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3000</v>
      </c>
      <c r="C259" s="17" t="n">
        <f aca="false">SUMIFS(Report!$U:$U,Report!$T:$T,"MERCADORIAS P/REVENDA",Report!$AA:$AA,"SIM",Report!$C:$C,A259)</f>
        <v>11733.16</v>
      </c>
      <c r="F259" s="17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26503.73</v>
      </c>
      <c r="F260" s="17" t="n">
        <f aca="false">B260+C260</f>
        <v>26558.73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5928.88</v>
      </c>
      <c r="C261" s="40" t="n">
        <f aca="false">SUMIFS(Report!$U:$U,Report!$T:$T,"MERCADORIAS P/REVENDA",Report!$AA:$AA,"SIM",Report!$C:$C,A261)</f>
        <v>15834.76</v>
      </c>
      <c r="D261" s="41"/>
      <c r="E261" s="41"/>
      <c r="F261" s="40" t="n">
        <f aca="false">B261+C261</f>
        <v>21763.64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0</v>
      </c>
      <c r="C263" s="40" t="n">
        <f aca="false">SUMIFS(Report!$U:$U,Report!$T:$T,"MERCADORIAS P/REVENDA",Report!$AA:$AA,"SIM",Report!$C:$C,A263)</f>
        <v>9579.11</v>
      </c>
      <c r="D263" s="41"/>
      <c r="E263" s="41"/>
      <c r="F263" s="40" t="n">
        <f aca="false">B263+C263</f>
        <v>9579.11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9950.24</v>
      </c>
      <c r="C264" s="30" t="n">
        <f aca="false">SUM(C257:C263)</f>
        <v>85227.74</v>
      </c>
      <c r="D264" s="34"/>
      <c r="E264" s="34"/>
      <c r="F264" s="30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349.27</v>
      </c>
      <c r="C265" s="17" t="n">
        <f aca="false">SUMIFS(Report!$U:$U,Report!$T:$T,"MERCADORIAS P/REVENDA",Report!$AA:$AA,"SIM",Report!$C:$C,A265)</f>
        <v>2273.64</v>
      </c>
      <c r="F265" s="17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6044.26</v>
      </c>
      <c r="F266" s="17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8768.74</v>
      </c>
      <c r="C267" s="17" t="n">
        <f aca="false">SUMIFS(Report!$U:$U,Report!$T:$T,"MERCADORIAS P/REVENDA",Report!$AA:$AA,"SIM",Report!$C:$C,A267)</f>
        <v>2788.5</v>
      </c>
      <c r="F267" s="17" t="n">
        <f aca="false">B267+C267</f>
        <v>11557.24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150.17</v>
      </c>
      <c r="C268" s="17" t="n">
        <f aca="false">SUMIFS(Report!$U:$U,Report!$T:$T,"MERCADORIAS P/REVENDA",Report!$AA:$AA,"SIM",Report!$C:$C,A268)</f>
        <v>15805.77</v>
      </c>
      <c r="F268" s="17" t="n">
        <f aca="false">B268+C268</f>
        <v>15955.94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11498.76</v>
      </c>
      <c r="D269" s="41"/>
      <c r="E269" s="41"/>
      <c r="F269" s="40" t="n">
        <f aca="false">B269+C269</f>
        <v>11498.76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3814.8</v>
      </c>
      <c r="D270" s="41"/>
      <c r="E270" s="41"/>
      <c r="F270" s="40" t="n">
        <f aca="false">B270+C270</f>
        <v>3814.8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10755.79</v>
      </c>
      <c r="C271" s="40" t="n">
        <f aca="false">SUMIFS(Report!$U:$U,Report!$T:$T,"MERCADORIAS P/REVENDA",Report!$AA:$AA,"SIM",Report!$C:$C,A271)</f>
        <v>8771.62</v>
      </c>
      <c r="D271" s="41"/>
      <c r="E271" s="41"/>
      <c r="F271" s="40" t="n">
        <f aca="false">B271+C271</f>
        <v>19527.41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20023.97</v>
      </c>
      <c r="C272" s="30" t="n">
        <f aca="false">SUM(C265:C271)</f>
        <v>50997.35</v>
      </c>
      <c r="D272" s="34"/>
      <c r="E272" s="34"/>
      <c r="F272" s="30" t="n">
        <f aca="false">B272+C272</f>
        <v>71021.32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1094.08</v>
      </c>
      <c r="C273" s="17" t="n">
        <f aca="false">SUMIFS(Report!$U:$U,Report!$T:$T,"MERCADORIAS P/REVENDA",Report!$AA:$AA,"SIM",Report!$C:$C,A273)</f>
        <v>1753.93</v>
      </c>
      <c r="F273" s="17" t="n">
        <f aca="false">B273+C273</f>
        <v>2848.01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8013.24</v>
      </c>
      <c r="F274" s="17" t="n">
        <f aca="false">B274+C274</f>
        <v>12181.65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6579.21</v>
      </c>
      <c r="F275" s="17" t="n">
        <f aca="false">B275+C275</f>
        <v>7099.68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18292.2</v>
      </c>
      <c r="F276" s="17" t="n">
        <f aca="false">B276+C276</f>
        <v>18292.2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2129.23</v>
      </c>
      <c r="D277" s="41"/>
      <c r="E277" s="41"/>
      <c r="F277" s="40" t="n">
        <f aca="false">B277+C277</f>
        <v>2129.23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420</v>
      </c>
      <c r="C278" s="40" t="n">
        <f aca="false">SUMIFS(Report!$U:$U,Report!$T:$T,"MERCADORIAS P/REVENDA",Report!$AA:$AA,"SIM",Report!$C:$C,A278)</f>
        <v>4255.78</v>
      </c>
      <c r="D278" s="41"/>
      <c r="E278" s="41"/>
      <c r="F278" s="40" t="n">
        <f aca="false">B278+C278</f>
        <v>4675.78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3233.79</v>
      </c>
      <c r="D279" s="41"/>
      <c r="E279" s="41"/>
      <c r="F279" s="40" t="n">
        <f aca="false">B279+C279</f>
        <v>3233.79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6202.96</v>
      </c>
      <c r="C280" s="30" t="n">
        <f aca="false">SUM(C273:C279)</f>
        <v>44257.38</v>
      </c>
      <c r="D280" s="34"/>
      <c r="E280" s="34"/>
      <c r="F280" s="30" t="n">
        <f aca="false">B280+C280</f>
        <v>50460.34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2965.97</v>
      </c>
      <c r="C281" s="17" t="n">
        <f aca="false">SUMIFS(Report!$U:$U,Report!$T:$T,"MERCADORIAS P/REVENDA",Report!$AA:$AA,"SIM",Report!$C:$C,A281)</f>
        <v>10448.6</v>
      </c>
      <c r="F281" s="17" t="n">
        <f aca="false">B281+C281</f>
        <v>13414.57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5335.26</v>
      </c>
      <c r="F282" s="17" t="n">
        <f aca="false">B282+C282</f>
        <v>5335.26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6722.19</v>
      </c>
      <c r="F283" s="17" t="n">
        <f aca="false">B283+C283</f>
        <v>7242.65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8337.3</v>
      </c>
      <c r="F284" s="17" t="n">
        <f aca="false">B284+C284</f>
        <v>11039.7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250.1</v>
      </c>
      <c r="C285" s="40" t="n">
        <f aca="false">SUMIFS(Report!$U:$U,Report!$T:$T,"MERCADORIAS P/REVENDA",Report!$AA:$AA,"SIM",Report!$C:$C,A285)</f>
        <v>2129.23</v>
      </c>
      <c r="D285" s="41"/>
      <c r="E285" s="41"/>
      <c r="F285" s="40" t="n">
        <f aca="false">B285+C285</f>
        <v>2379.33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0</v>
      </c>
      <c r="D286" s="41"/>
      <c r="E286" s="41"/>
      <c r="F286" s="40" t="n">
        <f aca="false">B286+C286</f>
        <v>0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119.97</v>
      </c>
      <c r="C287" s="40" t="n">
        <f aca="false">SUMIFS(Report!$U:$U,Report!$T:$T,"MERCADORIAS P/REVENDA",Report!$AA:$AA,"SIM",Report!$C:$C,A287)</f>
        <v>4936.98</v>
      </c>
      <c r="D287" s="41"/>
      <c r="E287" s="41"/>
      <c r="F287" s="40" t="n">
        <f aca="false">B287+C287</f>
        <v>5056.95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6558.9</v>
      </c>
      <c r="C288" s="30" t="n">
        <f aca="false">SUM(C281:C287)</f>
        <v>37909.56</v>
      </c>
      <c r="D288" s="34"/>
      <c r="E288" s="34"/>
      <c r="F288" s="30" t="n">
        <f aca="false">B288+C288</f>
        <v>44468.46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3984.08</v>
      </c>
      <c r="F289" s="17" t="n">
        <f aca="false">B289+C289</f>
        <v>3984.08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3264.36</v>
      </c>
      <c r="F290" s="17" t="n">
        <f aca="false">B290+C290</f>
        <v>3264.36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1376.95</v>
      </c>
      <c r="C291" s="17" t="n">
        <f aca="false">SUMIFS(Report!$U:$U,Report!$T:$T,"MERCADORIAS P/REVENDA",Report!$AA:$AA,"SIM",Report!$C:$C,A291)</f>
        <v>4512.81</v>
      </c>
      <c r="F291" s="17" t="n">
        <f aca="false">B291+C291</f>
        <v>5889.76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5894.1</v>
      </c>
      <c r="F292" s="17" t="n">
        <f aca="false">B292+C292</f>
        <v>5894.1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0</v>
      </c>
      <c r="C293" s="40" t="n">
        <f aca="false">SUMIFS(Report!$U:$U,Report!$T:$T,"MERCADORIAS P/REVENDA",Report!$AA:$AA,"SIM",Report!$C:$C,A293)</f>
        <v>2129.23</v>
      </c>
      <c r="D293" s="41"/>
      <c r="E293" s="41"/>
      <c r="F293" s="40" t="n">
        <f aca="false">B293+C293</f>
        <v>2129.23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1505.35</v>
      </c>
      <c r="D295" s="41"/>
      <c r="E295" s="41"/>
      <c r="F295" s="40" t="n">
        <f aca="false">B295+C295</f>
        <v>1505.35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1376.95</v>
      </c>
      <c r="C296" s="30" t="n">
        <f aca="false">SUM(C289:C295)</f>
        <v>21289.93</v>
      </c>
      <c r="D296" s="34"/>
      <c r="E296" s="34"/>
      <c r="F296" s="30" t="n">
        <f aca="false">B296+C296</f>
        <v>22666.88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1778.53</v>
      </c>
      <c r="F297" s="17" t="n">
        <f aca="false">B297+C297</f>
        <v>7707.41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58</v>
      </c>
      <c r="C298" s="17" t="n">
        <f aca="false">SUMIFS(Report!$U:$U,Report!$T:$T,"MERCADORIAS P/REVENDA",Report!$AA:$AA,"SIM",Report!$C:$C,A298)</f>
        <v>3486.16</v>
      </c>
      <c r="F298" s="17" t="n">
        <f aca="false">B298+C298</f>
        <v>3544.16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1661.78</v>
      </c>
      <c r="F299" s="17" t="n">
        <f aca="false">B299+C299</f>
        <v>1661.78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734.2</v>
      </c>
      <c r="C302" s="40" t="n">
        <f aca="false">SUMIFS(Report!$U:$U,Report!$T:$T,"MERCADORIAS P/REVENDA",Report!$AA:$AA,"SIM",Report!$C:$C,A302)</f>
        <v>0</v>
      </c>
      <c r="D302" s="41"/>
      <c r="E302" s="41"/>
      <c r="F302" s="40" t="n">
        <f aca="false">B302+C302</f>
        <v>734.2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1505.51</v>
      </c>
      <c r="D303" s="41"/>
      <c r="E303" s="41"/>
      <c r="F303" s="40" t="n">
        <f aca="false">B303+C303</f>
        <v>1505.51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6968.35</v>
      </c>
      <c r="C304" s="30" t="n">
        <f aca="false">SUM(C297:C303)</f>
        <v>8431.98</v>
      </c>
      <c r="D304" s="34"/>
      <c r="E304" s="34"/>
      <c r="F304" s="30" t="n">
        <f aca="false">B304+C304</f>
        <v>15400.33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10645.93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10645.93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498.69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498.69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4168.41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4168.41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15313.03</v>
      </c>
      <c r="C312" s="30" t="n">
        <f aca="false">SUM(C305:C311)</f>
        <v>0</v>
      </c>
      <c r="D312" s="34"/>
      <c r="E312" s="34"/>
      <c r="F312" s="30" t="n">
        <f aca="false">B312+C312</f>
        <v>15313.03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638.75</v>
      </c>
      <c r="F315" s="17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250.1</v>
      </c>
      <c r="C319" s="40" t="n">
        <f aca="false">SUMIFS(Report!$U:$U,Report!$T:$T,"MERCADORIAS P/REVENDA",Report!$AA:$AA,"SIM",Report!$C:$C,A319)</f>
        <v>0</v>
      </c>
      <c r="D319" s="41"/>
      <c r="E319" s="41"/>
      <c r="F319" s="40" t="n">
        <f aca="false">B319+C319</f>
        <v>250.1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899.82</v>
      </c>
      <c r="C320" s="30" t="n">
        <f aca="false">SUM(C313:C319)</f>
        <v>638.75</v>
      </c>
      <c r="D320" s="34"/>
      <c r="E320" s="34"/>
      <c r="F320" s="30" t="n">
        <f aca="false">B320+C320</f>
        <v>1538.57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933.35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933.35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1053.32</v>
      </c>
      <c r="C328" s="30" t="n">
        <f aca="false">SUM(C321:C327)</f>
        <v>0</v>
      </c>
      <c r="D328" s="34"/>
      <c r="E328" s="34"/>
      <c r="F328" s="30" t="n">
        <f aca="false">B328+C328</f>
        <v>1053.32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522.5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247.27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247.27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6698.65</v>
      </c>
      <c r="C336" s="30" t="n">
        <f aca="false">SUM(C329:C335)</f>
        <v>0</v>
      </c>
      <c r="D336" s="34"/>
      <c r="E336" s="34"/>
      <c r="F336" s="30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446.17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446.17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4168.41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4168.41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4614.58</v>
      </c>
      <c r="C344" s="30" t="n">
        <f aca="false">SUM(C337:C343)</f>
        <v>0</v>
      </c>
      <c r="D344" s="34"/>
      <c r="E344" s="34"/>
      <c r="F344" s="30" t="n">
        <f aca="false">B344+C344</f>
        <v>4614.58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1354</v>
      </c>
      <c r="B1" s="43"/>
      <c r="C1" s="43"/>
      <c r="D1" s="43"/>
    </row>
    <row r="2" customFormat="false" ht="12.75" hidden="false" customHeight="true" outlineLevel="0" collapsed="false">
      <c r="A2" s="44" t="s">
        <v>1355</v>
      </c>
      <c r="B2" s="44"/>
      <c r="C2" s="44"/>
      <c r="D2" s="44"/>
    </row>
    <row r="4" customFormat="false" ht="24.75" hidden="false" customHeight="true" outlineLevel="0" collapsed="false">
      <c r="A4" s="45" t="s">
        <v>1303</v>
      </c>
      <c r="B4" s="45" t="s">
        <v>1356</v>
      </c>
      <c r="C4" s="45" t="s">
        <v>1357</v>
      </c>
    </row>
    <row r="5" customFormat="false" ht="12.75" hidden="false" customHeight="true" outlineLevel="0" collapsed="false">
      <c r="A5" s="46" t="s">
        <v>1307</v>
      </c>
      <c r="B5" s="46" t="n">
        <v>2026</v>
      </c>
      <c r="C5" s="47" t="n">
        <v>306569.53</v>
      </c>
    </row>
    <row r="6" customFormat="false" ht="12.75" hidden="false" customHeight="true" outlineLevel="0" collapsed="false">
      <c r="A6" s="46" t="s">
        <v>1308</v>
      </c>
      <c r="B6" s="46" t="n">
        <v>2026</v>
      </c>
      <c r="C6" s="47" t="n">
        <v>298653.71</v>
      </c>
    </row>
    <row r="7" customFormat="false" ht="12.75" hidden="false" customHeight="true" outlineLevel="0" collapsed="false">
      <c r="A7" s="46" t="s">
        <v>1309</v>
      </c>
      <c r="B7" s="46" t="n">
        <v>2026</v>
      </c>
      <c r="C7" s="47" t="n">
        <v>344581.2</v>
      </c>
    </row>
    <row r="8" customFormat="false" ht="12.75" hidden="false" customHeight="true" outlineLevel="0" collapsed="false">
      <c r="A8" s="46" t="s">
        <v>1310</v>
      </c>
      <c r="B8" s="46" t="n">
        <v>2026</v>
      </c>
      <c r="C8" s="47" t="n">
        <v>333926.29</v>
      </c>
    </row>
    <row r="9" customFormat="false" ht="12.75" hidden="false" customHeight="true" outlineLevel="0" collapsed="false">
      <c r="A9" s="46" t="s">
        <v>1311</v>
      </c>
      <c r="B9" s="46" t="n">
        <v>2026</v>
      </c>
      <c r="C9" s="47" t="n">
        <v>363676.33</v>
      </c>
    </row>
    <row r="10" customFormat="false" ht="12.75" hidden="false" customHeight="true" outlineLevel="0" collapsed="false">
      <c r="A10" s="46" t="s">
        <v>1312</v>
      </c>
      <c r="B10" s="46" t="n">
        <v>2026</v>
      </c>
      <c r="C10" s="47" t="n">
        <v>352563.43</v>
      </c>
    </row>
    <row r="11" customFormat="false" ht="12.75" hidden="false" customHeight="true" outlineLevel="0" collapsed="false">
      <c r="A11" s="46" t="s">
        <v>1313</v>
      </c>
      <c r="B11" s="46" t="n">
        <v>2026</v>
      </c>
      <c r="C11" s="47" t="n">
        <v>390948.09</v>
      </c>
    </row>
    <row r="12" customFormat="false" ht="13.5" hidden="false" customHeight="true" outlineLevel="0" collapsed="false">
      <c r="A12" s="46" t="s">
        <v>1314</v>
      </c>
      <c r="B12" s="46" t="n">
        <v>2026</v>
      </c>
      <c r="C12" s="48" t="n">
        <v>246624.29</v>
      </c>
    </row>
    <row r="13" customFormat="false" ht="13.5" hidden="false" customHeight="true" outlineLevel="0" collapsed="false">
      <c r="A13" s="46" t="s">
        <v>1315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1316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1317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1318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1358</v>
      </c>
      <c r="B18" s="49"/>
      <c r="C18" s="50" t="n">
        <v>46254</v>
      </c>
    </row>
    <row r="20" customFormat="false" ht="12.75" hidden="false" customHeight="true" outlineLevel="0" collapsed="false">
      <c r="A20" s="44" t="s">
        <v>1359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9" min="8" style="1" width="18"/>
  </cols>
  <sheetData>
    <row r="1" customFormat="false" ht="15" hidden="false" customHeight="true" outlineLevel="0" collapsed="false">
      <c r="A1" s="1" t="s">
        <v>1360</v>
      </c>
      <c r="B1" s="1" t="n">
        <v>0.7</v>
      </c>
    </row>
    <row r="3" customFormat="false" ht="39" hidden="false" customHeight="true" outlineLevel="0" collapsed="false">
      <c r="A3" s="51" t="s">
        <v>1361</v>
      </c>
      <c r="B3" s="51" t="s">
        <v>1362</v>
      </c>
      <c r="C3" s="51" t="s">
        <v>1363</v>
      </c>
      <c r="D3" s="51" t="s">
        <v>1364</v>
      </c>
      <c r="E3" s="51" t="s">
        <v>1365</v>
      </c>
      <c r="F3" s="51" t="s">
        <v>1366</v>
      </c>
      <c r="G3" s="51" t="s">
        <v>1367</v>
      </c>
      <c r="H3" s="51" t="s">
        <v>1368</v>
      </c>
      <c r="I3" s="51" t="s">
        <v>1369</v>
      </c>
    </row>
    <row r="4" customFormat="false" ht="15" hidden="false" customHeight="true" outlineLevel="0" collapsed="false">
      <c r="A4" s="52" t="s">
        <v>1307</v>
      </c>
      <c r="B4" s="53" t="str">
        <f aca="false">IFERROR(INDEX('[1]venda anual (base)'!$c:$c,MATCH(A4,'[1]venda anual (base)'!$a:$a,0)),"")</f>
        <v/>
      </c>
      <c r="C4" s="53"/>
      <c r="D4" s="53" t="n">
        <f aca="false">IFERROR(INDEX('[1]resumo mensal'!$b:$b,MATCH(A4,'[1]resumo mensal'!$a:$a,0)),0)</f>
        <v>0</v>
      </c>
      <c r="E4" s="53" t="str">
        <f aca="false">IF(AND(ISNUMBER(C4),D4&gt;0),D4-C4,"")</f>
        <v/>
      </c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3" t="str">
        <f aca="false">IF(C4="","",IF(AND(F4&lt;&gt;"",F4&lt;1),C4*F4,C4))</f>
        <v/>
      </c>
    </row>
    <row r="5" customFormat="false" ht="15" hidden="false" customHeight="true" outlineLevel="0" collapsed="false">
      <c r="A5" s="56" t="s">
        <v>1308</v>
      </c>
      <c r="B5" s="57" t="str">
        <f aca="false">IFERROR(INDEX('[1]venda anual (base)'!$c:$c,MATCH(A5,'[1]venda anual (base)'!$a:$a,0)),"")</f>
        <v/>
      </c>
      <c r="C5" s="57" t="str">
        <f aca="false">IF(ISNUMBER(B4),B4*$B$1,"")</f>
        <v/>
      </c>
      <c r="D5" s="57" t="n">
        <f aca="false">IFERROR(INDEX('[1]resumo mensal'!$b:$b,MATCH(A5,'[1]resumo mensal'!$a:$a,0)),0)</f>
        <v>0</v>
      </c>
      <c r="E5" s="57" t="str">
        <f aca="false">IF(AND(ISNUMBER(C5),D5&gt;0),D5-C5,"")</f>
        <v/>
      </c>
      <c r="F5" s="58"/>
      <c r="G5" s="58" t="str">
        <f aca="false">IF(AND(ISNUMBER(D5),ISNUMBER(B5),B5&lt;&gt;0),(D5/B5)*30,"")</f>
        <v/>
      </c>
      <c r="H5" s="59" t="str">
        <f aca="false">IF(F5="","",IF(OR(F5&lt;0.9,F5&gt;1.1),"ALERTA","OK"))</f>
        <v/>
      </c>
      <c r="I5" s="57" t="str">
        <f aca="false">IF(C5="","",IF(AND(F5&lt;&gt;"",F5&lt;1),C5*F5,C5))</f>
        <v/>
      </c>
    </row>
    <row r="6" customFormat="false" ht="15" hidden="false" customHeight="true" outlineLevel="0" collapsed="false">
      <c r="A6" s="52" t="s">
        <v>1309</v>
      </c>
      <c r="B6" s="53" t="str">
        <f aca="false">IFERROR(INDEX('[1]venda anual (base)'!$c:$c,MATCH(A6,'[1]venda anual (base)'!$a:$a,0)),"")</f>
        <v/>
      </c>
      <c r="C6" s="53" t="str">
        <f aca="false">IF(ISNUMBER(B5),B5*$B$1,"")</f>
        <v/>
      </c>
      <c r="D6" s="53" t="n">
        <f aca="false">IFERROR(INDEX('[1]resumo mensal'!$b:$b,MATCH(A6,'[1]resumo mensal'!$a:$a,0)),0)</f>
        <v>0</v>
      </c>
      <c r="E6" s="53" t="str">
        <f aca="false">IF(AND(ISNUMBER(C6),D6&gt;0),D6-C6,"")</f>
        <v/>
      </c>
      <c r="F6" s="54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3" t="str">
        <f aca="false">IF(C6="","",IF(AND(F6&lt;&gt;"",F6&lt;1),C6*F6,C6))</f>
        <v/>
      </c>
    </row>
    <row r="7" customFormat="false" ht="15" hidden="false" customHeight="true" outlineLevel="0" collapsed="false">
      <c r="A7" s="56" t="s">
        <v>1310</v>
      </c>
      <c r="B7" s="57" t="str">
        <f aca="false">IFERROR(INDEX('[1]venda anual (base)'!$c:$c,MATCH(A7,'[1]venda anual (base)'!$a:$a,0)),"")</f>
        <v/>
      </c>
      <c r="C7" s="57" t="str">
        <f aca="false">IF(ISNUMBER(B6),B6*$B$1,"")</f>
        <v/>
      </c>
      <c r="D7" s="57" t="n">
        <f aca="false">IFERROR(INDEX('[1]resumo mensal'!$b:$b,MATCH(A7,'[1]resumo mensal'!$a:$a,0)),0)</f>
        <v>0</v>
      </c>
      <c r="E7" s="57" t="str">
        <f aca="false">IF(AND(ISNUMBER(C7),D7&gt;0),D7-C7,"")</f>
        <v/>
      </c>
      <c r="F7" s="58" t="str">
        <f aca="false">IF(AND(ISNUMBER(B6),ISNUMBER(B5),B5&lt;&gt;0),B6/B5,"")</f>
        <v/>
      </c>
      <c r="G7" s="58" t="str">
        <f aca="false">IF(AND(ISNUMBER(D7),ISNUMBER(B7),B7&lt;&gt;0),(D7/B7)*30,"")</f>
        <v/>
      </c>
      <c r="H7" s="59" t="str">
        <f aca="false">IF(F7="","",IF(OR(F7&lt;0.9,F7&gt;1.1),"ALERTA","OK"))</f>
        <v/>
      </c>
      <c r="I7" s="57" t="str">
        <f aca="false">IF(C7="","",IF(AND(F7&lt;&gt;"",F7&lt;1),C7*F7,C7))</f>
        <v/>
      </c>
    </row>
    <row r="8" customFormat="false" ht="15" hidden="false" customHeight="true" outlineLevel="0" collapsed="false">
      <c r="A8" s="52" t="s">
        <v>1311</v>
      </c>
      <c r="B8" s="53" t="str">
        <f aca="false">IFERROR(INDEX('[1]venda anual (base)'!$c:$c,MATCH(A8,'[1]venda anual (base)'!$a:$a,0)),"")</f>
        <v/>
      </c>
      <c r="C8" s="53" t="str">
        <f aca="false">IF(ISNUMBER(B7),B7*$B$1,"")</f>
        <v/>
      </c>
      <c r="D8" s="53" t="n">
        <f aca="false">IFERROR(INDEX('[1]resumo mensal'!$b:$b,MATCH(A8,'[1]resumo mensal'!$a:$a,0)),0)</f>
        <v>0</v>
      </c>
      <c r="E8" s="53" t="str">
        <f aca="false">IF(AND(ISNUMBER(C8),D8&gt;0),D8-C8,"")</f>
        <v/>
      </c>
      <c r="F8" s="54" t="str">
        <f aca="false">IF(AND(ISNUMBER(B7),ISNUMBER(B6),B6&lt;&gt;0),B7/B6,"")</f>
        <v/>
      </c>
      <c r="G8" s="54" t="str">
        <f aca="false">IF(AND(ISNUMBER(D8),ISNUMBER(B8),B8&lt;&gt;0),(D8/B8)*30,"")</f>
        <v/>
      </c>
      <c r="H8" s="55" t="str">
        <f aca="false">IF(F8="","",IF(OR(F8&lt;0.9,F8&gt;1.1),"ALERTA","OK"))</f>
        <v/>
      </c>
      <c r="I8" s="53" t="str">
        <f aca="false">IF(C8="","",IF(AND(F8&lt;&gt;"",F8&lt;1),C8*F8,C8))</f>
        <v/>
      </c>
    </row>
    <row r="9" customFormat="false" ht="15" hidden="false" customHeight="true" outlineLevel="0" collapsed="false">
      <c r="A9" s="56" t="s">
        <v>1312</v>
      </c>
      <c r="B9" s="57" t="str">
        <f aca="false">IFERROR(INDEX('[1]venda anual (base)'!$c:$c,MATCH(A9,'[1]venda anual (base)'!$a:$a,0)),"")</f>
        <v/>
      </c>
      <c r="C9" s="57" t="str">
        <f aca="false">IF(ISNUMBER(B8),B8*$B$1,"")</f>
        <v/>
      </c>
      <c r="D9" s="57" t="n">
        <f aca="false">IFERROR(INDEX('[1]resumo mensal'!$b:$b,MATCH(A9,'[1]resumo mensal'!$a:$a,0)),0)</f>
        <v>0</v>
      </c>
      <c r="E9" s="57" t="str">
        <f aca="false">IF(AND(ISNUMBER(C9),D9&gt;0),D9-C9,"")</f>
        <v/>
      </c>
      <c r="F9" s="58" t="str">
        <f aca="false">IF(AND(ISNUMBER(B8),ISNUMBER(B7),B7&lt;&gt;0),B8/B7,"")</f>
        <v/>
      </c>
      <c r="G9" s="58" t="str">
        <f aca="false">IF(AND(ISNUMBER(D9),ISNUMBER(B9),B9&lt;&gt;0),(D9/B9)*30,"")</f>
        <v/>
      </c>
      <c r="H9" s="59" t="str">
        <f aca="false">IF(F9="","",IF(OR(F9&lt;0.9,F9&gt;1.1),"ALERTA","OK"))</f>
        <v/>
      </c>
      <c r="I9" s="57" t="str">
        <f aca="false">IF(C9="","",IF(AND(F9&lt;&gt;"",F9&lt;1),C9*F9,C9))</f>
        <v/>
      </c>
    </row>
    <row r="10" customFormat="false" ht="15" hidden="false" customHeight="true" outlineLevel="0" collapsed="false">
      <c r="A10" s="52" t="s">
        <v>1313</v>
      </c>
      <c r="B10" s="53" t="str">
        <f aca="false">IFERROR(INDEX('[1]venda anual (base)'!$c:$c,MATCH(A10,'[1]venda anual (base)'!$a:$a,0)),"")</f>
        <v/>
      </c>
      <c r="C10" s="53" t="str">
        <f aca="false">IF(ISNUMBER(B9),B9*$B$1,"")</f>
        <v/>
      </c>
      <c r="D10" s="53" t="n">
        <f aca="false">IFERROR(INDEX('[1]resumo mensal'!$b:$b,MATCH(A10,'[1]resumo mensal'!$a:$a,0)),0)</f>
        <v>0</v>
      </c>
      <c r="E10" s="53" t="str">
        <f aca="false">IF(AND(ISNUMBER(C10),D10&gt;0),D10-C10,"")</f>
        <v/>
      </c>
      <c r="F10" s="54" t="str">
        <f aca="false">IF(AND(ISNUMBER(B9),ISNUMBER(B8),B8&lt;&gt;0),B9/B8,"")</f>
        <v/>
      </c>
      <c r="G10" s="54" t="str">
        <f aca="false">IF(AND(ISNUMBER(D10),ISNUMBER(B10),B10&lt;&gt;0),(D10/B10)*30,"")</f>
        <v/>
      </c>
      <c r="H10" s="55" t="str">
        <f aca="false">IF(F10="","",IF(OR(F10&lt;0.9,F10&gt;1.1),"ALERTA","OK"))</f>
        <v/>
      </c>
      <c r="I10" s="53" t="str">
        <f aca="false">IF(C10="","",IF(AND(F10&lt;&gt;"",F10&lt;1),C10*F10,C10))</f>
        <v/>
      </c>
    </row>
    <row r="11" customFormat="false" ht="15" hidden="false" customHeight="true" outlineLevel="0" collapsed="false">
      <c r="A11" s="56" t="s">
        <v>1314</v>
      </c>
      <c r="B11" s="57" t="str">
        <f aca="false">IFERROR(INDEX('[1]venda anual (base)'!$c:$c,MATCH(A11,'[1]venda anual (base)'!$a:$a,0)),"")</f>
        <v/>
      </c>
      <c r="C11" s="57" t="str">
        <f aca="false">IF(ISNUMBER(B10),B10*$B$1,"")</f>
        <v/>
      </c>
      <c r="D11" s="57" t="n">
        <f aca="false">IFERROR(INDEX('[1]resumo mensal'!$b:$b,MATCH(A11,'[1]resumo mensal'!$a:$a,0)),0)</f>
        <v>0</v>
      </c>
      <c r="E11" s="57" t="str">
        <f aca="false">IF(AND(ISNUMBER(C11),D11&gt;0),D11-C11,"")</f>
        <v/>
      </c>
      <c r="F11" s="58" t="str">
        <f aca="false">IF(AND(ISNUMBER(B10),ISNUMBER(B9),B9&lt;&gt;0),B10/B9,"")</f>
        <v/>
      </c>
      <c r="G11" s="58" t="str">
        <f aca="false">IF(AND(ISNUMBER(D11),ISNUMBER(B11),B11&lt;&gt;0),(D11/B11)*30,"")</f>
        <v/>
      </c>
      <c r="H11" s="59" t="str">
        <f aca="false">IF(F11="","",IF(OR(F11&lt;0.9,F11&gt;1.1),"ALERTA","OK"))</f>
        <v/>
      </c>
      <c r="I11" s="57" t="str">
        <f aca="false">IF(C11="","",IF(AND(F11&lt;&gt;"",F11&lt;1),C11*F11,C11))</f>
        <v/>
      </c>
    </row>
    <row r="12" customFormat="false" ht="15" hidden="false" customHeight="true" outlineLevel="0" collapsed="false">
      <c r="A12" s="52" t="s">
        <v>1315</v>
      </c>
      <c r="B12" s="53" t="str">
        <f aca="false">IFERROR(INDEX('[1]venda anual (base)'!$c:$c,MATCH(A12,'[1]venda anual (base)'!$a:$a,0)),"")</f>
        <v/>
      </c>
      <c r="C12" s="53" t="str">
        <f aca="false">IF(ISNUMBER(B11),B11*$B$1,"")</f>
        <v/>
      </c>
      <c r="D12" s="53" t="n">
        <f aca="false">IFERROR(INDEX('[1]resumo mensal'!$b:$b,MATCH(A12,'[1]resumo mensal'!$a:$a,0)),0)</f>
        <v>0</v>
      </c>
      <c r="E12" s="53" t="str">
        <f aca="false">IF(AND(ISNUMBER(C12),D12&gt;0),D12-C12,"")</f>
        <v/>
      </c>
      <c r="F12" s="54" t="str">
        <f aca="false">IF(AND(ISNUMBER(B11),ISNUMBER(B10),B10&lt;&gt;0),B11/B10,"")</f>
        <v/>
      </c>
      <c r="G12" s="54" t="str">
        <f aca="false">IF(AND(ISNUMBER(D12),ISNUMBER(B12),B12&lt;&gt;0),(D12/B12)*30,"")</f>
        <v/>
      </c>
      <c r="H12" s="55" t="str">
        <f aca="false">IF(F12="","",IF(OR(F12&lt;0.9,F12&gt;1.1),"ALERTA","OK"))</f>
        <v/>
      </c>
      <c r="I12" s="53" t="str">
        <f aca="false">IF(C12="","",IF(AND(F12&lt;&gt;"",F12&lt;1),C12*F12,C12))</f>
        <v/>
      </c>
    </row>
    <row r="13" customFormat="false" ht="15" hidden="false" customHeight="true" outlineLevel="0" collapsed="false">
      <c r="A13" s="56" t="s">
        <v>1316</v>
      </c>
      <c r="B13" s="57" t="str">
        <f aca="false">IFERROR(INDEX('[1]venda anual (base)'!$c:$c,MATCH(A13,'[1]venda anual (base)'!$a:$a,0)),"")</f>
        <v/>
      </c>
      <c r="C13" s="57" t="str">
        <f aca="false">IF(ISNUMBER(B12),B12*$B$1,"")</f>
        <v/>
      </c>
      <c r="D13" s="57" t="n">
        <f aca="false">IFERROR(INDEX('[1]resumo mensal'!$b:$b,MATCH(A13,'[1]resumo mensal'!$a:$a,0)),0)</f>
        <v>0</v>
      </c>
      <c r="E13" s="57" t="str">
        <f aca="false">IF(AND(ISNUMBER(C13),D13&gt;0),D13-C13,"")</f>
        <v/>
      </c>
      <c r="F13" s="58" t="str">
        <f aca="false">IF(AND(ISNUMBER(B12),ISNUMBER(B11),B11&lt;&gt;0),B12/B11,"")</f>
        <v/>
      </c>
      <c r="G13" s="58" t="str">
        <f aca="false">IF(AND(ISNUMBER(D13),ISNUMBER(B13),B13&lt;&gt;0),(D13/B13)*30,"")</f>
        <v/>
      </c>
      <c r="H13" s="59" t="str">
        <f aca="false">IF(F13="","",IF(OR(F13&lt;0.9,F13&gt;1.1),"ALERTA","OK"))</f>
        <v/>
      </c>
      <c r="I13" s="57" t="str">
        <f aca="false">IF(C13="","",IF(AND(F13&lt;&gt;"",F13&lt;1),C13*F13,C13))</f>
        <v/>
      </c>
    </row>
    <row r="14" customFormat="false" ht="15" hidden="false" customHeight="true" outlineLevel="0" collapsed="false">
      <c r="A14" s="52" t="s">
        <v>1317</v>
      </c>
      <c r="B14" s="53" t="str">
        <f aca="false">IFERROR(INDEX('[1]venda anual (base)'!$c:$c,MATCH(A14,'[1]venda anual (base)'!$a:$a,0)),"")</f>
        <v/>
      </c>
      <c r="C14" s="53" t="str">
        <f aca="false">IF(ISNUMBER(B13),B13*$B$1,"")</f>
        <v/>
      </c>
      <c r="D14" s="53" t="n">
        <f aca="false">IFERROR(INDEX('[1]resumo mensal'!$b:$b,MATCH(A14,'[1]resumo mensal'!$a:$a,0)),0)</f>
        <v>0</v>
      </c>
      <c r="E14" s="53" t="str">
        <f aca="false">IF(AND(ISNUMBER(C14),D14&gt;0),D14-C14,"")</f>
        <v/>
      </c>
      <c r="F14" s="54" t="str">
        <f aca="false">IF(AND(ISNUMBER(B13),ISNUMBER(B12),B12&lt;&gt;0),B13/B12,"")</f>
        <v/>
      </c>
      <c r="G14" s="54" t="str">
        <f aca="false">IF(AND(ISNUMBER(D14),ISNUMBER(B14),B14&lt;&gt;0),(D14/B14)*30,"")</f>
        <v/>
      </c>
      <c r="H14" s="55" t="str">
        <f aca="false">IF(F14="","",IF(OR(F14&lt;0.9,F14&gt;1.1),"ALERTA","OK"))</f>
        <v/>
      </c>
      <c r="I14" s="53" t="str">
        <f aca="false">IF(C14="","",IF(AND(F14&lt;&gt;"",F14&lt;1),C14*F14,C14))</f>
        <v/>
      </c>
    </row>
    <row r="15" customFormat="false" ht="15" hidden="false" customHeight="true" outlineLevel="0" collapsed="false">
      <c r="A15" s="56" t="s">
        <v>1318</v>
      </c>
      <c r="B15" s="57" t="str">
        <f aca="false">IFERROR(INDEX('[1]venda anual (base)'!$c:$c,MATCH(A15,'[1]venda anual (base)'!$a:$a,0)),"")</f>
        <v/>
      </c>
      <c r="C15" s="57" t="str">
        <f aca="false">IF(ISNUMBER(B14),B14*$B$1,"")</f>
        <v/>
      </c>
      <c r="D15" s="57" t="n">
        <f aca="false">IFERROR(INDEX('[1]resumo mensal'!$b:$b,MATCH(A15,'[1]resumo mensal'!$a:$a,0)),0)</f>
        <v>0</v>
      </c>
      <c r="E15" s="57" t="str">
        <f aca="false">IF(AND(ISNUMBER(C15),D15&gt;0),D15-C15,"")</f>
        <v/>
      </c>
      <c r="F15" s="58" t="str">
        <f aca="false">IF(AND(ISNUMBER(B14),ISNUMBER(B13),B13&lt;&gt;0),B14/B13,"")</f>
        <v/>
      </c>
      <c r="G15" s="58" t="str">
        <f aca="false">IF(AND(ISNUMBER(D15),ISNUMBER(B15),B15&lt;&gt;0),(D15/B15)*30,"")</f>
        <v/>
      </c>
      <c r="H15" s="59" t="str">
        <f aca="false">IF(F15="","",IF(OR(F15&lt;0.9,F15&gt;1.1),"ALERTA","OK"))</f>
        <v/>
      </c>
      <c r="I15" s="57" t="str">
        <f aca="false">IF(C15="","",IF(AND(F15&lt;&gt;"",F15&lt;1),C15*F15,C15))</f>
        <v/>
      </c>
    </row>
    <row r="16" customFormat="false" ht="15" hidden="false" customHeight="true" outlineLevel="0" collapsed="false">
      <c r="A16" s="60" t="s">
        <v>1331</v>
      </c>
      <c r="B16" s="61" t="n">
        <f aca="false">SUM(B4:B15)</f>
        <v>0</v>
      </c>
      <c r="C16" s="61" t="n">
        <f aca="false">SUM(C5:C15)</f>
        <v>0</v>
      </c>
      <c r="D16" s="61" t="n">
        <f aca="false">SUM(D4:D15)</f>
        <v>0</v>
      </c>
      <c r="E16" s="61" t="str">
        <f aca="false">IF(COUNT(E4:E15)=0,"sem dados",SUM(E4:E15))</f>
        <v>sem dados</v>
      </c>
      <c r="F16" s="62"/>
      <c r="G16" s="62"/>
      <c r="H16" s="63"/>
      <c r="I16" s="61" t="n">
        <f aca="false">SUM(I5:I15)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1370</v>
      </c>
      <c r="B1" s="1" t="s">
        <v>1371</v>
      </c>
      <c r="C1" s="1" t="s">
        <v>1372</v>
      </c>
      <c r="D1" s="1" t="s">
        <v>1373</v>
      </c>
      <c r="E1" s="1" t="s">
        <v>1374</v>
      </c>
      <c r="F1" s="1" t="s">
        <v>1375</v>
      </c>
      <c r="G1" s="1" t="s">
        <v>1376</v>
      </c>
      <c r="H1" s="1" t="s">
        <v>1377</v>
      </c>
      <c r="I1" s="1" t="s">
        <v>1378</v>
      </c>
      <c r="J1" s="1" t="s">
        <v>1379</v>
      </c>
      <c r="K1" s="1" t="s">
        <v>1380</v>
      </c>
      <c r="N1" s="64" t="s">
        <v>1351</v>
      </c>
      <c r="O1" s="64" t="s">
        <v>1381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1382</v>
      </c>
      <c r="D2" s="1" t="s">
        <v>1383</v>
      </c>
      <c r="E2" s="15" t="n">
        <v>46174</v>
      </c>
      <c r="F2" s="15" t="n">
        <v>46171</v>
      </c>
      <c r="G2" s="1" t="s">
        <v>216</v>
      </c>
      <c r="H2" s="1" t="n">
        <v>1187025</v>
      </c>
      <c r="I2" s="1" t="n">
        <v>11</v>
      </c>
      <c r="J2" s="1" t="s">
        <v>1384</v>
      </c>
      <c r="K2" s="65" t="n">
        <v>672.85</v>
      </c>
      <c r="N2" s="15" t="n">
        <v>46174</v>
      </c>
      <c r="O2" s="65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1385</v>
      </c>
      <c r="D3" s="1" t="s">
        <v>1386</v>
      </c>
      <c r="E3" s="15" t="n">
        <v>46174</v>
      </c>
      <c r="F3" s="15" t="n">
        <v>46171</v>
      </c>
      <c r="G3" s="1" t="s">
        <v>119</v>
      </c>
      <c r="H3" s="1" t="n">
        <v>1188052</v>
      </c>
      <c r="I3" s="1" t="n">
        <v>1</v>
      </c>
      <c r="J3" s="1" t="s">
        <v>1384</v>
      </c>
      <c r="K3" s="65" t="n">
        <v>305.12</v>
      </c>
      <c r="N3" s="15" t="n">
        <v>46175</v>
      </c>
      <c r="O3" s="65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1387</v>
      </c>
      <c r="D4" s="1" t="s">
        <v>1386</v>
      </c>
      <c r="E4" s="15" t="n">
        <v>46174</v>
      </c>
      <c r="F4" s="15" t="n">
        <v>46171</v>
      </c>
      <c r="G4" s="1" t="s">
        <v>119</v>
      </c>
      <c r="H4" s="1" t="n">
        <v>1188066</v>
      </c>
      <c r="I4" s="1" t="n">
        <v>11</v>
      </c>
      <c r="J4" s="1" t="s">
        <v>1384</v>
      </c>
      <c r="K4" s="65" t="n">
        <v>319.14</v>
      </c>
      <c r="N4" s="15" t="n">
        <v>46176</v>
      </c>
      <c r="O4" s="65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1387</v>
      </c>
      <c r="D5" s="1" t="s">
        <v>1386</v>
      </c>
      <c r="E5" s="15" t="n">
        <v>46174</v>
      </c>
      <c r="F5" s="15" t="n">
        <v>46171</v>
      </c>
      <c r="G5" s="1" t="s">
        <v>119</v>
      </c>
      <c r="H5" s="1" t="n">
        <v>1188049</v>
      </c>
      <c r="I5" s="1" t="n">
        <v>1</v>
      </c>
      <c r="J5" s="1" t="s">
        <v>1384</v>
      </c>
      <c r="K5" s="65" t="n">
        <v>225.8</v>
      </c>
      <c r="N5" s="15" t="n">
        <v>46177</v>
      </c>
      <c r="O5" s="65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1388</v>
      </c>
      <c r="D6" s="1" t="s">
        <v>1389</v>
      </c>
      <c r="E6" s="15" t="n">
        <v>46174</v>
      </c>
      <c r="F6" s="15" t="n">
        <v>46172</v>
      </c>
      <c r="G6" s="1" t="s">
        <v>369</v>
      </c>
      <c r="H6" s="1" t="n">
        <v>1187101</v>
      </c>
      <c r="I6" s="1" t="n">
        <v>1</v>
      </c>
      <c r="J6" s="1" t="s">
        <v>1384</v>
      </c>
      <c r="K6" s="65" t="n">
        <v>172</v>
      </c>
      <c r="N6" s="15" t="n">
        <v>46178</v>
      </c>
      <c r="O6" s="65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1390</v>
      </c>
      <c r="D7" s="1" t="s">
        <v>1391</v>
      </c>
      <c r="E7" s="15" t="n">
        <v>46174</v>
      </c>
      <c r="F7" s="15" t="n">
        <v>46172</v>
      </c>
      <c r="G7" s="1" t="s">
        <v>248</v>
      </c>
      <c r="H7" s="1" t="n">
        <v>1188021</v>
      </c>
      <c r="I7" s="1" t="n">
        <v>1</v>
      </c>
      <c r="J7" s="1" t="s">
        <v>1384</v>
      </c>
      <c r="K7" s="65" t="n">
        <v>3329</v>
      </c>
      <c r="N7" s="15" t="n">
        <v>46179</v>
      </c>
      <c r="O7" s="65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1382</v>
      </c>
      <c r="D8" s="1" t="s">
        <v>1392</v>
      </c>
      <c r="E8" s="15" t="n">
        <v>46174</v>
      </c>
      <c r="F8" s="15" t="n">
        <v>46174</v>
      </c>
      <c r="G8" s="1" t="s">
        <v>194</v>
      </c>
      <c r="H8" s="1" t="n">
        <v>1188208</v>
      </c>
      <c r="I8" s="1" t="n">
        <v>1</v>
      </c>
      <c r="J8" s="1" t="s">
        <v>1384</v>
      </c>
      <c r="K8" s="65" t="n">
        <v>334.6</v>
      </c>
      <c r="N8" s="15" t="n">
        <v>46180</v>
      </c>
      <c r="O8" s="65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1390</v>
      </c>
      <c r="D9" s="1" t="s">
        <v>1393</v>
      </c>
      <c r="E9" s="15" t="n">
        <v>46174</v>
      </c>
      <c r="F9" s="15" t="n">
        <v>46172</v>
      </c>
      <c r="G9" s="1" t="s">
        <v>188</v>
      </c>
      <c r="H9" s="1" t="n">
        <v>1187124</v>
      </c>
      <c r="I9" s="1" t="n">
        <v>1</v>
      </c>
      <c r="J9" s="1" t="s">
        <v>1384</v>
      </c>
      <c r="K9" s="65" t="n">
        <v>449.5</v>
      </c>
      <c r="N9" s="15" t="n">
        <v>46181</v>
      </c>
      <c r="O9" s="65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1390</v>
      </c>
      <c r="D10" s="1" t="s">
        <v>1394</v>
      </c>
      <c r="E10" s="15" t="n">
        <v>46174</v>
      </c>
      <c r="F10" s="15" t="n">
        <v>46174</v>
      </c>
      <c r="G10" s="1" t="s">
        <v>266</v>
      </c>
      <c r="H10" s="1" t="n">
        <v>1187978</v>
      </c>
      <c r="I10" s="1" t="n">
        <v>1</v>
      </c>
      <c r="J10" s="1" t="s">
        <v>1384</v>
      </c>
      <c r="K10" s="65" t="n">
        <v>374.01</v>
      </c>
      <c r="N10" s="15" t="n">
        <v>46182</v>
      </c>
      <c r="O10" s="65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1390</v>
      </c>
      <c r="D11" s="1" t="s">
        <v>1395</v>
      </c>
      <c r="E11" s="15" t="n">
        <v>46175</v>
      </c>
      <c r="F11" s="15" t="n">
        <v>46174</v>
      </c>
      <c r="G11" s="1" t="s">
        <v>130</v>
      </c>
      <c r="H11" s="1" t="n">
        <v>1192348</v>
      </c>
      <c r="I11" s="1" t="n">
        <v>1</v>
      </c>
      <c r="J11" s="1" t="s">
        <v>1384</v>
      </c>
      <c r="K11" s="65" t="n">
        <v>180</v>
      </c>
      <c r="N11" s="15" t="n">
        <v>46183</v>
      </c>
      <c r="O11" s="65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1390</v>
      </c>
      <c r="D12" s="1" t="s">
        <v>1396</v>
      </c>
      <c r="E12" s="15" t="n">
        <v>46175</v>
      </c>
      <c r="F12" s="15" t="n">
        <v>46170</v>
      </c>
      <c r="G12" s="1" t="s">
        <v>220</v>
      </c>
      <c r="H12" s="1" t="n">
        <v>1193359</v>
      </c>
      <c r="I12" s="1" t="n">
        <v>1</v>
      </c>
      <c r="J12" s="1" t="s">
        <v>1384</v>
      </c>
      <c r="K12" s="65" t="n">
        <v>570</v>
      </c>
      <c r="N12" s="15" t="n">
        <v>46184</v>
      </c>
      <c r="O12" s="65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1390</v>
      </c>
      <c r="D13" s="1" t="s">
        <v>1397</v>
      </c>
      <c r="E13" s="15" t="n">
        <v>46175</v>
      </c>
      <c r="F13" s="15" t="n">
        <v>46174</v>
      </c>
      <c r="G13" s="1" t="s">
        <v>210</v>
      </c>
      <c r="H13" s="1" t="n">
        <v>1191352</v>
      </c>
      <c r="I13" s="1" t="n">
        <v>1</v>
      </c>
      <c r="J13" s="1" t="s">
        <v>1384</v>
      </c>
      <c r="K13" s="65" t="n">
        <v>337.08</v>
      </c>
      <c r="N13" s="15" t="n">
        <v>46185</v>
      </c>
      <c r="O13" s="65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1390</v>
      </c>
      <c r="D14" s="1" t="s">
        <v>1398</v>
      </c>
      <c r="E14" s="15" t="n">
        <v>46175</v>
      </c>
      <c r="F14" s="15" t="n">
        <v>46170</v>
      </c>
      <c r="G14" s="1" t="s">
        <v>201</v>
      </c>
      <c r="H14" s="1" t="n">
        <v>1191332</v>
      </c>
      <c r="I14" s="1" t="n">
        <v>1</v>
      </c>
      <c r="J14" s="1" t="s">
        <v>1384</v>
      </c>
      <c r="K14" s="65" t="n">
        <v>342.59</v>
      </c>
      <c r="N14" s="15" t="n">
        <v>46186</v>
      </c>
      <c r="O14" s="65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1388</v>
      </c>
      <c r="D15" s="1" t="s">
        <v>1389</v>
      </c>
      <c r="E15" s="15" t="n">
        <v>46175</v>
      </c>
      <c r="F15" s="15" t="n">
        <v>46174</v>
      </c>
      <c r="G15" s="1" t="s">
        <v>369</v>
      </c>
      <c r="H15" s="1" t="n">
        <v>1192343</v>
      </c>
      <c r="I15" s="1" t="n">
        <v>1</v>
      </c>
      <c r="J15" s="1" t="s">
        <v>1384</v>
      </c>
      <c r="K15" s="65" t="n">
        <v>130.5</v>
      </c>
      <c r="N15" s="15" t="n">
        <v>46187</v>
      </c>
      <c r="O15" s="65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1382</v>
      </c>
      <c r="D16" s="1" t="s">
        <v>1399</v>
      </c>
      <c r="E16" s="15" t="n">
        <v>46175</v>
      </c>
      <c r="F16" s="15" t="n">
        <v>46175</v>
      </c>
      <c r="G16" s="1" t="s">
        <v>141</v>
      </c>
      <c r="H16" s="1" t="n">
        <v>1193349</v>
      </c>
      <c r="I16" s="1" t="n">
        <v>1</v>
      </c>
      <c r="J16" s="1" t="s">
        <v>1384</v>
      </c>
      <c r="K16" s="65" t="n">
        <v>140</v>
      </c>
      <c r="N16" s="15" t="n">
        <v>46188</v>
      </c>
      <c r="O16" s="65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1390</v>
      </c>
      <c r="D17" s="1" t="s">
        <v>1400</v>
      </c>
      <c r="E17" s="15" t="n">
        <v>46175</v>
      </c>
      <c r="F17" s="15" t="n">
        <v>46175</v>
      </c>
      <c r="G17" s="1" t="s">
        <v>132</v>
      </c>
      <c r="H17" s="1" t="n">
        <v>1192377</v>
      </c>
      <c r="I17" s="1" t="n">
        <v>6</v>
      </c>
      <c r="J17" s="1" t="s">
        <v>1384</v>
      </c>
      <c r="K17" s="65" t="n">
        <v>195</v>
      </c>
      <c r="N17" s="15" t="n">
        <v>46189</v>
      </c>
      <c r="O17" s="65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1390</v>
      </c>
      <c r="D18" s="1" t="s">
        <v>1400</v>
      </c>
      <c r="E18" s="15" t="n">
        <v>46175</v>
      </c>
      <c r="F18" s="15" t="n">
        <v>46175</v>
      </c>
      <c r="G18" s="1" t="s">
        <v>132</v>
      </c>
      <c r="H18" s="1" t="n">
        <v>1193292</v>
      </c>
      <c r="I18" s="1" t="n">
        <v>6</v>
      </c>
      <c r="J18" s="1" t="s">
        <v>1384</v>
      </c>
      <c r="K18" s="65" t="n">
        <v>1465.86</v>
      </c>
      <c r="N18" s="15" t="n">
        <v>46190</v>
      </c>
      <c r="O18" s="65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1390</v>
      </c>
      <c r="D19" s="1" t="s">
        <v>1400</v>
      </c>
      <c r="E19" s="15" t="n">
        <v>46175</v>
      </c>
      <c r="F19" s="15" t="n">
        <v>46175</v>
      </c>
      <c r="G19" s="1" t="s">
        <v>132</v>
      </c>
      <c r="H19" s="1" t="n">
        <v>1192361</v>
      </c>
      <c r="I19" s="1" t="n">
        <v>2</v>
      </c>
      <c r="J19" s="1" t="s">
        <v>1384</v>
      </c>
      <c r="K19" s="65" t="n">
        <v>195</v>
      </c>
      <c r="N19" s="15" t="n">
        <v>46191</v>
      </c>
      <c r="O19" s="65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1390</v>
      </c>
      <c r="D20" s="1" t="s">
        <v>1400</v>
      </c>
      <c r="E20" s="15" t="n">
        <v>46175</v>
      </c>
      <c r="F20" s="15" t="n">
        <v>46175</v>
      </c>
      <c r="G20" s="1" t="s">
        <v>132</v>
      </c>
      <c r="H20" s="1" t="n">
        <v>1193282</v>
      </c>
      <c r="I20" s="1" t="n">
        <v>2</v>
      </c>
      <c r="J20" s="1" t="s">
        <v>1384</v>
      </c>
      <c r="K20" s="65" t="n">
        <v>1465.86</v>
      </c>
      <c r="N20" s="15" t="n">
        <v>46192</v>
      </c>
      <c r="O20" s="65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1390</v>
      </c>
      <c r="D21" s="1" t="s">
        <v>1401</v>
      </c>
      <c r="E21" s="15" t="n">
        <v>46175</v>
      </c>
      <c r="F21" s="15" t="n">
        <v>46174</v>
      </c>
      <c r="G21" s="1" t="s">
        <v>92</v>
      </c>
      <c r="H21" s="1" t="n">
        <v>1193352</v>
      </c>
      <c r="I21" s="1" t="n">
        <v>1</v>
      </c>
      <c r="J21" s="1" t="s">
        <v>1384</v>
      </c>
      <c r="K21" s="65" t="n">
        <v>209.7</v>
      </c>
      <c r="N21" s="15" t="n">
        <v>46193</v>
      </c>
      <c r="O21" s="65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1390</v>
      </c>
      <c r="D22" s="1" t="s">
        <v>1402</v>
      </c>
      <c r="E22" s="15" t="n">
        <v>46176</v>
      </c>
      <c r="F22" s="15" t="n">
        <v>46175</v>
      </c>
      <c r="G22" s="1" t="s">
        <v>117</v>
      </c>
      <c r="H22" s="1" t="n">
        <v>1197279</v>
      </c>
      <c r="I22" s="1" t="n">
        <v>1</v>
      </c>
      <c r="J22" s="1" t="s">
        <v>1384</v>
      </c>
      <c r="K22" s="65" t="n">
        <v>431.22</v>
      </c>
      <c r="N22" s="15" t="n">
        <v>46194</v>
      </c>
      <c r="O22" s="65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1385</v>
      </c>
      <c r="D23" s="1" t="s">
        <v>1386</v>
      </c>
      <c r="E23" s="15" t="n">
        <v>46176</v>
      </c>
      <c r="F23" s="15" t="n">
        <v>46175</v>
      </c>
      <c r="G23" s="1" t="s">
        <v>119</v>
      </c>
      <c r="H23" s="1" t="n">
        <v>1197727</v>
      </c>
      <c r="I23" s="1" t="n">
        <v>1</v>
      </c>
      <c r="J23" s="1" t="s">
        <v>1384</v>
      </c>
      <c r="K23" s="65" t="n">
        <v>552.17</v>
      </c>
      <c r="N23" s="15" t="n">
        <v>46195</v>
      </c>
      <c r="O23" s="65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1387</v>
      </c>
      <c r="D24" s="1" t="s">
        <v>1386</v>
      </c>
      <c r="E24" s="15" t="n">
        <v>46176</v>
      </c>
      <c r="F24" s="15" t="n">
        <v>46175</v>
      </c>
      <c r="G24" s="1" t="s">
        <v>119</v>
      </c>
      <c r="H24" s="1" t="n">
        <v>1197731</v>
      </c>
      <c r="I24" s="1" t="n">
        <v>11</v>
      </c>
      <c r="J24" s="1" t="s">
        <v>1384</v>
      </c>
      <c r="K24" s="65" t="n">
        <v>182.54</v>
      </c>
      <c r="N24" s="15" t="n">
        <v>46196</v>
      </c>
      <c r="O24" s="65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1387</v>
      </c>
      <c r="D25" s="1" t="s">
        <v>1386</v>
      </c>
      <c r="E25" s="15" t="n">
        <v>46176</v>
      </c>
      <c r="F25" s="15" t="n">
        <v>46175</v>
      </c>
      <c r="G25" s="1" t="s">
        <v>119</v>
      </c>
      <c r="H25" s="1" t="n">
        <v>1197719</v>
      </c>
      <c r="I25" s="1" t="n">
        <v>1</v>
      </c>
      <c r="J25" s="1" t="s">
        <v>1384</v>
      </c>
      <c r="K25" s="65" t="n">
        <v>953.47</v>
      </c>
      <c r="N25" s="15" t="n">
        <v>46197</v>
      </c>
      <c r="O25" s="65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1390</v>
      </c>
      <c r="D26" s="1" t="s">
        <v>1403</v>
      </c>
      <c r="E26" s="15" t="n">
        <v>46176</v>
      </c>
      <c r="F26" s="15" t="n">
        <v>46175</v>
      </c>
      <c r="G26" s="1" t="s">
        <v>332</v>
      </c>
      <c r="H26" s="1" t="n">
        <v>1197015</v>
      </c>
      <c r="I26" s="1" t="n">
        <v>1</v>
      </c>
      <c r="J26" s="1" t="s">
        <v>1384</v>
      </c>
      <c r="K26" s="65" t="n">
        <v>2264.85</v>
      </c>
      <c r="N26" s="15" t="n">
        <v>46198</v>
      </c>
      <c r="O26" s="65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1390</v>
      </c>
      <c r="D27" s="1" t="s">
        <v>1404</v>
      </c>
      <c r="E27" s="15" t="n">
        <v>46176</v>
      </c>
      <c r="F27" s="15" t="n">
        <v>46176</v>
      </c>
      <c r="G27" s="1" t="s">
        <v>126</v>
      </c>
      <c r="H27" s="1" t="n">
        <v>1198387</v>
      </c>
      <c r="I27" s="1" t="n">
        <v>11</v>
      </c>
      <c r="J27" s="1" t="s">
        <v>1384</v>
      </c>
      <c r="K27" s="65" t="n">
        <v>199</v>
      </c>
      <c r="N27" s="15" t="n">
        <v>46199</v>
      </c>
      <c r="O27" s="65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1390</v>
      </c>
      <c r="D28" s="1" t="s">
        <v>1396</v>
      </c>
      <c r="E28" s="15" t="n">
        <v>46177</v>
      </c>
      <c r="F28" s="15" t="n">
        <v>46177</v>
      </c>
      <c r="G28" s="1" t="s">
        <v>220</v>
      </c>
      <c r="H28" s="1" t="n">
        <v>1202289</v>
      </c>
      <c r="I28" s="1" t="n">
        <v>11</v>
      </c>
      <c r="J28" s="1" t="s">
        <v>1384</v>
      </c>
      <c r="K28" s="65" t="n">
        <v>950</v>
      </c>
      <c r="N28" s="15" t="n">
        <v>46200</v>
      </c>
      <c r="O28" s="65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1390</v>
      </c>
      <c r="D29" s="1" t="s">
        <v>1405</v>
      </c>
      <c r="E29" s="15" t="n">
        <v>46177</v>
      </c>
      <c r="F29" s="15" t="n">
        <v>46176</v>
      </c>
      <c r="G29" s="1" t="s">
        <v>128</v>
      </c>
      <c r="H29" s="1" t="n">
        <v>1201508</v>
      </c>
      <c r="I29" s="1" t="n">
        <v>11</v>
      </c>
      <c r="J29" s="1" t="s">
        <v>1384</v>
      </c>
      <c r="K29" s="65" t="n">
        <v>1600.8</v>
      </c>
      <c r="N29" s="15" t="n">
        <v>46201</v>
      </c>
      <c r="O29" s="65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1390</v>
      </c>
      <c r="D30" s="1" t="s">
        <v>1406</v>
      </c>
      <c r="E30" s="15" t="n">
        <v>46178</v>
      </c>
      <c r="F30" s="15" t="n">
        <v>46178</v>
      </c>
      <c r="G30" s="1" t="s">
        <v>179</v>
      </c>
      <c r="H30" s="1" t="n">
        <v>1206913</v>
      </c>
      <c r="I30" s="1" t="n">
        <v>1</v>
      </c>
      <c r="J30" s="1" t="s">
        <v>1384</v>
      </c>
      <c r="K30" s="65" t="n">
        <v>618.56</v>
      </c>
      <c r="N30" s="15" t="n">
        <v>46202</v>
      </c>
      <c r="O30" s="65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1388</v>
      </c>
      <c r="D31" s="1" t="s">
        <v>1389</v>
      </c>
      <c r="E31" s="15" t="n">
        <v>46178</v>
      </c>
      <c r="F31" s="15" t="n">
        <v>46176</v>
      </c>
      <c r="G31" s="1" t="s">
        <v>369</v>
      </c>
      <c r="H31" s="1" t="n">
        <v>1206599</v>
      </c>
      <c r="I31" s="1" t="n">
        <v>1</v>
      </c>
      <c r="J31" s="1" t="s">
        <v>1384</v>
      </c>
      <c r="K31" s="65" t="n">
        <v>133.5</v>
      </c>
      <c r="N31" s="15" t="n">
        <v>46203</v>
      </c>
      <c r="O31" s="65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1388</v>
      </c>
      <c r="D32" s="1" t="s">
        <v>1389</v>
      </c>
      <c r="E32" s="15" t="n">
        <v>46178</v>
      </c>
      <c r="F32" s="15" t="n">
        <v>46178</v>
      </c>
      <c r="G32" s="1" t="s">
        <v>369</v>
      </c>
      <c r="H32" s="1" t="n">
        <v>1208226</v>
      </c>
      <c r="I32" s="1" t="n">
        <v>1</v>
      </c>
      <c r="J32" s="1" t="s">
        <v>1384</v>
      </c>
      <c r="K32" s="65" t="n">
        <v>90</v>
      </c>
      <c r="N32" s="15" t="n">
        <v>46204</v>
      </c>
      <c r="O32" s="65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1388</v>
      </c>
      <c r="D33" s="1" t="s">
        <v>1389</v>
      </c>
      <c r="E33" s="15" t="n">
        <v>46178</v>
      </c>
      <c r="F33" s="15" t="n">
        <v>46178</v>
      </c>
      <c r="G33" s="1" t="s">
        <v>369</v>
      </c>
      <c r="H33" s="1" t="n">
        <v>1208237</v>
      </c>
      <c r="I33" s="1" t="n">
        <v>1</v>
      </c>
      <c r="J33" s="1" t="s">
        <v>1384</v>
      </c>
      <c r="K33" s="65" t="n">
        <v>81.5</v>
      </c>
      <c r="N33" s="15" t="n">
        <v>46205</v>
      </c>
      <c r="O33" s="65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1390</v>
      </c>
      <c r="D34" s="1" t="s">
        <v>1407</v>
      </c>
      <c r="E34" s="15" t="n">
        <v>46178</v>
      </c>
      <c r="F34" s="15" t="n">
        <v>46176</v>
      </c>
      <c r="G34" s="1" t="s">
        <v>82</v>
      </c>
      <c r="H34" s="1" t="n">
        <v>1206519</v>
      </c>
      <c r="I34" s="1" t="n">
        <v>11</v>
      </c>
      <c r="J34" s="1" t="s">
        <v>1384</v>
      </c>
      <c r="K34" s="65" t="n">
        <v>1169.23</v>
      </c>
      <c r="N34" s="15" t="n">
        <v>46206</v>
      </c>
      <c r="O34" s="65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1390</v>
      </c>
      <c r="D35" s="1" t="s">
        <v>1408</v>
      </c>
      <c r="E35" s="15" t="n">
        <v>46178</v>
      </c>
      <c r="F35" s="15" t="n">
        <v>46178</v>
      </c>
      <c r="G35" s="1" t="s">
        <v>171</v>
      </c>
      <c r="H35" s="1" t="n">
        <v>1208207</v>
      </c>
      <c r="I35" s="1" t="n">
        <v>1</v>
      </c>
      <c r="J35" s="1" t="s">
        <v>1384</v>
      </c>
      <c r="K35" s="65" t="n">
        <v>161</v>
      </c>
      <c r="N35" s="15" t="n">
        <v>46207</v>
      </c>
      <c r="O35" s="65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1382</v>
      </c>
      <c r="D36" s="1" t="s">
        <v>1399</v>
      </c>
      <c r="E36" s="15" t="n">
        <v>46178</v>
      </c>
      <c r="F36" s="15" t="n">
        <v>46178</v>
      </c>
      <c r="G36" s="1" t="s">
        <v>141</v>
      </c>
      <c r="H36" s="1" t="n">
        <v>1221476</v>
      </c>
      <c r="I36" s="1" t="n">
        <v>1</v>
      </c>
      <c r="J36" s="1" t="s">
        <v>1384</v>
      </c>
      <c r="K36" s="65" t="n">
        <v>140</v>
      </c>
      <c r="N36" s="15" t="n">
        <v>46208</v>
      </c>
      <c r="O36" s="65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1390</v>
      </c>
      <c r="D37" s="1" t="s">
        <v>1400</v>
      </c>
      <c r="E37" s="15" t="n">
        <v>46178</v>
      </c>
      <c r="F37" s="15" t="n">
        <v>46178</v>
      </c>
      <c r="G37" s="1" t="s">
        <v>132</v>
      </c>
      <c r="H37" s="1" t="n">
        <v>1207974</v>
      </c>
      <c r="I37" s="1" t="n">
        <v>6</v>
      </c>
      <c r="J37" s="1" t="s">
        <v>1384</v>
      </c>
      <c r="K37" s="65" t="n">
        <v>1281.95</v>
      </c>
      <c r="N37" s="15" t="n">
        <v>46209</v>
      </c>
      <c r="O37" s="65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1390</v>
      </c>
      <c r="D38" s="1" t="s">
        <v>1400</v>
      </c>
      <c r="E38" s="15" t="n">
        <v>46178</v>
      </c>
      <c r="F38" s="15" t="n">
        <v>46178</v>
      </c>
      <c r="G38" s="1" t="s">
        <v>132</v>
      </c>
      <c r="H38" s="1" t="n">
        <v>1208155</v>
      </c>
      <c r="I38" s="1" t="n">
        <v>6</v>
      </c>
      <c r="J38" s="1" t="s">
        <v>1384</v>
      </c>
      <c r="K38" s="65" t="n">
        <v>247</v>
      </c>
      <c r="N38" s="15" t="n">
        <v>46210</v>
      </c>
      <c r="O38" s="65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1390</v>
      </c>
      <c r="D39" s="1" t="s">
        <v>1400</v>
      </c>
      <c r="E39" s="15" t="n">
        <v>46178</v>
      </c>
      <c r="F39" s="15" t="n">
        <v>46178</v>
      </c>
      <c r="G39" s="1" t="s">
        <v>132</v>
      </c>
      <c r="H39" s="1" t="n">
        <v>1207963</v>
      </c>
      <c r="I39" s="1" t="n">
        <v>2</v>
      </c>
      <c r="J39" s="1" t="s">
        <v>1384</v>
      </c>
      <c r="K39" s="65" t="n">
        <v>1281.95</v>
      </c>
      <c r="N39" s="15" t="n">
        <v>46211</v>
      </c>
      <c r="O39" s="65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1390</v>
      </c>
      <c r="D40" s="1" t="s">
        <v>1400</v>
      </c>
      <c r="E40" s="15" t="n">
        <v>46178</v>
      </c>
      <c r="F40" s="15" t="n">
        <v>46178</v>
      </c>
      <c r="G40" s="1" t="s">
        <v>132</v>
      </c>
      <c r="H40" s="1" t="n">
        <v>1208124</v>
      </c>
      <c r="I40" s="1" t="n">
        <v>2</v>
      </c>
      <c r="J40" s="1" t="s">
        <v>1384</v>
      </c>
      <c r="K40" s="65" t="n">
        <v>247</v>
      </c>
      <c r="N40" s="15" t="n">
        <v>46212</v>
      </c>
      <c r="O40" s="65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1390</v>
      </c>
      <c r="D41" s="1" t="s">
        <v>1401</v>
      </c>
      <c r="E41" s="15" t="n">
        <v>46178</v>
      </c>
      <c r="F41" s="15" t="n">
        <v>46177</v>
      </c>
      <c r="G41" s="1" t="s">
        <v>92</v>
      </c>
      <c r="H41" s="1" t="n">
        <v>1208198</v>
      </c>
      <c r="I41" s="1" t="n">
        <v>1</v>
      </c>
      <c r="J41" s="1" t="s">
        <v>1384</v>
      </c>
      <c r="K41" s="65" t="n">
        <v>126.04</v>
      </c>
      <c r="N41" s="15" t="n">
        <v>46213</v>
      </c>
      <c r="O41" s="65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1382</v>
      </c>
      <c r="D42" s="1" t="s">
        <v>1392</v>
      </c>
      <c r="E42" s="15" t="n">
        <v>46178</v>
      </c>
      <c r="F42" s="15" t="n">
        <v>46178</v>
      </c>
      <c r="G42" s="1" t="s">
        <v>194</v>
      </c>
      <c r="H42" s="1" t="n">
        <v>1208221</v>
      </c>
      <c r="I42" s="1" t="n">
        <v>1</v>
      </c>
      <c r="J42" s="1" t="s">
        <v>1384</v>
      </c>
      <c r="K42" s="65" t="n">
        <v>282.25</v>
      </c>
      <c r="N42" s="15" t="n">
        <v>46214</v>
      </c>
      <c r="O42" s="65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1390</v>
      </c>
      <c r="D43" s="1" t="s">
        <v>1395</v>
      </c>
      <c r="E43" s="15" t="n">
        <v>46181</v>
      </c>
      <c r="F43" s="15" t="n">
        <v>46178</v>
      </c>
      <c r="G43" s="1" t="s">
        <v>130</v>
      </c>
      <c r="H43" s="1" t="n">
        <v>1221458</v>
      </c>
      <c r="I43" s="1" t="n">
        <v>1</v>
      </c>
      <c r="J43" s="1" t="s">
        <v>1384</v>
      </c>
      <c r="K43" s="65" t="n">
        <v>180</v>
      </c>
      <c r="N43" s="15" t="n">
        <v>46215</v>
      </c>
      <c r="O43" s="65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1387</v>
      </c>
      <c r="D44" s="1" t="s">
        <v>1386</v>
      </c>
      <c r="E44" s="15" t="n">
        <v>46181</v>
      </c>
      <c r="F44" s="15" t="n">
        <v>46178</v>
      </c>
      <c r="G44" s="1" t="s">
        <v>119</v>
      </c>
      <c r="H44" s="1" t="n">
        <v>1222918</v>
      </c>
      <c r="I44" s="1" t="n">
        <v>11</v>
      </c>
      <c r="J44" s="1" t="s">
        <v>1384</v>
      </c>
      <c r="K44" s="65" t="n">
        <v>219.97</v>
      </c>
      <c r="N44" s="15" t="n">
        <v>46216</v>
      </c>
      <c r="O44" s="65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1387</v>
      </c>
      <c r="D45" s="1" t="s">
        <v>1386</v>
      </c>
      <c r="E45" s="15" t="n">
        <v>46181</v>
      </c>
      <c r="F45" s="15" t="n">
        <v>46178</v>
      </c>
      <c r="G45" s="1" t="s">
        <v>119</v>
      </c>
      <c r="H45" s="1" t="n">
        <v>1222988</v>
      </c>
      <c r="I45" s="1" t="n">
        <v>1</v>
      </c>
      <c r="J45" s="1" t="s">
        <v>1384</v>
      </c>
      <c r="K45" s="65" t="n">
        <v>1134.74</v>
      </c>
      <c r="N45" s="15" t="n">
        <v>46217</v>
      </c>
      <c r="O45" s="65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1390</v>
      </c>
      <c r="D46" s="1" t="s">
        <v>1403</v>
      </c>
      <c r="E46" s="15" t="n">
        <v>46181</v>
      </c>
      <c r="F46" s="15" t="n">
        <v>46178</v>
      </c>
      <c r="G46" s="1" t="s">
        <v>332</v>
      </c>
      <c r="H46" s="1" t="n">
        <v>1221695</v>
      </c>
      <c r="I46" s="1" t="n">
        <v>1</v>
      </c>
      <c r="J46" s="1" t="s">
        <v>1384</v>
      </c>
      <c r="K46" s="65" t="n">
        <v>1068</v>
      </c>
      <c r="N46" s="15" t="n">
        <v>46218</v>
      </c>
      <c r="O46" s="65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1390</v>
      </c>
      <c r="D47" s="1" t="s">
        <v>1398</v>
      </c>
      <c r="E47" s="15" t="n">
        <v>46181</v>
      </c>
      <c r="F47" s="15" t="n">
        <v>46178</v>
      </c>
      <c r="G47" s="1" t="s">
        <v>201</v>
      </c>
      <c r="H47" s="1" t="n">
        <v>1221613</v>
      </c>
      <c r="I47" s="1" t="n">
        <v>1</v>
      </c>
      <c r="J47" s="1" t="s">
        <v>1384</v>
      </c>
      <c r="K47" s="65" t="n">
        <v>333.54</v>
      </c>
      <c r="N47" s="15" t="n">
        <v>46219</v>
      </c>
      <c r="O47" s="65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1388</v>
      </c>
      <c r="D48" s="1" t="s">
        <v>1389</v>
      </c>
      <c r="E48" s="15" t="n">
        <v>46181</v>
      </c>
      <c r="F48" s="15" t="n">
        <v>46181</v>
      </c>
      <c r="G48" s="1" t="s">
        <v>369</v>
      </c>
      <c r="H48" s="1" t="n">
        <v>1222859</v>
      </c>
      <c r="I48" s="1" t="n">
        <v>1</v>
      </c>
      <c r="J48" s="1" t="s">
        <v>1384</v>
      </c>
      <c r="K48" s="65" t="n">
        <v>232</v>
      </c>
      <c r="N48" s="15" t="n">
        <v>46220</v>
      </c>
      <c r="O48" s="65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1388</v>
      </c>
      <c r="D49" s="1" t="s">
        <v>1389</v>
      </c>
      <c r="E49" s="15" t="n">
        <v>46181</v>
      </c>
      <c r="F49" s="15" t="n">
        <v>46181</v>
      </c>
      <c r="G49" s="1" t="s">
        <v>369</v>
      </c>
      <c r="H49" s="1" t="n">
        <v>1222861</v>
      </c>
      <c r="I49" s="1" t="n">
        <v>1</v>
      </c>
      <c r="J49" s="1" t="s">
        <v>1384</v>
      </c>
      <c r="K49" s="65" t="n">
        <v>72</v>
      </c>
      <c r="N49" s="15" t="n">
        <v>46221</v>
      </c>
      <c r="O49" s="65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1390</v>
      </c>
      <c r="D50" s="1" t="s">
        <v>1409</v>
      </c>
      <c r="E50" s="15" t="n">
        <v>46181</v>
      </c>
      <c r="F50" s="15" t="n">
        <v>46180</v>
      </c>
      <c r="G50" s="1" t="s">
        <v>1410</v>
      </c>
      <c r="H50" s="1" t="n">
        <v>1223267</v>
      </c>
      <c r="I50" s="1" t="n">
        <v>1</v>
      </c>
      <c r="J50" s="1" t="s">
        <v>1384</v>
      </c>
      <c r="K50" s="65" t="n">
        <v>688.3</v>
      </c>
      <c r="N50" s="15" t="n">
        <v>46222</v>
      </c>
      <c r="O50" s="65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1390</v>
      </c>
      <c r="D51" s="1" t="s">
        <v>1411</v>
      </c>
      <c r="E51" s="15" t="n">
        <v>46181</v>
      </c>
      <c r="F51" s="15" t="n">
        <v>46178</v>
      </c>
      <c r="G51" s="1" t="s">
        <v>164</v>
      </c>
      <c r="H51" s="1" t="n">
        <v>1221500</v>
      </c>
      <c r="I51" s="1" t="n">
        <v>1</v>
      </c>
      <c r="J51" s="1" t="s">
        <v>1384</v>
      </c>
      <c r="K51" s="65" t="n">
        <v>1049.39</v>
      </c>
      <c r="N51" s="15" t="n">
        <v>46223</v>
      </c>
      <c r="O51" s="65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1390</v>
      </c>
      <c r="D52" s="1" t="s">
        <v>1412</v>
      </c>
      <c r="E52" s="15" t="n">
        <v>46181</v>
      </c>
      <c r="F52" s="15" t="n">
        <v>46178</v>
      </c>
      <c r="G52" s="1" t="s">
        <v>208</v>
      </c>
      <c r="H52" s="1" t="n">
        <v>1222609</v>
      </c>
      <c r="I52" s="1" t="n">
        <v>1</v>
      </c>
      <c r="J52" s="1" t="s">
        <v>1384</v>
      </c>
      <c r="K52" s="65" t="n">
        <v>5728.5</v>
      </c>
      <c r="N52" s="15" t="n">
        <v>46224</v>
      </c>
      <c r="O52" s="65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1382</v>
      </c>
      <c r="D53" s="1" t="s">
        <v>1399</v>
      </c>
      <c r="E53" s="15" t="n">
        <v>46181</v>
      </c>
      <c r="F53" s="15" t="n">
        <v>46181</v>
      </c>
      <c r="G53" s="1" t="s">
        <v>141</v>
      </c>
      <c r="H53" s="1" t="n">
        <v>1226536</v>
      </c>
      <c r="I53" s="1" t="n">
        <v>1</v>
      </c>
      <c r="J53" s="1" t="s">
        <v>1384</v>
      </c>
      <c r="K53" s="65" t="n">
        <v>140</v>
      </c>
      <c r="N53" s="15" t="n">
        <v>46225</v>
      </c>
      <c r="O53" s="65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1390</v>
      </c>
      <c r="D54" s="1" t="s">
        <v>1400</v>
      </c>
      <c r="E54" s="15" t="n">
        <v>46181</v>
      </c>
      <c r="F54" s="15" t="n">
        <v>46181</v>
      </c>
      <c r="G54" s="1" t="s">
        <v>132</v>
      </c>
      <c r="H54" s="1" t="n">
        <v>1221843</v>
      </c>
      <c r="I54" s="1" t="n">
        <v>6</v>
      </c>
      <c r="J54" s="1" t="s">
        <v>1384</v>
      </c>
      <c r="K54" s="65" t="n">
        <v>180</v>
      </c>
      <c r="N54" s="15" t="n">
        <v>46226</v>
      </c>
      <c r="O54" s="65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1390</v>
      </c>
      <c r="D55" s="1" t="s">
        <v>1400</v>
      </c>
      <c r="E55" s="15" t="n">
        <v>46181</v>
      </c>
      <c r="F55" s="15" t="n">
        <v>46181</v>
      </c>
      <c r="G55" s="1" t="s">
        <v>132</v>
      </c>
      <c r="H55" s="1" t="n">
        <v>1222855</v>
      </c>
      <c r="I55" s="1" t="n">
        <v>6</v>
      </c>
      <c r="J55" s="1" t="s">
        <v>1384</v>
      </c>
      <c r="K55" s="65" t="n">
        <v>195</v>
      </c>
      <c r="N55" s="15" t="n">
        <v>46227</v>
      </c>
      <c r="O55" s="65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1390</v>
      </c>
      <c r="D56" s="1" t="s">
        <v>1400</v>
      </c>
      <c r="E56" s="15" t="n">
        <v>46181</v>
      </c>
      <c r="F56" s="15" t="n">
        <v>46181</v>
      </c>
      <c r="G56" s="1" t="s">
        <v>132</v>
      </c>
      <c r="H56" s="1" t="n">
        <v>1221834</v>
      </c>
      <c r="I56" s="1" t="n">
        <v>2</v>
      </c>
      <c r="J56" s="1" t="s">
        <v>1384</v>
      </c>
      <c r="K56" s="65" t="n">
        <v>180</v>
      </c>
      <c r="N56" s="15" t="n">
        <v>46228</v>
      </c>
      <c r="O56" s="65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1390</v>
      </c>
      <c r="D57" s="1" t="s">
        <v>1400</v>
      </c>
      <c r="E57" s="15" t="n">
        <v>46181</v>
      </c>
      <c r="F57" s="15" t="n">
        <v>46181</v>
      </c>
      <c r="G57" s="1" t="s">
        <v>132</v>
      </c>
      <c r="H57" s="1" t="n">
        <v>1222854</v>
      </c>
      <c r="I57" s="1" t="n">
        <v>2</v>
      </c>
      <c r="J57" s="1" t="s">
        <v>1384</v>
      </c>
      <c r="K57" s="65" t="n">
        <v>195</v>
      </c>
      <c r="N57" s="15" t="n">
        <v>46229</v>
      </c>
      <c r="O57" s="65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1382</v>
      </c>
      <c r="D58" s="1" t="s">
        <v>1392</v>
      </c>
      <c r="E58" s="15" t="n">
        <v>46181</v>
      </c>
      <c r="F58" s="15" t="n">
        <v>46181</v>
      </c>
      <c r="G58" s="1" t="s">
        <v>194</v>
      </c>
      <c r="H58" s="1" t="n">
        <v>1223311</v>
      </c>
      <c r="I58" s="1" t="n">
        <v>1</v>
      </c>
      <c r="J58" s="1" t="s">
        <v>1384</v>
      </c>
      <c r="K58" s="65" t="n">
        <v>307.2</v>
      </c>
      <c r="N58" s="15" t="n">
        <v>46230</v>
      </c>
      <c r="O58" s="65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1390</v>
      </c>
      <c r="D59" s="1" t="s">
        <v>1393</v>
      </c>
      <c r="E59" s="15" t="n">
        <v>46181</v>
      </c>
      <c r="F59" s="15" t="n">
        <v>46181</v>
      </c>
      <c r="G59" s="1" t="s">
        <v>188</v>
      </c>
      <c r="H59" s="1" t="n">
        <v>1222883</v>
      </c>
      <c r="I59" s="1" t="n">
        <v>1</v>
      </c>
      <c r="J59" s="1" t="s">
        <v>1384</v>
      </c>
      <c r="K59" s="65" t="n">
        <v>561.5</v>
      </c>
      <c r="N59" s="15" t="n">
        <v>46231</v>
      </c>
      <c r="O59" s="65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1390</v>
      </c>
      <c r="D60" s="1" t="s">
        <v>1405</v>
      </c>
      <c r="E60" s="15" t="n">
        <v>46181</v>
      </c>
      <c r="F60" s="15" t="n">
        <v>46178</v>
      </c>
      <c r="G60" s="1" t="s">
        <v>128</v>
      </c>
      <c r="H60" s="1" t="n">
        <v>1221751</v>
      </c>
      <c r="I60" s="1" t="n">
        <v>1</v>
      </c>
      <c r="J60" s="1" t="s">
        <v>1384</v>
      </c>
      <c r="K60" s="65" t="n">
        <v>3840</v>
      </c>
      <c r="N60" s="15" t="n">
        <v>46232</v>
      </c>
      <c r="O60" s="65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1390</v>
      </c>
      <c r="D61" s="1" t="s">
        <v>1395</v>
      </c>
      <c r="E61" s="15" t="n">
        <v>46182</v>
      </c>
      <c r="F61" s="15" t="n">
        <v>46181</v>
      </c>
      <c r="G61" s="1" t="s">
        <v>130</v>
      </c>
      <c r="H61" s="1" t="n">
        <v>1227245</v>
      </c>
      <c r="I61" s="1" t="n">
        <v>1</v>
      </c>
      <c r="J61" s="1" t="s">
        <v>1384</v>
      </c>
      <c r="K61" s="65" t="n">
        <v>180</v>
      </c>
      <c r="N61" s="15" t="n">
        <v>46233</v>
      </c>
      <c r="O61" s="65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1390</v>
      </c>
      <c r="D62" s="1" t="s">
        <v>1413</v>
      </c>
      <c r="E62" s="15" t="n">
        <v>46182</v>
      </c>
      <c r="F62" s="15" t="n">
        <v>46182</v>
      </c>
      <c r="G62" s="1" t="s">
        <v>166</v>
      </c>
      <c r="H62" s="1" t="n">
        <v>1227446</v>
      </c>
      <c r="I62" s="1" t="n">
        <v>1</v>
      </c>
      <c r="J62" s="1" t="s">
        <v>1384</v>
      </c>
      <c r="K62" s="65" t="n">
        <v>909.57</v>
      </c>
      <c r="N62" s="15" t="n">
        <v>46234</v>
      </c>
      <c r="O62" s="65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1382</v>
      </c>
      <c r="D63" s="1" t="s">
        <v>1414</v>
      </c>
      <c r="E63" s="15" t="n">
        <v>46182</v>
      </c>
      <c r="F63" s="15" t="n">
        <v>46182</v>
      </c>
      <c r="G63" s="1" t="s">
        <v>390</v>
      </c>
      <c r="H63" s="1" t="n">
        <v>1228116</v>
      </c>
      <c r="I63" s="1" t="n">
        <v>1</v>
      </c>
      <c r="J63" s="1" t="s">
        <v>1384</v>
      </c>
      <c r="K63" s="65" t="n">
        <v>796.16</v>
      </c>
      <c r="N63" s="15" t="n">
        <v>46235</v>
      </c>
      <c r="O63" s="65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1390</v>
      </c>
      <c r="D64" s="1" t="s">
        <v>1400</v>
      </c>
      <c r="E64" s="15" t="n">
        <v>46182</v>
      </c>
      <c r="F64" s="15" t="n">
        <v>46182</v>
      </c>
      <c r="G64" s="1" t="s">
        <v>132</v>
      </c>
      <c r="H64" s="1" t="n">
        <v>1227926</v>
      </c>
      <c r="I64" s="1" t="n">
        <v>6</v>
      </c>
      <c r="J64" s="1" t="s">
        <v>1384</v>
      </c>
      <c r="K64" s="65" t="n">
        <v>1926.18</v>
      </c>
      <c r="N64" s="15" t="n">
        <v>46236</v>
      </c>
      <c r="O64" s="65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1390</v>
      </c>
      <c r="D65" s="1" t="s">
        <v>1400</v>
      </c>
      <c r="E65" s="15" t="n">
        <v>46182</v>
      </c>
      <c r="F65" s="15" t="n">
        <v>46182</v>
      </c>
      <c r="G65" s="1" t="s">
        <v>132</v>
      </c>
      <c r="H65" s="1" t="n">
        <v>1227727</v>
      </c>
      <c r="I65" s="1" t="n">
        <v>2</v>
      </c>
      <c r="J65" s="1" t="s">
        <v>1384</v>
      </c>
      <c r="K65" s="65" t="n">
        <v>1926.18</v>
      </c>
      <c r="N65" s="15" t="n">
        <v>46237</v>
      </c>
      <c r="O65" s="65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1390</v>
      </c>
      <c r="D66" s="1" t="s">
        <v>1415</v>
      </c>
      <c r="E66" s="15" t="n">
        <v>46182</v>
      </c>
      <c r="F66" s="15" t="n">
        <v>46182</v>
      </c>
      <c r="G66" s="1" t="s">
        <v>388</v>
      </c>
      <c r="H66" s="1" t="n">
        <v>1228096</v>
      </c>
      <c r="I66" s="1" t="n">
        <v>1</v>
      </c>
      <c r="J66" s="1" t="s">
        <v>1384</v>
      </c>
      <c r="K66" s="65" t="n">
        <v>460</v>
      </c>
      <c r="N66" s="15" t="n">
        <v>46238</v>
      </c>
      <c r="O66" s="65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1390</v>
      </c>
      <c r="D67" s="1" t="s">
        <v>1401</v>
      </c>
      <c r="E67" s="15" t="n">
        <v>46182</v>
      </c>
      <c r="F67" s="15" t="n">
        <v>46181</v>
      </c>
      <c r="G67" s="1" t="s">
        <v>92</v>
      </c>
      <c r="H67" s="1" t="n">
        <v>1226545</v>
      </c>
      <c r="I67" s="1" t="n">
        <v>1</v>
      </c>
      <c r="J67" s="1" t="s">
        <v>1384</v>
      </c>
      <c r="K67" s="65" t="n">
        <v>186.94</v>
      </c>
      <c r="N67" s="15" t="n">
        <v>46239</v>
      </c>
      <c r="O67" s="65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1390</v>
      </c>
      <c r="D68" s="1" t="s">
        <v>1416</v>
      </c>
      <c r="E68" s="15" t="n">
        <v>46182</v>
      </c>
      <c r="F68" s="15" t="n">
        <v>46176</v>
      </c>
      <c r="G68" s="1" t="s">
        <v>614</v>
      </c>
      <c r="H68" s="1" t="n">
        <v>1226736</v>
      </c>
      <c r="I68" s="1" t="n">
        <v>11</v>
      </c>
      <c r="J68" s="1" t="s">
        <v>1384</v>
      </c>
      <c r="K68" s="65" t="n">
        <v>1377</v>
      </c>
      <c r="N68" s="15" t="n">
        <v>46240</v>
      </c>
      <c r="O68" s="65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1390</v>
      </c>
      <c r="D69" s="1" t="s">
        <v>1417</v>
      </c>
      <c r="E69" s="15" t="n">
        <v>46183</v>
      </c>
      <c r="F69" s="15" t="n">
        <v>46179</v>
      </c>
      <c r="G69" s="1" t="s">
        <v>1418</v>
      </c>
      <c r="H69" s="1" t="n">
        <v>1231085</v>
      </c>
      <c r="I69" s="1" t="n">
        <v>1</v>
      </c>
      <c r="J69" s="1" t="s">
        <v>1384</v>
      </c>
      <c r="K69" s="65" t="n">
        <v>190.5</v>
      </c>
      <c r="N69" s="15" t="n">
        <v>46241</v>
      </c>
      <c r="O69" s="65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1390</v>
      </c>
      <c r="D70" s="1" t="s">
        <v>1419</v>
      </c>
      <c r="E70" s="15" t="n">
        <v>46183</v>
      </c>
      <c r="F70" s="15" t="n">
        <v>46181</v>
      </c>
      <c r="G70" s="1" t="s">
        <v>357</v>
      </c>
      <c r="H70" s="1" t="n">
        <v>1232206</v>
      </c>
      <c r="I70" s="1" t="n">
        <v>11</v>
      </c>
      <c r="J70" s="1" t="s">
        <v>1384</v>
      </c>
      <c r="K70" s="65" t="n">
        <v>338</v>
      </c>
      <c r="N70" s="15" t="n">
        <v>46242</v>
      </c>
      <c r="O70" s="65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1390</v>
      </c>
      <c r="D71" s="1" t="s">
        <v>1402</v>
      </c>
      <c r="E71" s="15" t="n">
        <v>46183</v>
      </c>
      <c r="F71" s="15" t="n">
        <v>46182</v>
      </c>
      <c r="G71" s="1" t="s">
        <v>117</v>
      </c>
      <c r="H71" s="1" t="n">
        <v>1231128</v>
      </c>
      <c r="I71" s="1" t="n">
        <v>1</v>
      </c>
      <c r="J71" s="1" t="s">
        <v>1384</v>
      </c>
      <c r="K71" s="65" t="n">
        <v>1927.2</v>
      </c>
      <c r="N71" s="15" t="n">
        <v>46243</v>
      </c>
      <c r="O71" s="65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1390</v>
      </c>
      <c r="D72" s="1" t="s">
        <v>1420</v>
      </c>
      <c r="E72" s="15" t="n">
        <v>46183</v>
      </c>
      <c r="F72" s="15" t="n">
        <v>46170</v>
      </c>
      <c r="G72" s="1" t="s">
        <v>199</v>
      </c>
      <c r="H72" s="1" t="n">
        <v>1231901</v>
      </c>
      <c r="I72" s="1" t="n">
        <v>1</v>
      </c>
      <c r="J72" s="1" t="s">
        <v>1384</v>
      </c>
      <c r="K72" s="65" t="n">
        <v>715.2</v>
      </c>
      <c r="N72" s="15" t="n">
        <v>46244</v>
      </c>
      <c r="O72" s="65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1388</v>
      </c>
      <c r="D73" s="1" t="s">
        <v>1389</v>
      </c>
      <c r="E73" s="15" t="n">
        <v>46183</v>
      </c>
      <c r="F73" s="15" t="n">
        <v>46183</v>
      </c>
      <c r="G73" s="1" t="s">
        <v>369</v>
      </c>
      <c r="H73" s="1" t="n">
        <v>1231783</v>
      </c>
      <c r="I73" s="1" t="n">
        <v>1</v>
      </c>
      <c r="J73" s="1" t="s">
        <v>1384</v>
      </c>
      <c r="K73" s="65" t="n">
        <v>171.5</v>
      </c>
      <c r="N73" s="15" t="n">
        <v>46245</v>
      </c>
      <c r="O73" s="65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1421</v>
      </c>
      <c r="D74" s="1" t="s">
        <v>1422</v>
      </c>
      <c r="E74" s="15" t="n">
        <v>46183</v>
      </c>
      <c r="F74" s="15" t="n">
        <v>46183</v>
      </c>
      <c r="G74" s="1" t="s">
        <v>250</v>
      </c>
      <c r="H74" s="1" t="n">
        <v>1231774</v>
      </c>
      <c r="I74" s="1" t="n">
        <v>1</v>
      </c>
      <c r="J74" s="1" t="s">
        <v>1384</v>
      </c>
      <c r="K74" s="65" t="n">
        <v>1101.98</v>
      </c>
      <c r="N74" s="15" t="n">
        <v>46246</v>
      </c>
      <c r="O74" s="65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1423</v>
      </c>
      <c r="D75" s="1" t="s">
        <v>1422</v>
      </c>
      <c r="E75" s="15" t="n">
        <v>46183</v>
      </c>
      <c r="F75" s="15" t="n">
        <v>46183</v>
      </c>
      <c r="G75" s="1" t="s">
        <v>250</v>
      </c>
      <c r="H75" s="1" t="n">
        <v>1231766</v>
      </c>
      <c r="I75" s="1" t="n">
        <v>1</v>
      </c>
      <c r="J75" s="1" t="s">
        <v>1384</v>
      </c>
      <c r="K75" s="65" t="n">
        <v>1844.15</v>
      </c>
      <c r="N75" s="15" t="n">
        <v>46247</v>
      </c>
      <c r="O75" s="65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1390</v>
      </c>
      <c r="D76" s="1" t="s">
        <v>1411</v>
      </c>
      <c r="E76" s="15" t="n">
        <v>46183</v>
      </c>
      <c r="F76" s="15" t="n">
        <v>46182</v>
      </c>
      <c r="G76" s="1" t="s">
        <v>164</v>
      </c>
      <c r="H76" s="1" t="n">
        <v>1230947</v>
      </c>
      <c r="I76" s="1" t="n">
        <v>1</v>
      </c>
      <c r="J76" s="1" t="s">
        <v>1384</v>
      </c>
      <c r="K76" s="65" t="n">
        <v>1474.13</v>
      </c>
      <c r="N76" s="15" t="n">
        <v>46248</v>
      </c>
      <c r="O76" s="65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1390</v>
      </c>
      <c r="D77" s="1" t="s">
        <v>1424</v>
      </c>
      <c r="E77" s="15" t="n">
        <v>46183</v>
      </c>
      <c r="F77" s="15" t="n">
        <v>46183</v>
      </c>
      <c r="G77" s="1" t="s">
        <v>400</v>
      </c>
      <c r="H77" s="1" t="n">
        <v>1231978</v>
      </c>
      <c r="I77" s="1" t="n">
        <v>1</v>
      </c>
      <c r="J77" s="1" t="s">
        <v>1384</v>
      </c>
      <c r="K77" s="65" t="n">
        <v>250</v>
      </c>
      <c r="N77" s="15" t="n">
        <v>46249</v>
      </c>
      <c r="O77" s="65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1390</v>
      </c>
      <c r="D78" s="1" t="s">
        <v>1425</v>
      </c>
      <c r="E78" s="15" t="n">
        <v>46183</v>
      </c>
      <c r="F78" s="15" t="n">
        <v>46183</v>
      </c>
      <c r="G78" s="1" t="s">
        <v>320</v>
      </c>
      <c r="H78" s="1" t="n">
        <v>1231225</v>
      </c>
      <c r="I78" s="1" t="n">
        <v>1</v>
      </c>
      <c r="J78" s="1" t="s">
        <v>1384</v>
      </c>
      <c r="K78" s="65" t="n">
        <v>160.32</v>
      </c>
      <c r="N78" s="15" t="n">
        <v>46250</v>
      </c>
      <c r="O78" s="65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1382</v>
      </c>
      <c r="D79" s="1" t="s">
        <v>1399</v>
      </c>
      <c r="E79" s="15" t="n">
        <v>46183</v>
      </c>
      <c r="F79" s="15" t="n">
        <v>46183</v>
      </c>
      <c r="G79" s="1" t="s">
        <v>141</v>
      </c>
      <c r="H79" s="1" t="n">
        <v>1232441</v>
      </c>
      <c r="I79" s="1" t="n">
        <v>1</v>
      </c>
      <c r="J79" s="1" t="s">
        <v>1384</v>
      </c>
      <c r="K79" s="65" t="n">
        <v>200</v>
      </c>
      <c r="N79" s="15" t="n">
        <v>46251</v>
      </c>
      <c r="O79" s="65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1390</v>
      </c>
      <c r="D80" s="1" t="s">
        <v>1426</v>
      </c>
      <c r="E80" s="15" t="n">
        <v>46183</v>
      </c>
      <c r="F80" s="15" t="n">
        <v>46182</v>
      </c>
      <c r="G80" s="1" t="s">
        <v>1427</v>
      </c>
      <c r="H80" s="1" t="n">
        <v>1232476</v>
      </c>
      <c r="I80" s="1" t="n">
        <v>1</v>
      </c>
      <c r="J80" s="1" t="s">
        <v>1384</v>
      </c>
      <c r="K80" s="65" t="n">
        <v>1837.1</v>
      </c>
      <c r="N80" s="15" t="n">
        <v>46252</v>
      </c>
      <c r="O80" s="65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1390</v>
      </c>
      <c r="D81" s="1" t="s">
        <v>1391</v>
      </c>
      <c r="E81" s="15" t="n">
        <v>46183</v>
      </c>
      <c r="F81" s="15" t="n">
        <v>46182</v>
      </c>
      <c r="G81" s="1" t="s">
        <v>248</v>
      </c>
      <c r="H81" s="1" t="n">
        <v>1231585</v>
      </c>
      <c r="I81" s="1" t="n">
        <v>1</v>
      </c>
      <c r="J81" s="1" t="s">
        <v>1384</v>
      </c>
      <c r="K81" s="65" t="n">
        <v>4433</v>
      </c>
      <c r="N81" s="15" t="n">
        <v>46253</v>
      </c>
      <c r="O81" s="65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1390</v>
      </c>
      <c r="D82" s="1" t="s">
        <v>1400</v>
      </c>
      <c r="E82" s="15" t="n">
        <v>46183</v>
      </c>
      <c r="F82" s="15" t="n">
        <v>46183</v>
      </c>
      <c r="G82" s="1" t="s">
        <v>132</v>
      </c>
      <c r="H82" s="1" t="n">
        <v>1231001</v>
      </c>
      <c r="I82" s="1" t="n">
        <v>6</v>
      </c>
      <c r="J82" s="1" t="s">
        <v>1384</v>
      </c>
      <c r="K82" s="65" t="n">
        <v>1094</v>
      </c>
      <c r="N82" s="15" t="n">
        <v>46254</v>
      </c>
      <c r="O82" s="65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1390</v>
      </c>
      <c r="D83" s="1" t="s">
        <v>1400</v>
      </c>
      <c r="E83" s="15" t="n">
        <v>46183</v>
      </c>
      <c r="F83" s="15" t="n">
        <v>46183</v>
      </c>
      <c r="G83" s="1" t="s">
        <v>132</v>
      </c>
      <c r="H83" s="1" t="n">
        <v>1231255</v>
      </c>
      <c r="I83" s="1" t="n">
        <v>6</v>
      </c>
      <c r="J83" s="1" t="s">
        <v>1384</v>
      </c>
      <c r="K83" s="65" t="n">
        <v>600</v>
      </c>
      <c r="N83" s="15" t="n">
        <v>46255</v>
      </c>
      <c r="O83" s="65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1390</v>
      </c>
      <c r="D84" s="1" t="s">
        <v>1400</v>
      </c>
      <c r="E84" s="15" t="n">
        <v>46183</v>
      </c>
      <c r="F84" s="15" t="n">
        <v>46183</v>
      </c>
      <c r="G84" s="1" t="s">
        <v>132</v>
      </c>
      <c r="H84" s="1" t="n">
        <v>1231437</v>
      </c>
      <c r="I84" s="1" t="n">
        <v>6</v>
      </c>
      <c r="J84" s="1" t="s">
        <v>1384</v>
      </c>
      <c r="K84" s="65" t="n">
        <v>1800</v>
      </c>
      <c r="N84" s="15" t="n">
        <v>46256</v>
      </c>
      <c r="O84" s="65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1390</v>
      </c>
      <c r="D85" s="1" t="s">
        <v>1400</v>
      </c>
      <c r="E85" s="15" t="n">
        <v>46183</v>
      </c>
      <c r="F85" s="15" t="n">
        <v>46183</v>
      </c>
      <c r="G85" s="1" t="s">
        <v>132</v>
      </c>
      <c r="H85" s="1" t="n">
        <v>1231753</v>
      </c>
      <c r="I85" s="1" t="n">
        <v>6</v>
      </c>
      <c r="J85" s="1" t="s">
        <v>1384</v>
      </c>
      <c r="K85" s="65" t="n">
        <v>195</v>
      </c>
      <c r="N85" s="15" t="n">
        <v>46257</v>
      </c>
      <c r="O85" s="65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1390</v>
      </c>
      <c r="D86" s="1" t="s">
        <v>1400</v>
      </c>
      <c r="E86" s="15" t="n">
        <v>46183</v>
      </c>
      <c r="F86" s="15" t="n">
        <v>46183</v>
      </c>
      <c r="G86" s="1" t="s">
        <v>132</v>
      </c>
      <c r="H86" s="1" t="n">
        <v>1230995</v>
      </c>
      <c r="I86" s="1" t="n">
        <v>2</v>
      </c>
      <c r="J86" s="1" t="s">
        <v>1384</v>
      </c>
      <c r="K86" s="65" t="n">
        <v>1094</v>
      </c>
      <c r="N86" s="15" t="n">
        <v>46258</v>
      </c>
      <c r="O86" s="65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1390</v>
      </c>
      <c r="D87" s="1" t="s">
        <v>1400</v>
      </c>
      <c r="E87" s="15" t="n">
        <v>46183</v>
      </c>
      <c r="F87" s="15" t="n">
        <v>46183</v>
      </c>
      <c r="G87" s="1" t="s">
        <v>132</v>
      </c>
      <c r="H87" s="1" t="n">
        <v>1231739</v>
      </c>
      <c r="I87" s="1" t="n">
        <v>2</v>
      </c>
      <c r="J87" s="1" t="s">
        <v>1384</v>
      </c>
      <c r="K87" s="65" t="n">
        <v>195</v>
      </c>
      <c r="N87" s="15" t="n">
        <v>46259</v>
      </c>
      <c r="O87" s="65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1390</v>
      </c>
      <c r="D88" s="1" t="s">
        <v>1400</v>
      </c>
      <c r="E88" s="15" t="n">
        <v>46183</v>
      </c>
      <c r="F88" s="15" t="n">
        <v>46183</v>
      </c>
      <c r="G88" s="1" t="s">
        <v>132</v>
      </c>
      <c r="H88" s="1" t="n">
        <v>1231248</v>
      </c>
      <c r="I88" s="1" t="n">
        <v>2</v>
      </c>
      <c r="J88" s="1" t="s">
        <v>1384</v>
      </c>
      <c r="K88" s="65" t="n">
        <v>600</v>
      </c>
      <c r="N88" s="15" t="n">
        <v>46260</v>
      </c>
      <c r="O88" s="65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1390</v>
      </c>
      <c r="D89" s="1" t="s">
        <v>1400</v>
      </c>
      <c r="E89" s="15" t="n">
        <v>46183</v>
      </c>
      <c r="F89" s="15" t="n">
        <v>46183</v>
      </c>
      <c r="G89" s="1" t="s">
        <v>132</v>
      </c>
      <c r="H89" s="1" t="n">
        <v>1231424</v>
      </c>
      <c r="I89" s="1" t="n">
        <v>2</v>
      </c>
      <c r="J89" s="1" t="s">
        <v>1384</v>
      </c>
      <c r="K89" s="65" t="n">
        <v>1800</v>
      </c>
      <c r="N89" s="15" t="n">
        <v>46261</v>
      </c>
      <c r="O89" s="65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1428</v>
      </c>
      <c r="D90" s="1" t="s">
        <v>1429</v>
      </c>
      <c r="E90" s="15" t="n">
        <v>46183</v>
      </c>
      <c r="F90" s="15" t="n">
        <v>46176</v>
      </c>
      <c r="G90" s="1" t="s">
        <v>206</v>
      </c>
      <c r="H90" s="1" t="n">
        <v>1231205</v>
      </c>
      <c r="I90" s="1" t="n">
        <v>11</v>
      </c>
      <c r="J90" s="1" t="s">
        <v>1384</v>
      </c>
      <c r="K90" s="65" t="n">
        <v>18322.09</v>
      </c>
      <c r="N90" s="15" t="n">
        <v>46262</v>
      </c>
      <c r="O90" s="65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1390</v>
      </c>
      <c r="D91" s="1" t="s">
        <v>1430</v>
      </c>
      <c r="E91" s="15" t="n">
        <v>46184</v>
      </c>
      <c r="F91" s="15" t="n">
        <v>46176</v>
      </c>
      <c r="G91" s="1" t="s">
        <v>73</v>
      </c>
      <c r="H91" s="1" t="n">
        <v>1235276</v>
      </c>
      <c r="I91" s="1" t="n">
        <v>11</v>
      </c>
      <c r="J91" s="1" t="s">
        <v>1384</v>
      </c>
      <c r="K91" s="65" t="n">
        <v>3870.5</v>
      </c>
      <c r="N91" s="15" t="n">
        <v>46263</v>
      </c>
      <c r="O91" s="65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1431</v>
      </c>
      <c r="D92" s="1" t="s">
        <v>1432</v>
      </c>
      <c r="E92" s="15" t="n">
        <v>46184</v>
      </c>
      <c r="F92" s="15" t="n">
        <v>46179</v>
      </c>
      <c r="G92" s="1" t="s">
        <v>351</v>
      </c>
      <c r="H92" s="1" t="n">
        <v>1236453</v>
      </c>
      <c r="I92" s="1" t="n">
        <v>1</v>
      </c>
      <c r="J92" s="1" t="s">
        <v>1384</v>
      </c>
      <c r="K92" s="65" t="n">
        <v>2512.45</v>
      </c>
      <c r="N92" s="15" t="n">
        <v>46264</v>
      </c>
      <c r="O92" s="65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1390</v>
      </c>
      <c r="D93" s="1" t="s">
        <v>1433</v>
      </c>
      <c r="E93" s="15" t="n">
        <v>46184</v>
      </c>
      <c r="F93" s="15" t="n">
        <v>46183</v>
      </c>
      <c r="G93" s="1" t="s">
        <v>175</v>
      </c>
      <c r="H93" s="1" t="n">
        <v>1236541</v>
      </c>
      <c r="I93" s="1" t="n">
        <v>1</v>
      </c>
      <c r="J93" s="1" t="s">
        <v>1384</v>
      </c>
      <c r="K93" s="65" t="n">
        <v>433.35</v>
      </c>
      <c r="N93" s="15" t="n">
        <v>46265</v>
      </c>
      <c r="O93" s="65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1390</v>
      </c>
      <c r="D94" s="1" t="s">
        <v>1433</v>
      </c>
      <c r="E94" s="15" t="n">
        <v>46184</v>
      </c>
      <c r="F94" s="15" t="n">
        <v>46183</v>
      </c>
      <c r="G94" s="1" t="s">
        <v>175</v>
      </c>
      <c r="H94" s="1" t="n">
        <v>1236598</v>
      </c>
      <c r="I94" s="1" t="n">
        <v>1</v>
      </c>
      <c r="J94" s="1" t="s">
        <v>1384</v>
      </c>
      <c r="K94" s="65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1390</v>
      </c>
      <c r="D95" s="1" t="s">
        <v>1398</v>
      </c>
      <c r="E95" s="15" t="n">
        <v>46184</v>
      </c>
      <c r="F95" s="15" t="n">
        <v>46183</v>
      </c>
      <c r="G95" s="1" t="s">
        <v>201</v>
      </c>
      <c r="H95" s="1" t="n">
        <v>1234920</v>
      </c>
      <c r="I95" s="1" t="n">
        <v>1</v>
      </c>
      <c r="J95" s="1" t="s">
        <v>1384</v>
      </c>
      <c r="K95" s="65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1390</v>
      </c>
      <c r="D96" s="1" t="s">
        <v>1434</v>
      </c>
      <c r="E96" s="15" t="n">
        <v>46184</v>
      </c>
      <c r="F96" s="15" t="n">
        <v>46183</v>
      </c>
      <c r="G96" s="1" t="s">
        <v>85</v>
      </c>
      <c r="H96" s="1" t="n">
        <v>1236667</v>
      </c>
      <c r="I96" s="1" t="n">
        <v>11</v>
      </c>
      <c r="J96" s="1" t="s">
        <v>1384</v>
      </c>
      <c r="K96" s="65" t="n">
        <v>3312.16</v>
      </c>
      <c r="N96" s="33" t="s">
        <v>1435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1390</v>
      </c>
      <c r="D97" s="1" t="s">
        <v>1436</v>
      </c>
      <c r="E97" s="15" t="n">
        <v>46184</v>
      </c>
      <c r="F97" s="15" t="n">
        <v>46184</v>
      </c>
      <c r="G97" s="1" t="s">
        <v>410</v>
      </c>
      <c r="H97" s="1" t="n">
        <v>1235244</v>
      </c>
      <c r="I97" s="1" t="n">
        <v>1</v>
      </c>
      <c r="J97" s="1" t="s">
        <v>1384</v>
      </c>
      <c r="K97" s="65" t="n">
        <v>345.7</v>
      </c>
      <c r="N97" s="64" t="s">
        <v>1303</v>
      </c>
      <c r="O97" s="64" t="s">
        <v>1437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1421</v>
      </c>
      <c r="D98" s="1" t="s">
        <v>1438</v>
      </c>
      <c r="E98" s="15" t="n">
        <v>46184</v>
      </c>
      <c r="F98" s="15" t="n">
        <v>46183</v>
      </c>
      <c r="G98" s="1" t="s">
        <v>412</v>
      </c>
      <c r="H98" s="1" t="n">
        <v>1236954</v>
      </c>
      <c r="I98" s="1" t="n">
        <v>1</v>
      </c>
      <c r="J98" s="1" t="s">
        <v>1384</v>
      </c>
      <c r="K98" s="65" t="n">
        <v>278</v>
      </c>
      <c r="N98" s="1" t="s">
        <v>1312</v>
      </c>
      <c r="O98" s="65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1390</v>
      </c>
      <c r="D99" s="1" t="s">
        <v>1439</v>
      </c>
      <c r="E99" s="15" t="n">
        <v>46184</v>
      </c>
      <c r="F99" s="15" t="n">
        <v>46183</v>
      </c>
      <c r="G99" s="1" t="s">
        <v>489</v>
      </c>
      <c r="H99" s="1" t="n">
        <v>1236653</v>
      </c>
      <c r="I99" s="1" t="n">
        <v>1</v>
      </c>
      <c r="J99" s="1" t="s">
        <v>1384</v>
      </c>
      <c r="K99" s="65" t="n">
        <v>734.33</v>
      </c>
      <c r="N99" s="1" t="s">
        <v>1313</v>
      </c>
      <c r="O99" s="65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1390</v>
      </c>
      <c r="D100" s="1" t="s">
        <v>1440</v>
      </c>
      <c r="E100" s="15" t="n">
        <v>46184</v>
      </c>
      <c r="F100" s="15" t="n">
        <v>46176</v>
      </c>
      <c r="G100" s="1" t="s">
        <v>616</v>
      </c>
      <c r="H100" s="1" t="n">
        <v>1235087</v>
      </c>
      <c r="I100" s="1" t="n">
        <v>11</v>
      </c>
      <c r="J100" s="1" t="s">
        <v>1384</v>
      </c>
      <c r="K100" s="65" t="n">
        <v>1366.12</v>
      </c>
      <c r="N100" s="1" t="s">
        <v>1314</v>
      </c>
      <c r="O100" s="65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1385</v>
      </c>
      <c r="D101" s="1" t="s">
        <v>1386</v>
      </c>
      <c r="E101" s="15" t="n">
        <v>46185</v>
      </c>
      <c r="F101" s="15" t="n">
        <v>46184</v>
      </c>
      <c r="G101" s="1" t="s">
        <v>119</v>
      </c>
      <c r="H101" s="1" t="n">
        <v>1241797</v>
      </c>
      <c r="I101" s="1" t="n">
        <v>1</v>
      </c>
      <c r="J101" s="1" t="s">
        <v>1384</v>
      </c>
      <c r="K101" s="65" t="n">
        <v>192.43</v>
      </c>
      <c r="N101" s="66" t="s">
        <v>1331</v>
      </c>
      <c r="O101" s="67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1385</v>
      </c>
      <c r="D102" s="1" t="s">
        <v>1386</v>
      </c>
      <c r="E102" s="15" t="n">
        <v>46185</v>
      </c>
      <c r="F102" s="15" t="n">
        <v>46184</v>
      </c>
      <c r="G102" s="1" t="s">
        <v>119</v>
      </c>
      <c r="H102" s="1" t="n">
        <v>1241801</v>
      </c>
      <c r="I102" s="1" t="n">
        <v>1</v>
      </c>
      <c r="J102" s="1" t="s">
        <v>1384</v>
      </c>
      <c r="K102" s="65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1387</v>
      </c>
      <c r="D103" s="1" t="s">
        <v>1386</v>
      </c>
      <c r="E103" s="15" t="n">
        <v>46185</v>
      </c>
      <c r="F103" s="15" t="n">
        <v>46184</v>
      </c>
      <c r="G103" s="1" t="s">
        <v>119</v>
      </c>
      <c r="H103" s="1" t="n">
        <v>1241783</v>
      </c>
      <c r="I103" s="1" t="n">
        <v>1</v>
      </c>
      <c r="J103" s="1" t="s">
        <v>1384</v>
      </c>
      <c r="K103" s="65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1387</v>
      </c>
      <c r="D104" s="1" t="s">
        <v>1386</v>
      </c>
      <c r="E104" s="15" t="n">
        <v>46185</v>
      </c>
      <c r="F104" s="15" t="n">
        <v>46184</v>
      </c>
      <c r="G104" s="1" t="s">
        <v>119</v>
      </c>
      <c r="H104" s="1" t="n">
        <v>1241857</v>
      </c>
      <c r="I104" s="1" t="n">
        <v>1</v>
      </c>
      <c r="J104" s="1" t="s">
        <v>1384</v>
      </c>
      <c r="K104" s="65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1390</v>
      </c>
      <c r="D105" s="1" t="s">
        <v>1441</v>
      </c>
      <c r="E105" s="15" t="n">
        <v>46185</v>
      </c>
      <c r="F105" s="15" t="n">
        <v>46185</v>
      </c>
      <c r="G105" s="1" t="s">
        <v>94</v>
      </c>
      <c r="H105" s="1" t="n">
        <v>1239822</v>
      </c>
      <c r="I105" s="1" t="n">
        <v>1</v>
      </c>
      <c r="J105" s="1" t="s">
        <v>1384</v>
      </c>
      <c r="K105" s="65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1390</v>
      </c>
      <c r="D106" s="1" t="s">
        <v>1397</v>
      </c>
      <c r="E106" s="15" t="n">
        <v>46185</v>
      </c>
      <c r="F106" s="15" t="n">
        <v>46184</v>
      </c>
      <c r="G106" s="1" t="s">
        <v>210</v>
      </c>
      <c r="H106" s="1" t="n">
        <v>1241572</v>
      </c>
      <c r="I106" s="1" t="n">
        <v>1</v>
      </c>
      <c r="J106" s="1" t="s">
        <v>1384</v>
      </c>
      <c r="K106" s="65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1390</v>
      </c>
      <c r="D107" s="1" t="s">
        <v>1398</v>
      </c>
      <c r="E107" s="15" t="n">
        <v>46185</v>
      </c>
      <c r="F107" s="15" t="n">
        <v>46185</v>
      </c>
      <c r="G107" s="1" t="s">
        <v>201</v>
      </c>
      <c r="H107" s="1" t="n">
        <v>1240331</v>
      </c>
      <c r="I107" s="1" t="n">
        <v>1</v>
      </c>
      <c r="J107" s="1" t="s">
        <v>1384</v>
      </c>
      <c r="K107" s="65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1390</v>
      </c>
      <c r="D108" s="1" t="s">
        <v>1442</v>
      </c>
      <c r="E108" s="15" t="n">
        <v>46185</v>
      </c>
      <c r="F108" s="15" t="n">
        <v>46183</v>
      </c>
      <c r="G108" s="1" t="s">
        <v>80</v>
      </c>
      <c r="H108" s="1" t="n">
        <v>1241897</v>
      </c>
      <c r="I108" s="1" t="n">
        <v>1</v>
      </c>
      <c r="J108" s="1" t="s">
        <v>1384</v>
      </c>
      <c r="K108" s="65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1390</v>
      </c>
      <c r="D109" s="1" t="s">
        <v>1443</v>
      </c>
      <c r="E109" s="15" t="n">
        <v>46185</v>
      </c>
      <c r="F109" s="15" t="n">
        <v>46184</v>
      </c>
      <c r="G109" s="1" t="s">
        <v>82</v>
      </c>
      <c r="H109" s="1" t="n">
        <v>1240497</v>
      </c>
      <c r="I109" s="1" t="n">
        <v>11</v>
      </c>
      <c r="J109" s="1" t="s">
        <v>1384</v>
      </c>
      <c r="K109" s="65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1390</v>
      </c>
      <c r="D110" s="1" t="s">
        <v>1404</v>
      </c>
      <c r="E110" s="15" t="n">
        <v>46185</v>
      </c>
      <c r="F110" s="15" t="n">
        <v>46184</v>
      </c>
      <c r="G110" s="1" t="s">
        <v>126</v>
      </c>
      <c r="H110" s="1" t="n">
        <v>1241605</v>
      </c>
      <c r="I110" s="1" t="n">
        <v>1</v>
      </c>
      <c r="J110" s="1" t="s">
        <v>1384</v>
      </c>
      <c r="K110" s="65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1390</v>
      </c>
      <c r="D111" s="1" t="s">
        <v>1400</v>
      </c>
      <c r="E111" s="15" t="n">
        <v>46185</v>
      </c>
      <c r="F111" s="15" t="n">
        <v>46185</v>
      </c>
      <c r="G111" s="1" t="s">
        <v>132</v>
      </c>
      <c r="H111" s="1" t="n">
        <v>1240627</v>
      </c>
      <c r="I111" s="1" t="n">
        <v>6</v>
      </c>
      <c r="J111" s="1" t="s">
        <v>1384</v>
      </c>
      <c r="K111" s="65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1390</v>
      </c>
      <c r="D112" s="1" t="s">
        <v>1400</v>
      </c>
      <c r="E112" s="15" t="n">
        <v>46185</v>
      </c>
      <c r="F112" s="15" t="n">
        <v>46185</v>
      </c>
      <c r="G112" s="1" t="s">
        <v>132</v>
      </c>
      <c r="H112" s="1" t="n">
        <v>1241673</v>
      </c>
      <c r="I112" s="1" t="n">
        <v>6</v>
      </c>
      <c r="J112" s="1" t="s">
        <v>1384</v>
      </c>
      <c r="K112" s="65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1390</v>
      </c>
      <c r="D113" s="1" t="s">
        <v>1400</v>
      </c>
      <c r="E113" s="15" t="n">
        <v>46185</v>
      </c>
      <c r="F113" s="15" t="n">
        <v>46185</v>
      </c>
      <c r="G113" s="1" t="s">
        <v>132</v>
      </c>
      <c r="H113" s="1" t="n">
        <v>1240618</v>
      </c>
      <c r="I113" s="1" t="n">
        <v>2</v>
      </c>
      <c r="J113" s="1" t="s">
        <v>1384</v>
      </c>
      <c r="K113" s="65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1390</v>
      </c>
      <c r="D114" s="1" t="s">
        <v>1400</v>
      </c>
      <c r="E114" s="15" t="n">
        <v>46185</v>
      </c>
      <c r="F114" s="15" t="n">
        <v>46185</v>
      </c>
      <c r="G114" s="1" t="s">
        <v>132</v>
      </c>
      <c r="H114" s="1" t="n">
        <v>1241650</v>
      </c>
      <c r="I114" s="1" t="n">
        <v>2</v>
      </c>
      <c r="J114" s="1" t="s">
        <v>1384</v>
      </c>
      <c r="K114" s="65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1390</v>
      </c>
      <c r="D115" s="1" t="s">
        <v>1401</v>
      </c>
      <c r="E115" s="15" t="n">
        <v>46185</v>
      </c>
      <c r="F115" s="15" t="n">
        <v>46184</v>
      </c>
      <c r="G115" s="1" t="s">
        <v>92</v>
      </c>
      <c r="H115" s="1" t="n">
        <v>1241587</v>
      </c>
      <c r="I115" s="1" t="n">
        <v>1</v>
      </c>
      <c r="J115" s="1" t="s">
        <v>1384</v>
      </c>
      <c r="K115" s="65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1390</v>
      </c>
      <c r="D116" s="1" t="s">
        <v>1444</v>
      </c>
      <c r="E116" s="15" t="n">
        <v>46185</v>
      </c>
      <c r="F116" s="15" t="n">
        <v>46180</v>
      </c>
      <c r="G116" s="1" t="s">
        <v>381</v>
      </c>
      <c r="H116" s="1" t="n">
        <v>1300203</v>
      </c>
      <c r="I116" s="1" t="n">
        <v>11</v>
      </c>
      <c r="J116" s="1" t="s">
        <v>1384</v>
      </c>
      <c r="K116" s="65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1382</v>
      </c>
      <c r="D117" s="1" t="s">
        <v>1392</v>
      </c>
      <c r="E117" s="15" t="n">
        <v>46185</v>
      </c>
      <c r="F117" s="15" t="n">
        <v>46185</v>
      </c>
      <c r="G117" s="1" t="s">
        <v>194</v>
      </c>
      <c r="H117" s="1" t="n">
        <v>1241529</v>
      </c>
      <c r="I117" s="1" t="n">
        <v>1</v>
      </c>
      <c r="J117" s="1" t="s">
        <v>1384</v>
      </c>
      <c r="K117" s="65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1390</v>
      </c>
      <c r="D118" s="1" t="s">
        <v>1395</v>
      </c>
      <c r="E118" s="15" t="n">
        <v>46186</v>
      </c>
      <c r="F118" s="15" t="n">
        <v>46185</v>
      </c>
      <c r="G118" s="1" t="s">
        <v>130</v>
      </c>
      <c r="H118" s="1" t="n">
        <v>1244039</v>
      </c>
      <c r="I118" s="1" t="n">
        <v>1</v>
      </c>
      <c r="J118" s="1" t="s">
        <v>1384</v>
      </c>
      <c r="K118" s="65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1390</v>
      </c>
      <c r="D119" s="1" t="s">
        <v>1396</v>
      </c>
      <c r="E119" s="15" t="n">
        <v>46186</v>
      </c>
      <c r="F119" s="15" t="n">
        <v>46185</v>
      </c>
      <c r="G119" s="1" t="s">
        <v>220</v>
      </c>
      <c r="H119" s="1" t="n">
        <v>1244883</v>
      </c>
      <c r="I119" s="1" t="n">
        <v>1</v>
      </c>
      <c r="J119" s="1" t="s">
        <v>1384</v>
      </c>
      <c r="K119" s="65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1390</v>
      </c>
      <c r="D120" s="1" t="s">
        <v>1434</v>
      </c>
      <c r="E120" s="15" t="n">
        <v>46186</v>
      </c>
      <c r="F120" s="15" t="n">
        <v>46184</v>
      </c>
      <c r="G120" s="1" t="s">
        <v>85</v>
      </c>
      <c r="H120" s="1" t="n">
        <v>1244627</v>
      </c>
      <c r="I120" s="1" t="n">
        <v>1</v>
      </c>
      <c r="J120" s="1" t="s">
        <v>1384</v>
      </c>
      <c r="K120" s="65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1388</v>
      </c>
      <c r="D121" s="1" t="s">
        <v>1389</v>
      </c>
      <c r="E121" s="15" t="n">
        <v>46186</v>
      </c>
      <c r="F121" s="15" t="n">
        <v>46185</v>
      </c>
      <c r="G121" s="1" t="s">
        <v>369</v>
      </c>
      <c r="H121" s="1" t="n">
        <v>1244024</v>
      </c>
      <c r="I121" s="1" t="n">
        <v>1</v>
      </c>
      <c r="J121" s="1" t="s">
        <v>1384</v>
      </c>
      <c r="K121" s="65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1390</v>
      </c>
      <c r="D122" s="1" t="s">
        <v>1445</v>
      </c>
      <c r="E122" s="15" t="n">
        <v>46186</v>
      </c>
      <c r="F122" s="15" t="n">
        <v>46185</v>
      </c>
      <c r="G122" s="1" t="s">
        <v>422</v>
      </c>
      <c r="H122" s="1" t="n">
        <v>1244029</v>
      </c>
      <c r="I122" s="1" t="n">
        <v>1</v>
      </c>
      <c r="J122" s="1" t="s">
        <v>1384</v>
      </c>
      <c r="K122" s="65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1390</v>
      </c>
      <c r="D123" s="1" t="s">
        <v>1446</v>
      </c>
      <c r="E123" s="15" t="n">
        <v>46186</v>
      </c>
      <c r="F123" s="15" t="n">
        <v>46184</v>
      </c>
      <c r="G123" s="1" t="s">
        <v>417</v>
      </c>
      <c r="H123" s="1" t="n">
        <v>1244221</v>
      </c>
      <c r="I123" s="1" t="n">
        <v>1</v>
      </c>
      <c r="J123" s="1" t="s">
        <v>1384</v>
      </c>
      <c r="K123" s="65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1447</v>
      </c>
      <c r="D124" s="1" t="s">
        <v>1448</v>
      </c>
      <c r="E124" s="15" t="n">
        <v>46186</v>
      </c>
      <c r="F124" s="15" t="n">
        <v>46184</v>
      </c>
      <c r="G124" s="1" t="s">
        <v>512</v>
      </c>
      <c r="H124" s="1" t="n">
        <v>1244274</v>
      </c>
      <c r="I124" s="1" t="n">
        <v>1</v>
      </c>
      <c r="J124" s="1" t="s">
        <v>1384</v>
      </c>
      <c r="K124" s="65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1447</v>
      </c>
      <c r="D125" s="1" t="s">
        <v>1449</v>
      </c>
      <c r="E125" s="15" t="n">
        <v>46186</v>
      </c>
      <c r="F125" s="15" t="n">
        <v>46183</v>
      </c>
      <c r="G125" s="1" t="s">
        <v>168</v>
      </c>
      <c r="H125" s="1" t="n">
        <v>1244256</v>
      </c>
      <c r="I125" s="1" t="n">
        <v>1</v>
      </c>
      <c r="J125" s="1" t="s">
        <v>1384</v>
      </c>
      <c r="K125" s="65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1428</v>
      </c>
      <c r="D126" s="1" t="s">
        <v>1429</v>
      </c>
      <c r="E126" s="15" t="n">
        <v>46186</v>
      </c>
      <c r="F126" s="15" t="n">
        <v>46183</v>
      </c>
      <c r="G126" s="1" t="s">
        <v>206</v>
      </c>
      <c r="H126" s="1" t="n">
        <v>1244689</v>
      </c>
      <c r="I126" s="1" t="n">
        <v>1</v>
      </c>
      <c r="J126" s="1" t="s">
        <v>1384</v>
      </c>
      <c r="K126" s="65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1390</v>
      </c>
      <c r="D127" s="1" t="s">
        <v>1450</v>
      </c>
      <c r="E127" s="15" t="n">
        <v>46188</v>
      </c>
      <c r="F127" s="15" t="n">
        <v>46184</v>
      </c>
      <c r="G127" s="1" t="s">
        <v>197</v>
      </c>
      <c r="H127" s="1" t="n">
        <v>1255113</v>
      </c>
      <c r="I127" s="1" t="n">
        <v>1</v>
      </c>
      <c r="J127" s="1" t="s">
        <v>1384</v>
      </c>
      <c r="K127" s="65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1390</v>
      </c>
      <c r="D128" s="1" t="s">
        <v>1450</v>
      </c>
      <c r="E128" s="15" t="n">
        <v>46188</v>
      </c>
      <c r="F128" s="15" t="n">
        <v>46185</v>
      </c>
      <c r="G128" s="1" t="s">
        <v>197</v>
      </c>
      <c r="H128" s="1" t="n">
        <v>1257254</v>
      </c>
      <c r="I128" s="1" t="n">
        <v>1</v>
      </c>
      <c r="J128" s="1" t="s">
        <v>1384</v>
      </c>
      <c r="K128" s="65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1390</v>
      </c>
      <c r="D129" s="1" t="s">
        <v>1403</v>
      </c>
      <c r="E129" s="15" t="n">
        <v>46188</v>
      </c>
      <c r="F129" s="15" t="n">
        <v>46186</v>
      </c>
      <c r="G129" s="1" t="s">
        <v>332</v>
      </c>
      <c r="H129" s="1" t="n">
        <v>1257108</v>
      </c>
      <c r="I129" s="1" t="n">
        <v>1</v>
      </c>
      <c r="J129" s="1" t="s">
        <v>1384</v>
      </c>
      <c r="K129" s="65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1451</v>
      </c>
      <c r="D130" s="1" t="s">
        <v>1452</v>
      </c>
      <c r="E130" s="15" t="n">
        <v>46188</v>
      </c>
      <c r="F130" s="15" t="n">
        <v>46184</v>
      </c>
      <c r="G130" s="1" t="s">
        <v>212</v>
      </c>
      <c r="H130" s="1" t="n">
        <v>1257356</v>
      </c>
      <c r="I130" s="1" t="n">
        <v>1</v>
      </c>
      <c r="J130" s="1" t="s">
        <v>1384</v>
      </c>
      <c r="K130" s="65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1447</v>
      </c>
      <c r="D131" s="1" t="s">
        <v>1453</v>
      </c>
      <c r="E131" s="15" t="n">
        <v>46188</v>
      </c>
      <c r="F131" s="15" t="n">
        <v>46178</v>
      </c>
      <c r="G131" s="1" t="s">
        <v>1454</v>
      </c>
      <c r="H131" s="1" t="n">
        <v>1255758</v>
      </c>
      <c r="I131" s="1" t="n">
        <v>11</v>
      </c>
      <c r="J131" s="1" t="s">
        <v>1384</v>
      </c>
      <c r="K131" s="65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1388</v>
      </c>
      <c r="D132" s="1" t="s">
        <v>1389</v>
      </c>
      <c r="E132" s="15" t="n">
        <v>46188</v>
      </c>
      <c r="F132" s="15" t="n">
        <v>46186</v>
      </c>
      <c r="G132" s="1" t="s">
        <v>369</v>
      </c>
      <c r="H132" s="1" t="n">
        <v>1255081</v>
      </c>
      <c r="I132" s="1" t="n">
        <v>1</v>
      </c>
      <c r="J132" s="1" t="s">
        <v>1384</v>
      </c>
      <c r="K132" s="65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1388</v>
      </c>
      <c r="D133" s="1" t="s">
        <v>1389</v>
      </c>
      <c r="E133" s="15" t="n">
        <v>46188</v>
      </c>
      <c r="F133" s="15" t="n">
        <v>46188</v>
      </c>
      <c r="G133" s="1" t="s">
        <v>369</v>
      </c>
      <c r="H133" s="1" t="n">
        <v>1257021</v>
      </c>
      <c r="I133" s="1" t="n">
        <v>1</v>
      </c>
      <c r="J133" s="1" t="s">
        <v>1384</v>
      </c>
      <c r="K133" s="65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1390</v>
      </c>
      <c r="D134" s="1" t="s">
        <v>1455</v>
      </c>
      <c r="E134" s="15" t="n">
        <v>46188</v>
      </c>
      <c r="F134" s="15" t="n">
        <v>46178</v>
      </c>
      <c r="G134" s="1" t="s">
        <v>618</v>
      </c>
      <c r="H134" s="1" t="n">
        <v>1255668</v>
      </c>
      <c r="I134" s="1" t="n">
        <v>11</v>
      </c>
      <c r="J134" s="1" t="s">
        <v>1384</v>
      </c>
      <c r="K134" s="65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1456</v>
      </c>
      <c r="D135" s="1" t="s">
        <v>1457</v>
      </c>
      <c r="E135" s="15" t="n">
        <v>46188</v>
      </c>
      <c r="F135" s="15" t="n">
        <v>46184</v>
      </c>
      <c r="G135" s="1" t="s">
        <v>156</v>
      </c>
      <c r="H135" s="1" t="n">
        <v>1255460</v>
      </c>
      <c r="I135" s="1" t="n">
        <v>1</v>
      </c>
      <c r="J135" s="1" t="s">
        <v>1384</v>
      </c>
      <c r="K135" s="65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1390</v>
      </c>
      <c r="D136" s="1" t="s">
        <v>1446</v>
      </c>
      <c r="E136" s="15" t="n">
        <v>46188</v>
      </c>
      <c r="F136" s="15" t="n">
        <v>46184</v>
      </c>
      <c r="G136" s="1" t="s">
        <v>417</v>
      </c>
      <c r="H136" s="1" t="n">
        <v>1255566</v>
      </c>
      <c r="I136" s="1" t="n">
        <v>11</v>
      </c>
      <c r="J136" s="1" t="s">
        <v>1384</v>
      </c>
      <c r="K136" s="65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1390</v>
      </c>
      <c r="D137" s="1" t="s">
        <v>1446</v>
      </c>
      <c r="E137" s="15" t="n">
        <v>46188</v>
      </c>
      <c r="F137" s="15" t="n">
        <v>46184</v>
      </c>
      <c r="G137" s="1" t="s">
        <v>417</v>
      </c>
      <c r="H137" s="1" t="n">
        <v>1255613</v>
      </c>
      <c r="I137" s="1" t="n">
        <v>11</v>
      </c>
      <c r="J137" s="1" t="s">
        <v>1384</v>
      </c>
      <c r="K137" s="65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1390</v>
      </c>
      <c r="D138" s="1" t="s">
        <v>1446</v>
      </c>
      <c r="E138" s="15" t="n">
        <v>46188</v>
      </c>
      <c r="F138" s="15" t="n">
        <v>46184</v>
      </c>
      <c r="G138" s="1" t="s">
        <v>417</v>
      </c>
      <c r="H138" s="1" t="n">
        <v>1255250</v>
      </c>
      <c r="I138" s="1" t="n">
        <v>1</v>
      </c>
      <c r="J138" s="1" t="s">
        <v>1384</v>
      </c>
      <c r="K138" s="65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1390</v>
      </c>
      <c r="D139" s="1" t="s">
        <v>1446</v>
      </c>
      <c r="E139" s="15" t="n">
        <v>46188</v>
      </c>
      <c r="F139" s="15" t="n">
        <v>46188</v>
      </c>
      <c r="G139" s="1" t="s">
        <v>417</v>
      </c>
      <c r="H139" s="1" t="n">
        <v>1257189</v>
      </c>
      <c r="I139" s="1" t="n">
        <v>1</v>
      </c>
      <c r="J139" s="1" t="s">
        <v>1384</v>
      </c>
      <c r="K139" s="65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1390</v>
      </c>
      <c r="D140" s="1" t="s">
        <v>1446</v>
      </c>
      <c r="E140" s="15" t="n">
        <v>46188</v>
      </c>
      <c r="F140" s="15" t="n">
        <v>46188</v>
      </c>
      <c r="G140" s="1" t="s">
        <v>417</v>
      </c>
      <c r="H140" s="1" t="n">
        <v>1257210</v>
      </c>
      <c r="I140" s="1" t="n">
        <v>11</v>
      </c>
      <c r="J140" s="1" t="s">
        <v>1384</v>
      </c>
      <c r="K140" s="65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1390</v>
      </c>
      <c r="D141" s="1" t="s">
        <v>1400</v>
      </c>
      <c r="E141" s="15" t="n">
        <v>46188</v>
      </c>
      <c r="F141" s="15" t="n">
        <v>46188</v>
      </c>
      <c r="G141" s="1" t="s">
        <v>132</v>
      </c>
      <c r="H141" s="1" t="n">
        <v>1255540</v>
      </c>
      <c r="I141" s="1" t="n">
        <v>6</v>
      </c>
      <c r="J141" s="1" t="s">
        <v>1384</v>
      </c>
      <c r="K141" s="65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1390</v>
      </c>
      <c r="D142" s="1" t="s">
        <v>1400</v>
      </c>
      <c r="E142" s="15" t="n">
        <v>46188</v>
      </c>
      <c r="F142" s="15" t="n">
        <v>46188</v>
      </c>
      <c r="G142" s="1" t="s">
        <v>132</v>
      </c>
      <c r="H142" s="1" t="n">
        <v>1255530</v>
      </c>
      <c r="I142" s="1" t="n">
        <v>2</v>
      </c>
      <c r="J142" s="1" t="s">
        <v>1384</v>
      </c>
      <c r="K142" s="65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1385</v>
      </c>
      <c r="D143" s="1" t="s">
        <v>1386</v>
      </c>
      <c r="E143" s="15" t="n">
        <v>46189</v>
      </c>
      <c r="F143" s="15" t="n">
        <v>46185</v>
      </c>
      <c r="G143" s="1" t="s">
        <v>119</v>
      </c>
      <c r="H143" s="1" t="n">
        <v>1261517</v>
      </c>
      <c r="I143" s="1" t="n">
        <v>11</v>
      </c>
      <c r="J143" s="1" t="s">
        <v>1384</v>
      </c>
      <c r="K143" s="65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1385</v>
      </c>
      <c r="D144" s="1" t="s">
        <v>1386</v>
      </c>
      <c r="E144" s="15" t="n">
        <v>46189</v>
      </c>
      <c r="F144" s="15" t="n">
        <v>46185</v>
      </c>
      <c r="G144" s="1" t="s">
        <v>119</v>
      </c>
      <c r="H144" s="1" t="n">
        <v>1261488</v>
      </c>
      <c r="I144" s="1" t="n">
        <v>1</v>
      </c>
      <c r="J144" s="1" t="s">
        <v>1384</v>
      </c>
      <c r="K144" s="65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1385</v>
      </c>
      <c r="D145" s="1" t="s">
        <v>1386</v>
      </c>
      <c r="E145" s="15" t="n">
        <v>46189</v>
      </c>
      <c r="F145" s="15" t="n">
        <v>46185</v>
      </c>
      <c r="G145" s="1" t="s">
        <v>119</v>
      </c>
      <c r="H145" s="1" t="n">
        <v>1261495</v>
      </c>
      <c r="I145" s="1" t="n">
        <v>1</v>
      </c>
      <c r="J145" s="1" t="s">
        <v>1384</v>
      </c>
      <c r="K145" s="65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1387</v>
      </c>
      <c r="D146" s="1" t="s">
        <v>1386</v>
      </c>
      <c r="E146" s="15" t="n">
        <v>46189</v>
      </c>
      <c r="F146" s="15" t="n">
        <v>46185</v>
      </c>
      <c r="G146" s="1" t="s">
        <v>119</v>
      </c>
      <c r="H146" s="1" t="n">
        <v>1261504</v>
      </c>
      <c r="I146" s="1" t="n">
        <v>1</v>
      </c>
      <c r="J146" s="1" t="s">
        <v>1384</v>
      </c>
      <c r="K146" s="65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1447</v>
      </c>
      <c r="D147" s="1" t="s">
        <v>1458</v>
      </c>
      <c r="E147" s="15" t="n">
        <v>46189</v>
      </c>
      <c r="F147" s="15" t="n">
        <v>46136</v>
      </c>
      <c r="G147" s="1" t="s">
        <v>1459</v>
      </c>
      <c r="H147" s="1" t="n">
        <v>1261713</v>
      </c>
      <c r="I147" s="1" t="n">
        <v>11</v>
      </c>
      <c r="J147" s="1" t="s">
        <v>1384</v>
      </c>
      <c r="K147" s="65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1390</v>
      </c>
      <c r="D148" s="1" t="s">
        <v>1434</v>
      </c>
      <c r="E148" s="15" t="n">
        <v>46189</v>
      </c>
      <c r="F148" s="15" t="n">
        <v>46142</v>
      </c>
      <c r="G148" s="1" t="s">
        <v>85</v>
      </c>
      <c r="H148" s="1" t="n">
        <v>1260789</v>
      </c>
      <c r="I148" s="1" t="n">
        <v>11</v>
      </c>
      <c r="J148" s="1" t="s">
        <v>1384</v>
      </c>
      <c r="K148" s="65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1390</v>
      </c>
      <c r="D149" s="1" t="s">
        <v>1434</v>
      </c>
      <c r="E149" s="15" t="n">
        <v>46189</v>
      </c>
      <c r="F149" s="15" t="n">
        <v>46185</v>
      </c>
      <c r="G149" s="1" t="s">
        <v>85</v>
      </c>
      <c r="H149" s="1" t="n">
        <v>1260856</v>
      </c>
      <c r="I149" s="1" t="n">
        <v>11</v>
      </c>
      <c r="J149" s="1" t="s">
        <v>1384</v>
      </c>
      <c r="K149" s="65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1431</v>
      </c>
      <c r="D150" s="1" t="s">
        <v>1460</v>
      </c>
      <c r="E150" s="15" t="n">
        <v>46189</v>
      </c>
      <c r="F150" s="15" t="n">
        <v>46186</v>
      </c>
      <c r="G150" s="1" t="s">
        <v>554</v>
      </c>
      <c r="H150" s="1" t="n">
        <v>1261052</v>
      </c>
      <c r="I150" s="1" t="n">
        <v>1</v>
      </c>
      <c r="J150" s="1" t="s">
        <v>1384</v>
      </c>
      <c r="K150" s="65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1431</v>
      </c>
      <c r="D151" s="1" t="s">
        <v>1461</v>
      </c>
      <c r="E151" s="15" t="n">
        <v>46189</v>
      </c>
      <c r="F151" s="15" t="n">
        <v>46188</v>
      </c>
      <c r="G151" s="1" t="s">
        <v>569</v>
      </c>
      <c r="H151" s="1" t="n">
        <v>1260463</v>
      </c>
      <c r="I151" s="1" t="n">
        <v>1</v>
      </c>
      <c r="J151" s="1" t="s">
        <v>1384</v>
      </c>
      <c r="K151" s="65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1390</v>
      </c>
      <c r="D152" s="1" t="s">
        <v>1400</v>
      </c>
      <c r="E152" s="15" t="n">
        <v>46189</v>
      </c>
      <c r="F152" s="15" t="n">
        <v>46189</v>
      </c>
      <c r="G152" s="1" t="s">
        <v>132</v>
      </c>
      <c r="H152" s="1" t="n">
        <v>1261940</v>
      </c>
      <c r="I152" s="1" t="n">
        <v>6</v>
      </c>
      <c r="J152" s="1" t="s">
        <v>1384</v>
      </c>
      <c r="K152" s="65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1390</v>
      </c>
      <c r="D153" s="1" t="s">
        <v>1400</v>
      </c>
      <c r="E153" s="15" t="n">
        <v>46189</v>
      </c>
      <c r="F153" s="15" t="n">
        <v>46189</v>
      </c>
      <c r="G153" s="1" t="s">
        <v>132</v>
      </c>
      <c r="H153" s="1" t="n">
        <v>1261929</v>
      </c>
      <c r="I153" s="1" t="n">
        <v>2</v>
      </c>
      <c r="J153" s="1" t="s">
        <v>1384</v>
      </c>
      <c r="K153" s="65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1390</v>
      </c>
      <c r="D154" s="1" t="s">
        <v>1401</v>
      </c>
      <c r="E154" s="15" t="n">
        <v>46189</v>
      </c>
      <c r="F154" s="15" t="n">
        <v>46188</v>
      </c>
      <c r="G154" s="1" t="s">
        <v>92</v>
      </c>
      <c r="H154" s="1" t="n">
        <v>1261465</v>
      </c>
      <c r="I154" s="1" t="n">
        <v>1</v>
      </c>
      <c r="J154" s="1" t="s">
        <v>1384</v>
      </c>
      <c r="K154" s="65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1390</v>
      </c>
      <c r="D155" s="1" t="s">
        <v>1462</v>
      </c>
      <c r="E155" s="15" t="n">
        <v>46189</v>
      </c>
      <c r="F155" s="15" t="n">
        <v>46139</v>
      </c>
      <c r="G155" s="1" t="s">
        <v>1463</v>
      </c>
      <c r="H155" s="1" t="n">
        <v>1261588</v>
      </c>
      <c r="I155" s="1" t="n">
        <v>39</v>
      </c>
      <c r="J155" s="1" t="s">
        <v>1384</v>
      </c>
      <c r="K155" s="65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1390</v>
      </c>
      <c r="D156" s="1" t="s">
        <v>1464</v>
      </c>
      <c r="E156" s="15" t="n">
        <v>46189</v>
      </c>
      <c r="F156" s="15" t="n">
        <v>46142</v>
      </c>
      <c r="G156" s="1" t="s">
        <v>1465</v>
      </c>
      <c r="H156" s="1" t="n">
        <v>1261842</v>
      </c>
      <c r="I156" s="1" t="n">
        <v>39</v>
      </c>
      <c r="J156" s="1" t="s">
        <v>1384</v>
      </c>
      <c r="K156" s="65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1390</v>
      </c>
      <c r="D157" s="1" t="s">
        <v>1466</v>
      </c>
      <c r="E157" s="15" t="n">
        <v>46189</v>
      </c>
      <c r="F157" s="15" t="n">
        <v>46184</v>
      </c>
      <c r="G157" s="1" t="s">
        <v>300</v>
      </c>
      <c r="H157" s="1" t="n">
        <v>1261007</v>
      </c>
      <c r="I157" s="1" t="n">
        <v>1</v>
      </c>
      <c r="J157" s="1" t="s">
        <v>1384</v>
      </c>
      <c r="K157" s="65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1390</v>
      </c>
      <c r="D158" s="1" t="s">
        <v>1467</v>
      </c>
      <c r="E158" s="15" t="n">
        <v>46189</v>
      </c>
      <c r="F158" s="15" t="n">
        <v>46183</v>
      </c>
      <c r="G158" s="1" t="s">
        <v>245</v>
      </c>
      <c r="H158" s="1" t="n">
        <v>1260710</v>
      </c>
      <c r="I158" s="1" t="n">
        <v>1</v>
      </c>
      <c r="J158" s="1" t="s">
        <v>1384</v>
      </c>
      <c r="K158" s="65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1390</v>
      </c>
      <c r="D159" s="1" t="s">
        <v>1396</v>
      </c>
      <c r="E159" s="15" t="n">
        <v>46190</v>
      </c>
      <c r="F159" s="15" t="n">
        <v>46190</v>
      </c>
      <c r="G159" s="1" t="s">
        <v>220</v>
      </c>
      <c r="H159" s="1" t="n">
        <v>1266335</v>
      </c>
      <c r="I159" s="1" t="n">
        <v>1</v>
      </c>
      <c r="J159" s="1" t="s">
        <v>1384</v>
      </c>
      <c r="K159" s="65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1390</v>
      </c>
      <c r="D160" s="1" t="s">
        <v>1402</v>
      </c>
      <c r="E160" s="15" t="n">
        <v>46190</v>
      </c>
      <c r="F160" s="15" t="n">
        <v>46189</v>
      </c>
      <c r="G160" s="1" t="s">
        <v>117</v>
      </c>
      <c r="H160" s="1" t="n">
        <v>1264969</v>
      </c>
      <c r="I160" s="1" t="n">
        <v>1</v>
      </c>
      <c r="J160" s="1" t="s">
        <v>1384</v>
      </c>
      <c r="K160" s="65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1451</v>
      </c>
      <c r="D161" s="1" t="s">
        <v>1452</v>
      </c>
      <c r="E161" s="15" t="n">
        <v>46190</v>
      </c>
      <c r="F161" s="15" t="n">
        <v>46189</v>
      </c>
      <c r="G161" s="1" t="s">
        <v>212</v>
      </c>
      <c r="H161" s="1" t="n">
        <v>1265880</v>
      </c>
      <c r="I161" s="1" t="n">
        <v>1</v>
      </c>
      <c r="J161" s="1" t="s">
        <v>1384</v>
      </c>
      <c r="K161" s="65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1388</v>
      </c>
      <c r="D162" s="1" t="s">
        <v>1389</v>
      </c>
      <c r="E162" s="15" t="n">
        <v>46190</v>
      </c>
      <c r="F162" s="15" t="n">
        <v>46190</v>
      </c>
      <c r="G162" s="1" t="s">
        <v>369</v>
      </c>
      <c r="H162" s="1" t="n">
        <v>1265907</v>
      </c>
      <c r="I162" s="1" t="n">
        <v>1</v>
      </c>
      <c r="J162" s="1" t="s">
        <v>1384</v>
      </c>
      <c r="K162" s="65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1421</v>
      </c>
      <c r="D163" s="1" t="s">
        <v>1422</v>
      </c>
      <c r="E163" s="15" t="n">
        <v>46190</v>
      </c>
      <c r="F163" s="15" t="n">
        <v>46190</v>
      </c>
      <c r="G163" s="1" t="s">
        <v>250</v>
      </c>
      <c r="H163" s="1" t="n">
        <v>1265916</v>
      </c>
      <c r="I163" s="1" t="n">
        <v>11</v>
      </c>
      <c r="J163" s="1" t="s">
        <v>1384</v>
      </c>
      <c r="K163" s="65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1390</v>
      </c>
      <c r="D164" s="1" t="s">
        <v>1468</v>
      </c>
      <c r="E164" s="15" t="n">
        <v>46190</v>
      </c>
      <c r="F164" s="15" t="n">
        <v>46189</v>
      </c>
      <c r="G164" s="1" t="s">
        <v>492</v>
      </c>
      <c r="H164" s="1" t="n">
        <v>1264865</v>
      </c>
      <c r="I164" s="1" t="n">
        <v>1</v>
      </c>
      <c r="J164" s="1" t="s">
        <v>1384</v>
      </c>
      <c r="K164" s="65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1469</v>
      </c>
      <c r="D165" s="1" t="s">
        <v>1470</v>
      </c>
      <c r="E165" s="15" t="n">
        <v>46190</v>
      </c>
      <c r="F165" s="15" t="n">
        <v>46189</v>
      </c>
      <c r="G165" s="1" t="s">
        <v>123</v>
      </c>
      <c r="H165" s="1" t="n">
        <v>1265426</v>
      </c>
      <c r="I165" s="1" t="n">
        <v>1</v>
      </c>
      <c r="J165" s="1" t="s">
        <v>1384</v>
      </c>
      <c r="K165" s="65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1390</v>
      </c>
      <c r="D166" s="1" t="s">
        <v>1400</v>
      </c>
      <c r="E166" s="15" t="n">
        <v>46190</v>
      </c>
      <c r="F166" s="15" t="n">
        <v>46190</v>
      </c>
      <c r="G166" s="1" t="s">
        <v>132</v>
      </c>
      <c r="H166" s="1" t="n">
        <v>1266172</v>
      </c>
      <c r="I166" s="1" t="n">
        <v>6</v>
      </c>
      <c r="J166" s="1" t="s">
        <v>1384</v>
      </c>
      <c r="K166" s="65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1390</v>
      </c>
      <c r="D167" s="1" t="s">
        <v>1400</v>
      </c>
      <c r="E167" s="15" t="n">
        <v>46190</v>
      </c>
      <c r="F167" s="15" t="n">
        <v>46190</v>
      </c>
      <c r="G167" s="1" t="s">
        <v>132</v>
      </c>
      <c r="H167" s="1" t="n">
        <v>1266169</v>
      </c>
      <c r="I167" s="1" t="n">
        <v>2</v>
      </c>
      <c r="J167" s="1" t="s">
        <v>1384</v>
      </c>
      <c r="K167" s="65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1447</v>
      </c>
      <c r="D168" s="1" t="s">
        <v>1471</v>
      </c>
      <c r="E168" s="15" t="n">
        <v>46190</v>
      </c>
      <c r="F168" s="15" t="n">
        <v>46186</v>
      </c>
      <c r="G168" s="1" t="s">
        <v>204</v>
      </c>
      <c r="H168" s="1" t="n">
        <v>1265709</v>
      </c>
      <c r="I168" s="1" t="n">
        <v>1</v>
      </c>
      <c r="J168" s="1" t="s">
        <v>1384</v>
      </c>
      <c r="K168" s="65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1447</v>
      </c>
      <c r="D169" s="1" t="s">
        <v>1448</v>
      </c>
      <c r="E169" s="15" t="n">
        <v>46190</v>
      </c>
      <c r="F169" s="15" t="n">
        <v>46189</v>
      </c>
      <c r="G169" s="1" t="s">
        <v>512</v>
      </c>
      <c r="H169" s="1" t="n">
        <v>1264875</v>
      </c>
      <c r="I169" s="1" t="n">
        <v>1</v>
      </c>
      <c r="J169" s="1" t="s">
        <v>1384</v>
      </c>
      <c r="K169" s="65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1382</v>
      </c>
      <c r="D170" s="1" t="s">
        <v>1392</v>
      </c>
      <c r="E170" s="15" t="n">
        <v>46190</v>
      </c>
      <c r="F170" s="15" t="n">
        <v>46189</v>
      </c>
      <c r="G170" s="1" t="s">
        <v>194</v>
      </c>
      <c r="H170" s="1" t="n">
        <v>1264871</v>
      </c>
      <c r="I170" s="1" t="n">
        <v>1</v>
      </c>
      <c r="J170" s="1" t="s">
        <v>1384</v>
      </c>
      <c r="K170" s="65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1390</v>
      </c>
      <c r="D171" s="1" t="s">
        <v>1393</v>
      </c>
      <c r="E171" s="15" t="n">
        <v>46190</v>
      </c>
      <c r="F171" s="15" t="n">
        <v>46190</v>
      </c>
      <c r="G171" s="1" t="s">
        <v>188</v>
      </c>
      <c r="H171" s="1" t="n">
        <v>1265699</v>
      </c>
      <c r="I171" s="1" t="n">
        <v>1</v>
      </c>
      <c r="J171" s="1" t="s">
        <v>1384</v>
      </c>
      <c r="K171" s="65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1382</v>
      </c>
      <c r="D172" s="1" t="s">
        <v>1472</v>
      </c>
      <c r="E172" s="15" t="n">
        <v>46190</v>
      </c>
      <c r="F172" s="15" t="n">
        <v>46183</v>
      </c>
      <c r="G172" s="1" t="s">
        <v>154</v>
      </c>
      <c r="H172" s="1" t="n">
        <v>1266289</v>
      </c>
      <c r="I172" s="1" t="n">
        <v>1</v>
      </c>
      <c r="J172" s="1" t="s">
        <v>1384</v>
      </c>
      <c r="K172" s="65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1421</v>
      </c>
      <c r="D173" s="1" t="s">
        <v>1473</v>
      </c>
      <c r="E173" s="15" t="n">
        <v>46190</v>
      </c>
      <c r="F173" s="15" t="n">
        <v>46189</v>
      </c>
      <c r="G173" s="1" t="s">
        <v>728</v>
      </c>
      <c r="H173" s="1" t="n">
        <v>1265758</v>
      </c>
      <c r="I173" s="1" t="n">
        <v>1</v>
      </c>
      <c r="J173" s="1" t="s">
        <v>1384</v>
      </c>
      <c r="K173" s="65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1390</v>
      </c>
      <c r="D174" s="1" t="s">
        <v>1474</v>
      </c>
      <c r="E174" s="15" t="n">
        <v>46191</v>
      </c>
      <c r="F174" s="15" t="n">
        <v>46190</v>
      </c>
      <c r="G174" s="1" t="s">
        <v>602</v>
      </c>
      <c r="H174" s="1" t="n">
        <v>1268798</v>
      </c>
      <c r="I174" s="1" t="n">
        <v>39</v>
      </c>
      <c r="J174" s="1" t="s">
        <v>1384</v>
      </c>
      <c r="K174" s="65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1385</v>
      </c>
      <c r="D175" s="1" t="s">
        <v>1386</v>
      </c>
      <c r="E175" s="15" t="n">
        <v>46191</v>
      </c>
      <c r="F175" s="15" t="n">
        <v>46189</v>
      </c>
      <c r="G175" s="1" t="s">
        <v>119</v>
      </c>
      <c r="H175" s="1" t="n">
        <v>1268774</v>
      </c>
      <c r="I175" s="1" t="n">
        <v>11</v>
      </c>
      <c r="J175" s="1" t="s">
        <v>1384</v>
      </c>
      <c r="K175" s="65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1387</v>
      </c>
      <c r="D176" s="1" t="s">
        <v>1386</v>
      </c>
      <c r="E176" s="15" t="n">
        <v>46191</v>
      </c>
      <c r="F176" s="15" t="n">
        <v>46189</v>
      </c>
      <c r="G176" s="1" t="s">
        <v>119</v>
      </c>
      <c r="H176" s="1" t="n">
        <v>1268754</v>
      </c>
      <c r="I176" s="1" t="n">
        <v>1</v>
      </c>
      <c r="J176" s="1" t="s">
        <v>1384</v>
      </c>
      <c r="K176" s="65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1390</v>
      </c>
      <c r="D177" s="1" t="s">
        <v>1475</v>
      </c>
      <c r="E177" s="15" t="n">
        <v>46191</v>
      </c>
      <c r="F177" s="15" t="n">
        <v>46190</v>
      </c>
      <c r="G177" s="1" t="s">
        <v>716</v>
      </c>
      <c r="H177" s="1" t="n">
        <v>1269959</v>
      </c>
      <c r="I177" s="1" t="n">
        <v>1</v>
      </c>
      <c r="J177" s="1" t="s">
        <v>1384</v>
      </c>
      <c r="K177" s="65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1390</v>
      </c>
      <c r="D178" s="1" t="s">
        <v>1420</v>
      </c>
      <c r="E178" s="15" t="n">
        <v>46191</v>
      </c>
      <c r="F178" s="15" t="n">
        <v>46190</v>
      </c>
      <c r="G178" s="1" t="s">
        <v>199</v>
      </c>
      <c r="H178" s="1" t="n">
        <v>1269305</v>
      </c>
      <c r="I178" s="1" t="n">
        <v>1</v>
      </c>
      <c r="J178" s="1" t="s">
        <v>1384</v>
      </c>
      <c r="K178" s="65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1390</v>
      </c>
      <c r="D179" s="1" t="s">
        <v>1420</v>
      </c>
      <c r="E179" s="15" t="n">
        <v>46191</v>
      </c>
      <c r="F179" s="15" t="n">
        <v>46190</v>
      </c>
      <c r="G179" s="1" t="s">
        <v>199</v>
      </c>
      <c r="H179" s="1" t="n">
        <v>1269265</v>
      </c>
      <c r="I179" s="1" t="n">
        <v>1</v>
      </c>
      <c r="J179" s="1" t="s">
        <v>1384</v>
      </c>
      <c r="K179" s="65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1390</v>
      </c>
      <c r="D180" s="1" t="s">
        <v>1476</v>
      </c>
      <c r="E180" s="15" t="n">
        <v>46191</v>
      </c>
      <c r="F180" s="15" t="n">
        <v>46190</v>
      </c>
      <c r="G180" s="1" t="s">
        <v>261</v>
      </c>
      <c r="H180" s="1" t="n">
        <v>1268848</v>
      </c>
      <c r="I180" s="1" t="n">
        <v>1</v>
      </c>
      <c r="J180" s="1" t="s">
        <v>1384</v>
      </c>
      <c r="K180" s="65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1390</v>
      </c>
      <c r="D181" s="1" t="s">
        <v>1477</v>
      </c>
      <c r="E181" s="15" t="n">
        <v>46191</v>
      </c>
      <c r="F181" s="15" t="n">
        <v>46191</v>
      </c>
      <c r="G181" s="1" t="s">
        <v>298</v>
      </c>
      <c r="H181" s="1" t="n">
        <v>1269763</v>
      </c>
      <c r="I181" s="1" t="n">
        <v>1</v>
      </c>
      <c r="J181" s="1" t="s">
        <v>1384</v>
      </c>
      <c r="K181" s="65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1431</v>
      </c>
      <c r="D182" s="1" t="s">
        <v>1460</v>
      </c>
      <c r="E182" s="15" t="n">
        <v>46191</v>
      </c>
      <c r="F182" s="15" t="n">
        <v>46185</v>
      </c>
      <c r="G182" s="1" t="s">
        <v>554</v>
      </c>
      <c r="H182" s="1" t="n">
        <v>1268715</v>
      </c>
      <c r="I182" s="1" t="n">
        <v>1</v>
      </c>
      <c r="J182" s="1" t="s">
        <v>1384</v>
      </c>
      <c r="K182" s="65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1390</v>
      </c>
      <c r="D183" s="1" t="s">
        <v>1411</v>
      </c>
      <c r="E183" s="15" t="n">
        <v>46191</v>
      </c>
      <c r="F183" s="15" t="n">
        <v>46190</v>
      </c>
      <c r="G183" s="1" t="s">
        <v>164</v>
      </c>
      <c r="H183" s="1" t="n">
        <v>1269162</v>
      </c>
      <c r="I183" s="1" t="n">
        <v>1</v>
      </c>
      <c r="J183" s="1" t="s">
        <v>1384</v>
      </c>
      <c r="K183" s="65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1390</v>
      </c>
      <c r="D184" s="1" t="s">
        <v>1404</v>
      </c>
      <c r="E184" s="15" t="n">
        <v>46191</v>
      </c>
      <c r="F184" s="15" t="n">
        <v>46191</v>
      </c>
      <c r="G184" s="1" t="s">
        <v>126</v>
      </c>
      <c r="H184" s="1" t="n">
        <v>1269843</v>
      </c>
      <c r="I184" s="1" t="n">
        <v>1</v>
      </c>
      <c r="J184" s="1" t="s">
        <v>1384</v>
      </c>
      <c r="K184" s="65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1390</v>
      </c>
      <c r="D185" s="1" t="s">
        <v>1391</v>
      </c>
      <c r="E185" s="15" t="n">
        <v>46191</v>
      </c>
      <c r="F185" s="15" t="n">
        <v>46191</v>
      </c>
      <c r="G185" s="1" t="s">
        <v>248</v>
      </c>
      <c r="H185" s="1" t="n">
        <v>1270055</v>
      </c>
      <c r="I185" s="1" t="n">
        <v>1</v>
      </c>
      <c r="J185" s="1" t="s">
        <v>1384</v>
      </c>
      <c r="K185" s="65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1456</v>
      </c>
      <c r="D186" s="1" t="s">
        <v>1478</v>
      </c>
      <c r="E186" s="15" t="n">
        <v>46191</v>
      </c>
      <c r="F186" s="15" t="n">
        <v>46189</v>
      </c>
      <c r="G186" s="1" t="s">
        <v>123</v>
      </c>
      <c r="H186" s="1" t="n">
        <v>1269061</v>
      </c>
      <c r="I186" s="1" t="n">
        <v>1</v>
      </c>
      <c r="J186" s="1" t="s">
        <v>1384</v>
      </c>
      <c r="K186" s="65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1456</v>
      </c>
      <c r="D187" s="1" t="s">
        <v>1478</v>
      </c>
      <c r="E187" s="15" t="n">
        <v>46191</v>
      </c>
      <c r="F187" s="15" t="n">
        <v>46190</v>
      </c>
      <c r="G187" s="1" t="s">
        <v>123</v>
      </c>
      <c r="H187" s="1" t="n">
        <v>1269854</v>
      </c>
      <c r="I187" s="1" t="n">
        <v>1</v>
      </c>
      <c r="J187" s="1" t="s">
        <v>1384</v>
      </c>
      <c r="K187" s="65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1390</v>
      </c>
      <c r="D188" s="1" t="s">
        <v>1479</v>
      </c>
      <c r="E188" s="15" t="n">
        <v>46191</v>
      </c>
      <c r="F188" s="15" t="n">
        <v>46191</v>
      </c>
      <c r="G188" s="1" t="s">
        <v>633</v>
      </c>
      <c r="H188" s="1" t="n">
        <v>1270149</v>
      </c>
      <c r="I188" s="1" t="n">
        <v>1</v>
      </c>
      <c r="J188" s="1" t="s">
        <v>1384</v>
      </c>
      <c r="K188" s="65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1390</v>
      </c>
      <c r="D189" s="1" t="s">
        <v>1417</v>
      </c>
      <c r="E189" s="15" t="n">
        <v>46195</v>
      </c>
      <c r="F189" s="15" t="n">
        <v>46192</v>
      </c>
      <c r="G189" s="1" t="s">
        <v>1418</v>
      </c>
      <c r="H189" s="1" t="n">
        <v>1289205</v>
      </c>
      <c r="I189" s="1" t="n">
        <v>1</v>
      </c>
      <c r="J189" s="1" t="s">
        <v>1384</v>
      </c>
      <c r="K189" s="65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1390</v>
      </c>
      <c r="D190" s="1" t="s">
        <v>1395</v>
      </c>
      <c r="E190" s="15" t="n">
        <v>46195</v>
      </c>
      <c r="F190" s="15" t="n">
        <v>46192</v>
      </c>
      <c r="G190" s="1" t="s">
        <v>130</v>
      </c>
      <c r="H190" s="1" t="n">
        <v>1289127</v>
      </c>
      <c r="I190" s="1" t="n">
        <v>1</v>
      </c>
      <c r="J190" s="1" t="s">
        <v>1384</v>
      </c>
      <c r="K190" s="65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1390</v>
      </c>
      <c r="D191" s="1" t="s">
        <v>1396</v>
      </c>
      <c r="E191" s="15" t="n">
        <v>46195</v>
      </c>
      <c r="F191" s="15" t="n">
        <v>46193</v>
      </c>
      <c r="G191" s="1" t="s">
        <v>220</v>
      </c>
      <c r="H191" s="1" t="n">
        <v>1289610</v>
      </c>
      <c r="I191" s="1" t="n">
        <v>1</v>
      </c>
      <c r="J191" s="1" t="s">
        <v>1384</v>
      </c>
      <c r="K191" s="65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1390</v>
      </c>
      <c r="D192" s="1" t="s">
        <v>1480</v>
      </c>
      <c r="E192" s="15" t="n">
        <v>46195</v>
      </c>
      <c r="F192" s="15" t="n">
        <v>46191</v>
      </c>
      <c r="G192" s="1" t="s">
        <v>745</v>
      </c>
      <c r="H192" s="1" t="n">
        <v>1290565</v>
      </c>
      <c r="I192" s="1" t="n">
        <v>1</v>
      </c>
      <c r="J192" s="1" t="s">
        <v>1384</v>
      </c>
      <c r="K192" s="65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1390</v>
      </c>
      <c r="D193" s="1" t="s">
        <v>1481</v>
      </c>
      <c r="E193" s="15" t="n">
        <v>46195</v>
      </c>
      <c r="F193" s="15" t="n">
        <v>46191</v>
      </c>
      <c r="G193" s="1" t="s">
        <v>743</v>
      </c>
      <c r="H193" s="1" t="n">
        <v>1290433</v>
      </c>
      <c r="I193" s="1" t="n">
        <v>1</v>
      </c>
      <c r="J193" s="1" t="s">
        <v>1384</v>
      </c>
      <c r="K193" s="65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1390</v>
      </c>
      <c r="D194" s="1" t="s">
        <v>1482</v>
      </c>
      <c r="E194" s="15" t="n">
        <v>46195</v>
      </c>
      <c r="F194" s="15" t="n">
        <v>46193</v>
      </c>
      <c r="G194" s="1" t="s">
        <v>764</v>
      </c>
      <c r="H194" s="1" t="n">
        <v>1289620</v>
      </c>
      <c r="I194" s="1" t="n">
        <v>1</v>
      </c>
      <c r="J194" s="1" t="s">
        <v>1384</v>
      </c>
      <c r="K194" s="65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1431</v>
      </c>
      <c r="D195" s="1" t="s">
        <v>1432</v>
      </c>
      <c r="E195" s="15" t="n">
        <v>46195</v>
      </c>
      <c r="F195" s="15" t="n">
        <v>46192</v>
      </c>
      <c r="G195" s="1" t="s">
        <v>351</v>
      </c>
      <c r="H195" s="1" t="n">
        <v>1289973</v>
      </c>
      <c r="I195" s="1" t="n">
        <v>1</v>
      </c>
      <c r="J195" s="1" t="s">
        <v>1384</v>
      </c>
      <c r="K195" s="65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1385</v>
      </c>
      <c r="D196" s="1" t="s">
        <v>1386</v>
      </c>
      <c r="E196" s="15" t="n">
        <v>46195</v>
      </c>
      <c r="F196" s="15" t="n">
        <v>46191</v>
      </c>
      <c r="G196" s="1" t="s">
        <v>119</v>
      </c>
      <c r="H196" s="1" t="n">
        <v>1290006</v>
      </c>
      <c r="I196" s="1" t="n">
        <v>1</v>
      </c>
      <c r="J196" s="1" t="s">
        <v>1384</v>
      </c>
      <c r="K196" s="65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1385</v>
      </c>
      <c r="D197" s="1" t="s">
        <v>1386</v>
      </c>
      <c r="E197" s="15" t="n">
        <v>46195</v>
      </c>
      <c r="F197" s="15" t="n">
        <v>46192</v>
      </c>
      <c r="G197" s="1" t="s">
        <v>119</v>
      </c>
      <c r="H197" s="1" t="n">
        <v>1290071</v>
      </c>
      <c r="I197" s="1" t="n">
        <v>1</v>
      </c>
      <c r="J197" s="1" t="s">
        <v>1384</v>
      </c>
      <c r="K197" s="65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1385</v>
      </c>
      <c r="D198" s="1" t="s">
        <v>1386</v>
      </c>
      <c r="E198" s="15" t="n">
        <v>46195</v>
      </c>
      <c r="F198" s="15" t="n">
        <v>46192</v>
      </c>
      <c r="G198" s="1" t="s">
        <v>119</v>
      </c>
      <c r="H198" s="1" t="n">
        <v>1290102</v>
      </c>
      <c r="I198" s="1" t="n">
        <v>1</v>
      </c>
      <c r="J198" s="1" t="s">
        <v>1384</v>
      </c>
      <c r="K198" s="65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1387</v>
      </c>
      <c r="D199" s="1" t="s">
        <v>1386</v>
      </c>
      <c r="E199" s="15" t="n">
        <v>46195</v>
      </c>
      <c r="F199" s="15" t="n">
        <v>46191</v>
      </c>
      <c r="G199" s="1" t="s">
        <v>119</v>
      </c>
      <c r="H199" s="1" t="n">
        <v>1290014</v>
      </c>
      <c r="I199" s="1" t="n">
        <v>11</v>
      </c>
      <c r="J199" s="1" t="s">
        <v>1384</v>
      </c>
      <c r="K199" s="65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1387</v>
      </c>
      <c r="D200" s="1" t="s">
        <v>1386</v>
      </c>
      <c r="E200" s="15" t="n">
        <v>46195</v>
      </c>
      <c r="F200" s="15" t="n">
        <v>46192</v>
      </c>
      <c r="G200" s="1" t="s">
        <v>119</v>
      </c>
      <c r="H200" s="1" t="n">
        <v>1290124</v>
      </c>
      <c r="I200" s="1" t="n">
        <v>11</v>
      </c>
      <c r="J200" s="1" t="s">
        <v>1384</v>
      </c>
      <c r="K200" s="65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1387</v>
      </c>
      <c r="D201" s="1" t="s">
        <v>1386</v>
      </c>
      <c r="E201" s="15" t="n">
        <v>46195</v>
      </c>
      <c r="F201" s="15" t="n">
        <v>46192</v>
      </c>
      <c r="G201" s="1" t="s">
        <v>119</v>
      </c>
      <c r="H201" s="1" t="n">
        <v>1290089</v>
      </c>
      <c r="I201" s="1" t="n">
        <v>1</v>
      </c>
      <c r="J201" s="1" t="s">
        <v>1384</v>
      </c>
      <c r="K201" s="65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1390</v>
      </c>
      <c r="D202" s="1" t="s">
        <v>1441</v>
      </c>
      <c r="E202" s="15" t="n">
        <v>46195</v>
      </c>
      <c r="F202" s="15" t="n">
        <v>46192</v>
      </c>
      <c r="G202" s="1" t="s">
        <v>94</v>
      </c>
      <c r="H202" s="1" t="n">
        <v>1289535</v>
      </c>
      <c r="I202" s="1" t="n">
        <v>1</v>
      </c>
      <c r="J202" s="1" t="s">
        <v>1384</v>
      </c>
      <c r="K202" s="65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1390</v>
      </c>
      <c r="D203" s="1" t="s">
        <v>1397</v>
      </c>
      <c r="E203" s="15" t="n">
        <v>46195</v>
      </c>
      <c r="F203" s="15" t="n">
        <v>46191</v>
      </c>
      <c r="G203" s="1" t="s">
        <v>210</v>
      </c>
      <c r="H203" s="1" t="n">
        <v>1289139</v>
      </c>
      <c r="I203" s="1" t="n">
        <v>1</v>
      </c>
      <c r="J203" s="1" t="s">
        <v>1384</v>
      </c>
      <c r="K203" s="65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1390</v>
      </c>
      <c r="D204" s="1" t="s">
        <v>1398</v>
      </c>
      <c r="E204" s="15" t="n">
        <v>46195</v>
      </c>
      <c r="F204" s="15" t="n">
        <v>46191</v>
      </c>
      <c r="G204" s="1" t="s">
        <v>201</v>
      </c>
      <c r="H204" s="1" t="n">
        <v>1289449</v>
      </c>
      <c r="I204" s="1" t="n">
        <v>1</v>
      </c>
      <c r="J204" s="1" t="s">
        <v>1384</v>
      </c>
      <c r="K204" s="65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1390</v>
      </c>
      <c r="D205" s="1" t="s">
        <v>1398</v>
      </c>
      <c r="E205" s="15" t="n">
        <v>46195</v>
      </c>
      <c r="F205" s="15" t="n">
        <v>46191</v>
      </c>
      <c r="G205" s="1" t="s">
        <v>201</v>
      </c>
      <c r="H205" s="1" t="n">
        <v>1289156</v>
      </c>
      <c r="I205" s="1" t="n">
        <v>1</v>
      </c>
      <c r="J205" s="1" t="s">
        <v>1384</v>
      </c>
      <c r="K205" s="65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1390</v>
      </c>
      <c r="D206" s="1" t="s">
        <v>1398</v>
      </c>
      <c r="E206" s="15" t="n">
        <v>46195</v>
      </c>
      <c r="F206" s="15" t="n">
        <v>46195</v>
      </c>
      <c r="G206" s="1" t="s">
        <v>201</v>
      </c>
      <c r="H206" s="1" t="n">
        <v>1289428</v>
      </c>
      <c r="I206" s="1" t="n">
        <v>1</v>
      </c>
      <c r="J206" s="1" t="s">
        <v>1384</v>
      </c>
      <c r="K206" s="65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1390</v>
      </c>
      <c r="D207" s="1" t="s">
        <v>1407</v>
      </c>
      <c r="E207" s="15" t="n">
        <v>46195</v>
      </c>
      <c r="F207" s="15" t="n">
        <v>46192</v>
      </c>
      <c r="G207" s="1" t="s">
        <v>82</v>
      </c>
      <c r="H207" s="1" t="n">
        <v>1290743</v>
      </c>
      <c r="I207" s="1" t="n">
        <v>11</v>
      </c>
      <c r="J207" s="1" t="s">
        <v>1384</v>
      </c>
      <c r="K207" s="65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1390</v>
      </c>
      <c r="D208" s="1" t="s">
        <v>1409</v>
      </c>
      <c r="E208" s="15" t="n">
        <v>46195</v>
      </c>
      <c r="F208" s="15" t="n">
        <v>46192</v>
      </c>
      <c r="G208" s="1" t="s">
        <v>1410</v>
      </c>
      <c r="H208" s="1" t="n">
        <v>1289146</v>
      </c>
      <c r="I208" s="1" t="n">
        <v>1</v>
      </c>
      <c r="J208" s="1" t="s">
        <v>1384</v>
      </c>
      <c r="K208" s="65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1390</v>
      </c>
      <c r="D209" s="1" t="s">
        <v>1408</v>
      </c>
      <c r="E209" s="15" t="n">
        <v>46195</v>
      </c>
      <c r="F209" s="15" t="n">
        <v>46192</v>
      </c>
      <c r="G209" s="1" t="s">
        <v>171</v>
      </c>
      <c r="H209" s="1" t="n">
        <v>1289327</v>
      </c>
      <c r="I209" s="1" t="n">
        <v>1</v>
      </c>
      <c r="J209" s="1" t="s">
        <v>1384</v>
      </c>
      <c r="K209" s="65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1390</v>
      </c>
      <c r="D210" s="1" t="s">
        <v>1400</v>
      </c>
      <c r="E210" s="15" t="n">
        <v>46195</v>
      </c>
      <c r="F210" s="15" t="n">
        <v>46195</v>
      </c>
      <c r="G210" s="1" t="s">
        <v>132</v>
      </c>
      <c r="H210" s="1" t="n">
        <v>1289851</v>
      </c>
      <c r="I210" s="1" t="n">
        <v>6</v>
      </c>
      <c r="J210" s="1" t="s">
        <v>1384</v>
      </c>
      <c r="K210" s="65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1390</v>
      </c>
      <c r="D211" s="1" t="s">
        <v>1400</v>
      </c>
      <c r="E211" s="15" t="n">
        <v>46195</v>
      </c>
      <c r="F211" s="15" t="n">
        <v>46195</v>
      </c>
      <c r="G211" s="1" t="s">
        <v>132</v>
      </c>
      <c r="H211" s="1" t="n">
        <v>1289925</v>
      </c>
      <c r="I211" s="1" t="n">
        <v>6</v>
      </c>
      <c r="J211" s="1" t="s">
        <v>1384</v>
      </c>
      <c r="K211" s="65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1390</v>
      </c>
      <c r="D212" s="1" t="s">
        <v>1400</v>
      </c>
      <c r="E212" s="15" t="n">
        <v>46195</v>
      </c>
      <c r="F212" s="15" t="n">
        <v>46195</v>
      </c>
      <c r="G212" s="1" t="s">
        <v>132</v>
      </c>
      <c r="H212" s="1" t="n">
        <v>1289848</v>
      </c>
      <c r="I212" s="1" t="n">
        <v>2</v>
      </c>
      <c r="J212" s="1" t="s">
        <v>1384</v>
      </c>
      <c r="K212" s="65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1390</v>
      </c>
      <c r="D213" s="1" t="s">
        <v>1400</v>
      </c>
      <c r="E213" s="15" t="n">
        <v>46195</v>
      </c>
      <c r="F213" s="15" t="n">
        <v>46195</v>
      </c>
      <c r="G213" s="1" t="s">
        <v>132</v>
      </c>
      <c r="H213" s="1" t="n">
        <v>1289917</v>
      </c>
      <c r="I213" s="1" t="n">
        <v>2</v>
      </c>
      <c r="J213" s="1" t="s">
        <v>1384</v>
      </c>
      <c r="K213" s="65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1447</v>
      </c>
      <c r="D214" s="1" t="s">
        <v>1471</v>
      </c>
      <c r="E214" s="15" t="n">
        <v>46195</v>
      </c>
      <c r="F214" s="15" t="n">
        <v>46191</v>
      </c>
      <c r="G214" s="1" t="s">
        <v>204</v>
      </c>
      <c r="H214" s="1" t="n">
        <v>1289284</v>
      </c>
      <c r="I214" s="1" t="n">
        <v>1</v>
      </c>
      <c r="J214" s="1" t="s">
        <v>1384</v>
      </c>
      <c r="K214" s="65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1390</v>
      </c>
      <c r="D215" s="1" t="s">
        <v>1483</v>
      </c>
      <c r="E215" s="15" t="n">
        <v>46195</v>
      </c>
      <c r="F215" s="15" t="n">
        <v>46191</v>
      </c>
      <c r="G215" s="1" t="s">
        <v>518</v>
      </c>
      <c r="H215" s="1" t="n">
        <v>1289354</v>
      </c>
      <c r="I215" s="1" t="n">
        <v>1</v>
      </c>
      <c r="J215" s="1" t="s">
        <v>1384</v>
      </c>
      <c r="K215" s="65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1390</v>
      </c>
      <c r="D216" s="1" t="s">
        <v>1484</v>
      </c>
      <c r="E216" s="15" t="n">
        <v>46195</v>
      </c>
      <c r="F216" s="15" t="n">
        <v>46191</v>
      </c>
      <c r="G216" s="1" t="s">
        <v>684</v>
      </c>
      <c r="H216" s="1" t="n">
        <v>1289570</v>
      </c>
      <c r="I216" s="1" t="n">
        <v>1</v>
      </c>
      <c r="J216" s="1" t="s">
        <v>1384</v>
      </c>
      <c r="K216" s="65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1390</v>
      </c>
      <c r="D217" s="1" t="s">
        <v>1393</v>
      </c>
      <c r="E217" s="15" t="n">
        <v>46195</v>
      </c>
      <c r="F217" s="15" t="n">
        <v>46195</v>
      </c>
      <c r="G217" s="1" t="s">
        <v>188</v>
      </c>
      <c r="H217" s="1" t="n">
        <v>1291003</v>
      </c>
      <c r="I217" s="1" t="n">
        <v>1</v>
      </c>
      <c r="J217" s="1" t="s">
        <v>1384</v>
      </c>
      <c r="K217" s="65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1390</v>
      </c>
      <c r="D218" s="1" t="s">
        <v>1485</v>
      </c>
      <c r="E218" s="15" t="n">
        <v>46195</v>
      </c>
      <c r="F218" s="15" t="n">
        <v>46191</v>
      </c>
      <c r="G218" s="1" t="s">
        <v>160</v>
      </c>
      <c r="H218" s="1" t="n">
        <v>1289819</v>
      </c>
      <c r="I218" s="1" t="n">
        <v>1</v>
      </c>
      <c r="J218" s="1" t="s">
        <v>1384</v>
      </c>
      <c r="K218" s="65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1390</v>
      </c>
      <c r="D219" s="1" t="s">
        <v>1405</v>
      </c>
      <c r="E219" s="15" t="n">
        <v>46195</v>
      </c>
      <c r="F219" s="15" t="n">
        <v>46193</v>
      </c>
      <c r="G219" s="1" t="s">
        <v>128</v>
      </c>
      <c r="H219" s="1" t="n">
        <v>1289585</v>
      </c>
      <c r="I219" s="1" t="n">
        <v>1</v>
      </c>
      <c r="J219" s="1" t="s">
        <v>1384</v>
      </c>
      <c r="K219" s="65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1390</v>
      </c>
      <c r="D220" s="1" t="s">
        <v>1405</v>
      </c>
      <c r="E220" s="15" t="n">
        <v>46195</v>
      </c>
      <c r="F220" s="15" t="n">
        <v>46193</v>
      </c>
      <c r="G220" s="1" t="s">
        <v>128</v>
      </c>
      <c r="H220" s="1" t="n">
        <v>1290342</v>
      </c>
      <c r="I220" s="1" t="n">
        <v>1</v>
      </c>
      <c r="J220" s="1" t="s">
        <v>1384</v>
      </c>
      <c r="K220" s="65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1390</v>
      </c>
      <c r="D221" s="1" t="s">
        <v>1486</v>
      </c>
      <c r="E221" s="15" t="n">
        <v>46195</v>
      </c>
      <c r="F221" s="15" t="n">
        <v>46191</v>
      </c>
      <c r="G221" s="1" t="s">
        <v>181</v>
      </c>
      <c r="H221" s="1" t="n">
        <v>1289129</v>
      </c>
      <c r="I221" s="1" t="n">
        <v>1</v>
      </c>
      <c r="J221" s="1" t="s">
        <v>1384</v>
      </c>
      <c r="K221" s="65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1390</v>
      </c>
      <c r="D222" s="1" t="s">
        <v>1394</v>
      </c>
      <c r="E222" s="15" t="n">
        <v>46195</v>
      </c>
      <c r="F222" s="15" t="n">
        <v>46195</v>
      </c>
      <c r="G222" s="1" t="s">
        <v>266</v>
      </c>
      <c r="H222" s="1" t="n">
        <v>1289836</v>
      </c>
      <c r="I222" s="1" t="n">
        <v>1</v>
      </c>
      <c r="J222" s="1" t="s">
        <v>1384</v>
      </c>
      <c r="K222" s="65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1390</v>
      </c>
      <c r="D223" s="1" t="s">
        <v>1395</v>
      </c>
      <c r="E223" s="15" t="n">
        <v>46196</v>
      </c>
      <c r="F223" s="15" t="n">
        <v>46195</v>
      </c>
      <c r="G223" s="1" t="s">
        <v>130</v>
      </c>
      <c r="H223" s="1" t="n">
        <v>1294252</v>
      </c>
      <c r="I223" s="1" t="n">
        <v>1</v>
      </c>
      <c r="J223" s="1" t="s">
        <v>1384</v>
      </c>
      <c r="K223" s="65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1451</v>
      </c>
      <c r="D224" s="1" t="s">
        <v>1452</v>
      </c>
      <c r="E224" s="15" t="n">
        <v>46196</v>
      </c>
      <c r="F224" s="15" t="n">
        <v>46193</v>
      </c>
      <c r="G224" s="1" t="s">
        <v>212</v>
      </c>
      <c r="H224" s="1" t="n">
        <v>1294209</v>
      </c>
      <c r="I224" s="1" t="n">
        <v>1</v>
      </c>
      <c r="J224" s="1" t="s">
        <v>1384</v>
      </c>
      <c r="K224" s="65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1390</v>
      </c>
      <c r="D225" s="1" t="s">
        <v>1442</v>
      </c>
      <c r="E225" s="15" t="n">
        <v>46196</v>
      </c>
      <c r="F225" s="15" t="n">
        <v>46193</v>
      </c>
      <c r="G225" s="1" t="s">
        <v>80</v>
      </c>
      <c r="H225" s="1" t="n">
        <v>1293976</v>
      </c>
      <c r="I225" s="1" t="n">
        <v>1</v>
      </c>
      <c r="J225" s="1" t="s">
        <v>1384</v>
      </c>
      <c r="K225" s="65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1390</v>
      </c>
      <c r="D226" s="1" t="s">
        <v>1487</v>
      </c>
      <c r="E226" s="15" t="n">
        <v>46196</v>
      </c>
      <c r="F226" s="15" t="n">
        <v>46195</v>
      </c>
      <c r="G226" s="1" t="s">
        <v>305</v>
      </c>
      <c r="H226" s="1" t="n">
        <v>1294314</v>
      </c>
      <c r="I226" s="1" t="n">
        <v>39</v>
      </c>
      <c r="J226" s="1" t="s">
        <v>1384</v>
      </c>
      <c r="K226" s="65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1388</v>
      </c>
      <c r="D227" s="1" t="s">
        <v>1389</v>
      </c>
      <c r="E227" s="15" t="n">
        <v>46196</v>
      </c>
      <c r="F227" s="15" t="n">
        <v>46195</v>
      </c>
      <c r="G227" s="1" t="s">
        <v>369</v>
      </c>
      <c r="H227" s="1" t="n">
        <v>1293939</v>
      </c>
      <c r="I227" s="1" t="n">
        <v>1</v>
      </c>
      <c r="J227" s="1" t="s">
        <v>1384</v>
      </c>
      <c r="K227" s="65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1388</v>
      </c>
      <c r="D228" s="1" t="s">
        <v>1389</v>
      </c>
      <c r="E228" s="15" t="n">
        <v>46196</v>
      </c>
      <c r="F228" s="15" t="n">
        <v>46195</v>
      </c>
      <c r="G228" s="1" t="s">
        <v>369</v>
      </c>
      <c r="H228" s="1" t="n">
        <v>1293930</v>
      </c>
      <c r="I228" s="1" t="n">
        <v>1</v>
      </c>
      <c r="J228" s="1" t="s">
        <v>1384</v>
      </c>
      <c r="K228" s="65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1388</v>
      </c>
      <c r="D229" s="1" t="s">
        <v>1389</v>
      </c>
      <c r="E229" s="15" t="n">
        <v>46196</v>
      </c>
      <c r="F229" s="15" t="n">
        <v>46195</v>
      </c>
      <c r="G229" s="1" t="s">
        <v>369</v>
      </c>
      <c r="H229" s="1" t="n">
        <v>1293925</v>
      </c>
      <c r="I229" s="1" t="n">
        <v>1</v>
      </c>
      <c r="J229" s="1" t="s">
        <v>1384</v>
      </c>
      <c r="K229" s="65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1390</v>
      </c>
      <c r="D230" s="1" t="s">
        <v>1400</v>
      </c>
      <c r="E230" s="15" t="n">
        <v>46196</v>
      </c>
      <c r="F230" s="15" t="n">
        <v>46196</v>
      </c>
      <c r="G230" s="1" t="s">
        <v>132</v>
      </c>
      <c r="H230" s="1" t="n">
        <v>1295652</v>
      </c>
      <c r="I230" s="1" t="n">
        <v>6</v>
      </c>
      <c r="J230" s="1" t="s">
        <v>1384</v>
      </c>
      <c r="K230" s="65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1390</v>
      </c>
      <c r="D231" s="1" t="s">
        <v>1400</v>
      </c>
      <c r="E231" s="15" t="n">
        <v>46196</v>
      </c>
      <c r="F231" s="15" t="n">
        <v>46196</v>
      </c>
      <c r="G231" s="1" t="s">
        <v>132</v>
      </c>
      <c r="H231" s="1" t="n">
        <v>1295647</v>
      </c>
      <c r="I231" s="1" t="n">
        <v>2</v>
      </c>
      <c r="J231" s="1" t="s">
        <v>1384</v>
      </c>
      <c r="K231" s="65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1390</v>
      </c>
      <c r="D232" s="1" t="s">
        <v>1401</v>
      </c>
      <c r="E232" s="15" t="n">
        <v>46196</v>
      </c>
      <c r="F232" s="15" t="n">
        <v>46195</v>
      </c>
      <c r="G232" s="1" t="s">
        <v>92</v>
      </c>
      <c r="H232" s="1" t="n">
        <v>1295747</v>
      </c>
      <c r="I232" s="1" t="n">
        <v>1</v>
      </c>
      <c r="J232" s="1" t="s">
        <v>1384</v>
      </c>
      <c r="K232" s="65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1390</v>
      </c>
      <c r="D233" s="1" t="s">
        <v>1488</v>
      </c>
      <c r="E233" s="15" t="n">
        <v>46196</v>
      </c>
      <c r="F233" s="15" t="n">
        <v>46196</v>
      </c>
      <c r="G233" s="1" t="s">
        <v>703</v>
      </c>
      <c r="H233" s="1" t="n">
        <v>1295171</v>
      </c>
      <c r="I233" s="1" t="n">
        <v>39</v>
      </c>
      <c r="J233" s="1" t="s">
        <v>1384</v>
      </c>
      <c r="K233" s="65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1390</v>
      </c>
      <c r="D234" s="1" t="s">
        <v>1489</v>
      </c>
      <c r="E234" s="15" t="n">
        <v>46197</v>
      </c>
      <c r="F234" s="15" t="n">
        <v>46195</v>
      </c>
      <c r="G234" s="1" t="s">
        <v>463</v>
      </c>
      <c r="H234" s="1" t="n">
        <v>1300830</v>
      </c>
      <c r="I234" s="1" t="n">
        <v>1</v>
      </c>
      <c r="J234" s="1" t="s">
        <v>1384</v>
      </c>
      <c r="K234" s="65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1390</v>
      </c>
      <c r="D235" s="1" t="s">
        <v>1489</v>
      </c>
      <c r="E235" s="15" t="n">
        <v>46197</v>
      </c>
      <c r="F235" s="15" t="n">
        <v>46195</v>
      </c>
      <c r="G235" s="1" t="s">
        <v>463</v>
      </c>
      <c r="H235" s="1" t="n">
        <v>1300844</v>
      </c>
      <c r="I235" s="1" t="n">
        <v>1</v>
      </c>
      <c r="J235" s="1" t="s">
        <v>1384</v>
      </c>
      <c r="K235" s="65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1390</v>
      </c>
      <c r="D236" s="1" t="s">
        <v>1489</v>
      </c>
      <c r="E236" s="15" t="n">
        <v>46197</v>
      </c>
      <c r="F236" s="15" t="n">
        <v>46195</v>
      </c>
      <c r="G236" s="1" t="s">
        <v>463</v>
      </c>
      <c r="H236" s="1" t="n">
        <v>1300868</v>
      </c>
      <c r="I236" s="1" t="n">
        <v>1</v>
      </c>
      <c r="J236" s="1" t="s">
        <v>1384</v>
      </c>
      <c r="K236" s="65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1390</v>
      </c>
      <c r="D237" s="1" t="s">
        <v>1489</v>
      </c>
      <c r="E237" s="15" t="n">
        <v>46197</v>
      </c>
      <c r="F237" s="15" t="n">
        <v>46197</v>
      </c>
      <c r="G237" s="1" t="s">
        <v>463</v>
      </c>
      <c r="H237" s="1" t="n">
        <v>1300876</v>
      </c>
      <c r="I237" s="1" t="n">
        <v>1</v>
      </c>
      <c r="J237" s="1" t="s">
        <v>1384</v>
      </c>
      <c r="K237" s="65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1390</v>
      </c>
      <c r="D238" s="1" t="s">
        <v>1402</v>
      </c>
      <c r="E238" s="15" t="n">
        <v>46197</v>
      </c>
      <c r="F238" s="15" t="n">
        <v>46196</v>
      </c>
      <c r="G238" s="1" t="s">
        <v>117</v>
      </c>
      <c r="H238" s="1" t="n">
        <v>1299637</v>
      </c>
      <c r="I238" s="1" t="n">
        <v>1</v>
      </c>
      <c r="J238" s="1" t="s">
        <v>1384</v>
      </c>
      <c r="K238" s="65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1390</v>
      </c>
      <c r="D239" s="1" t="s">
        <v>1490</v>
      </c>
      <c r="E239" s="15" t="n">
        <v>46197</v>
      </c>
      <c r="F239" s="15" t="n">
        <v>46195</v>
      </c>
      <c r="G239" s="1" t="s">
        <v>718</v>
      </c>
      <c r="H239" s="1" t="n">
        <v>1299537</v>
      </c>
      <c r="I239" s="1" t="n">
        <v>1</v>
      </c>
      <c r="J239" s="1" t="s">
        <v>1384</v>
      </c>
      <c r="K239" s="65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1390</v>
      </c>
      <c r="D240" s="1" t="s">
        <v>1411</v>
      </c>
      <c r="E240" s="15" t="n">
        <v>46197</v>
      </c>
      <c r="F240" s="15" t="n">
        <v>46196</v>
      </c>
      <c r="G240" s="1" t="s">
        <v>164</v>
      </c>
      <c r="H240" s="1" t="n">
        <v>1300169</v>
      </c>
      <c r="I240" s="1" t="n">
        <v>1</v>
      </c>
      <c r="J240" s="1" t="s">
        <v>1384</v>
      </c>
      <c r="K240" s="65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1390</v>
      </c>
      <c r="D241" s="1" t="s">
        <v>1426</v>
      </c>
      <c r="E241" s="15" t="n">
        <v>46197</v>
      </c>
      <c r="F241" s="15" t="n">
        <v>46196</v>
      </c>
      <c r="G241" s="1" t="s">
        <v>1427</v>
      </c>
      <c r="H241" s="1" t="n">
        <v>1299327</v>
      </c>
      <c r="I241" s="1" t="n">
        <v>1</v>
      </c>
      <c r="J241" s="1" t="s">
        <v>1384</v>
      </c>
      <c r="K241" s="65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1390</v>
      </c>
      <c r="D242" s="1" t="s">
        <v>1491</v>
      </c>
      <c r="E242" s="15" t="n">
        <v>46197</v>
      </c>
      <c r="F242" s="15" t="n">
        <v>46191</v>
      </c>
      <c r="G242" s="1" t="s">
        <v>818</v>
      </c>
      <c r="H242" s="1" t="n">
        <v>1299105</v>
      </c>
      <c r="I242" s="1" t="n">
        <v>1</v>
      </c>
      <c r="J242" s="1" t="s">
        <v>1384</v>
      </c>
      <c r="K242" s="65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1447</v>
      </c>
      <c r="D243" s="1" t="s">
        <v>1492</v>
      </c>
      <c r="E243" s="15" t="n">
        <v>46197</v>
      </c>
      <c r="F243" s="15" t="n">
        <v>46190</v>
      </c>
      <c r="G243" s="1" t="s">
        <v>292</v>
      </c>
      <c r="H243" s="1" t="n">
        <v>1300279</v>
      </c>
      <c r="I243" s="1" t="n">
        <v>1</v>
      </c>
      <c r="J243" s="1" t="s">
        <v>1384</v>
      </c>
      <c r="K243" s="65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1382</v>
      </c>
      <c r="D244" s="1" t="s">
        <v>1392</v>
      </c>
      <c r="E244" s="15" t="n">
        <v>46197</v>
      </c>
      <c r="F244" s="15" t="n">
        <v>46196</v>
      </c>
      <c r="G244" s="1" t="s">
        <v>194</v>
      </c>
      <c r="H244" s="1" t="n">
        <v>1299215</v>
      </c>
      <c r="I244" s="1" t="n">
        <v>1</v>
      </c>
      <c r="J244" s="1" t="s">
        <v>1384</v>
      </c>
      <c r="K244" s="65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1382</v>
      </c>
      <c r="D245" s="1" t="s">
        <v>1392</v>
      </c>
      <c r="E245" s="15" t="n">
        <v>46197</v>
      </c>
      <c r="F245" s="15" t="n">
        <v>46196</v>
      </c>
      <c r="G245" s="1" t="s">
        <v>194</v>
      </c>
      <c r="H245" s="1" t="n">
        <v>1299227</v>
      </c>
      <c r="I245" s="1" t="n">
        <v>1</v>
      </c>
      <c r="J245" s="1" t="s">
        <v>1384</v>
      </c>
      <c r="K245" s="65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1390</v>
      </c>
      <c r="D246" s="1" t="s">
        <v>1493</v>
      </c>
      <c r="E246" s="15" t="n">
        <v>46197</v>
      </c>
      <c r="F246" s="15" t="n">
        <v>46185</v>
      </c>
      <c r="G246" s="1" t="s">
        <v>254</v>
      </c>
      <c r="H246" s="1" t="n">
        <v>1300232</v>
      </c>
      <c r="I246" s="1" t="n">
        <v>1</v>
      </c>
      <c r="J246" s="1" t="s">
        <v>1384</v>
      </c>
      <c r="K246" s="65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1390</v>
      </c>
      <c r="D247" s="1" t="s">
        <v>1489</v>
      </c>
      <c r="E247" s="15" t="n">
        <v>46198</v>
      </c>
      <c r="F247" s="15" t="n">
        <v>46198</v>
      </c>
      <c r="G247" s="1" t="s">
        <v>463</v>
      </c>
      <c r="H247" s="1" t="n">
        <v>1309637</v>
      </c>
      <c r="I247" s="1" t="n">
        <v>1</v>
      </c>
      <c r="J247" s="1" t="s">
        <v>1384</v>
      </c>
      <c r="K247" s="65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1385</v>
      </c>
      <c r="D248" s="1" t="s">
        <v>1386</v>
      </c>
      <c r="E248" s="15" t="n">
        <v>46198</v>
      </c>
      <c r="F248" s="15" t="n">
        <v>46196</v>
      </c>
      <c r="G248" s="1" t="s">
        <v>119</v>
      </c>
      <c r="H248" s="1" t="n">
        <v>1304726</v>
      </c>
      <c r="I248" s="1" t="n">
        <v>11</v>
      </c>
      <c r="J248" s="1" t="s">
        <v>1384</v>
      </c>
      <c r="K248" s="65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1387</v>
      </c>
      <c r="D249" s="1" t="s">
        <v>1386</v>
      </c>
      <c r="E249" s="15" t="n">
        <v>46198</v>
      </c>
      <c r="F249" s="15" t="n">
        <v>46196</v>
      </c>
      <c r="G249" s="1" t="s">
        <v>119</v>
      </c>
      <c r="H249" s="1" t="n">
        <v>1304701</v>
      </c>
      <c r="I249" s="1" t="n">
        <v>1</v>
      </c>
      <c r="J249" s="1" t="s">
        <v>1384</v>
      </c>
      <c r="K249" s="65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1390</v>
      </c>
      <c r="D250" s="1" t="s">
        <v>1403</v>
      </c>
      <c r="E250" s="15" t="n">
        <v>46198</v>
      </c>
      <c r="F250" s="15" t="n">
        <v>46197</v>
      </c>
      <c r="G250" s="1" t="s">
        <v>332</v>
      </c>
      <c r="H250" s="1" t="n">
        <v>1305206</v>
      </c>
      <c r="I250" s="1" t="n">
        <v>1</v>
      </c>
      <c r="J250" s="1" t="s">
        <v>1384</v>
      </c>
      <c r="K250" s="65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1390</v>
      </c>
      <c r="D251" s="1" t="s">
        <v>1398</v>
      </c>
      <c r="E251" s="15" t="n">
        <v>46198</v>
      </c>
      <c r="F251" s="15" t="n">
        <v>46198</v>
      </c>
      <c r="G251" s="1" t="s">
        <v>201</v>
      </c>
      <c r="H251" s="1" t="n">
        <v>1305623</v>
      </c>
      <c r="I251" s="1" t="n">
        <v>1</v>
      </c>
      <c r="J251" s="1" t="s">
        <v>1384</v>
      </c>
      <c r="K251" s="65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1390</v>
      </c>
      <c r="D252" s="1" t="s">
        <v>1494</v>
      </c>
      <c r="E252" s="15" t="n">
        <v>46198</v>
      </c>
      <c r="F252" s="15" t="n">
        <v>46193</v>
      </c>
      <c r="G252" s="1" t="s">
        <v>579</v>
      </c>
      <c r="H252" s="1" t="n">
        <v>1305945</v>
      </c>
      <c r="I252" s="1" t="n">
        <v>1</v>
      </c>
      <c r="J252" s="1" t="s">
        <v>1384</v>
      </c>
      <c r="K252" s="65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1388</v>
      </c>
      <c r="D253" s="1" t="s">
        <v>1389</v>
      </c>
      <c r="E253" s="15" t="n">
        <v>46198</v>
      </c>
      <c r="F253" s="15" t="n">
        <v>46197</v>
      </c>
      <c r="G253" s="1" t="s">
        <v>369</v>
      </c>
      <c r="H253" s="1" t="n">
        <v>1304633</v>
      </c>
      <c r="I253" s="1" t="n">
        <v>1</v>
      </c>
      <c r="J253" s="1" t="s">
        <v>1384</v>
      </c>
      <c r="K253" s="65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1390</v>
      </c>
      <c r="D254" s="1" t="s">
        <v>1495</v>
      </c>
      <c r="E254" s="15" t="n">
        <v>46198</v>
      </c>
      <c r="F254" s="15" t="n">
        <v>46196</v>
      </c>
      <c r="G254" s="1" t="s">
        <v>577</v>
      </c>
      <c r="H254" s="1" t="n">
        <v>1304773</v>
      </c>
      <c r="I254" s="1" t="n">
        <v>1</v>
      </c>
      <c r="J254" s="1" t="s">
        <v>1384</v>
      </c>
      <c r="K254" s="65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1390</v>
      </c>
      <c r="D255" s="1" t="s">
        <v>1496</v>
      </c>
      <c r="E255" s="15" t="n">
        <v>46198</v>
      </c>
      <c r="F255" s="15" t="n">
        <v>46176</v>
      </c>
      <c r="G255" s="1" t="s">
        <v>611</v>
      </c>
      <c r="H255" s="1" t="n">
        <v>1306421</v>
      </c>
      <c r="I255" s="1" t="n">
        <v>11</v>
      </c>
      <c r="J255" s="1" t="s">
        <v>1384</v>
      </c>
      <c r="K255" s="65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1447</v>
      </c>
      <c r="D256" s="1" t="s">
        <v>1448</v>
      </c>
      <c r="E256" s="15" t="n">
        <v>46198</v>
      </c>
      <c r="F256" s="15" t="n">
        <v>46197</v>
      </c>
      <c r="G256" s="1" t="s">
        <v>512</v>
      </c>
      <c r="H256" s="1" t="n">
        <v>1304877</v>
      </c>
      <c r="I256" s="1" t="n">
        <v>1</v>
      </c>
      <c r="J256" s="1" t="s">
        <v>1384</v>
      </c>
      <c r="K256" s="65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1421</v>
      </c>
      <c r="D257" s="1" t="s">
        <v>1438</v>
      </c>
      <c r="E257" s="15" t="n">
        <v>46198</v>
      </c>
      <c r="F257" s="15" t="n">
        <v>46197</v>
      </c>
      <c r="G257" s="1" t="s">
        <v>412</v>
      </c>
      <c r="H257" s="1" t="n">
        <v>1306154</v>
      </c>
      <c r="I257" s="1" t="n">
        <v>1</v>
      </c>
      <c r="J257" s="1" t="s">
        <v>1384</v>
      </c>
      <c r="K257" s="65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1390</v>
      </c>
      <c r="D258" s="1" t="s">
        <v>1441</v>
      </c>
      <c r="E258" s="15" t="n">
        <v>46199</v>
      </c>
      <c r="F258" s="15" t="n">
        <v>46199</v>
      </c>
      <c r="G258" s="1" t="s">
        <v>94</v>
      </c>
      <c r="H258" s="1" t="n">
        <v>1309874</v>
      </c>
      <c r="I258" s="1" t="n">
        <v>1</v>
      </c>
      <c r="J258" s="1" t="s">
        <v>1384</v>
      </c>
      <c r="K258" s="65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1390</v>
      </c>
      <c r="D259" s="1" t="s">
        <v>1397</v>
      </c>
      <c r="E259" s="15" t="n">
        <v>46199</v>
      </c>
      <c r="F259" s="15" t="n">
        <v>46198</v>
      </c>
      <c r="G259" s="1" t="s">
        <v>210</v>
      </c>
      <c r="H259" s="1" t="n">
        <v>1309652</v>
      </c>
      <c r="I259" s="1" t="n">
        <v>1</v>
      </c>
      <c r="J259" s="1" t="s">
        <v>1384</v>
      </c>
      <c r="K259" s="65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1390</v>
      </c>
      <c r="D260" s="1" t="s">
        <v>1412</v>
      </c>
      <c r="E260" s="15" t="n">
        <v>46199</v>
      </c>
      <c r="F260" s="15" t="n">
        <v>46198</v>
      </c>
      <c r="G260" s="1" t="s">
        <v>208</v>
      </c>
      <c r="H260" s="1" t="n">
        <v>1310401</v>
      </c>
      <c r="I260" s="1" t="n">
        <v>1</v>
      </c>
      <c r="J260" s="1" t="s">
        <v>1384</v>
      </c>
      <c r="K260" s="65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1390</v>
      </c>
      <c r="D261" s="1" t="s">
        <v>1404</v>
      </c>
      <c r="E261" s="15" t="n">
        <v>46199</v>
      </c>
      <c r="F261" s="15" t="n">
        <v>46198</v>
      </c>
      <c r="G261" s="1" t="s">
        <v>126</v>
      </c>
      <c r="H261" s="1" t="n">
        <v>1309632</v>
      </c>
      <c r="I261" s="1" t="n">
        <v>1</v>
      </c>
      <c r="J261" s="1" t="s">
        <v>1384</v>
      </c>
      <c r="K261" s="65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1390</v>
      </c>
      <c r="D262" s="1" t="s">
        <v>1446</v>
      </c>
      <c r="E262" s="15" t="n">
        <v>46199</v>
      </c>
      <c r="F262" s="15" t="n">
        <v>46196</v>
      </c>
      <c r="G262" s="1" t="s">
        <v>417</v>
      </c>
      <c r="H262" s="1" t="n">
        <v>1310309</v>
      </c>
      <c r="I262" s="1" t="n">
        <v>1</v>
      </c>
      <c r="J262" s="1" t="s">
        <v>1384</v>
      </c>
      <c r="K262" s="65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1390</v>
      </c>
      <c r="D263" s="1" t="s">
        <v>1446</v>
      </c>
      <c r="E263" s="15" t="n">
        <v>46199</v>
      </c>
      <c r="F263" s="15" t="n">
        <v>46196</v>
      </c>
      <c r="G263" s="1" t="s">
        <v>417</v>
      </c>
      <c r="H263" s="1" t="n">
        <v>1310314</v>
      </c>
      <c r="I263" s="1" t="n">
        <v>11</v>
      </c>
      <c r="J263" s="1" t="s">
        <v>1384</v>
      </c>
      <c r="K263" s="65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1390</v>
      </c>
      <c r="D264" s="1" t="s">
        <v>1400</v>
      </c>
      <c r="E264" s="15" t="n">
        <v>46199</v>
      </c>
      <c r="F264" s="15" t="n">
        <v>46199</v>
      </c>
      <c r="G264" s="1" t="s">
        <v>132</v>
      </c>
      <c r="H264" s="1" t="n">
        <v>1310128</v>
      </c>
      <c r="I264" s="1" t="n">
        <v>6</v>
      </c>
      <c r="J264" s="1" t="s">
        <v>1384</v>
      </c>
      <c r="K264" s="65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1390</v>
      </c>
      <c r="D265" s="1" t="s">
        <v>1400</v>
      </c>
      <c r="E265" s="15" t="n">
        <v>46199</v>
      </c>
      <c r="F265" s="15" t="n">
        <v>46199</v>
      </c>
      <c r="G265" s="1" t="s">
        <v>132</v>
      </c>
      <c r="H265" s="1" t="n">
        <v>1310262</v>
      </c>
      <c r="I265" s="1" t="n">
        <v>6</v>
      </c>
      <c r="J265" s="1" t="s">
        <v>1384</v>
      </c>
      <c r="K265" s="65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1390</v>
      </c>
      <c r="D266" s="1" t="s">
        <v>1400</v>
      </c>
      <c r="E266" s="15" t="n">
        <v>46199</v>
      </c>
      <c r="F266" s="15" t="n">
        <v>46199</v>
      </c>
      <c r="G266" s="1" t="s">
        <v>132</v>
      </c>
      <c r="H266" s="1" t="n">
        <v>1310124</v>
      </c>
      <c r="I266" s="1" t="n">
        <v>2</v>
      </c>
      <c r="J266" s="1" t="s">
        <v>1384</v>
      </c>
      <c r="K266" s="65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1390</v>
      </c>
      <c r="D267" s="1" t="s">
        <v>1400</v>
      </c>
      <c r="E267" s="15" t="n">
        <v>46199</v>
      </c>
      <c r="F267" s="15" t="n">
        <v>46199</v>
      </c>
      <c r="G267" s="1" t="s">
        <v>132</v>
      </c>
      <c r="H267" s="1" t="n">
        <v>1310249</v>
      </c>
      <c r="I267" s="1" t="n">
        <v>2</v>
      </c>
      <c r="J267" s="1" t="s">
        <v>1384</v>
      </c>
      <c r="K267" s="65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1382</v>
      </c>
      <c r="D268" s="1" t="s">
        <v>1392</v>
      </c>
      <c r="E268" s="15" t="n">
        <v>46199</v>
      </c>
      <c r="F268" s="15" t="n">
        <v>46199</v>
      </c>
      <c r="G268" s="1" t="s">
        <v>194</v>
      </c>
      <c r="H268" s="1" t="n">
        <v>1310299</v>
      </c>
      <c r="I268" s="1" t="n">
        <v>1</v>
      </c>
      <c r="J268" s="1" t="s">
        <v>1384</v>
      </c>
      <c r="K268" s="65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1390</v>
      </c>
      <c r="D269" s="1" t="s">
        <v>1417</v>
      </c>
      <c r="E269" s="15" t="n">
        <v>46200</v>
      </c>
      <c r="F269" s="15" t="n">
        <v>46185</v>
      </c>
      <c r="G269" s="1" t="s">
        <v>1418</v>
      </c>
      <c r="H269" s="1" t="n">
        <v>1312808</v>
      </c>
      <c r="I269" s="1" t="n">
        <v>1</v>
      </c>
      <c r="J269" s="1" t="s">
        <v>1384</v>
      </c>
      <c r="K269" s="65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1390</v>
      </c>
      <c r="D270" s="1" t="s">
        <v>1417</v>
      </c>
      <c r="E270" s="15" t="n">
        <v>46200</v>
      </c>
      <c r="F270" s="15" t="n">
        <v>46199</v>
      </c>
      <c r="G270" s="1" t="s">
        <v>1418</v>
      </c>
      <c r="H270" s="1" t="n">
        <v>1312818</v>
      </c>
      <c r="I270" s="1" t="n">
        <v>1</v>
      </c>
      <c r="J270" s="1" t="s">
        <v>1384</v>
      </c>
      <c r="K270" s="65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1390</v>
      </c>
      <c r="D271" s="1" t="s">
        <v>1396</v>
      </c>
      <c r="E271" s="15" t="n">
        <v>46200</v>
      </c>
      <c r="F271" s="15" t="n">
        <v>46198</v>
      </c>
      <c r="G271" s="1" t="s">
        <v>220</v>
      </c>
      <c r="H271" s="1" t="n">
        <v>1312574</v>
      </c>
      <c r="I271" s="1" t="n">
        <v>1</v>
      </c>
      <c r="J271" s="1" t="s">
        <v>1384</v>
      </c>
      <c r="K271" s="65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1390</v>
      </c>
      <c r="D272" s="1" t="s">
        <v>1497</v>
      </c>
      <c r="E272" s="15" t="n">
        <v>46200</v>
      </c>
      <c r="F272" s="15" t="n">
        <v>46197</v>
      </c>
      <c r="G272" s="1" t="s">
        <v>733</v>
      </c>
      <c r="H272" s="1" t="n">
        <v>1312612</v>
      </c>
      <c r="I272" s="1" t="n">
        <v>1</v>
      </c>
      <c r="J272" s="1" t="s">
        <v>1384</v>
      </c>
      <c r="K272" s="65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1431</v>
      </c>
      <c r="D273" s="1" t="s">
        <v>1432</v>
      </c>
      <c r="E273" s="15" t="n">
        <v>46200</v>
      </c>
      <c r="F273" s="15" t="n">
        <v>46199</v>
      </c>
      <c r="G273" s="1" t="s">
        <v>351</v>
      </c>
      <c r="H273" s="1" t="n">
        <v>1312835</v>
      </c>
      <c r="I273" s="1" t="n">
        <v>1</v>
      </c>
      <c r="J273" s="1" t="s">
        <v>1384</v>
      </c>
      <c r="K273" s="65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1388</v>
      </c>
      <c r="D274" s="1" t="s">
        <v>1389</v>
      </c>
      <c r="E274" s="15" t="n">
        <v>46200</v>
      </c>
      <c r="F274" s="15" t="n">
        <v>46199</v>
      </c>
      <c r="G274" s="1" t="s">
        <v>369</v>
      </c>
      <c r="H274" s="1" t="n">
        <v>1312567</v>
      </c>
      <c r="I274" s="1" t="n">
        <v>1</v>
      </c>
      <c r="J274" s="1" t="s">
        <v>1384</v>
      </c>
      <c r="K274" s="65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1390</v>
      </c>
      <c r="D275" s="1" t="s">
        <v>1409</v>
      </c>
      <c r="E275" s="15" t="n">
        <v>46200</v>
      </c>
      <c r="F275" s="15" t="n">
        <v>46200</v>
      </c>
      <c r="G275" s="1" t="s">
        <v>1410</v>
      </c>
      <c r="H275" s="1" t="n">
        <v>1312583</v>
      </c>
      <c r="I275" s="1" t="n">
        <v>1</v>
      </c>
      <c r="J275" s="1" t="s">
        <v>1384</v>
      </c>
      <c r="K275" s="65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1390</v>
      </c>
      <c r="D276" s="1" t="s">
        <v>1391</v>
      </c>
      <c r="E276" s="15" t="n">
        <v>46200</v>
      </c>
      <c r="F276" s="15" t="n">
        <v>46199</v>
      </c>
      <c r="G276" s="1" t="s">
        <v>248</v>
      </c>
      <c r="H276" s="1" t="n">
        <v>1313051</v>
      </c>
      <c r="I276" s="1" t="n">
        <v>1</v>
      </c>
      <c r="J276" s="1" t="s">
        <v>1384</v>
      </c>
      <c r="K276" s="65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1428</v>
      </c>
      <c r="D277" s="1" t="s">
        <v>1429</v>
      </c>
      <c r="E277" s="15" t="n">
        <v>46200</v>
      </c>
      <c r="F277" s="15" t="n">
        <v>46197</v>
      </c>
      <c r="G277" s="1" t="s">
        <v>206</v>
      </c>
      <c r="H277" s="1" t="n">
        <v>1312633</v>
      </c>
      <c r="I277" s="1" t="n">
        <v>11</v>
      </c>
      <c r="J277" s="1" t="s">
        <v>1384</v>
      </c>
      <c r="K277" s="65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1390</v>
      </c>
      <c r="D278" s="1" t="s">
        <v>1395</v>
      </c>
      <c r="E278" s="15" t="n">
        <v>46202</v>
      </c>
      <c r="F278" s="15" t="n">
        <v>46199</v>
      </c>
      <c r="G278" s="1" t="s">
        <v>130</v>
      </c>
      <c r="H278" s="1" t="n">
        <v>1321674</v>
      </c>
      <c r="I278" s="1" t="n">
        <v>1</v>
      </c>
      <c r="J278" s="1" t="s">
        <v>1384</v>
      </c>
      <c r="K278" s="65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1385</v>
      </c>
      <c r="D279" s="1" t="s">
        <v>1386</v>
      </c>
      <c r="E279" s="15" t="n">
        <v>46202</v>
      </c>
      <c r="F279" s="15" t="n">
        <v>46199</v>
      </c>
      <c r="G279" s="1" t="s">
        <v>119</v>
      </c>
      <c r="H279" s="1" t="n">
        <v>1322169</v>
      </c>
      <c r="I279" s="1" t="n">
        <v>1</v>
      </c>
      <c r="J279" s="1" t="s">
        <v>1384</v>
      </c>
      <c r="K279" s="65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1387</v>
      </c>
      <c r="D280" s="1" t="s">
        <v>1386</v>
      </c>
      <c r="E280" s="15" t="n">
        <v>46202</v>
      </c>
      <c r="F280" s="15" t="n">
        <v>46199</v>
      </c>
      <c r="G280" s="1" t="s">
        <v>119</v>
      </c>
      <c r="H280" s="1" t="n">
        <v>1322190</v>
      </c>
      <c r="I280" s="1" t="n">
        <v>1</v>
      </c>
      <c r="J280" s="1" t="s">
        <v>1384</v>
      </c>
      <c r="K280" s="65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1387</v>
      </c>
      <c r="D281" s="1" t="s">
        <v>1386</v>
      </c>
      <c r="E281" s="15" t="n">
        <v>46202</v>
      </c>
      <c r="F281" s="15" t="n">
        <v>46199</v>
      </c>
      <c r="G281" s="1" t="s">
        <v>119</v>
      </c>
      <c r="H281" s="1" t="n">
        <v>1322180</v>
      </c>
      <c r="I281" s="1" t="n">
        <v>1</v>
      </c>
      <c r="J281" s="1" t="s">
        <v>1384</v>
      </c>
      <c r="K281" s="65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1451</v>
      </c>
      <c r="D282" s="1" t="s">
        <v>1452</v>
      </c>
      <c r="E282" s="15" t="n">
        <v>46202</v>
      </c>
      <c r="F282" s="15" t="n">
        <v>46198</v>
      </c>
      <c r="G282" s="1" t="s">
        <v>212</v>
      </c>
      <c r="H282" s="1" t="n">
        <v>1321849</v>
      </c>
      <c r="I282" s="1" t="n">
        <v>1</v>
      </c>
      <c r="J282" s="1" t="s">
        <v>1384</v>
      </c>
      <c r="K282" s="65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1388</v>
      </c>
      <c r="D283" s="1" t="s">
        <v>1389</v>
      </c>
      <c r="E283" s="15" t="n">
        <v>46202</v>
      </c>
      <c r="F283" s="15" t="n">
        <v>46200</v>
      </c>
      <c r="G283" s="1" t="s">
        <v>369</v>
      </c>
      <c r="H283" s="1" t="n">
        <v>1321679</v>
      </c>
      <c r="I283" s="1" t="n">
        <v>1</v>
      </c>
      <c r="J283" s="1" t="s">
        <v>1384</v>
      </c>
      <c r="K283" s="65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1390</v>
      </c>
      <c r="D284" s="1" t="s">
        <v>1411</v>
      </c>
      <c r="E284" s="15" t="n">
        <v>46202</v>
      </c>
      <c r="F284" s="15" t="n">
        <v>46198</v>
      </c>
      <c r="G284" s="1" t="s">
        <v>164</v>
      </c>
      <c r="H284" s="1" t="n">
        <v>1321921</v>
      </c>
      <c r="I284" s="1" t="n">
        <v>11</v>
      </c>
      <c r="J284" s="1" t="s">
        <v>1384</v>
      </c>
      <c r="K284" s="65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1390</v>
      </c>
      <c r="D285" s="1" t="s">
        <v>1391</v>
      </c>
      <c r="E285" s="15" t="n">
        <v>46202</v>
      </c>
      <c r="F285" s="15" t="n">
        <v>46200</v>
      </c>
      <c r="G285" s="1" t="s">
        <v>248</v>
      </c>
      <c r="H285" s="1" t="n">
        <v>1322010</v>
      </c>
      <c r="I285" s="1" t="n">
        <v>1</v>
      </c>
      <c r="J285" s="1" t="s">
        <v>1384</v>
      </c>
      <c r="K285" s="65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1390</v>
      </c>
      <c r="D286" s="1" t="s">
        <v>1400</v>
      </c>
      <c r="E286" s="15" t="n">
        <v>46202</v>
      </c>
      <c r="F286" s="15" t="n">
        <v>46202</v>
      </c>
      <c r="G286" s="1" t="s">
        <v>132</v>
      </c>
      <c r="H286" s="1" t="n">
        <v>1324941</v>
      </c>
      <c r="I286" s="1" t="n">
        <v>6</v>
      </c>
      <c r="J286" s="1" t="s">
        <v>1384</v>
      </c>
      <c r="K286" s="65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1390</v>
      </c>
      <c r="D287" s="1" t="s">
        <v>1400</v>
      </c>
      <c r="E287" s="15" t="n">
        <v>46202</v>
      </c>
      <c r="F287" s="15" t="n">
        <v>46202</v>
      </c>
      <c r="G287" s="1" t="s">
        <v>132</v>
      </c>
      <c r="H287" s="1" t="n">
        <v>1324904</v>
      </c>
      <c r="I287" s="1" t="n">
        <v>2</v>
      </c>
      <c r="J287" s="1" t="s">
        <v>1384</v>
      </c>
      <c r="K287" s="65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1390</v>
      </c>
      <c r="D288" s="1" t="s">
        <v>1395</v>
      </c>
      <c r="E288" s="15" t="n">
        <v>46203</v>
      </c>
      <c r="F288" s="15" t="n">
        <v>46202</v>
      </c>
      <c r="G288" s="1" t="s">
        <v>130</v>
      </c>
      <c r="H288" s="1" t="n">
        <v>1330382</v>
      </c>
      <c r="I288" s="1" t="n">
        <v>1</v>
      </c>
      <c r="J288" s="1" t="s">
        <v>1384</v>
      </c>
      <c r="K288" s="65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1388</v>
      </c>
      <c r="D289" s="1" t="s">
        <v>1389</v>
      </c>
      <c r="E289" s="15" t="n">
        <v>46203</v>
      </c>
      <c r="F289" s="15" t="n">
        <v>46202</v>
      </c>
      <c r="G289" s="1" t="s">
        <v>369</v>
      </c>
      <c r="H289" s="1" t="n">
        <v>1329534</v>
      </c>
      <c r="I289" s="1" t="n">
        <v>1</v>
      </c>
      <c r="J289" s="1" t="s">
        <v>1384</v>
      </c>
      <c r="K289" s="65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1390</v>
      </c>
      <c r="D290" s="1" t="s">
        <v>1408</v>
      </c>
      <c r="E290" s="15" t="n">
        <v>46203</v>
      </c>
      <c r="F290" s="15" t="n">
        <v>46203</v>
      </c>
      <c r="G290" s="1" t="s">
        <v>171</v>
      </c>
      <c r="H290" s="1" t="n">
        <v>1330369</v>
      </c>
      <c r="I290" s="1" t="n">
        <v>1</v>
      </c>
      <c r="J290" s="1" t="s">
        <v>1384</v>
      </c>
      <c r="K290" s="65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1390</v>
      </c>
      <c r="D291" s="1" t="s">
        <v>1400</v>
      </c>
      <c r="E291" s="15" t="n">
        <v>46203</v>
      </c>
      <c r="F291" s="15" t="n">
        <v>46203</v>
      </c>
      <c r="G291" s="1" t="s">
        <v>132</v>
      </c>
      <c r="H291" s="1" t="n">
        <v>1330477</v>
      </c>
      <c r="I291" s="1" t="n">
        <v>6</v>
      </c>
      <c r="J291" s="1" t="s">
        <v>1384</v>
      </c>
      <c r="K291" s="65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1390</v>
      </c>
      <c r="D292" s="1" t="s">
        <v>1400</v>
      </c>
      <c r="E292" s="15" t="n">
        <v>46203</v>
      </c>
      <c r="F292" s="15" t="n">
        <v>46203</v>
      </c>
      <c r="G292" s="1" t="s">
        <v>132</v>
      </c>
      <c r="H292" s="1" t="n">
        <v>1330472</v>
      </c>
      <c r="I292" s="1" t="n">
        <v>2</v>
      </c>
      <c r="J292" s="1" t="s">
        <v>1384</v>
      </c>
      <c r="K292" s="65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1456</v>
      </c>
      <c r="D293" s="1" t="s">
        <v>1457</v>
      </c>
      <c r="E293" s="15" t="n">
        <v>46204</v>
      </c>
      <c r="F293" s="15" t="n">
        <v>46203</v>
      </c>
      <c r="G293" s="1" t="s">
        <v>156</v>
      </c>
      <c r="H293" s="1" t="n">
        <v>1333898</v>
      </c>
      <c r="I293" s="1" t="n">
        <v>1</v>
      </c>
      <c r="J293" s="1" t="s">
        <v>1384</v>
      </c>
      <c r="K293" s="65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1390</v>
      </c>
      <c r="D294" s="1" t="s">
        <v>1400</v>
      </c>
      <c r="E294" s="15" t="n">
        <v>46204</v>
      </c>
      <c r="F294" s="15" t="n">
        <v>46204</v>
      </c>
      <c r="G294" s="1" t="s">
        <v>132</v>
      </c>
      <c r="H294" s="1" t="n">
        <v>1334962</v>
      </c>
      <c r="I294" s="1" t="n">
        <v>2</v>
      </c>
      <c r="J294" s="1" t="s">
        <v>1384</v>
      </c>
      <c r="K294" s="65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1390</v>
      </c>
      <c r="D295" s="1" t="s">
        <v>1400</v>
      </c>
      <c r="E295" s="15" t="n">
        <v>46204</v>
      </c>
      <c r="F295" s="15" t="n">
        <v>46204</v>
      </c>
      <c r="G295" s="1" t="s">
        <v>132</v>
      </c>
      <c r="H295" s="1" t="n">
        <v>1334970</v>
      </c>
      <c r="I295" s="1" t="n">
        <v>6</v>
      </c>
      <c r="J295" s="1" t="s">
        <v>1384</v>
      </c>
      <c r="K295" s="65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1390</v>
      </c>
      <c r="D296" s="1" t="s">
        <v>1401</v>
      </c>
      <c r="E296" s="15" t="n">
        <v>46204</v>
      </c>
      <c r="F296" s="15" t="n">
        <v>46203</v>
      </c>
      <c r="G296" s="1" t="s">
        <v>92</v>
      </c>
      <c r="H296" s="1" t="n">
        <v>1335310</v>
      </c>
      <c r="I296" s="1" t="n">
        <v>1</v>
      </c>
      <c r="J296" s="1" t="s">
        <v>1384</v>
      </c>
      <c r="K296" s="65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1382</v>
      </c>
      <c r="D297" s="1" t="s">
        <v>1392</v>
      </c>
      <c r="E297" s="15" t="n">
        <v>46204</v>
      </c>
      <c r="F297" s="15" t="n">
        <v>46203</v>
      </c>
      <c r="G297" s="1" t="s">
        <v>194</v>
      </c>
      <c r="H297" s="1" t="n">
        <v>1333879</v>
      </c>
      <c r="I297" s="1" t="n">
        <v>1</v>
      </c>
      <c r="J297" s="1" t="s">
        <v>1384</v>
      </c>
      <c r="K297" s="65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1390</v>
      </c>
      <c r="D298" s="1" t="s">
        <v>1393</v>
      </c>
      <c r="E298" s="15" t="n">
        <v>46204</v>
      </c>
      <c r="F298" s="15" t="n">
        <v>46203</v>
      </c>
      <c r="G298" s="1" t="s">
        <v>188</v>
      </c>
      <c r="H298" s="1" t="n">
        <v>1333861</v>
      </c>
      <c r="I298" s="1" t="n">
        <v>1</v>
      </c>
      <c r="J298" s="1" t="s">
        <v>1384</v>
      </c>
      <c r="K298" s="65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1390</v>
      </c>
      <c r="D299" s="1" t="s">
        <v>1405</v>
      </c>
      <c r="E299" s="15" t="n">
        <v>46204</v>
      </c>
      <c r="F299" s="15" t="n">
        <v>46203</v>
      </c>
      <c r="G299" s="1" t="s">
        <v>128</v>
      </c>
      <c r="H299" s="1" t="n">
        <v>1334341</v>
      </c>
      <c r="I299" s="1" t="n">
        <v>1</v>
      </c>
      <c r="J299" s="1" t="s">
        <v>1384</v>
      </c>
      <c r="K299" s="65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1390</v>
      </c>
      <c r="D300" s="1" t="s">
        <v>1498</v>
      </c>
      <c r="E300" s="15" t="n">
        <v>46204</v>
      </c>
      <c r="F300" s="15" t="n">
        <v>46192</v>
      </c>
      <c r="G300" s="1" t="s">
        <v>88</v>
      </c>
      <c r="H300" s="1" t="n">
        <v>1335414</v>
      </c>
      <c r="I300" s="1" t="n">
        <v>1</v>
      </c>
      <c r="J300" s="1" t="s">
        <v>1384</v>
      </c>
      <c r="K300" s="65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1390</v>
      </c>
      <c r="D301" s="1" t="s">
        <v>1406</v>
      </c>
      <c r="E301" s="15" t="n">
        <v>46205</v>
      </c>
      <c r="F301" s="15" t="n">
        <v>46205</v>
      </c>
      <c r="G301" s="1" t="s">
        <v>179</v>
      </c>
      <c r="H301" s="1" t="n">
        <v>1339497</v>
      </c>
      <c r="I301" s="1" t="n">
        <v>1</v>
      </c>
      <c r="J301" s="1" t="s">
        <v>1384</v>
      </c>
      <c r="K301" s="65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1388</v>
      </c>
      <c r="D302" s="1" t="s">
        <v>1389</v>
      </c>
      <c r="E302" s="15" t="n">
        <v>46205</v>
      </c>
      <c r="F302" s="15" t="n">
        <v>46204</v>
      </c>
      <c r="G302" s="1" t="s">
        <v>369</v>
      </c>
      <c r="H302" s="1" t="n">
        <v>1338988</v>
      </c>
      <c r="I302" s="1" t="n">
        <v>1</v>
      </c>
      <c r="J302" s="1" t="s">
        <v>1384</v>
      </c>
      <c r="K302" s="65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1390</v>
      </c>
      <c r="D303" s="1" t="s">
        <v>1499</v>
      </c>
      <c r="E303" s="15" t="n">
        <v>46205</v>
      </c>
      <c r="F303" s="15" t="n">
        <v>46199</v>
      </c>
      <c r="G303" s="1" t="s">
        <v>690</v>
      </c>
      <c r="H303" s="1" t="n">
        <v>1339965</v>
      </c>
      <c r="I303" s="1" t="n">
        <v>1</v>
      </c>
      <c r="J303" s="1" t="s">
        <v>1384</v>
      </c>
      <c r="K303" s="65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1390</v>
      </c>
      <c r="D304" s="1" t="s">
        <v>1411</v>
      </c>
      <c r="E304" s="15" t="n">
        <v>46205</v>
      </c>
      <c r="F304" s="15" t="n">
        <v>46204</v>
      </c>
      <c r="G304" s="1" t="s">
        <v>164</v>
      </c>
      <c r="H304" s="1" t="n">
        <v>1339618</v>
      </c>
      <c r="I304" s="1" t="n">
        <v>1</v>
      </c>
      <c r="J304" s="1" t="s">
        <v>1384</v>
      </c>
      <c r="K304" s="65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1390</v>
      </c>
      <c r="D305" s="1" t="s">
        <v>1439</v>
      </c>
      <c r="E305" s="15" t="n">
        <v>46205</v>
      </c>
      <c r="F305" s="15" t="n">
        <v>46204</v>
      </c>
      <c r="G305" s="1" t="s">
        <v>489</v>
      </c>
      <c r="H305" s="1" t="n">
        <v>1339667</v>
      </c>
      <c r="I305" s="1" t="n">
        <v>1</v>
      </c>
      <c r="J305" s="1" t="s">
        <v>1384</v>
      </c>
      <c r="K305" s="65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1390</v>
      </c>
      <c r="D306" s="1" t="s">
        <v>1417</v>
      </c>
      <c r="E306" s="15" t="n">
        <v>46206</v>
      </c>
      <c r="F306" s="15" t="n">
        <v>46206</v>
      </c>
      <c r="G306" s="1" t="s">
        <v>1418</v>
      </c>
      <c r="H306" s="1" t="n">
        <v>1344684</v>
      </c>
      <c r="I306" s="1" t="n">
        <v>1</v>
      </c>
      <c r="J306" s="1" t="s">
        <v>1384</v>
      </c>
      <c r="K306" s="65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1390</v>
      </c>
      <c r="D307" s="1" t="s">
        <v>1396</v>
      </c>
      <c r="E307" s="15" t="n">
        <v>46206</v>
      </c>
      <c r="F307" s="15" t="n">
        <v>46206</v>
      </c>
      <c r="G307" s="1" t="s">
        <v>220</v>
      </c>
      <c r="H307" s="1" t="n">
        <v>1345271</v>
      </c>
      <c r="I307" s="1" t="n">
        <v>1</v>
      </c>
      <c r="J307" s="1" t="s">
        <v>1384</v>
      </c>
      <c r="K307" s="65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1431</v>
      </c>
      <c r="D308" s="1" t="s">
        <v>1432</v>
      </c>
      <c r="E308" s="15" t="n">
        <v>46206</v>
      </c>
      <c r="F308" s="15" t="n">
        <v>46205</v>
      </c>
      <c r="G308" s="1" t="s">
        <v>351</v>
      </c>
      <c r="H308" s="1" t="n">
        <v>1345083</v>
      </c>
      <c r="I308" s="1" t="n">
        <v>1</v>
      </c>
      <c r="J308" s="1" t="s">
        <v>1384</v>
      </c>
      <c r="K308" s="65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1390</v>
      </c>
      <c r="D309" s="1" t="s">
        <v>1397</v>
      </c>
      <c r="E309" s="15" t="n">
        <v>46206</v>
      </c>
      <c r="F309" s="15" t="n">
        <v>46205</v>
      </c>
      <c r="G309" s="1" t="s">
        <v>210</v>
      </c>
      <c r="H309" s="1" t="n">
        <v>1343794</v>
      </c>
      <c r="I309" s="1" t="n">
        <v>1</v>
      </c>
      <c r="J309" s="1" t="s">
        <v>1384</v>
      </c>
      <c r="K309" s="65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1451</v>
      </c>
      <c r="D310" s="1" t="s">
        <v>1452</v>
      </c>
      <c r="E310" s="15" t="n">
        <v>46206</v>
      </c>
      <c r="F310" s="15" t="n">
        <v>46205</v>
      </c>
      <c r="G310" s="1" t="s">
        <v>212</v>
      </c>
      <c r="H310" s="1" t="n">
        <v>1345469</v>
      </c>
      <c r="I310" s="1" t="n">
        <v>1</v>
      </c>
      <c r="J310" s="1" t="s">
        <v>1384</v>
      </c>
      <c r="K310" s="65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1390</v>
      </c>
      <c r="D311" s="1" t="s">
        <v>1398</v>
      </c>
      <c r="E311" s="15" t="n">
        <v>46206</v>
      </c>
      <c r="F311" s="15" t="n">
        <v>46206</v>
      </c>
      <c r="G311" s="1" t="s">
        <v>201</v>
      </c>
      <c r="H311" s="1" t="n">
        <v>1343779</v>
      </c>
      <c r="I311" s="1" t="n">
        <v>1</v>
      </c>
      <c r="J311" s="1" t="s">
        <v>1384</v>
      </c>
      <c r="K311" s="65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1388</v>
      </c>
      <c r="D312" s="1" t="s">
        <v>1389</v>
      </c>
      <c r="E312" s="15" t="n">
        <v>46206</v>
      </c>
      <c r="F312" s="15" t="n">
        <v>46206</v>
      </c>
      <c r="G312" s="1" t="s">
        <v>369</v>
      </c>
      <c r="H312" s="1" t="n">
        <v>1345413</v>
      </c>
      <c r="I312" s="1" t="n">
        <v>1</v>
      </c>
      <c r="J312" s="1" t="s">
        <v>1384</v>
      </c>
      <c r="K312" s="65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1382</v>
      </c>
      <c r="D313" s="1" t="s">
        <v>1414</v>
      </c>
      <c r="E313" s="15" t="n">
        <v>46206</v>
      </c>
      <c r="F313" s="15" t="n">
        <v>46206</v>
      </c>
      <c r="G313" s="1" t="s">
        <v>390</v>
      </c>
      <c r="H313" s="1" t="n">
        <v>1345530</v>
      </c>
      <c r="I313" s="1" t="n">
        <v>1</v>
      </c>
      <c r="J313" s="1" t="s">
        <v>1384</v>
      </c>
      <c r="K313" s="65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1382</v>
      </c>
      <c r="D314" s="1" t="s">
        <v>1500</v>
      </c>
      <c r="E314" s="15" t="n">
        <v>46206</v>
      </c>
      <c r="F314" s="15" t="n">
        <v>46205</v>
      </c>
      <c r="G314" s="1" t="s">
        <v>752</v>
      </c>
      <c r="H314" s="1" t="n">
        <v>1345178</v>
      </c>
      <c r="I314" s="1" t="n">
        <v>1</v>
      </c>
      <c r="J314" s="1" t="s">
        <v>1384</v>
      </c>
      <c r="K314" s="65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1390</v>
      </c>
      <c r="D315" s="1" t="s">
        <v>1409</v>
      </c>
      <c r="E315" s="15" t="n">
        <v>46206</v>
      </c>
      <c r="F315" s="15" t="n">
        <v>46206</v>
      </c>
      <c r="G315" s="1" t="s">
        <v>1410</v>
      </c>
      <c r="H315" s="1" t="n">
        <v>1344581</v>
      </c>
      <c r="I315" s="1" t="n">
        <v>1</v>
      </c>
      <c r="J315" s="1" t="s">
        <v>1384</v>
      </c>
      <c r="K315" s="65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1390</v>
      </c>
      <c r="D316" s="1" t="s">
        <v>1426</v>
      </c>
      <c r="E316" s="15" t="n">
        <v>46206</v>
      </c>
      <c r="F316" s="15" t="n">
        <v>46205</v>
      </c>
      <c r="G316" s="1" t="s">
        <v>1427</v>
      </c>
      <c r="H316" s="1" t="n">
        <v>1344368</v>
      </c>
      <c r="I316" s="1" t="n">
        <v>1</v>
      </c>
      <c r="J316" s="1" t="s">
        <v>1384</v>
      </c>
      <c r="K316" s="65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1390</v>
      </c>
      <c r="D317" s="1" t="s">
        <v>1400</v>
      </c>
      <c r="E317" s="15" t="n">
        <v>46206</v>
      </c>
      <c r="F317" s="15" t="n">
        <v>46206</v>
      </c>
      <c r="G317" s="1" t="s">
        <v>132</v>
      </c>
      <c r="H317" s="1" t="n">
        <v>1344644</v>
      </c>
      <c r="I317" s="1" t="n">
        <v>6</v>
      </c>
      <c r="J317" s="1" t="s">
        <v>1384</v>
      </c>
      <c r="K317" s="65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1390</v>
      </c>
      <c r="D318" s="1" t="s">
        <v>1400</v>
      </c>
      <c r="E318" s="15" t="n">
        <v>46206</v>
      </c>
      <c r="F318" s="15" t="n">
        <v>46206</v>
      </c>
      <c r="G318" s="1" t="s">
        <v>132</v>
      </c>
      <c r="H318" s="1" t="n">
        <v>1345376</v>
      </c>
      <c r="I318" s="1" t="n">
        <v>6</v>
      </c>
      <c r="J318" s="1" t="s">
        <v>1384</v>
      </c>
      <c r="K318" s="65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1390</v>
      </c>
      <c r="D319" s="1" t="s">
        <v>1400</v>
      </c>
      <c r="E319" s="15" t="n">
        <v>46206</v>
      </c>
      <c r="F319" s="15" t="n">
        <v>46206</v>
      </c>
      <c r="G319" s="1" t="s">
        <v>132</v>
      </c>
      <c r="H319" s="1" t="n">
        <v>1344619</v>
      </c>
      <c r="I319" s="1" t="n">
        <v>2</v>
      </c>
      <c r="J319" s="1" t="s">
        <v>1384</v>
      </c>
      <c r="K319" s="65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1390</v>
      </c>
      <c r="D320" s="1" t="s">
        <v>1400</v>
      </c>
      <c r="E320" s="15" t="n">
        <v>46206</v>
      </c>
      <c r="F320" s="15" t="n">
        <v>46206</v>
      </c>
      <c r="G320" s="1" t="s">
        <v>132</v>
      </c>
      <c r="H320" s="1" t="n">
        <v>1345364</v>
      </c>
      <c r="I320" s="1" t="n">
        <v>2</v>
      </c>
      <c r="J320" s="1" t="s">
        <v>1384</v>
      </c>
      <c r="K320" s="65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1390</v>
      </c>
      <c r="D321" s="1" t="s">
        <v>1415</v>
      </c>
      <c r="E321" s="15" t="n">
        <v>46206</v>
      </c>
      <c r="F321" s="15" t="n">
        <v>46206</v>
      </c>
      <c r="G321" s="1" t="s">
        <v>388</v>
      </c>
      <c r="H321" s="1" t="n">
        <v>1345621</v>
      </c>
      <c r="I321" s="1" t="n">
        <v>1</v>
      </c>
      <c r="J321" s="1" t="s">
        <v>1384</v>
      </c>
      <c r="K321" s="65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1390</v>
      </c>
      <c r="D322" s="1" t="s">
        <v>1395</v>
      </c>
      <c r="E322" s="15" t="n">
        <v>46207</v>
      </c>
      <c r="F322" s="15" t="n">
        <v>46206</v>
      </c>
      <c r="G322" s="1" t="s">
        <v>130</v>
      </c>
      <c r="H322" s="1" t="n">
        <v>1348633</v>
      </c>
      <c r="I322" s="1" t="n">
        <v>1</v>
      </c>
      <c r="J322" s="1" t="s">
        <v>1384</v>
      </c>
      <c r="K322" s="65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1390</v>
      </c>
      <c r="D323" s="1" t="s">
        <v>1391</v>
      </c>
      <c r="E323" s="15" t="n">
        <v>46207</v>
      </c>
      <c r="F323" s="15" t="n">
        <v>46206</v>
      </c>
      <c r="G323" s="1" t="s">
        <v>248</v>
      </c>
      <c r="H323" s="1" t="n">
        <v>1348589</v>
      </c>
      <c r="I323" s="1" t="n">
        <v>1</v>
      </c>
      <c r="J323" s="1" t="s">
        <v>1384</v>
      </c>
      <c r="K323" s="65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1382</v>
      </c>
      <c r="D324" s="1" t="s">
        <v>1392</v>
      </c>
      <c r="E324" s="15" t="n">
        <v>46207</v>
      </c>
      <c r="F324" s="15" t="n">
        <v>46206</v>
      </c>
      <c r="G324" s="1" t="s">
        <v>194</v>
      </c>
      <c r="H324" s="1" t="n">
        <v>1348260</v>
      </c>
      <c r="I324" s="1" t="n">
        <v>1</v>
      </c>
      <c r="J324" s="1" t="s">
        <v>1384</v>
      </c>
      <c r="K324" s="65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1385</v>
      </c>
      <c r="D325" s="1" t="s">
        <v>1386</v>
      </c>
      <c r="E325" s="15" t="n">
        <v>46209</v>
      </c>
      <c r="F325" s="15" t="n">
        <v>46206</v>
      </c>
      <c r="G325" s="1" t="s">
        <v>119</v>
      </c>
      <c r="H325" s="1" t="n">
        <v>1360305</v>
      </c>
      <c r="I325" s="1" t="n">
        <v>1</v>
      </c>
      <c r="J325" s="1" t="s">
        <v>1384</v>
      </c>
      <c r="K325" s="65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1385</v>
      </c>
      <c r="D326" s="1" t="s">
        <v>1386</v>
      </c>
      <c r="E326" s="15" t="n">
        <v>46209</v>
      </c>
      <c r="F326" s="15" t="n">
        <v>46206</v>
      </c>
      <c r="G326" s="1" t="s">
        <v>119</v>
      </c>
      <c r="H326" s="1" t="n">
        <v>1360170</v>
      </c>
      <c r="I326" s="1" t="n">
        <v>1</v>
      </c>
      <c r="J326" s="1" t="s">
        <v>1384</v>
      </c>
      <c r="K326" s="65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1387</v>
      </c>
      <c r="D327" s="1" t="s">
        <v>1386</v>
      </c>
      <c r="E327" s="15" t="n">
        <v>46209</v>
      </c>
      <c r="F327" s="15" t="n">
        <v>46206</v>
      </c>
      <c r="G327" s="1" t="s">
        <v>119</v>
      </c>
      <c r="H327" s="1" t="n">
        <v>1360326</v>
      </c>
      <c r="I327" s="1" t="n">
        <v>11</v>
      </c>
      <c r="J327" s="1" t="s">
        <v>1384</v>
      </c>
      <c r="K327" s="65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1387</v>
      </c>
      <c r="D328" s="1" t="s">
        <v>1386</v>
      </c>
      <c r="E328" s="15" t="n">
        <v>46209</v>
      </c>
      <c r="F328" s="15" t="n">
        <v>46206</v>
      </c>
      <c r="G328" s="1" t="s">
        <v>119</v>
      </c>
      <c r="H328" s="1" t="n">
        <v>1360155</v>
      </c>
      <c r="I328" s="1" t="n">
        <v>1</v>
      </c>
      <c r="J328" s="1" t="s">
        <v>1384</v>
      </c>
      <c r="K328" s="65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1390</v>
      </c>
      <c r="D329" s="1" t="s">
        <v>1403</v>
      </c>
      <c r="E329" s="15" t="n">
        <v>46209</v>
      </c>
      <c r="F329" s="15" t="n">
        <v>46207</v>
      </c>
      <c r="G329" s="1" t="s">
        <v>332</v>
      </c>
      <c r="H329" s="1" t="n">
        <v>1359593</v>
      </c>
      <c r="I329" s="1" t="n">
        <v>1</v>
      </c>
      <c r="J329" s="1" t="s">
        <v>1384</v>
      </c>
      <c r="K329" s="65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1388</v>
      </c>
      <c r="D330" s="1" t="s">
        <v>1389</v>
      </c>
      <c r="E330" s="15" t="n">
        <v>46209</v>
      </c>
      <c r="F330" s="15" t="n">
        <v>46207</v>
      </c>
      <c r="G330" s="1" t="s">
        <v>369</v>
      </c>
      <c r="H330" s="1" t="n">
        <v>1359513</v>
      </c>
      <c r="I330" s="1" t="n">
        <v>1</v>
      </c>
      <c r="J330" s="1" t="s">
        <v>1384</v>
      </c>
      <c r="K330" s="65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1390</v>
      </c>
      <c r="D331" s="1" t="s">
        <v>1408</v>
      </c>
      <c r="E331" s="15" t="n">
        <v>46209</v>
      </c>
      <c r="F331" s="15" t="n">
        <v>46209</v>
      </c>
      <c r="G331" s="1" t="s">
        <v>171</v>
      </c>
      <c r="H331" s="1" t="n">
        <v>1361298</v>
      </c>
      <c r="I331" s="1" t="n">
        <v>1</v>
      </c>
      <c r="J331" s="1" t="s">
        <v>1384</v>
      </c>
      <c r="K331" s="65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1390</v>
      </c>
      <c r="D332" s="1" t="s">
        <v>1425</v>
      </c>
      <c r="E332" s="15" t="n">
        <v>46209</v>
      </c>
      <c r="F332" s="15" t="n">
        <v>46209</v>
      </c>
      <c r="G332" s="1" t="s">
        <v>320</v>
      </c>
      <c r="H332" s="1" t="n">
        <v>1365085</v>
      </c>
      <c r="I332" s="1" t="n">
        <v>1</v>
      </c>
      <c r="J332" s="1" t="s">
        <v>1384</v>
      </c>
      <c r="K332" s="65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1390</v>
      </c>
      <c r="D333" s="1" t="s">
        <v>1400</v>
      </c>
      <c r="E333" s="15" t="n">
        <v>46209</v>
      </c>
      <c r="F333" s="15" t="n">
        <v>46209</v>
      </c>
      <c r="G333" s="1" t="s">
        <v>132</v>
      </c>
      <c r="H333" s="1" t="n">
        <v>1361277</v>
      </c>
      <c r="I333" s="1" t="n">
        <v>6</v>
      </c>
      <c r="J333" s="1" t="s">
        <v>1384</v>
      </c>
      <c r="K333" s="65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1390</v>
      </c>
      <c r="D334" s="1" t="s">
        <v>1400</v>
      </c>
      <c r="E334" s="15" t="n">
        <v>46209</v>
      </c>
      <c r="F334" s="15" t="n">
        <v>46209</v>
      </c>
      <c r="G334" s="1" t="s">
        <v>132</v>
      </c>
      <c r="H334" s="1" t="n">
        <v>1361270</v>
      </c>
      <c r="I334" s="1" t="n">
        <v>2</v>
      </c>
      <c r="J334" s="1" t="s">
        <v>1384</v>
      </c>
      <c r="K334" s="65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1390</v>
      </c>
      <c r="D335" s="1" t="s">
        <v>1501</v>
      </c>
      <c r="E335" s="15" t="n">
        <v>46210</v>
      </c>
      <c r="F335" s="15" t="n">
        <v>46206</v>
      </c>
      <c r="G335" s="1" t="s">
        <v>1502</v>
      </c>
      <c r="H335" s="1" t="n">
        <v>1366133</v>
      </c>
      <c r="I335" s="1" t="n">
        <v>11</v>
      </c>
      <c r="J335" s="1" t="s">
        <v>1384</v>
      </c>
      <c r="K335" s="65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1390</v>
      </c>
      <c r="D336" s="1" t="s">
        <v>1441</v>
      </c>
      <c r="E336" s="15" t="n">
        <v>46210</v>
      </c>
      <c r="F336" s="15" t="n">
        <v>46208</v>
      </c>
      <c r="G336" s="1" t="s">
        <v>94</v>
      </c>
      <c r="H336" s="1" t="n">
        <v>1364523</v>
      </c>
      <c r="I336" s="1" t="n">
        <v>1</v>
      </c>
      <c r="J336" s="1" t="s">
        <v>1384</v>
      </c>
      <c r="K336" s="65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1390</v>
      </c>
      <c r="D337" s="1" t="s">
        <v>1397</v>
      </c>
      <c r="E337" s="15" t="n">
        <v>46210</v>
      </c>
      <c r="F337" s="15" t="n">
        <v>46209</v>
      </c>
      <c r="G337" s="1" t="s">
        <v>210</v>
      </c>
      <c r="H337" s="1" t="n">
        <v>1364546</v>
      </c>
      <c r="I337" s="1" t="n">
        <v>1</v>
      </c>
      <c r="J337" s="1" t="s">
        <v>1384</v>
      </c>
      <c r="K337" s="65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1388</v>
      </c>
      <c r="D338" s="1" t="s">
        <v>1389</v>
      </c>
      <c r="E338" s="15" t="n">
        <v>46210</v>
      </c>
      <c r="F338" s="15" t="n">
        <v>46209</v>
      </c>
      <c r="G338" s="1" t="s">
        <v>369</v>
      </c>
      <c r="H338" s="1" t="n">
        <v>1365102</v>
      </c>
      <c r="I338" s="1" t="n">
        <v>1</v>
      </c>
      <c r="J338" s="1" t="s">
        <v>1384</v>
      </c>
      <c r="K338" s="65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1390</v>
      </c>
      <c r="D339" s="1" t="s">
        <v>1503</v>
      </c>
      <c r="E339" s="15" t="n">
        <v>46210</v>
      </c>
      <c r="F339" s="15" t="n">
        <v>46209</v>
      </c>
      <c r="G339" s="1" t="s">
        <v>822</v>
      </c>
      <c r="H339" s="1" t="n">
        <v>1365044</v>
      </c>
      <c r="I339" s="1" t="n">
        <v>1</v>
      </c>
      <c r="J339" s="1" t="s">
        <v>1384</v>
      </c>
      <c r="K339" s="65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1390</v>
      </c>
      <c r="D340" s="1" t="s">
        <v>1400</v>
      </c>
      <c r="E340" s="15" t="n">
        <v>46210</v>
      </c>
      <c r="F340" s="15" t="n">
        <v>46210</v>
      </c>
      <c r="G340" s="1" t="s">
        <v>132</v>
      </c>
      <c r="H340" s="1" t="n">
        <v>1365847</v>
      </c>
      <c r="I340" s="1" t="n">
        <v>6</v>
      </c>
      <c r="J340" s="1" t="s">
        <v>1384</v>
      </c>
      <c r="K340" s="65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1390</v>
      </c>
      <c r="D341" s="1" t="s">
        <v>1400</v>
      </c>
      <c r="E341" s="15" t="n">
        <v>46210</v>
      </c>
      <c r="F341" s="15" t="n">
        <v>46210</v>
      </c>
      <c r="G341" s="1" t="s">
        <v>132</v>
      </c>
      <c r="H341" s="1" t="n">
        <v>1365832</v>
      </c>
      <c r="I341" s="1" t="n">
        <v>2</v>
      </c>
      <c r="J341" s="1" t="s">
        <v>1384</v>
      </c>
      <c r="K341" s="65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1390</v>
      </c>
      <c r="D342" s="1" t="s">
        <v>1401</v>
      </c>
      <c r="E342" s="15" t="n">
        <v>46210</v>
      </c>
      <c r="F342" s="15" t="n">
        <v>46209</v>
      </c>
      <c r="G342" s="1" t="s">
        <v>92</v>
      </c>
      <c r="H342" s="1" t="n">
        <v>1365074</v>
      </c>
      <c r="I342" s="1" t="n">
        <v>1</v>
      </c>
      <c r="J342" s="1" t="s">
        <v>1384</v>
      </c>
      <c r="K342" s="65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1390</v>
      </c>
      <c r="D343" s="1" t="s">
        <v>1395</v>
      </c>
      <c r="E343" s="15" t="n">
        <v>46211</v>
      </c>
      <c r="F343" s="15" t="n">
        <v>46209</v>
      </c>
      <c r="G343" s="1" t="s">
        <v>130</v>
      </c>
      <c r="H343" s="1" t="n">
        <v>1370587</v>
      </c>
      <c r="I343" s="1" t="n">
        <v>1</v>
      </c>
      <c r="J343" s="1" t="s">
        <v>1384</v>
      </c>
      <c r="K343" s="65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1390</v>
      </c>
      <c r="D344" s="1" t="s">
        <v>1413</v>
      </c>
      <c r="E344" s="15" t="n">
        <v>46211</v>
      </c>
      <c r="F344" s="15" t="n">
        <v>46211</v>
      </c>
      <c r="G344" s="1" t="s">
        <v>166</v>
      </c>
      <c r="H344" s="1" t="n">
        <v>1370224</v>
      </c>
      <c r="I344" s="1" t="n">
        <v>1</v>
      </c>
      <c r="J344" s="1" t="s">
        <v>1384</v>
      </c>
      <c r="K344" s="65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1385</v>
      </c>
      <c r="D345" s="1" t="s">
        <v>1386</v>
      </c>
      <c r="E345" s="15" t="n">
        <v>46211</v>
      </c>
      <c r="F345" s="15" t="n">
        <v>46210</v>
      </c>
      <c r="G345" s="1" t="s">
        <v>119</v>
      </c>
      <c r="H345" s="1" t="n">
        <v>1369061</v>
      </c>
      <c r="I345" s="1" t="n">
        <v>1</v>
      </c>
      <c r="J345" s="1" t="s">
        <v>1384</v>
      </c>
      <c r="K345" s="65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1385</v>
      </c>
      <c r="D346" s="1" t="s">
        <v>1386</v>
      </c>
      <c r="E346" s="15" t="n">
        <v>46211</v>
      </c>
      <c r="F346" s="15" t="n">
        <v>46210</v>
      </c>
      <c r="G346" s="1" t="s">
        <v>119</v>
      </c>
      <c r="H346" s="1" t="n">
        <v>1369445</v>
      </c>
      <c r="I346" s="1" t="n">
        <v>1</v>
      </c>
      <c r="J346" s="1" t="s">
        <v>1384</v>
      </c>
      <c r="K346" s="65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1385</v>
      </c>
      <c r="D347" s="1" t="s">
        <v>1386</v>
      </c>
      <c r="E347" s="15" t="n">
        <v>46211</v>
      </c>
      <c r="F347" s="15" t="n">
        <v>46210</v>
      </c>
      <c r="G347" s="1" t="s">
        <v>119</v>
      </c>
      <c r="H347" s="1" t="n">
        <v>1369053</v>
      </c>
      <c r="I347" s="1" t="n">
        <v>1</v>
      </c>
      <c r="J347" s="1" t="s">
        <v>1384</v>
      </c>
      <c r="K347" s="65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1387</v>
      </c>
      <c r="D348" s="1" t="s">
        <v>1386</v>
      </c>
      <c r="E348" s="15" t="n">
        <v>46211</v>
      </c>
      <c r="F348" s="15" t="n">
        <v>46210</v>
      </c>
      <c r="G348" s="1" t="s">
        <v>119</v>
      </c>
      <c r="H348" s="1" t="n">
        <v>1369169</v>
      </c>
      <c r="I348" s="1" t="n">
        <v>1</v>
      </c>
      <c r="J348" s="1" t="s">
        <v>1384</v>
      </c>
      <c r="K348" s="65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1387</v>
      </c>
      <c r="D349" s="1" t="s">
        <v>1386</v>
      </c>
      <c r="E349" s="15" t="n">
        <v>46211</v>
      </c>
      <c r="F349" s="15" t="n">
        <v>46210</v>
      </c>
      <c r="G349" s="1" t="s">
        <v>119</v>
      </c>
      <c r="H349" s="1" t="n">
        <v>1369182</v>
      </c>
      <c r="I349" s="1" t="n">
        <v>1</v>
      </c>
      <c r="J349" s="1" t="s">
        <v>1384</v>
      </c>
      <c r="K349" s="65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1387</v>
      </c>
      <c r="D350" s="1" t="s">
        <v>1386</v>
      </c>
      <c r="E350" s="15" t="n">
        <v>46211</v>
      </c>
      <c r="F350" s="15" t="n">
        <v>46210</v>
      </c>
      <c r="G350" s="1" t="s">
        <v>119</v>
      </c>
      <c r="H350" s="1" t="n">
        <v>1369069</v>
      </c>
      <c r="I350" s="1" t="n">
        <v>1</v>
      </c>
      <c r="J350" s="1" t="s">
        <v>1384</v>
      </c>
      <c r="K350" s="65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1388</v>
      </c>
      <c r="D351" s="1" t="s">
        <v>1389</v>
      </c>
      <c r="E351" s="15" t="n">
        <v>46211</v>
      </c>
      <c r="F351" s="15" t="n">
        <v>46211</v>
      </c>
      <c r="G351" s="1" t="s">
        <v>369</v>
      </c>
      <c r="H351" s="1" t="n">
        <v>1370616</v>
      </c>
      <c r="I351" s="1" t="n">
        <v>1</v>
      </c>
      <c r="J351" s="1" t="s">
        <v>1384</v>
      </c>
      <c r="K351" s="65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1390</v>
      </c>
      <c r="D352" s="1" t="s">
        <v>1504</v>
      </c>
      <c r="E352" s="15" t="n">
        <v>46211</v>
      </c>
      <c r="F352" s="15" t="n">
        <v>46209</v>
      </c>
      <c r="G352" s="1" t="s">
        <v>725</v>
      </c>
      <c r="H352" s="1" t="n">
        <v>1369398</v>
      </c>
      <c r="I352" s="1" t="n">
        <v>1</v>
      </c>
      <c r="J352" s="1" t="s">
        <v>1384</v>
      </c>
      <c r="K352" s="65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1390</v>
      </c>
      <c r="D353" s="1" t="s">
        <v>1400</v>
      </c>
      <c r="E353" s="15" t="n">
        <v>46211</v>
      </c>
      <c r="F353" s="15" t="n">
        <v>46211</v>
      </c>
      <c r="G353" s="1" t="s">
        <v>132</v>
      </c>
      <c r="H353" s="1" t="n">
        <v>1369655</v>
      </c>
      <c r="I353" s="1" t="n">
        <v>6</v>
      </c>
      <c r="J353" s="1" t="s">
        <v>1384</v>
      </c>
      <c r="K353" s="65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1390</v>
      </c>
      <c r="D354" s="1" t="s">
        <v>1400</v>
      </c>
      <c r="E354" s="15" t="n">
        <v>46211</v>
      </c>
      <c r="F354" s="15" t="n">
        <v>46211</v>
      </c>
      <c r="G354" s="1" t="s">
        <v>132</v>
      </c>
      <c r="H354" s="1" t="n">
        <v>1370406</v>
      </c>
      <c r="I354" s="1" t="n">
        <v>6</v>
      </c>
      <c r="J354" s="1" t="s">
        <v>1384</v>
      </c>
      <c r="K354" s="65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1382</v>
      </c>
      <c r="D355" s="1" t="s">
        <v>1392</v>
      </c>
      <c r="E355" s="15" t="n">
        <v>46211</v>
      </c>
      <c r="F355" s="15" t="n">
        <v>46211</v>
      </c>
      <c r="G355" s="1" t="s">
        <v>194</v>
      </c>
      <c r="H355" s="1" t="n">
        <v>1370613</v>
      </c>
      <c r="I355" s="1" t="n">
        <v>1</v>
      </c>
      <c r="J355" s="1" t="s">
        <v>1384</v>
      </c>
      <c r="K355" s="65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1390</v>
      </c>
      <c r="D356" s="1" t="s">
        <v>1393</v>
      </c>
      <c r="E356" s="15" t="n">
        <v>46211</v>
      </c>
      <c r="F356" s="15" t="n">
        <v>46211</v>
      </c>
      <c r="G356" s="1" t="s">
        <v>188</v>
      </c>
      <c r="H356" s="1" t="n">
        <v>1370597</v>
      </c>
      <c r="I356" s="1" t="n">
        <v>1</v>
      </c>
      <c r="J356" s="1" t="s">
        <v>1384</v>
      </c>
      <c r="K356" s="65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1390</v>
      </c>
      <c r="D357" s="1" t="s">
        <v>1405</v>
      </c>
      <c r="E357" s="15" t="n">
        <v>46211</v>
      </c>
      <c r="F357" s="15" t="n">
        <v>46210</v>
      </c>
      <c r="G357" s="1" t="s">
        <v>128</v>
      </c>
      <c r="H357" s="1" t="n">
        <v>1370823</v>
      </c>
      <c r="I357" s="1" t="n">
        <v>1</v>
      </c>
      <c r="J357" s="1" t="s">
        <v>1384</v>
      </c>
      <c r="K357" s="65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1390</v>
      </c>
      <c r="D358" s="1" t="s">
        <v>1396</v>
      </c>
      <c r="E358" s="15" t="n">
        <v>46212</v>
      </c>
      <c r="F358" s="15" t="n">
        <v>46211</v>
      </c>
      <c r="G358" s="1" t="s">
        <v>220</v>
      </c>
      <c r="H358" s="1" t="n">
        <v>1373839</v>
      </c>
      <c r="I358" s="1" t="n">
        <v>1</v>
      </c>
      <c r="J358" s="1" t="s">
        <v>1384</v>
      </c>
      <c r="K358" s="65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1385</v>
      </c>
      <c r="D359" s="1" t="s">
        <v>1386</v>
      </c>
      <c r="E359" s="15" t="n">
        <v>46212</v>
      </c>
      <c r="F359" s="15" t="n">
        <v>46211</v>
      </c>
      <c r="G359" s="1" t="s">
        <v>119</v>
      </c>
      <c r="H359" s="1" t="n">
        <v>1374785</v>
      </c>
      <c r="I359" s="1" t="n">
        <v>11</v>
      </c>
      <c r="J359" s="1" t="s">
        <v>1384</v>
      </c>
      <c r="K359" s="65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1385</v>
      </c>
      <c r="D360" s="1" t="s">
        <v>1386</v>
      </c>
      <c r="E360" s="15" t="n">
        <v>46212</v>
      </c>
      <c r="F360" s="15" t="n">
        <v>46211</v>
      </c>
      <c r="G360" s="1" t="s">
        <v>119</v>
      </c>
      <c r="H360" s="1" t="n">
        <v>1374769</v>
      </c>
      <c r="I360" s="1" t="n">
        <v>1</v>
      </c>
      <c r="J360" s="1" t="s">
        <v>1384</v>
      </c>
      <c r="K360" s="65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1387</v>
      </c>
      <c r="D361" s="1" t="s">
        <v>1386</v>
      </c>
      <c r="E361" s="15" t="n">
        <v>46212</v>
      </c>
      <c r="F361" s="15" t="n">
        <v>46211</v>
      </c>
      <c r="G361" s="1" t="s">
        <v>119</v>
      </c>
      <c r="H361" s="1" t="n">
        <v>1374773</v>
      </c>
      <c r="I361" s="1" t="n">
        <v>1</v>
      </c>
      <c r="J361" s="1" t="s">
        <v>1384</v>
      </c>
      <c r="K361" s="65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1390</v>
      </c>
      <c r="D362" s="1" t="s">
        <v>1433</v>
      </c>
      <c r="E362" s="15" t="n">
        <v>46212</v>
      </c>
      <c r="F362" s="15" t="n">
        <v>46211</v>
      </c>
      <c r="G362" s="1" t="s">
        <v>175</v>
      </c>
      <c r="H362" s="1" t="n">
        <v>1373725</v>
      </c>
      <c r="I362" s="1" t="n">
        <v>1</v>
      </c>
      <c r="J362" s="1" t="s">
        <v>1384</v>
      </c>
      <c r="K362" s="65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1390</v>
      </c>
      <c r="D363" s="1" t="s">
        <v>1420</v>
      </c>
      <c r="E363" s="15" t="n">
        <v>46212</v>
      </c>
      <c r="F363" s="15" t="n">
        <v>46212</v>
      </c>
      <c r="G363" s="1" t="s">
        <v>199</v>
      </c>
      <c r="H363" s="1" t="n">
        <v>1374907</v>
      </c>
      <c r="I363" s="1" t="n">
        <v>1</v>
      </c>
      <c r="J363" s="1" t="s">
        <v>1384</v>
      </c>
      <c r="K363" s="65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1390</v>
      </c>
      <c r="D364" s="1" t="s">
        <v>1398</v>
      </c>
      <c r="E364" s="15" t="n">
        <v>46212</v>
      </c>
      <c r="F364" s="15" t="n">
        <v>46211</v>
      </c>
      <c r="G364" s="1" t="s">
        <v>201</v>
      </c>
      <c r="H364" s="1" t="n">
        <v>1373707</v>
      </c>
      <c r="I364" s="1" t="n">
        <v>1</v>
      </c>
      <c r="J364" s="1" t="s">
        <v>1384</v>
      </c>
      <c r="K364" s="65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1390</v>
      </c>
      <c r="D365" s="1" t="s">
        <v>1505</v>
      </c>
      <c r="E365" s="15" t="n">
        <v>46212</v>
      </c>
      <c r="F365" s="15" t="n">
        <v>46212</v>
      </c>
      <c r="G365" s="1" t="s">
        <v>76</v>
      </c>
      <c r="H365" s="1" t="n">
        <v>1374249</v>
      </c>
      <c r="I365" s="1" t="n">
        <v>1</v>
      </c>
      <c r="J365" s="1" t="s">
        <v>1384</v>
      </c>
      <c r="K365" s="65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1390</v>
      </c>
      <c r="D366" s="1" t="s">
        <v>1505</v>
      </c>
      <c r="E366" s="15" t="n">
        <v>46212</v>
      </c>
      <c r="F366" s="15" t="n">
        <v>46212</v>
      </c>
      <c r="G366" s="1" t="s">
        <v>76</v>
      </c>
      <c r="H366" s="1" t="n">
        <v>1374035</v>
      </c>
      <c r="I366" s="1" t="n">
        <v>1</v>
      </c>
      <c r="J366" s="1" t="s">
        <v>1384</v>
      </c>
      <c r="K366" s="65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1390</v>
      </c>
      <c r="D367" s="1" t="s">
        <v>1445</v>
      </c>
      <c r="E367" s="15" t="n">
        <v>46212</v>
      </c>
      <c r="F367" s="15" t="n">
        <v>46211</v>
      </c>
      <c r="G367" s="1" t="s">
        <v>422</v>
      </c>
      <c r="H367" s="1" t="n">
        <v>1373506</v>
      </c>
      <c r="I367" s="1" t="n">
        <v>1</v>
      </c>
      <c r="J367" s="1" t="s">
        <v>1384</v>
      </c>
      <c r="K367" s="65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1390</v>
      </c>
      <c r="D368" s="1" t="s">
        <v>1404</v>
      </c>
      <c r="E368" s="15" t="n">
        <v>46212</v>
      </c>
      <c r="F368" s="15" t="n">
        <v>46211</v>
      </c>
      <c r="G368" s="1" t="s">
        <v>126</v>
      </c>
      <c r="H368" s="1" t="n">
        <v>1374667</v>
      </c>
      <c r="I368" s="1" t="n">
        <v>1</v>
      </c>
      <c r="J368" s="1" t="s">
        <v>1384</v>
      </c>
      <c r="K368" s="65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1390</v>
      </c>
      <c r="D369" s="1" t="s">
        <v>1400</v>
      </c>
      <c r="E369" s="15" t="n">
        <v>46212</v>
      </c>
      <c r="F369" s="15" t="n">
        <v>46212</v>
      </c>
      <c r="G369" s="1" t="s">
        <v>132</v>
      </c>
      <c r="H369" s="1" t="n">
        <v>1373788</v>
      </c>
      <c r="I369" s="1" t="n">
        <v>6</v>
      </c>
      <c r="J369" s="1" t="s">
        <v>1384</v>
      </c>
      <c r="K369" s="65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1390</v>
      </c>
      <c r="D370" s="1" t="s">
        <v>1400</v>
      </c>
      <c r="E370" s="15" t="n">
        <v>46212</v>
      </c>
      <c r="F370" s="15" t="n">
        <v>46212</v>
      </c>
      <c r="G370" s="1" t="s">
        <v>132</v>
      </c>
      <c r="H370" s="1" t="n">
        <v>1374877</v>
      </c>
      <c r="I370" s="1" t="n">
        <v>6</v>
      </c>
      <c r="J370" s="1" t="s">
        <v>1384</v>
      </c>
      <c r="K370" s="65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1390</v>
      </c>
      <c r="D371" s="1" t="s">
        <v>1436</v>
      </c>
      <c r="E371" s="15" t="n">
        <v>46212</v>
      </c>
      <c r="F371" s="15" t="n">
        <v>46212</v>
      </c>
      <c r="G371" s="1" t="s">
        <v>410</v>
      </c>
      <c r="H371" s="1" t="n">
        <v>1374749</v>
      </c>
      <c r="I371" s="1" t="n">
        <v>1</v>
      </c>
      <c r="J371" s="1" t="s">
        <v>1384</v>
      </c>
      <c r="K371" s="65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1390</v>
      </c>
      <c r="D372" s="1" t="s">
        <v>1405</v>
      </c>
      <c r="E372" s="15" t="n">
        <v>46212</v>
      </c>
      <c r="F372" s="15" t="n">
        <v>46212</v>
      </c>
      <c r="G372" s="1" t="s">
        <v>128</v>
      </c>
      <c r="H372" s="1" t="n">
        <v>1375062</v>
      </c>
      <c r="I372" s="1" t="n">
        <v>1</v>
      </c>
      <c r="J372" s="1" t="s">
        <v>1384</v>
      </c>
      <c r="K372" s="65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1390</v>
      </c>
      <c r="D373" s="1" t="s">
        <v>1417</v>
      </c>
      <c r="E373" s="15" t="n">
        <v>46213</v>
      </c>
      <c r="F373" s="15" t="n">
        <v>46213</v>
      </c>
      <c r="G373" s="1" t="s">
        <v>1418</v>
      </c>
      <c r="H373" s="1" t="n">
        <v>1377076</v>
      </c>
      <c r="I373" s="1" t="n">
        <v>1</v>
      </c>
      <c r="J373" s="1" t="s">
        <v>1384</v>
      </c>
      <c r="K373" s="65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1390</v>
      </c>
      <c r="D374" s="1" t="s">
        <v>1506</v>
      </c>
      <c r="E374" s="15" t="n">
        <v>46213</v>
      </c>
      <c r="F374" s="15" t="n">
        <v>46213</v>
      </c>
      <c r="G374" s="1" t="s">
        <v>802</v>
      </c>
      <c r="H374" s="1" t="n">
        <v>1377153</v>
      </c>
      <c r="I374" s="1" t="n">
        <v>1</v>
      </c>
      <c r="J374" s="1" t="s">
        <v>1384</v>
      </c>
      <c r="K374" s="65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1390</v>
      </c>
      <c r="D375" s="1" t="s">
        <v>1396</v>
      </c>
      <c r="E375" s="15" t="n">
        <v>46213</v>
      </c>
      <c r="F375" s="15" t="n">
        <v>46212</v>
      </c>
      <c r="G375" s="1" t="s">
        <v>220</v>
      </c>
      <c r="H375" s="1" t="n">
        <v>1377315</v>
      </c>
      <c r="I375" s="1" t="n">
        <v>1</v>
      </c>
      <c r="J375" s="1" t="s">
        <v>1384</v>
      </c>
      <c r="K375" s="65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1390</v>
      </c>
      <c r="D376" s="1" t="s">
        <v>1441</v>
      </c>
      <c r="E376" s="15" t="n">
        <v>46213</v>
      </c>
      <c r="F376" s="15" t="n">
        <v>46213</v>
      </c>
      <c r="G376" s="1" t="s">
        <v>94</v>
      </c>
      <c r="H376" s="1" t="n">
        <v>1376659</v>
      </c>
      <c r="I376" s="1" t="n">
        <v>1</v>
      </c>
      <c r="J376" s="1" t="s">
        <v>1384</v>
      </c>
      <c r="K376" s="65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1390</v>
      </c>
      <c r="D377" s="1" t="s">
        <v>1397</v>
      </c>
      <c r="E377" s="15" t="n">
        <v>46213</v>
      </c>
      <c r="F377" s="15" t="n">
        <v>46212</v>
      </c>
      <c r="G377" s="1" t="s">
        <v>210</v>
      </c>
      <c r="H377" s="1" t="n">
        <v>1376676</v>
      </c>
      <c r="I377" s="1" t="n">
        <v>1</v>
      </c>
      <c r="J377" s="1" t="s">
        <v>1384</v>
      </c>
      <c r="K377" s="65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1390</v>
      </c>
      <c r="D378" s="1" t="s">
        <v>1507</v>
      </c>
      <c r="E378" s="15" t="n">
        <v>46213</v>
      </c>
      <c r="F378" s="15" t="n">
        <v>46209</v>
      </c>
      <c r="G378" s="1" t="s">
        <v>309</v>
      </c>
      <c r="H378" s="1" t="n">
        <v>1377084</v>
      </c>
      <c r="I378" s="1" t="n">
        <v>1</v>
      </c>
      <c r="J378" s="1" t="s">
        <v>1384</v>
      </c>
      <c r="K378" s="65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1451</v>
      </c>
      <c r="D379" s="1" t="s">
        <v>1452</v>
      </c>
      <c r="E379" s="15" t="n">
        <v>46213</v>
      </c>
      <c r="F379" s="15" t="n">
        <v>46212</v>
      </c>
      <c r="G379" s="1" t="s">
        <v>212</v>
      </c>
      <c r="H379" s="1" t="n">
        <v>1377254</v>
      </c>
      <c r="I379" s="1" t="n">
        <v>1</v>
      </c>
      <c r="J379" s="1" t="s">
        <v>1384</v>
      </c>
      <c r="K379" s="65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1390</v>
      </c>
      <c r="D380" s="1" t="s">
        <v>1443</v>
      </c>
      <c r="E380" s="15" t="n">
        <v>46213</v>
      </c>
      <c r="F380" s="15" t="n">
        <v>46211</v>
      </c>
      <c r="G380" s="1" t="s">
        <v>82</v>
      </c>
      <c r="H380" s="1" t="n">
        <v>1376812</v>
      </c>
      <c r="I380" s="1" t="n">
        <v>1</v>
      </c>
      <c r="J380" s="1" t="s">
        <v>1384</v>
      </c>
      <c r="K380" s="65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1390</v>
      </c>
      <c r="D381" s="1" t="s">
        <v>1409</v>
      </c>
      <c r="E381" s="15" t="n">
        <v>46213</v>
      </c>
      <c r="F381" s="15" t="n">
        <v>46213</v>
      </c>
      <c r="G381" s="1" t="s">
        <v>1410</v>
      </c>
      <c r="H381" s="1" t="n">
        <v>1376630</v>
      </c>
      <c r="I381" s="1" t="n">
        <v>1</v>
      </c>
      <c r="J381" s="1" t="s">
        <v>1384</v>
      </c>
      <c r="K381" s="65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1390</v>
      </c>
      <c r="D382" s="1" t="s">
        <v>1508</v>
      </c>
      <c r="E382" s="15" t="n">
        <v>46213</v>
      </c>
      <c r="F382" s="15" t="n">
        <v>46213</v>
      </c>
      <c r="G382" s="1" t="s">
        <v>807</v>
      </c>
      <c r="H382" s="1" t="n">
        <v>1377247</v>
      </c>
      <c r="I382" s="1" t="n">
        <v>1</v>
      </c>
      <c r="J382" s="1" t="s">
        <v>1384</v>
      </c>
      <c r="K382" s="65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1390</v>
      </c>
      <c r="D383" s="1" t="s">
        <v>1400</v>
      </c>
      <c r="E383" s="15" t="n">
        <v>46213</v>
      </c>
      <c r="F383" s="15" t="n">
        <v>46213</v>
      </c>
      <c r="G383" s="1" t="s">
        <v>132</v>
      </c>
      <c r="H383" s="1" t="n">
        <v>1377467</v>
      </c>
      <c r="I383" s="1" t="n">
        <v>6</v>
      </c>
      <c r="J383" s="1" t="s">
        <v>1384</v>
      </c>
      <c r="K383" s="65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1447</v>
      </c>
      <c r="D384" s="1" t="s">
        <v>1471</v>
      </c>
      <c r="E384" s="15" t="n">
        <v>46213</v>
      </c>
      <c r="F384" s="15" t="n">
        <v>46211</v>
      </c>
      <c r="G384" s="1" t="s">
        <v>204</v>
      </c>
      <c r="H384" s="1" t="n">
        <v>1376909</v>
      </c>
      <c r="I384" s="1" t="n">
        <v>1</v>
      </c>
      <c r="J384" s="1" t="s">
        <v>1384</v>
      </c>
      <c r="K384" s="65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1421</v>
      </c>
      <c r="D385" s="1" t="s">
        <v>1438</v>
      </c>
      <c r="E385" s="15" t="n">
        <v>46213</v>
      </c>
      <c r="F385" s="15" t="n">
        <v>46211</v>
      </c>
      <c r="G385" s="1" t="s">
        <v>412</v>
      </c>
      <c r="H385" s="1" t="n">
        <v>1376782</v>
      </c>
      <c r="I385" s="1" t="n">
        <v>1</v>
      </c>
      <c r="J385" s="1" t="s">
        <v>1384</v>
      </c>
      <c r="K385" s="65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1390</v>
      </c>
      <c r="D386" s="1" t="s">
        <v>1467</v>
      </c>
      <c r="E386" s="15" t="n">
        <v>46213</v>
      </c>
      <c r="F386" s="15" t="n">
        <v>46211</v>
      </c>
      <c r="G386" s="1" t="s">
        <v>245</v>
      </c>
      <c r="H386" s="1" t="n">
        <v>1377397</v>
      </c>
      <c r="I386" s="1" t="n">
        <v>1</v>
      </c>
      <c r="J386" s="1" t="s">
        <v>1384</v>
      </c>
      <c r="K386" s="65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1390</v>
      </c>
      <c r="D387" s="1" t="s">
        <v>1439</v>
      </c>
      <c r="E387" s="15" t="n">
        <v>46213</v>
      </c>
      <c r="F387" s="15" t="n">
        <v>46212</v>
      </c>
      <c r="G387" s="1" t="s">
        <v>489</v>
      </c>
      <c r="H387" s="1" t="n">
        <v>1377204</v>
      </c>
      <c r="I387" s="1" t="n">
        <v>1</v>
      </c>
      <c r="J387" s="1" t="s">
        <v>1384</v>
      </c>
      <c r="K387" s="65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1390</v>
      </c>
      <c r="D388" s="1" t="s">
        <v>1395</v>
      </c>
      <c r="E388" s="15" t="n">
        <v>46214</v>
      </c>
      <c r="F388" s="15" t="n">
        <v>46213</v>
      </c>
      <c r="G388" s="1" t="s">
        <v>130</v>
      </c>
      <c r="H388" s="1" t="n">
        <v>1381699</v>
      </c>
      <c r="I388" s="1" t="n">
        <v>1</v>
      </c>
      <c r="J388" s="1" t="s">
        <v>1384</v>
      </c>
      <c r="K388" s="65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1388</v>
      </c>
      <c r="D389" s="1" t="s">
        <v>1389</v>
      </c>
      <c r="E389" s="15" t="n">
        <v>46214</v>
      </c>
      <c r="F389" s="15" t="n">
        <v>46213</v>
      </c>
      <c r="G389" s="1" t="s">
        <v>369</v>
      </c>
      <c r="H389" s="1" t="n">
        <v>1381841</v>
      </c>
      <c r="I389" s="1" t="n">
        <v>1</v>
      </c>
      <c r="J389" s="1" t="s">
        <v>1384</v>
      </c>
      <c r="K389" s="65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1390</v>
      </c>
      <c r="D390" s="1" t="s">
        <v>1509</v>
      </c>
      <c r="E390" s="15" t="n">
        <v>46214</v>
      </c>
      <c r="F390" s="15" t="n">
        <v>46213</v>
      </c>
      <c r="G390" s="1" t="s">
        <v>943</v>
      </c>
      <c r="H390" s="1" t="n">
        <v>1381742</v>
      </c>
      <c r="I390" s="1" t="n">
        <v>39</v>
      </c>
      <c r="J390" s="1" t="s">
        <v>1384</v>
      </c>
      <c r="K390" s="65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1390</v>
      </c>
      <c r="D391" s="1" t="s">
        <v>1444</v>
      </c>
      <c r="E391" s="15" t="n">
        <v>46214</v>
      </c>
      <c r="F391" s="15" t="n">
        <v>46209</v>
      </c>
      <c r="G391" s="1" t="s">
        <v>381</v>
      </c>
      <c r="H391" s="1" t="n">
        <v>1381906</v>
      </c>
      <c r="I391" s="1" t="n">
        <v>1</v>
      </c>
      <c r="J391" s="1" t="s">
        <v>1384</v>
      </c>
      <c r="K391" s="65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1382</v>
      </c>
      <c r="D392" s="1" t="s">
        <v>1392</v>
      </c>
      <c r="E392" s="15" t="n">
        <v>46214</v>
      </c>
      <c r="F392" s="15" t="n">
        <v>46213</v>
      </c>
      <c r="G392" s="1" t="s">
        <v>194</v>
      </c>
      <c r="H392" s="1" t="n">
        <v>1381714</v>
      </c>
      <c r="I392" s="1" t="n">
        <v>1</v>
      </c>
      <c r="J392" s="1" t="s">
        <v>1384</v>
      </c>
      <c r="K392" s="65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1428</v>
      </c>
      <c r="D393" s="1" t="s">
        <v>1429</v>
      </c>
      <c r="E393" s="15" t="n">
        <v>46214</v>
      </c>
      <c r="F393" s="15" t="n">
        <v>46211</v>
      </c>
      <c r="G393" s="1" t="s">
        <v>206</v>
      </c>
      <c r="H393" s="1" t="n">
        <v>1381638</v>
      </c>
      <c r="I393" s="1" t="n">
        <v>1</v>
      </c>
      <c r="J393" s="1" t="s">
        <v>1384</v>
      </c>
      <c r="K393" s="65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1385</v>
      </c>
      <c r="D394" s="1" t="s">
        <v>1386</v>
      </c>
      <c r="E394" s="15" t="n">
        <v>46216</v>
      </c>
      <c r="F394" s="15" t="n">
        <v>46213</v>
      </c>
      <c r="G394" s="1" t="s">
        <v>119</v>
      </c>
      <c r="H394" s="1" t="n">
        <v>1394011</v>
      </c>
      <c r="I394" s="1" t="n">
        <v>1</v>
      </c>
      <c r="J394" s="1" t="s">
        <v>1384</v>
      </c>
      <c r="K394" s="65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1385</v>
      </c>
      <c r="D395" s="1" t="s">
        <v>1386</v>
      </c>
      <c r="E395" s="15" t="n">
        <v>46216</v>
      </c>
      <c r="F395" s="15" t="n">
        <v>46213</v>
      </c>
      <c r="G395" s="1" t="s">
        <v>119</v>
      </c>
      <c r="H395" s="1" t="n">
        <v>1393993</v>
      </c>
      <c r="I395" s="1" t="n">
        <v>1</v>
      </c>
      <c r="J395" s="1" t="s">
        <v>1384</v>
      </c>
      <c r="K395" s="65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1387</v>
      </c>
      <c r="D396" s="1" t="s">
        <v>1386</v>
      </c>
      <c r="E396" s="15" t="n">
        <v>46216</v>
      </c>
      <c r="F396" s="15" t="n">
        <v>46213</v>
      </c>
      <c r="G396" s="1" t="s">
        <v>119</v>
      </c>
      <c r="H396" s="1" t="n">
        <v>1393986</v>
      </c>
      <c r="I396" s="1" t="n">
        <v>1</v>
      </c>
      <c r="J396" s="1" t="s">
        <v>1384</v>
      </c>
      <c r="K396" s="65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1390</v>
      </c>
      <c r="D397" s="1" t="s">
        <v>1434</v>
      </c>
      <c r="E397" s="15" t="n">
        <v>46216</v>
      </c>
      <c r="F397" s="15" t="n">
        <v>46212</v>
      </c>
      <c r="G397" s="1" t="s">
        <v>85</v>
      </c>
      <c r="H397" s="1" t="n">
        <v>1393134</v>
      </c>
      <c r="I397" s="1" t="n">
        <v>39</v>
      </c>
      <c r="J397" s="1" t="s">
        <v>1384</v>
      </c>
      <c r="K397" s="65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1388</v>
      </c>
      <c r="D398" s="1" t="s">
        <v>1389</v>
      </c>
      <c r="E398" s="15" t="n">
        <v>46216</v>
      </c>
      <c r="F398" s="15" t="n">
        <v>46214</v>
      </c>
      <c r="G398" s="1" t="s">
        <v>369</v>
      </c>
      <c r="H398" s="1" t="n">
        <v>1393119</v>
      </c>
      <c r="I398" s="1" t="n">
        <v>1</v>
      </c>
      <c r="J398" s="1" t="s">
        <v>1384</v>
      </c>
      <c r="K398" s="65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1390</v>
      </c>
      <c r="D399" s="1" t="s">
        <v>1407</v>
      </c>
      <c r="E399" s="15" t="n">
        <v>46216</v>
      </c>
      <c r="F399" s="15" t="n">
        <v>46213</v>
      </c>
      <c r="G399" s="1" t="s">
        <v>82</v>
      </c>
      <c r="H399" s="1" t="n">
        <v>1393879</v>
      </c>
      <c r="I399" s="1" t="n">
        <v>1</v>
      </c>
      <c r="J399" s="1" t="s">
        <v>1384</v>
      </c>
      <c r="K399" s="65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1390</v>
      </c>
      <c r="D400" s="1" t="s">
        <v>1424</v>
      </c>
      <c r="E400" s="15" t="n">
        <v>46216</v>
      </c>
      <c r="F400" s="15" t="n">
        <v>46216</v>
      </c>
      <c r="G400" s="1" t="s">
        <v>400</v>
      </c>
      <c r="H400" s="1" t="n">
        <v>1393806</v>
      </c>
      <c r="I400" s="1" t="n">
        <v>1</v>
      </c>
      <c r="J400" s="1" t="s">
        <v>1384</v>
      </c>
      <c r="K400" s="65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1390</v>
      </c>
      <c r="D401" s="1" t="s">
        <v>1510</v>
      </c>
      <c r="E401" s="15" t="n">
        <v>46216</v>
      </c>
      <c r="F401" s="15" t="n">
        <v>46212</v>
      </c>
      <c r="G401" s="1" t="s">
        <v>263</v>
      </c>
      <c r="H401" s="1" t="n">
        <v>1394185</v>
      </c>
      <c r="I401" s="1" t="n">
        <v>1</v>
      </c>
      <c r="J401" s="1" t="s">
        <v>1384</v>
      </c>
      <c r="K401" s="65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1390</v>
      </c>
      <c r="D402" s="1" t="s">
        <v>1400</v>
      </c>
      <c r="E402" s="15" t="n">
        <v>46216</v>
      </c>
      <c r="F402" s="15" t="n">
        <v>46216</v>
      </c>
      <c r="G402" s="1" t="s">
        <v>132</v>
      </c>
      <c r="H402" s="1" t="n">
        <v>1393775</v>
      </c>
      <c r="I402" s="1" t="n">
        <v>6</v>
      </c>
      <c r="J402" s="1" t="s">
        <v>1384</v>
      </c>
      <c r="K402" s="65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1382</v>
      </c>
      <c r="D403" s="1" t="s">
        <v>1392</v>
      </c>
      <c r="E403" s="15" t="n">
        <v>46216</v>
      </c>
      <c r="F403" s="15" t="n">
        <v>46216</v>
      </c>
      <c r="G403" s="1" t="s">
        <v>194</v>
      </c>
      <c r="H403" s="1" t="n">
        <v>1393812</v>
      </c>
      <c r="I403" s="1" t="n">
        <v>1</v>
      </c>
      <c r="J403" s="1" t="s">
        <v>1384</v>
      </c>
      <c r="K403" s="65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1390</v>
      </c>
      <c r="D404" s="1" t="s">
        <v>1485</v>
      </c>
      <c r="E404" s="15" t="n">
        <v>46216</v>
      </c>
      <c r="F404" s="15" t="n">
        <v>46211</v>
      </c>
      <c r="G404" s="1" t="s">
        <v>160</v>
      </c>
      <c r="H404" s="1" t="n">
        <v>1393698</v>
      </c>
      <c r="I404" s="1" t="n">
        <v>1</v>
      </c>
      <c r="J404" s="1" t="s">
        <v>1384</v>
      </c>
      <c r="K404" s="65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1390</v>
      </c>
      <c r="D405" s="1" t="s">
        <v>1419</v>
      </c>
      <c r="E405" s="15" t="n">
        <v>46217</v>
      </c>
      <c r="F405" s="15" t="n">
        <v>46216</v>
      </c>
      <c r="G405" s="1" t="s">
        <v>357</v>
      </c>
      <c r="H405" s="1" t="n">
        <v>1398164</v>
      </c>
      <c r="I405" s="1" t="n">
        <v>11</v>
      </c>
      <c r="J405" s="1" t="s">
        <v>1384</v>
      </c>
      <c r="K405" s="65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1390</v>
      </c>
      <c r="D406" s="1" t="s">
        <v>1397</v>
      </c>
      <c r="E406" s="15" t="n">
        <v>46217</v>
      </c>
      <c r="F406" s="15" t="n">
        <v>46216</v>
      </c>
      <c r="G406" s="1" t="s">
        <v>210</v>
      </c>
      <c r="H406" s="1" t="n">
        <v>1396745</v>
      </c>
      <c r="I406" s="1" t="n">
        <v>1</v>
      </c>
      <c r="J406" s="1" t="s">
        <v>1384</v>
      </c>
      <c r="K406" s="65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1388</v>
      </c>
      <c r="D407" s="1" t="s">
        <v>1389</v>
      </c>
      <c r="E407" s="15" t="n">
        <v>46217</v>
      </c>
      <c r="F407" s="15" t="n">
        <v>46216</v>
      </c>
      <c r="G407" s="1" t="s">
        <v>369</v>
      </c>
      <c r="H407" s="1" t="n">
        <v>1396761</v>
      </c>
      <c r="I407" s="1" t="n">
        <v>1</v>
      </c>
      <c r="J407" s="1" t="s">
        <v>1384</v>
      </c>
      <c r="K407" s="65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1390</v>
      </c>
      <c r="D408" s="1" t="s">
        <v>1505</v>
      </c>
      <c r="E408" s="15" t="n">
        <v>46217</v>
      </c>
      <c r="F408" s="15" t="n">
        <v>46216</v>
      </c>
      <c r="G408" s="1" t="s">
        <v>76</v>
      </c>
      <c r="H408" s="1" t="n">
        <v>1397696</v>
      </c>
      <c r="I408" s="1" t="n">
        <v>11</v>
      </c>
      <c r="J408" s="1" t="s">
        <v>1384</v>
      </c>
      <c r="K408" s="65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1456</v>
      </c>
      <c r="D409" s="1" t="s">
        <v>1457</v>
      </c>
      <c r="E409" s="15" t="n">
        <v>46217</v>
      </c>
      <c r="F409" s="15" t="n">
        <v>46213</v>
      </c>
      <c r="G409" s="1" t="s">
        <v>156</v>
      </c>
      <c r="H409" s="1" t="n">
        <v>1396775</v>
      </c>
      <c r="I409" s="1" t="n">
        <v>11</v>
      </c>
      <c r="J409" s="1" t="s">
        <v>1384</v>
      </c>
      <c r="K409" s="65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1456</v>
      </c>
      <c r="D410" s="1" t="s">
        <v>1457</v>
      </c>
      <c r="E410" s="15" t="n">
        <v>46217</v>
      </c>
      <c r="F410" s="15" t="n">
        <v>46213</v>
      </c>
      <c r="G410" s="1" t="s">
        <v>156</v>
      </c>
      <c r="H410" s="1" t="n">
        <v>1397141</v>
      </c>
      <c r="I410" s="1" t="n">
        <v>11</v>
      </c>
      <c r="J410" s="1" t="s">
        <v>1384</v>
      </c>
      <c r="K410" s="65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1390</v>
      </c>
      <c r="D411" s="1" t="s">
        <v>1391</v>
      </c>
      <c r="E411" s="15" t="n">
        <v>46217</v>
      </c>
      <c r="F411" s="15" t="n">
        <v>46214</v>
      </c>
      <c r="G411" s="1" t="s">
        <v>248</v>
      </c>
      <c r="H411" s="1" t="n">
        <v>1397011</v>
      </c>
      <c r="I411" s="1" t="n">
        <v>1</v>
      </c>
      <c r="J411" s="1" t="s">
        <v>1384</v>
      </c>
      <c r="K411" s="65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1390</v>
      </c>
      <c r="D412" s="1" t="s">
        <v>1400</v>
      </c>
      <c r="E412" s="15" t="n">
        <v>46217</v>
      </c>
      <c r="F412" s="15" t="n">
        <v>46217</v>
      </c>
      <c r="G412" s="1" t="s">
        <v>132</v>
      </c>
      <c r="H412" s="1" t="n">
        <v>1398221</v>
      </c>
      <c r="I412" s="1" t="n">
        <v>6</v>
      </c>
      <c r="J412" s="1" t="s">
        <v>1384</v>
      </c>
      <c r="K412" s="65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1390</v>
      </c>
      <c r="D413" s="1" t="s">
        <v>1400</v>
      </c>
      <c r="E413" s="15" t="n">
        <v>46217</v>
      </c>
      <c r="F413" s="15" t="n">
        <v>46217</v>
      </c>
      <c r="G413" s="1" t="s">
        <v>132</v>
      </c>
      <c r="H413" s="1" t="n">
        <v>1398476</v>
      </c>
      <c r="I413" s="1" t="n">
        <v>6</v>
      </c>
      <c r="J413" s="1" t="s">
        <v>1384</v>
      </c>
      <c r="K413" s="65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1390</v>
      </c>
      <c r="D414" s="1" t="s">
        <v>1401</v>
      </c>
      <c r="E414" s="15" t="n">
        <v>46217</v>
      </c>
      <c r="F414" s="15" t="n">
        <v>46216</v>
      </c>
      <c r="G414" s="1" t="s">
        <v>92</v>
      </c>
      <c r="H414" s="1" t="n">
        <v>1397689</v>
      </c>
      <c r="I414" s="1" t="n">
        <v>11</v>
      </c>
      <c r="J414" s="1" t="s">
        <v>1384</v>
      </c>
      <c r="K414" s="65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1390</v>
      </c>
      <c r="D415" s="1" t="s">
        <v>1394</v>
      </c>
      <c r="E415" s="15" t="n">
        <v>46217</v>
      </c>
      <c r="F415" s="15" t="n">
        <v>46216</v>
      </c>
      <c r="G415" s="1" t="s">
        <v>266</v>
      </c>
      <c r="H415" s="1" t="n">
        <v>1397435</v>
      </c>
      <c r="I415" s="1" t="n">
        <v>11</v>
      </c>
      <c r="J415" s="1" t="s">
        <v>1384</v>
      </c>
      <c r="K415" s="65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1390</v>
      </c>
      <c r="D416" s="1" t="s">
        <v>1511</v>
      </c>
      <c r="E416" s="15" t="n">
        <v>46217</v>
      </c>
      <c r="F416" s="15" t="n">
        <v>46217</v>
      </c>
      <c r="G416" s="1" t="s">
        <v>918</v>
      </c>
      <c r="H416" s="1" t="n">
        <v>1398396</v>
      </c>
      <c r="I416" s="1" t="n">
        <v>11</v>
      </c>
      <c r="J416" s="1" t="s">
        <v>1384</v>
      </c>
      <c r="K416" s="65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1390</v>
      </c>
      <c r="D417" s="1" t="s">
        <v>1482</v>
      </c>
      <c r="E417" s="15" t="n">
        <v>46218</v>
      </c>
      <c r="F417" s="15" t="n">
        <v>46217</v>
      </c>
      <c r="G417" s="1" t="s">
        <v>764</v>
      </c>
      <c r="H417" s="1" t="n">
        <v>1401261</v>
      </c>
      <c r="I417" s="1" t="n">
        <v>11</v>
      </c>
      <c r="J417" s="1" t="s">
        <v>1384</v>
      </c>
      <c r="K417" s="65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1390</v>
      </c>
      <c r="D418" s="1" t="s">
        <v>1482</v>
      </c>
      <c r="E418" s="15" t="n">
        <v>46218</v>
      </c>
      <c r="F418" s="15" t="n">
        <v>46217</v>
      </c>
      <c r="G418" s="1" t="s">
        <v>764</v>
      </c>
      <c r="H418" s="1" t="n">
        <v>1401266</v>
      </c>
      <c r="I418" s="1" t="n">
        <v>11</v>
      </c>
      <c r="J418" s="1" t="s">
        <v>1384</v>
      </c>
      <c r="K418" s="65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1390</v>
      </c>
      <c r="D419" s="1" t="s">
        <v>1482</v>
      </c>
      <c r="E419" s="15" t="n">
        <v>46218</v>
      </c>
      <c r="F419" s="15" t="n">
        <v>46217</v>
      </c>
      <c r="G419" s="1" t="s">
        <v>764</v>
      </c>
      <c r="H419" s="1" t="n">
        <v>1401262</v>
      </c>
      <c r="I419" s="1" t="n">
        <v>11</v>
      </c>
      <c r="J419" s="1" t="s">
        <v>1384</v>
      </c>
      <c r="K419" s="65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1390</v>
      </c>
      <c r="D420" s="1" t="s">
        <v>1398</v>
      </c>
      <c r="E420" s="15" t="n">
        <v>46218</v>
      </c>
      <c r="F420" s="15" t="n">
        <v>46218</v>
      </c>
      <c r="G420" s="1" t="s">
        <v>201</v>
      </c>
      <c r="H420" s="1" t="n">
        <v>1401764</v>
      </c>
      <c r="I420" s="1" t="n">
        <v>11</v>
      </c>
      <c r="J420" s="1" t="s">
        <v>1384</v>
      </c>
      <c r="K420" s="65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1390</v>
      </c>
      <c r="D421" s="1" t="s">
        <v>1434</v>
      </c>
      <c r="E421" s="15" t="n">
        <v>46218</v>
      </c>
      <c r="F421" s="15" t="n">
        <v>46216</v>
      </c>
      <c r="G421" s="1" t="s">
        <v>85</v>
      </c>
      <c r="H421" s="1" t="n">
        <v>1402263</v>
      </c>
      <c r="I421" s="1" t="n">
        <v>11</v>
      </c>
      <c r="J421" s="1" t="s">
        <v>1384</v>
      </c>
      <c r="K421" s="65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1390</v>
      </c>
      <c r="D422" s="1" t="s">
        <v>1434</v>
      </c>
      <c r="E422" s="15" t="n">
        <v>46218</v>
      </c>
      <c r="F422" s="15" t="n">
        <v>46216</v>
      </c>
      <c r="G422" s="1" t="s">
        <v>85</v>
      </c>
      <c r="H422" s="1" t="n">
        <v>1402930</v>
      </c>
      <c r="I422" s="1" t="n">
        <v>11</v>
      </c>
      <c r="J422" s="1" t="s">
        <v>1384</v>
      </c>
      <c r="K422" s="65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1388</v>
      </c>
      <c r="D423" s="1" t="s">
        <v>1389</v>
      </c>
      <c r="E423" s="15" t="n">
        <v>46218</v>
      </c>
      <c r="F423" s="15" t="n">
        <v>46218</v>
      </c>
      <c r="G423" s="1" t="s">
        <v>369</v>
      </c>
      <c r="H423" s="1" t="n">
        <v>1402687</v>
      </c>
      <c r="I423" s="1" t="n">
        <v>1</v>
      </c>
      <c r="J423" s="1" t="s">
        <v>1384</v>
      </c>
      <c r="K423" s="65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1390</v>
      </c>
      <c r="D424" s="1" t="s">
        <v>1411</v>
      </c>
      <c r="E424" s="15" t="n">
        <v>46218</v>
      </c>
      <c r="F424" s="15" t="n">
        <v>46217</v>
      </c>
      <c r="G424" s="1" t="s">
        <v>164</v>
      </c>
      <c r="H424" s="1" t="n">
        <v>1403026</v>
      </c>
      <c r="I424" s="1" t="n">
        <v>11</v>
      </c>
      <c r="J424" s="1" t="s">
        <v>1384</v>
      </c>
      <c r="K424" s="65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1390</v>
      </c>
      <c r="D425" s="1" t="s">
        <v>1512</v>
      </c>
      <c r="E425" s="15" t="n">
        <v>46218</v>
      </c>
      <c r="F425" s="15" t="n">
        <v>46217</v>
      </c>
      <c r="G425" s="1" t="s">
        <v>855</v>
      </c>
      <c r="H425" s="1" t="n">
        <v>1402768</v>
      </c>
      <c r="I425" s="1" t="n">
        <v>11</v>
      </c>
      <c r="J425" s="1" t="s">
        <v>1384</v>
      </c>
      <c r="K425" s="65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1382</v>
      </c>
      <c r="D426" s="1" t="s">
        <v>1513</v>
      </c>
      <c r="E426" s="15" t="n">
        <v>46218</v>
      </c>
      <c r="F426" s="15" t="n">
        <v>46217</v>
      </c>
      <c r="G426" s="1" t="s">
        <v>1011</v>
      </c>
      <c r="H426" s="1" t="n">
        <v>1401309</v>
      </c>
      <c r="I426" s="1" t="n">
        <v>11</v>
      </c>
      <c r="J426" s="1" t="s">
        <v>1384</v>
      </c>
      <c r="K426" s="65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1421</v>
      </c>
      <c r="D427" s="1" t="s">
        <v>1473</v>
      </c>
      <c r="E427" s="15" t="n">
        <v>46218</v>
      </c>
      <c r="F427" s="15" t="n">
        <v>46217</v>
      </c>
      <c r="G427" s="1" t="s">
        <v>728</v>
      </c>
      <c r="H427" s="1" t="n">
        <v>1401301</v>
      </c>
      <c r="I427" s="1" t="n">
        <v>11</v>
      </c>
      <c r="J427" s="1" t="s">
        <v>1384</v>
      </c>
      <c r="K427" s="65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1385</v>
      </c>
      <c r="D428" s="1" t="s">
        <v>1386</v>
      </c>
      <c r="E428" s="15" t="n">
        <v>46219</v>
      </c>
      <c r="F428" s="15" t="n">
        <v>46217</v>
      </c>
      <c r="G428" s="1" t="s">
        <v>119</v>
      </c>
      <c r="H428" s="1" t="n">
        <v>1405760</v>
      </c>
      <c r="I428" s="1" t="n">
        <v>11</v>
      </c>
      <c r="J428" s="1" t="s">
        <v>1384</v>
      </c>
      <c r="K428" s="65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1387</v>
      </c>
      <c r="D429" s="1" t="s">
        <v>1386</v>
      </c>
      <c r="E429" s="15" t="n">
        <v>46219</v>
      </c>
      <c r="F429" s="15" t="n">
        <v>46217</v>
      </c>
      <c r="G429" s="1" t="s">
        <v>119</v>
      </c>
      <c r="H429" s="1" t="n">
        <v>1405744</v>
      </c>
      <c r="I429" s="1" t="n">
        <v>11</v>
      </c>
      <c r="J429" s="1" t="s">
        <v>1384</v>
      </c>
      <c r="K429" s="65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1390</v>
      </c>
      <c r="D430" s="1" t="s">
        <v>1420</v>
      </c>
      <c r="E430" s="15" t="n">
        <v>46219</v>
      </c>
      <c r="F430" s="15" t="n">
        <v>46218</v>
      </c>
      <c r="G430" s="1" t="s">
        <v>199</v>
      </c>
      <c r="H430" s="1" t="n">
        <v>1407280</v>
      </c>
      <c r="I430" s="1" t="n">
        <v>11</v>
      </c>
      <c r="J430" s="1" t="s">
        <v>1384</v>
      </c>
      <c r="K430" s="65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1390</v>
      </c>
      <c r="D431" s="1" t="s">
        <v>1434</v>
      </c>
      <c r="E431" s="15" t="n">
        <v>46219</v>
      </c>
      <c r="F431" s="15" t="n">
        <v>46216</v>
      </c>
      <c r="G431" s="1" t="s">
        <v>85</v>
      </c>
      <c r="H431" s="1" t="n">
        <v>1406318</v>
      </c>
      <c r="I431" s="1" t="n">
        <v>11</v>
      </c>
      <c r="J431" s="1" t="s">
        <v>1384</v>
      </c>
      <c r="K431" s="65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1390</v>
      </c>
      <c r="D432" s="1" t="s">
        <v>1442</v>
      </c>
      <c r="E432" s="15" t="n">
        <v>46219</v>
      </c>
      <c r="F432" s="15" t="n">
        <v>46217</v>
      </c>
      <c r="G432" s="1" t="s">
        <v>80</v>
      </c>
      <c r="H432" s="1" t="n">
        <v>1406166</v>
      </c>
      <c r="I432" s="1" t="n">
        <v>11</v>
      </c>
      <c r="J432" s="1" t="s">
        <v>1384</v>
      </c>
      <c r="K432" s="65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1390</v>
      </c>
      <c r="D433" s="1" t="s">
        <v>1443</v>
      </c>
      <c r="E433" s="15" t="n">
        <v>46219</v>
      </c>
      <c r="F433" s="15" t="n">
        <v>46217</v>
      </c>
      <c r="G433" s="1" t="s">
        <v>82</v>
      </c>
      <c r="H433" s="1" t="n">
        <v>1405829</v>
      </c>
      <c r="I433" s="1" t="n">
        <v>11</v>
      </c>
      <c r="J433" s="1" t="s">
        <v>1384</v>
      </c>
      <c r="K433" s="65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1390</v>
      </c>
      <c r="D434" s="1" t="s">
        <v>1412</v>
      </c>
      <c r="E434" s="15" t="n">
        <v>46219</v>
      </c>
      <c r="F434" s="15" t="n">
        <v>46217</v>
      </c>
      <c r="G434" s="1" t="s">
        <v>208</v>
      </c>
      <c r="H434" s="1" t="n">
        <v>1406501</v>
      </c>
      <c r="I434" s="1" t="n">
        <v>11</v>
      </c>
      <c r="J434" s="1" t="s">
        <v>1384</v>
      </c>
      <c r="K434" s="65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1390</v>
      </c>
      <c r="D435" s="1" t="s">
        <v>1391</v>
      </c>
      <c r="E435" s="15" t="n">
        <v>46219</v>
      </c>
      <c r="F435" s="15" t="n">
        <v>46218</v>
      </c>
      <c r="G435" s="1" t="s">
        <v>248</v>
      </c>
      <c r="H435" s="1" t="n">
        <v>1407393</v>
      </c>
      <c r="I435" s="1" t="n">
        <v>11</v>
      </c>
      <c r="J435" s="1" t="s">
        <v>1384</v>
      </c>
      <c r="K435" s="65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1390</v>
      </c>
      <c r="D436" s="1" t="s">
        <v>1446</v>
      </c>
      <c r="E436" s="15" t="n">
        <v>46219</v>
      </c>
      <c r="F436" s="15" t="n">
        <v>46217</v>
      </c>
      <c r="G436" s="1" t="s">
        <v>417</v>
      </c>
      <c r="H436" s="1" t="n">
        <v>1405955</v>
      </c>
      <c r="I436" s="1" t="n">
        <v>11</v>
      </c>
      <c r="J436" s="1" t="s">
        <v>1384</v>
      </c>
      <c r="K436" s="65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1390</v>
      </c>
      <c r="D437" s="1" t="s">
        <v>1436</v>
      </c>
      <c r="E437" s="15" t="n">
        <v>46219</v>
      </c>
      <c r="F437" s="15" t="n">
        <v>46219</v>
      </c>
      <c r="G437" s="1" t="s">
        <v>410</v>
      </c>
      <c r="H437" s="1" t="n">
        <v>1407492</v>
      </c>
      <c r="I437" s="1" t="n">
        <v>11</v>
      </c>
      <c r="J437" s="1" t="s">
        <v>1384</v>
      </c>
      <c r="K437" s="65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1447</v>
      </c>
      <c r="D438" s="1" t="s">
        <v>1448</v>
      </c>
      <c r="E438" s="15" t="n">
        <v>46219</v>
      </c>
      <c r="F438" s="15" t="n">
        <v>46217</v>
      </c>
      <c r="G438" s="1" t="s">
        <v>512</v>
      </c>
      <c r="H438" s="1" t="n">
        <v>1405844</v>
      </c>
      <c r="I438" s="1" t="n">
        <v>11</v>
      </c>
      <c r="J438" s="1" t="s">
        <v>1384</v>
      </c>
      <c r="K438" s="65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1390</v>
      </c>
      <c r="D439" s="1" t="s">
        <v>1393</v>
      </c>
      <c r="E439" s="15" t="n">
        <v>46219</v>
      </c>
      <c r="F439" s="15" t="n">
        <v>46219</v>
      </c>
      <c r="G439" s="1" t="s">
        <v>188</v>
      </c>
      <c r="H439" s="1" t="n">
        <v>1406906</v>
      </c>
      <c r="I439" s="1" t="n">
        <v>11</v>
      </c>
      <c r="J439" s="1" t="s">
        <v>1384</v>
      </c>
      <c r="K439" s="65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1390</v>
      </c>
      <c r="D440" s="1" t="s">
        <v>1417</v>
      </c>
      <c r="E440" s="15" t="n">
        <v>46220</v>
      </c>
      <c r="F440" s="15" t="n">
        <v>46220</v>
      </c>
      <c r="G440" s="1" t="s">
        <v>1418</v>
      </c>
      <c r="H440" s="1" t="n">
        <v>1411966</v>
      </c>
      <c r="I440" s="1" t="n">
        <v>11</v>
      </c>
      <c r="J440" s="1" t="s">
        <v>1384</v>
      </c>
      <c r="K440" s="65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1390</v>
      </c>
      <c r="D441" s="1" t="s">
        <v>1396</v>
      </c>
      <c r="E441" s="15" t="n">
        <v>46220</v>
      </c>
      <c r="F441" s="15" t="n">
        <v>46219</v>
      </c>
      <c r="G441" s="1" t="s">
        <v>220</v>
      </c>
      <c r="H441" s="1" t="n">
        <v>1410826</v>
      </c>
      <c r="I441" s="1" t="n">
        <v>11</v>
      </c>
      <c r="J441" s="1" t="s">
        <v>1384</v>
      </c>
      <c r="K441" s="65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1390</v>
      </c>
      <c r="D442" s="1" t="s">
        <v>1441</v>
      </c>
      <c r="E442" s="15" t="n">
        <v>46220</v>
      </c>
      <c r="F442" s="15" t="n">
        <v>46220</v>
      </c>
      <c r="G442" s="1" t="s">
        <v>94</v>
      </c>
      <c r="H442" s="1" t="n">
        <v>1410712</v>
      </c>
      <c r="I442" s="1" t="n">
        <v>11</v>
      </c>
      <c r="J442" s="1" t="s">
        <v>1384</v>
      </c>
      <c r="K442" s="65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1390</v>
      </c>
      <c r="D443" s="1" t="s">
        <v>1397</v>
      </c>
      <c r="E443" s="15" t="n">
        <v>46220</v>
      </c>
      <c r="F443" s="15" t="n">
        <v>46219</v>
      </c>
      <c r="G443" s="1" t="s">
        <v>210</v>
      </c>
      <c r="H443" s="1" t="n">
        <v>1410446</v>
      </c>
      <c r="I443" s="1" t="n">
        <v>11</v>
      </c>
      <c r="J443" s="1" t="s">
        <v>1384</v>
      </c>
      <c r="K443" s="65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1390</v>
      </c>
      <c r="D444" s="1" t="s">
        <v>1398</v>
      </c>
      <c r="E444" s="15" t="n">
        <v>46220</v>
      </c>
      <c r="F444" s="15" t="n">
        <v>46218</v>
      </c>
      <c r="G444" s="1" t="s">
        <v>201</v>
      </c>
      <c r="H444" s="1" t="n">
        <v>1410758</v>
      </c>
      <c r="I444" s="1" t="n">
        <v>11</v>
      </c>
      <c r="J444" s="1" t="s">
        <v>1384</v>
      </c>
      <c r="K444" s="65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1390</v>
      </c>
      <c r="D445" s="1" t="s">
        <v>1514</v>
      </c>
      <c r="E445" s="15" t="n">
        <v>46220</v>
      </c>
      <c r="F445" s="15" t="n">
        <v>46220</v>
      </c>
      <c r="G445" s="1" t="s">
        <v>552</v>
      </c>
      <c r="H445" s="1" t="n">
        <v>1428281</v>
      </c>
      <c r="I445" s="1" t="n">
        <v>11</v>
      </c>
      <c r="J445" s="1" t="s">
        <v>1384</v>
      </c>
      <c r="K445" s="65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1390</v>
      </c>
      <c r="D446" s="1" t="s">
        <v>1514</v>
      </c>
      <c r="E446" s="15" t="n">
        <v>46220</v>
      </c>
      <c r="F446" s="15" t="n">
        <v>46220</v>
      </c>
      <c r="G446" s="1" t="s">
        <v>552</v>
      </c>
      <c r="H446" s="1" t="n">
        <v>1428357</v>
      </c>
      <c r="I446" s="1" t="n">
        <v>11</v>
      </c>
      <c r="J446" s="1" t="s">
        <v>1384</v>
      </c>
      <c r="K446" s="65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1390</v>
      </c>
      <c r="D447" s="1" t="s">
        <v>1514</v>
      </c>
      <c r="E447" s="15" t="n">
        <v>46220</v>
      </c>
      <c r="F447" s="15" t="n">
        <v>46220</v>
      </c>
      <c r="G447" s="1" t="s">
        <v>552</v>
      </c>
      <c r="H447" s="1" t="n">
        <v>1428365</v>
      </c>
      <c r="I447" s="1" t="n">
        <v>11</v>
      </c>
      <c r="J447" s="1" t="s">
        <v>1384</v>
      </c>
      <c r="K447" s="65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1390</v>
      </c>
      <c r="D448" s="1" t="s">
        <v>1514</v>
      </c>
      <c r="E448" s="15" t="n">
        <v>46220</v>
      </c>
      <c r="F448" s="15" t="n">
        <v>46220</v>
      </c>
      <c r="G448" s="1" t="s">
        <v>552</v>
      </c>
      <c r="H448" s="1" t="n">
        <v>1428370</v>
      </c>
      <c r="I448" s="1" t="n">
        <v>11</v>
      </c>
      <c r="J448" s="1" t="s">
        <v>1384</v>
      </c>
      <c r="K448" s="65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1390</v>
      </c>
      <c r="D449" s="1" t="s">
        <v>1514</v>
      </c>
      <c r="E449" s="15" t="n">
        <v>46220</v>
      </c>
      <c r="F449" s="15" t="n">
        <v>46220</v>
      </c>
      <c r="G449" s="1" t="s">
        <v>552</v>
      </c>
      <c r="H449" s="1" t="n">
        <v>1428390</v>
      </c>
      <c r="I449" s="1" t="n">
        <v>11</v>
      </c>
      <c r="J449" s="1" t="s">
        <v>1384</v>
      </c>
      <c r="K449" s="65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1390</v>
      </c>
      <c r="D450" s="1" t="s">
        <v>1514</v>
      </c>
      <c r="E450" s="15" t="n">
        <v>46220</v>
      </c>
      <c r="F450" s="15" t="n">
        <v>46220</v>
      </c>
      <c r="G450" s="1" t="s">
        <v>552</v>
      </c>
      <c r="H450" s="1" t="n">
        <v>1428379</v>
      </c>
      <c r="I450" s="1" t="n">
        <v>11</v>
      </c>
      <c r="J450" s="1" t="s">
        <v>1384</v>
      </c>
      <c r="K450" s="65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1390</v>
      </c>
      <c r="D451" s="1" t="s">
        <v>1514</v>
      </c>
      <c r="E451" s="15" t="n">
        <v>46220</v>
      </c>
      <c r="F451" s="15" t="n">
        <v>46220</v>
      </c>
      <c r="G451" s="1" t="s">
        <v>552</v>
      </c>
      <c r="H451" s="1" t="n">
        <v>1428427</v>
      </c>
      <c r="I451" s="1" t="n">
        <v>11</v>
      </c>
      <c r="J451" s="1" t="s">
        <v>1384</v>
      </c>
      <c r="K451" s="65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1390</v>
      </c>
      <c r="D452" s="1" t="s">
        <v>1514</v>
      </c>
      <c r="E452" s="15" t="n">
        <v>46220</v>
      </c>
      <c r="F452" s="15" t="n">
        <v>46220</v>
      </c>
      <c r="G452" s="1" t="s">
        <v>552</v>
      </c>
      <c r="H452" s="1" t="n">
        <v>1428438</v>
      </c>
      <c r="I452" s="1" t="n">
        <v>11</v>
      </c>
      <c r="J452" s="1" t="s">
        <v>1384</v>
      </c>
      <c r="K452" s="65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1390</v>
      </c>
      <c r="D453" s="1" t="s">
        <v>1408</v>
      </c>
      <c r="E453" s="15" t="n">
        <v>46220</v>
      </c>
      <c r="F453" s="15" t="n">
        <v>46219</v>
      </c>
      <c r="G453" s="1" t="s">
        <v>171</v>
      </c>
      <c r="H453" s="1" t="n">
        <v>1410433</v>
      </c>
      <c r="I453" s="1" t="n">
        <v>11</v>
      </c>
      <c r="J453" s="1" t="s">
        <v>1384</v>
      </c>
      <c r="K453" s="65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1390</v>
      </c>
      <c r="D454" s="1" t="s">
        <v>1510</v>
      </c>
      <c r="E454" s="15" t="n">
        <v>46220</v>
      </c>
      <c r="F454" s="15" t="n">
        <v>46219</v>
      </c>
      <c r="G454" s="1" t="s">
        <v>263</v>
      </c>
      <c r="H454" s="1" t="n">
        <v>1410475</v>
      </c>
      <c r="I454" s="1" t="n">
        <v>11</v>
      </c>
      <c r="J454" s="1" t="s">
        <v>1384</v>
      </c>
      <c r="K454" s="65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1390</v>
      </c>
      <c r="D455" s="1" t="s">
        <v>1391</v>
      </c>
      <c r="E455" s="15" t="n">
        <v>46220</v>
      </c>
      <c r="F455" s="15" t="n">
        <v>46219</v>
      </c>
      <c r="G455" s="1" t="s">
        <v>248</v>
      </c>
      <c r="H455" s="1" t="n">
        <v>1411854</v>
      </c>
      <c r="I455" s="1" t="n">
        <v>11</v>
      </c>
      <c r="J455" s="1" t="s">
        <v>1384</v>
      </c>
      <c r="K455" s="65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1390</v>
      </c>
      <c r="D456" s="1" t="s">
        <v>1400</v>
      </c>
      <c r="E456" s="15" t="n">
        <v>46220</v>
      </c>
      <c r="F456" s="15" t="n">
        <v>46220</v>
      </c>
      <c r="G456" s="1" t="s">
        <v>132</v>
      </c>
      <c r="H456" s="1" t="n">
        <v>1411314</v>
      </c>
      <c r="I456" s="1" t="n">
        <v>6</v>
      </c>
      <c r="J456" s="1" t="s">
        <v>1384</v>
      </c>
      <c r="K456" s="65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1390</v>
      </c>
      <c r="D457" s="1" t="s">
        <v>1400</v>
      </c>
      <c r="E457" s="15" t="n">
        <v>46220</v>
      </c>
      <c r="F457" s="15" t="n">
        <v>46220</v>
      </c>
      <c r="G457" s="1" t="s">
        <v>132</v>
      </c>
      <c r="H457" s="1" t="n">
        <v>1411709</v>
      </c>
      <c r="I457" s="1" t="n">
        <v>6</v>
      </c>
      <c r="J457" s="1" t="s">
        <v>1384</v>
      </c>
      <c r="K457" s="65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1382</v>
      </c>
      <c r="D458" s="1" t="s">
        <v>1392</v>
      </c>
      <c r="E458" s="15" t="n">
        <v>46220</v>
      </c>
      <c r="F458" s="15" t="n">
        <v>46219</v>
      </c>
      <c r="G458" s="1" t="s">
        <v>194</v>
      </c>
      <c r="H458" s="1" t="n">
        <v>1410461</v>
      </c>
      <c r="I458" s="1" t="n">
        <v>11</v>
      </c>
      <c r="J458" s="1" t="s">
        <v>1384</v>
      </c>
      <c r="K458" s="65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1421</v>
      </c>
      <c r="D459" s="1" t="s">
        <v>1438</v>
      </c>
      <c r="E459" s="15" t="n">
        <v>46220</v>
      </c>
      <c r="F459" s="15" t="n">
        <v>46219</v>
      </c>
      <c r="G459" s="1" t="s">
        <v>412</v>
      </c>
      <c r="H459" s="1" t="n">
        <v>1411342</v>
      </c>
      <c r="I459" s="1" t="n">
        <v>11</v>
      </c>
      <c r="J459" s="1" t="s">
        <v>1384</v>
      </c>
      <c r="K459" s="65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1390</v>
      </c>
      <c r="D460" s="1" t="s">
        <v>1479</v>
      </c>
      <c r="E460" s="15" t="n">
        <v>46220</v>
      </c>
      <c r="F460" s="15" t="n">
        <v>46217</v>
      </c>
      <c r="G460" s="1" t="s">
        <v>633</v>
      </c>
      <c r="H460" s="1" t="n">
        <v>1410510</v>
      </c>
      <c r="I460" s="1" t="n">
        <v>11</v>
      </c>
      <c r="J460" s="1" t="s">
        <v>1384</v>
      </c>
      <c r="K460" s="65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1390</v>
      </c>
      <c r="D461" s="1" t="s">
        <v>1498</v>
      </c>
      <c r="E461" s="15" t="n">
        <v>46220</v>
      </c>
      <c r="F461" s="15" t="n">
        <v>46218</v>
      </c>
      <c r="G461" s="1" t="s">
        <v>88</v>
      </c>
      <c r="H461" s="1" t="n">
        <v>1411536</v>
      </c>
      <c r="I461" s="1" t="n">
        <v>11</v>
      </c>
      <c r="J461" s="1" t="s">
        <v>1384</v>
      </c>
      <c r="K461" s="65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1390</v>
      </c>
      <c r="D462" s="1" t="s">
        <v>1498</v>
      </c>
      <c r="E462" s="15" t="n">
        <v>46220</v>
      </c>
      <c r="F462" s="15" t="n">
        <v>46218</v>
      </c>
      <c r="G462" s="1" t="s">
        <v>88</v>
      </c>
      <c r="H462" s="1" t="n">
        <v>1411921</v>
      </c>
      <c r="I462" s="1" t="n">
        <v>11</v>
      </c>
      <c r="J462" s="1" t="s">
        <v>1384</v>
      </c>
      <c r="K462" s="65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1390</v>
      </c>
      <c r="D463" s="1" t="s">
        <v>1498</v>
      </c>
      <c r="E463" s="15" t="n">
        <v>46220</v>
      </c>
      <c r="F463" s="15" t="n">
        <v>46218</v>
      </c>
      <c r="G463" s="1" t="s">
        <v>88</v>
      </c>
      <c r="H463" s="1" t="n">
        <v>1411773</v>
      </c>
      <c r="I463" s="1" t="n">
        <v>11</v>
      </c>
      <c r="J463" s="1" t="s">
        <v>1384</v>
      </c>
      <c r="K463" s="65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1390</v>
      </c>
      <c r="D464" s="1" t="s">
        <v>1395</v>
      </c>
      <c r="E464" s="15" t="n">
        <v>46221</v>
      </c>
      <c r="F464" s="15" t="n">
        <v>46220</v>
      </c>
      <c r="G464" s="1" t="s">
        <v>130</v>
      </c>
      <c r="H464" s="1" t="n">
        <v>1414944</v>
      </c>
      <c r="I464" s="1" t="n">
        <v>11</v>
      </c>
      <c r="J464" s="1" t="s">
        <v>1384</v>
      </c>
      <c r="K464" s="65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1390</v>
      </c>
      <c r="D465" s="1" t="s">
        <v>1434</v>
      </c>
      <c r="E465" s="15" t="n">
        <v>46221</v>
      </c>
      <c r="F465" s="15" t="n">
        <v>46219</v>
      </c>
      <c r="G465" s="1" t="s">
        <v>85</v>
      </c>
      <c r="H465" s="1" t="n">
        <v>1414695</v>
      </c>
      <c r="I465" s="1" t="n">
        <v>11</v>
      </c>
      <c r="J465" s="1" t="s">
        <v>1384</v>
      </c>
      <c r="K465" s="65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1388</v>
      </c>
      <c r="D466" s="1" t="s">
        <v>1389</v>
      </c>
      <c r="E466" s="15" t="n">
        <v>46221</v>
      </c>
      <c r="F466" s="15" t="n">
        <v>46220</v>
      </c>
      <c r="G466" s="1" t="s">
        <v>369</v>
      </c>
      <c r="H466" s="1" t="n">
        <v>1414655</v>
      </c>
      <c r="I466" s="1" t="n">
        <v>11</v>
      </c>
      <c r="J466" s="1" t="s">
        <v>1384</v>
      </c>
      <c r="K466" s="65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1390</v>
      </c>
      <c r="D467" s="1" t="s">
        <v>1514</v>
      </c>
      <c r="E467" s="15" t="n">
        <v>46221</v>
      </c>
      <c r="F467" s="15" t="n">
        <v>46221</v>
      </c>
      <c r="G467" s="1" t="s">
        <v>552</v>
      </c>
      <c r="H467" s="1" t="n">
        <v>1428457</v>
      </c>
      <c r="I467" s="1" t="n">
        <v>11</v>
      </c>
      <c r="J467" s="1" t="s">
        <v>1384</v>
      </c>
      <c r="K467" s="65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1390</v>
      </c>
      <c r="D468" s="1" t="s">
        <v>1498</v>
      </c>
      <c r="E468" s="15" t="n">
        <v>46221</v>
      </c>
      <c r="F468" s="15" t="n">
        <v>46218</v>
      </c>
      <c r="G468" s="1" t="s">
        <v>88</v>
      </c>
      <c r="H468" s="1" t="n">
        <v>1414799</v>
      </c>
      <c r="I468" s="1" t="n">
        <v>11</v>
      </c>
      <c r="J468" s="1" t="s">
        <v>1384</v>
      </c>
      <c r="K468" s="65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1390</v>
      </c>
      <c r="D469" s="1" t="s">
        <v>1515</v>
      </c>
      <c r="E469" s="15" t="n">
        <v>46221</v>
      </c>
      <c r="F469" s="15" t="n">
        <v>46220</v>
      </c>
      <c r="G469" s="1" t="s">
        <v>1037</v>
      </c>
      <c r="H469" s="1" t="n">
        <v>1414980</v>
      </c>
      <c r="I469" s="1" t="n">
        <v>39</v>
      </c>
      <c r="J469" s="1" t="s">
        <v>1384</v>
      </c>
      <c r="K469" s="65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1385</v>
      </c>
      <c r="D470" s="1" t="s">
        <v>1386</v>
      </c>
      <c r="E470" s="15" t="n">
        <v>46223</v>
      </c>
      <c r="F470" s="15" t="n">
        <v>46220</v>
      </c>
      <c r="G470" s="1" t="s">
        <v>119</v>
      </c>
      <c r="H470" s="1" t="n">
        <v>1424515</v>
      </c>
      <c r="I470" s="1" t="n">
        <v>11</v>
      </c>
      <c r="J470" s="1" t="s">
        <v>1384</v>
      </c>
      <c r="K470" s="65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1385</v>
      </c>
      <c r="D471" s="1" t="s">
        <v>1386</v>
      </c>
      <c r="E471" s="15" t="n">
        <v>46223</v>
      </c>
      <c r="F471" s="15" t="n">
        <v>46220</v>
      </c>
      <c r="G471" s="1" t="s">
        <v>119</v>
      </c>
      <c r="H471" s="1" t="n">
        <v>1424512</v>
      </c>
      <c r="I471" s="1" t="n">
        <v>11</v>
      </c>
      <c r="J471" s="1" t="s">
        <v>1384</v>
      </c>
      <c r="K471" s="65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1387</v>
      </c>
      <c r="D472" s="1" t="s">
        <v>1386</v>
      </c>
      <c r="E472" s="15" t="n">
        <v>46223</v>
      </c>
      <c r="F472" s="15" t="n">
        <v>46220</v>
      </c>
      <c r="G472" s="1" t="s">
        <v>119</v>
      </c>
      <c r="H472" s="1" t="n">
        <v>1424518</v>
      </c>
      <c r="I472" s="1" t="n">
        <v>11</v>
      </c>
      <c r="J472" s="1" t="s">
        <v>1384</v>
      </c>
      <c r="K472" s="65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1390</v>
      </c>
      <c r="D473" s="1" t="s">
        <v>1433</v>
      </c>
      <c r="E473" s="15" t="n">
        <v>46223</v>
      </c>
      <c r="F473" s="15" t="n">
        <v>46220</v>
      </c>
      <c r="G473" s="1" t="s">
        <v>175</v>
      </c>
      <c r="H473" s="1" t="n">
        <v>1423935</v>
      </c>
      <c r="I473" s="1" t="n">
        <v>11</v>
      </c>
      <c r="J473" s="1" t="s">
        <v>1384</v>
      </c>
      <c r="K473" s="65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1388</v>
      </c>
      <c r="D474" s="1" t="s">
        <v>1389</v>
      </c>
      <c r="E474" s="15" t="n">
        <v>46223</v>
      </c>
      <c r="F474" s="15" t="n">
        <v>46221</v>
      </c>
      <c r="G474" s="1" t="s">
        <v>369</v>
      </c>
      <c r="H474" s="1" t="n">
        <v>1423680</v>
      </c>
      <c r="I474" s="1" t="n">
        <v>11</v>
      </c>
      <c r="J474" s="1" t="s">
        <v>1384</v>
      </c>
      <c r="K474" s="65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1390</v>
      </c>
      <c r="D475" s="1" t="s">
        <v>1514</v>
      </c>
      <c r="E475" s="15" t="n">
        <v>46223</v>
      </c>
      <c r="F475" s="15" t="n">
        <v>46223</v>
      </c>
      <c r="G475" s="1" t="s">
        <v>552</v>
      </c>
      <c r="H475" s="1" t="n">
        <v>1439460</v>
      </c>
      <c r="I475" s="1" t="n">
        <v>11</v>
      </c>
      <c r="J475" s="1" t="s">
        <v>1384</v>
      </c>
      <c r="K475" s="65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1390</v>
      </c>
      <c r="D476" s="1" t="s">
        <v>1514</v>
      </c>
      <c r="E476" s="15" t="n">
        <v>46223</v>
      </c>
      <c r="F476" s="15" t="n">
        <v>46223</v>
      </c>
      <c r="G476" s="1" t="s">
        <v>552</v>
      </c>
      <c r="H476" s="1" t="n">
        <v>1439463</v>
      </c>
      <c r="I476" s="1" t="n">
        <v>11</v>
      </c>
      <c r="J476" s="1" t="s">
        <v>1384</v>
      </c>
      <c r="K476" s="65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1390</v>
      </c>
      <c r="D477" s="1" t="s">
        <v>1404</v>
      </c>
      <c r="E477" s="15" t="n">
        <v>46223</v>
      </c>
      <c r="F477" s="15" t="n">
        <v>46223</v>
      </c>
      <c r="G477" s="1" t="s">
        <v>126</v>
      </c>
      <c r="H477" s="1" t="n">
        <v>1424565</v>
      </c>
      <c r="I477" s="1" t="n">
        <v>11</v>
      </c>
      <c r="J477" s="1" t="s">
        <v>1384</v>
      </c>
      <c r="K477" s="65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1390</v>
      </c>
      <c r="D478" s="1" t="s">
        <v>1391</v>
      </c>
      <c r="E478" s="15" t="n">
        <v>46223</v>
      </c>
      <c r="F478" s="15" t="n">
        <v>46221</v>
      </c>
      <c r="G478" s="1" t="s">
        <v>248</v>
      </c>
      <c r="H478" s="1" t="n">
        <v>1424326</v>
      </c>
      <c r="I478" s="1" t="n">
        <v>11</v>
      </c>
      <c r="J478" s="1" t="s">
        <v>1384</v>
      </c>
      <c r="K478" s="65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1390</v>
      </c>
      <c r="D479" s="1" t="s">
        <v>1400</v>
      </c>
      <c r="E479" s="15" t="n">
        <v>46223</v>
      </c>
      <c r="F479" s="15" t="n">
        <v>46223</v>
      </c>
      <c r="G479" s="1" t="s">
        <v>132</v>
      </c>
      <c r="H479" s="1" t="n">
        <v>1423704</v>
      </c>
      <c r="I479" s="1" t="n">
        <v>6</v>
      </c>
      <c r="J479" s="1" t="s">
        <v>1384</v>
      </c>
      <c r="K479" s="65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1390</v>
      </c>
      <c r="D480" s="1" t="s">
        <v>1400</v>
      </c>
      <c r="E480" s="15" t="n">
        <v>46223</v>
      </c>
      <c r="F480" s="15" t="n">
        <v>46223</v>
      </c>
      <c r="G480" s="1" t="s">
        <v>132</v>
      </c>
      <c r="H480" s="1" t="n">
        <v>1425087</v>
      </c>
      <c r="I480" s="1" t="n">
        <v>6</v>
      </c>
      <c r="J480" s="1" t="s">
        <v>1384</v>
      </c>
      <c r="K480" s="65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1390</v>
      </c>
      <c r="D481" s="1" t="s">
        <v>1493</v>
      </c>
      <c r="E481" s="15" t="n">
        <v>46223</v>
      </c>
      <c r="F481" s="15" t="n">
        <v>46219</v>
      </c>
      <c r="G481" s="1" t="s">
        <v>254</v>
      </c>
      <c r="H481" s="1" t="n">
        <v>1424623</v>
      </c>
      <c r="I481" s="1" t="n">
        <v>11</v>
      </c>
      <c r="J481" s="1" t="s">
        <v>1384</v>
      </c>
      <c r="K481" s="65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1390</v>
      </c>
      <c r="D482" s="1" t="s">
        <v>1466</v>
      </c>
      <c r="E482" s="15" t="n">
        <v>46223</v>
      </c>
      <c r="F482" s="15" t="n">
        <v>46219</v>
      </c>
      <c r="G482" s="1" t="s">
        <v>300</v>
      </c>
      <c r="H482" s="1" t="n">
        <v>1423713</v>
      </c>
      <c r="I482" s="1" t="n">
        <v>11</v>
      </c>
      <c r="J482" s="1" t="s">
        <v>1384</v>
      </c>
      <c r="K482" s="65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1390</v>
      </c>
      <c r="D483" s="1" t="s">
        <v>1485</v>
      </c>
      <c r="E483" s="15" t="n">
        <v>46223</v>
      </c>
      <c r="F483" s="15" t="n">
        <v>46220</v>
      </c>
      <c r="G483" s="1" t="s">
        <v>160</v>
      </c>
      <c r="H483" s="1" t="n">
        <v>1423821</v>
      </c>
      <c r="I483" s="1" t="n">
        <v>11</v>
      </c>
      <c r="J483" s="1" t="s">
        <v>1384</v>
      </c>
      <c r="K483" s="65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1390</v>
      </c>
      <c r="D484" s="1" t="s">
        <v>1516</v>
      </c>
      <c r="E484" s="15" t="n">
        <v>46224</v>
      </c>
      <c r="F484" s="15" t="n">
        <v>46223</v>
      </c>
      <c r="G484" s="1" t="s">
        <v>290</v>
      </c>
      <c r="H484" s="1" t="n">
        <v>1427596</v>
      </c>
      <c r="I484" s="1" t="n">
        <v>39</v>
      </c>
      <c r="J484" s="1" t="s">
        <v>1384</v>
      </c>
      <c r="K484" s="65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1388</v>
      </c>
      <c r="D485" s="1" t="s">
        <v>1389</v>
      </c>
      <c r="E485" s="15" t="n">
        <v>46224</v>
      </c>
      <c r="F485" s="15" t="n">
        <v>46223</v>
      </c>
      <c r="G485" s="1" t="s">
        <v>369</v>
      </c>
      <c r="H485" s="1" t="n">
        <v>1427577</v>
      </c>
      <c r="I485" s="1" t="n">
        <v>11</v>
      </c>
      <c r="J485" s="1" t="s">
        <v>1384</v>
      </c>
      <c r="K485" s="65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1390</v>
      </c>
      <c r="D486" s="1" t="s">
        <v>1408</v>
      </c>
      <c r="E486" s="15" t="n">
        <v>46224</v>
      </c>
      <c r="F486" s="15" t="n">
        <v>46223</v>
      </c>
      <c r="G486" s="1" t="s">
        <v>171</v>
      </c>
      <c r="H486" s="1" t="n">
        <v>1427544</v>
      </c>
      <c r="I486" s="1" t="n">
        <v>11</v>
      </c>
      <c r="J486" s="1" t="s">
        <v>1384</v>
      </c>
      <c r="K486" s="65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1390</v>
      </c>
      <c r="D487" s="1" t="s">
        <v>1400</v>
      </c>
      <c r="E487" s="15" t="n">
        <v>46224</v>
      </c>
      <c r="F487" s="15" t="n">
        <v>46224</v>
      </c>
      <c r="G487" s="1" t="s">
        <v>132</v>
      </c>
      <c r="H487" s="1" t="n">
        <v>1429010</v>
      </c>
      <c r="I487" s="1" t="n">
        <v>6</v>
      </c>
      <c r="J487" s="1" t="s">
        <v>1384</v>
      </c>
      <c r="K487" s="65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1390</v>
      </c>
      <c r="D488" s="1" t="s">
        <v>1400</v>
      </c>
      <c r="E488" s="15" t="n">
        <v>46224</v>
      </c>
      <c r="F488" s="15" t="n">
        <v>46224</v>
      </c>
      <c r="G488" s="1" t="s">
        <v>132</v>
      </c>
      <c r="H488" s="1" t="n">
        <v>1429542</v>
      </c>
      <c r="I488" s="1" t="n">
        <v>6</v>
      </c>
      <c r="J488" s="1" t="s">
        <v>1384</v>
      </c>
      <c r="K488" s="65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1390</v>
      </c>
      <c r="D489" s="1" t="s">
        <v>1400</v>
      </c>
      <c r="E489" s="15" t="n">
        <v>46224</v>
      </c>
      <c r="F489" s="15" t="n">
        <v>46224</v>
      </c>
      <c r="G489" s="1" t="s">
        <v>132</v>
      </c>
      <c r="H489" s="1" t="n">
        <v>1429592</v>
      </c>
      <c r="I489" s="1" t="n">
        <v>6</v>
      </c>
      <c r="J489" s="1" t="s">
        <v>1384</v>
      </c>
      <c r="K489" s="65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1390</v>
      </c>
      <c r="D490" s="1" t="s">
        <v>1401</v>
      </c>
      <c r="E490" s="15" t="n">
        <v>46224</v>
      </c>
      <c r="F490" s="15" t="n">
        <v>46223</v>
      </c>
      <c r="G490" s="1" t="s">
        <v>92</v>
      </c>
      <c r="H490" s="1" t="n">
        <v>1427554</v>
      </c>
      <c r="I490" s="1" t="n">
        <v>11</v>
      </c>
      <c r="J490" s="1" t="s">
        <v>1384</v>
      </c>
      <c r="K490" s="65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1382</v>
      </c>
      <c r="D491" s="1" t="s">
        <v>1392</v>
      </c>
      <c r="E491" s="15" t="n">
        <v>46224</v>
      </c>
      <c r="F491" s="15" t="n">
        <v>46223</v>
      </c>
      <c r="G491" s="1" t="s">
        <v>194</v>
      </c>
      <c r="H491" s="1" t="n">
        <v>1427568</v>
      </c>
      <c r="I491" s="1" t="n">
        <v>11</v>
      </c>
      <c r="J491" s="1" t="s">
        <v>1384</v>
      </c>
      <c r="K491" s="65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1447</v>
      </c>
      <c r="D492" s="1" t="s">
        <v>1402</v>
      </c>
      <c r="E492" s="15" t="n">
        <v>46225</v>
      </c>
      <c r="F492" s="15" t="n">
        <v>46224</v>
      </c>
      <c r="G492" s="1" t="s">
        <v>117</v>
      </c>
      <c r="H492" s="1" t="n">
        <v>1435965</v>
      </c>
      <c r="I492" s="1" t="n">
        <v>11</v>
      </c>
      <c r="J492" s="1" t="s">
        <v>1384</v>
      </c>
      <c r="K492" s="65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1385</v>
      </c>
      <c r="D493" s="1" t="s">
        <v>1386</v>
      </c>
      <c r="E493" s="15" t="n">
        <v>46225</v>
      </c>
      <c r="F493" s="15" t="n">
        <v>46224</v>
      </c>
      <c r="G493" s="1" t="s">
        <v>119</v>
      </c>
      <c r="H493" s="1" t="n">
        <v>1435821</v>
      </c>
      <c r="I493" s="1" t="n">
        <v>11</v>
      </c>
      <c r="J493" s="1" t="s">
        <v>1384</v>
      </c>
      <c r="K493" s="65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1387</v>
      </c>
      <c r="D494" s="1" t="s">
        <v>1386</v>
      </c>
      <c r="E494" s="15" t="n">
        <v>46225</v>
      </c>
      <c r="F494" s="15" t="n">
        <v>46224</v>
      </c>
      <c r="G494" s="1" t="s">
        <v>119</v>
      </c>
      <c r="H494" s="1" t="n">
        <v>1435826</v>
      </c>
      <c r="I494" s="1" t="n">
        <v>11</v>
      </c>
      <c r="J494" s="1" t="s">
        <v>1384</v>
      </c>
      <c r="K494" s="65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1390</v>
      </c>
      <c r="D495" s="1" t="s">
        <v>1490</v>
      </c>
      <c r="E495" s="15" t="n">
        <v>46225</v>
      </c>
      <c r="F495" s="15" t="n">
        <v>46225</v>
      </c>
      <c r="G495" s="1" t="s">
        <v>718</v>
      </c>
      <c r="H495" s="1" t="n">
        <v>1435793</v>
      </c>
      <c r="I495" s="1" t="n">
        <v>11</v>
      </c>
      <c r="J495" s="1" t="s">
        <v>1384</v>
      </c>
      <c r="K495" s="65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1390</v>
      </c>
      <c r="D496" s="1" t="s">
        <v>1398</v>
      </c>
      <c r="E496" s="15" t="n">
        <v>46225</v>
      </c>
      <c r="F496" s="15" t="n">
        <v>46223</v>
      </c>
      <c r="G496" s="1" t="s">
        <v>201</v>
      </c>
      <c r="H496" s="1" t="n">
        <v>1434765</v>
      </c>
      <c r="I496" s="1" t="n">
        <v>11</v>
      </c>
      <c r="J496" s="1" t="s">
        <v>1384</v>
      </c>
      <c r="K496" s="65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1390</v>
      </c>
      <c r="D497" s="1" t="s">
        <v>1514</v>
      </c>
      <c r="E497" s="15" t="n">
        <v>46225</v>
      </c>
      <c r="F497" s="15" t="n">
        <v>46220</v>
      </c>
      <c r="G497" s="1" t="s">
        <v>552</v>
      </c>
      <c r="H497" s="1" t="n">
        <v>1439039</v>
      </c>
      <c r="I497" s="1" t="n">
        <v>11</v>
      </c>
      <c r="J497" s="1" t="s">
        <v>1384</v>
      </c>
      <c r="K497" s="65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1390</v>
      </c>
      <c r="D498" s="1" t="s">
        <v>1409</v>
      </c>
      <c r="E498" s="15" t="n">
        <v>46225</v>
      </c>
      <c r="F498" s="15" t="n">
        <v>46225</v>
      </c>
      <c r="G498" s="1" t="s">
        <v>90</v>
      </c>
      <c r="H498" s="1" t="n">
        <v>1435769</v>
      </c>
      <c r="I498" s="1" t="n">
        <v>11</v>
      </c>
      <c r="J498" s="1" t="s">
        <v>1384</v>
      </c>
      <c r="K498" s="65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1390</v>
      </c>
      <c r="D499" s="1" t="s">
        <v>1411</v>
      </c>
      <c r="E499" s="15" t="n">
        <v>46225</v>
      </c>
      <c r="F499" s="15" t="n">
        <v>46224</v>
      </c>
      <c r="G499" s="1" t="s">
        <v>164</v>
      </c>
      <c r="H499" s="1" t="n">
        <v>1436038</v>
      </c>
      <c r="I499" s="1" t="n">
        <v>11</v>
      </c>
      <c r="J499" s="1" t="s">
        <v>1384</v>
      </c>
      <c r="K499" s="65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1390</v>
      </c>
      <c r="D500" s="1" t="s">
        <v>1426</v>
      </c>
      <c r="E500" s="15" t="n">
        <v>46225</v>
      </c>
      <c r="F500" s="15" t="n">
        <v>46224</v>
      </c>
      <c r="G500" s="1" t="s">
        <v>302</v>
      </c>
      <c r="H500" s="1" t="n">
        <v>1435876</v>
      </c>
      <c r="I500" s="1" t="n">
        <v>11</v>
      </c>
      <c r="J500" s="1" t="s">
        <v>1384</v>
      </c>
      <c r="K500" s="65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1456</v>
      </c>
      <c r="D501" s="1" t="s">
        <v>1478</v>
      </c>
      <c r="E501" s="15" t="n">
        <v>46225</v>
      </c>
      <c r="F501" s="15" t="n">
        <v>46224</v>
      </c>
      <c r="G501" s="1" t="s">
        <v>123</v>
      </c>
      <c r="H501" s="1" t="n">
        <v>1436101</v>
      </c>
      <c r="I501" s="1" t="n">
        <v>39</v>
      </c>
      <c r="J501" s="1" t="s">
        <v>1384</v>
      </c>
      <c r="K501" s="65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1390</v>
      </c>
      <c r="D502" s="1" t="s">
        <v>1400</v>
      </c>
      <c r="E502" s="15" t="n">
        <v>46225</v>
      </c>
      <c r="F502" s="15" t="n">
        <v>46225</v>
      </c>
      <c r="G502" s="1" t="s">
        <v>132</v>
      </c>
      <c r="H502" s="1" t="n">
        <v>1435859</v>
      </c>
      <c r="I502" s="1" t="n">
        <v>6</v>
      </c>
      <c r="J502" s="1" t="s">
        <v>1384</v>
      </c>
      <c r="K502" s="65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1390</v>
      </c>
      <c r="D503" s="1" t="s">
        <v>1450</v>
      </c>
      <c r="E503" s="15" t="n">
        <v>46226</v>
      </c>
      <c r="F503" s="15" t="n">
        <v>46225</v>
      </c>
      <c r="G503" s="1" t="s">
        <v>197</v>
      </c>
      <c r="H503" s="1" t="n">
        <v>1439398</v>
      </c>
      <c r="I503" s="1" t="n">
        <v>11</v>
      </c>
      <c r="J503" s="1" t="s">
        <v>1384</v>
      </c>
      <c r="K503" s="65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1390</v>
      </c>
      <c r="D504" s="1" t="s">
        <v>1403</v>
      </c>
      <c r="E504" s="15" t="n">
        <v>46226</v>
      </c>
      <c r="F504" s="15" t="n">
        <v>46225</v>
      </c>
      <c r="G504" s="1" t="s">
        <v>332</v>
      </c>
      <c r="H504" s="1" t="n">
        <v>1439203</v>
      </c>
      <c r="I504" s="1" t="n">
        <v>11</v>
      </c>
      <c r="J504" s="1" t="s">
        <v>1384</v>
      </c>
      <c r="K504" s="65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1390</v>
      </c>
      <c r="D505" s="1" t="s">
        <v>1398</v>
      </c>
      <c r="E505" s="15" t="n">
        <v>46226</v>
      </c>
      <c r="F505" s="15" t="n">
        <v>46225</v>
      </c>
      <c r="G505" s="1" t="s">
        <v>201</v>
      </c>
      <c r="H505" s="1" t="n">
        <v>1439289</v>
      </c>
      <c r="I505" s="1" t="n">
        <v>11</v>
      </c>
      <c r="J505" s="1" t="s">
        <v>1384</v>
      </c>
      <c r="K505" s="65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1390</v>
      </c>
      <c r="D506" s="1" t="s">
        <v>1442</v>
      </c>
      <c r="E506" s="15" t="n">
        <v>46226</v>
      </c>
      <c r="F506" s="15" t="n">
        <v>46225</v>
      </c>
      <c r="G506" s="1" t="s">
        <v>80</v>
      </c>
      <c r="H506" s="1" t="n">
        <v>1440005</v>
      </c>
      <c r="I506" s="1" t="n">
        <v>11</v>
      </c>
      <c r="J506" s="1" t="s">
        <v>1384</v>
      </c>
      <c r="K506" s="65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1388</v>
      </c>
      <c r="D507" s="1" t="s">
        <v>1389</v>
      </c>
      <c r="E507" s="15" t="n">
        <v>46226</v>
      </c>
      <c r="F507" s="15" t="n">
        <v>46225</v>
      </c>
      <c r="G507" s="1" t="s">
        <v>369</v>
      </c>
      <c r="H507" s="1" t="n">
        <v>1438798</v>
      </c>
      <c r="I507" s="1" t="n">
        <v>11</v>
      </c>
      <c r="J507" s="1" t="s">
        <v>1384</v>
      </c>
      <c r="K507" s="65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1431</v>
      </c>
      <c r="D508" s="1" t="s">
        <v>1460</v>
      </c>
      <c r="E508" s="15" t="n">
        <v>46226</v>
      </c>
      <c r="F508" s="15" t="n">
        <v>46221</v>
      </c>
      <c r="G508" s="1" t="s">
        <v>554</v>
      </c>
      <c r="H508" s="1" t="n">
        <v>1438828</v>
      </c>
      <c r="I508" s="1" t="n">
        <v>11</v>
      </c>
      <c r="J508" s="1" t="s">
        <v>1384</v>
      </c>
      <c r="K508" s="65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1390</v>
      </c>
      <c r="D509" s="1" t="s">
        <v>1517</v>
      </c>
      <c r="E509" s="15" t="n">
        <v>46226</v>
      </c>
      <c r="F509" s="15" t="n">
        <v>46225</v>
      </c>
      <c r="G509" s="1" t="s">
        <v>162</v>
      </c>
      <c r="H509" s="1" t="n">
        <v>1439313</v>
      </c>
      <c r="I509" s="1" t="n">
        <v>11</v>
      </c>
      <c r="J509" s="1" t="s">
        <v>1384</v>
      </c>
      <c r="K509" s="65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1447</v>
      </c>
      <c r="D510" s="1" t="s">
        <v>1492</v>
      </c>
      <c r="E510" s="15" t="n">
        <v>46226</v>
      </c>
      <c r="F510" s="15" t="n">
        <v>46221</v>
      </c>
      <c r="G510" s="1" t="s">
        <v>292</v>
      </c>
      <c r="H510" s="1" t="n">
        <v>1438943</v>
      </c>
      <c r="I510" s="1" t="n">
        <v>11</v>
      </c>
      <c r="J510" s="1" t="s">
        <v>1384</v>
      </c>
      <c r="K510" s="65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1382</v>
      </c>
      <c r="D511" s="1" t="s">
        <v>1392</v>
      </c>
      <c r="E511" s="15" t="n">
        <v>46226</v>
      </c>
      <c r="F511" s="15" t="n">
        <v>46225</v>
      </c>
      <c r="G511" s="1" t="s">
        <v>194</v>
      </c>
      <c r="H511" s="1" t="n">
        <v>1438982</v>
      </c>
      <c r="I511" s="1" t="n">
        <v>11</v>
      </c>
      <c r="J511" s="1" t="s">
        <v>1384</v>
      </c>
      <c r="K511" s="65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1421</v>
      </c>
      <c r="D512" s="1" t="s">
        <v>1438</v>
      </c>
      <c r="E512" s="15" t="n">
        <v>46226</v>
      </c>
      <c r="F512" s="15" t="n">
        <v>46225</v>
      </c>
      <c r="G512" s="1" t="s">
        <v>412</v>
      </c>
      <c r="H512" s="1" t="n">
        <v>1439986</v>
      </c>
      <c r="I512" s="1" t="n">
        <v>11</v>
      </c>
      <c r="J512" s="1" t="s">
        <v>1384</v>
      </c>
      <c r="K512" s="65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1390</v>
      </c>
      <c r="D513" s="1" t="s">
        <v>1413</v>
      </c>
      <c r="E513" s="15" t="n">
        <v>46227</v>
      </c>
      <c r="F513" s="15" t="n">
        <v>46227</v>
      </c>
      <c r="G513" s="1" t="s">
        <v>166</v>
      </c>
      <c r="H513" s="1" t="n">
        <v>1443802</v>
      </c>
      <c r="I513" s="1" t="n">
        <v>11</v>
      </c>
      <c r="J513" s="1" t="s">
        <v>1384</v>
      </c>
      <c r="K513" s="65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1390</v>
      </c>
      <c r="D514" s="1" t="s">
        <v>1441</v>
      </c>
      <c r="E514" s="15" t="n">
        <v>46227</v>
      </c>
      <c r="F514" s="15" t="n">
        <v>46227</v>
      </c>
      <c r="G514" s="1" t="s">
        <v>94</v>
      </c>
      <c r="H514" s="1" t="n">
        <v>1443728</v>
      </c>
      <c r="I514" s="1" t="n">
        <v>11</v>
      </c>
      <c r="J514" s="1" t="s">
        <v>1384</v>
      </c>
      <c r="K514" s="65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1390</v>
      </c>
      <c r="D515" s="1" t="s">
        <v>1397</v>
      </c>
      <c r="E515" s="15" t="n">
        <v>46227</v>
      </c>
      <c r="F515" s="15" t="n">
        <v>46226</v>
      </c>
      <c r="G515" s="1" t="s">
        <v>210</v>
      </c>
      <c r="H515" s="1" t="n">
        <v>1443650</v>
      </c>
      <c r="I515" s="1" t="n">
        <v>11</v>
      </c>
      <c r="J515" s="1" t="s">
        <v>1384</v>
      </c>
      <c r="K515" s="65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1390</v>
      </c>
      <c r="D516" s="1" t="s">
        <v>1398</v>
      </c>
      <c r="E516" s="15" t="n">
        <v>46227</v>
      </c>
      <c r="F516" s="15" t="n">
        <v>46226</v>
      </c>
      <c r="G516" s="1" t="s">
        <v>201</v>
      </c>
      <c r="H516" s="1" t="n">
        <v>1444838</v>
      </c>
      <c r="I516" s="1" t="n">
        <v>11</v>
      </c>
      <c r="J516" s="1" t="s">
        <v>1384</v>
      </c>
      <c r="K516" s="65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1390</v>
      </c>
      <c r="D517" s="1" t="s">
        <v>1398</v>
      </c>
      <c r="E517" s="15" t="n">
        <v>46227</v>
      </c>
      <c r="F517" s="15" t="n">
        <v>46226</v>
      </c>
      <c r="G517" s="1" t="s">
        <v>201</v>
      </c>
      <c r="H517" s="1" t="n">
        <v>1443660</v>
      </c>
      <c r="I517" s="1" t="n">
        <v>11</v>
      </c>
      <c r="J517" s="1" t="s">
        <v>1384</v>
      </c>
      <c r="K517" s="65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1388</v>
      </c>
      <c r="D518" s="1" t="s">
        <v>1389</v>
      </c>
      <c r="E518" s="15" t="n">
        <v>46227</v>
      </c>
      <c r="F518" s="15" t="n">
        <v>46227</v>
      </c>
      <c r="G518" s="1" t="s">
        <v>369</v>
      </c>
      <c r="H518" s="1" t="n">
        <v>1444716</v>
      </c>
      <c r="I518" s="1" t="n">
        <v>11</v>
      </c>
      <c r="J518" s="1" t="s">
        <v>1384</v>
      </c>
      <c r="K518" s="65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1390</v>
      </c>
      <c r="D519" s="1" t="s">
        <v>1509</v>
      </c>
      <c r="E519" s="15" t="n">
        <v>46227</v>
      </c>
      <c r="F519" s="15" t="n">
        <v>46226</v>
      </c>
      <c r="G519" s="1" t="s">
        <v>943</v>
      </c>
      <c r="H519" s="1" t="n">
        <v>1443898</v>
      </c>
      <c r="I519" s="1" t="n">
        <v>39</v>
      </c>
      <c r="J519" s="1" t="s">
        <v>1384</v>
      </c>
      <c r="K519" s="65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1390</v>
      </c>
      <c r="D520" s="1" t="s">
        <v>1417</v>
      </c>
      <c r="E520" s="15" t="n">
        <v>46227</v>
      </c>
      <c r="F520" s="15" t="n">
        <v>46227</v>
      </c>
      <c r="G520" s="1" t="s">
        <v>96</v>
      </c>
      <c r="H520" s="1" t="n">
        <v>1443784</v>
      </c>
      <c r="I520" s="1" t="n">
        <v>11</v>
      </c>
      <c r="J520" s="1" t="s">
        <v>1384</v>
      </c>
      <c r="K520" s="65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1447</v>
      </c>
      <c r="D521" s="1" t="s">
        <v>1518</v>
      </c>
      <c r="E521" s="15" t="n">
        <v>46227</v>
      </c>
      <c r="F521" s="15" t="n">
        <v>46226</v>
      </c>
      <c r="G521" s="1" t="s">
        <v>1039</v>
      </c>
      <c r="H521" s="1" t="n">
        <v>1444921</v>
      </c>
      <c r="I521" s="1" t="n">
        <v>11</v>
      </c>
      <c r="J521" s="1" t="s">
        <v>1384</v>
      </c>
      <c r="K521" s="65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1390</v>
      </c>
      <c r="D522" s="1" t="s">
        <v>1400</v>
      </c>
      <c r="E522" s="15" t="n">
        <v>46227</v>
      </c>
      <c r="F522" s="15" t="n">
        <v>46227</v>
      </c>
      <c r="G522" s="1" t="s">
        <v>132</v>
      </c>
      <c r="H522" s="1" t="n">
        <v>1445080</v>
      </c>
      <c r="I522" s="1" t="n">
        <v>6</v>
      </c>
      <c r="J522" s="1" t="s">
        <v>1384</v>
      </c>
      <c r="K522" s="65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1390</v>
      </c>
      <c r="D523" s="1" t="s">
        <v>1400</v>
      </c>
      <c r="E523" s="15" t="n">
        <v>46227</v>
      </c>
      <c r="F523" s="15" t="n">
        <v>46227</v>
      </c>
      <c r="G523" s="1" t="s">
        <v>132</v>
      </c>
      <c r="H523" s="1" t="n">
        <v>1445121</v>
      </c>
      <c r="I523" s="1" t="n">
        <v>6</v>
      </c>
      <c r="J523" s="1" t="s">
        <v>1384</v>
      </c>
      <c r="K523" s="65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1428</v>
      </c>
      <c r="D524" s="1" t="s">
        <v>1429</v>
      </c>
      <c r="E524" s="15" t="n">
        <v>46227</v>
      </c>
      <c r="F524" s="15" t="n">
        <v>46225</v>
      </c>
      <c r="G524" s="1" t="s">
        <v>206</v>
      </c>
      <c r="H524" s="1" t="n">
        <v>1443849</v>
      </c>
      <c r="I524" s="1" t="n">
        <v>11</v>
      </c>
      <c r="J524" s="1" t="s">
        <v>1384</v>
      </c>
      <c r="K524" s="65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1390</v>
      </c>
      <c r="D525" s="1" t="s">
        <v>1395</v>
      </c>
      <c r="E525" s="15" t="n">
        <v>46228</v>
      </c>
      <c r="F525" s="15" t="n">
        <v>46227</v>
      </c>
      <c r="G525" s="1" t="s">
        <v>130</v>
      </c>
      <c r="H525" s="1" t="n">
        <v>1448211</v>
      </c>
      <c r="I525" s="1" t="n">
        <v>11</v>
      </c>
      <c r="J525" s="1" t="s">
        <v>1384</v>
      </c>
      <c r="K525" s="65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1447</v>
      </c>
      <c r="D526" s="1" t="s">
        <v>1402</v>
      </c>
      <c r="E526" s="15" t="n">
        <v>46228</v>
      </c>
      <c r="F526" s="15" t="n">
        <v>46227</v>
      </c>
      <c r="G526" s="1" t="s">
        <v>117</v>
      </c>
      <c r="H526" s="1" t="n">
        <v>1448473</v>
      </c>
      <c r="I526" s="1" t="n">
        <v>11</v>
      </c>
      <c r="J526" s="1" t="s">
        <v>1384</v>
      </c>
      <c r="K526" s="65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1390</v>
      </c>
      <c r="D527" s="1" t="s">
        <v>1400</v>
      </c>
      <c r="E527" s="15" t="n">
        <v>46228</v>
      </c>
      <c r="F527" s="15" t="n">
        <v>46228</v>
      </c>
      <c r="G527" s="1" t="s">
        <v>132</v>
      </c>
      <c r="H527" s="1" t="n">
        <v>1448190</v>
      </c>
      <c r="I527" s="1" t="n">
        <v>6</v>
      </c>
      <c r="J527" s="1" t="s">
        <v>1384</v>
      </c>
      <c r="K527" s="65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1382</v>
      </c>
      <c r="D528" s="1" t="s">
        <v>1392</v>
      </c>
      <c r="E528" s="15" t="n">
        <v>46228</v>
      </c>
      <c r="F528" s="15" t="n">
        <v>46227</v>
      </c>
      <c r="G528" s="1" t="s">
        <v>194</v>
      </c>
      <c r="H528" s="1" t="n">
        <v>1448465</v>
      </c>
      <c r="I528" s="1" t="n">
        <v>11</v>
      </c>
      <c r="J528" s="1" t="s">
        <v>1384</v>
      </c>
      <c r="K528" s="65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1390</v>
      </c>
      <c r="D529" s="1" t="s">
        <v>1486</v>
      </c>
      <c r="E529" s="15" t="n">
        <v>46228</v>
      </c>
      <c r="F529" s="15" t="n">
        <v>46227</v>
      </c>
      <c r="G529" s="1" t="s">
        <v>181</v>
      </c>
      <c r="H529" s="1" t="n">
        <v>1448220</v>
      </c>
      <c r="I529" s="1" t="n">
        <v>11</v>
      </c>
      <c r="J529" s="1" t="s">
        <v>1384</v>
      </c>
      <c r="K529" s="65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1390</v>
      </c>
      <c r="D530" s="1" t="s">
        <v>1396</v>
      </c>
      <c r="E530" s="15" t="n">
        <v>46230</v>
      </c>
      <c r="F530" s="15" t="n">
        <v>46228</v>
      </c>
      <c r="G530" s="1" t="s">
        <v>220</v>
      </c>
      <c r="H530" s="1" t="n">
        <v>1458288</v>
      </c>
      <c r="I530" s="1" t="n">
        <v>11</v>
      </c>
      <c r="J530" s="1" t="s">
        <v>1384</v>
      </c>
      <c r="K530" s="65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1385</v>
      </c>
      <c r="D531" s="1" t="s">
        <v>1386</v>
      </c>
      <c r="E531" s="15" t="n">
        <v>46230</v>
      </c>
      <c r="F531" s="15" t="n">
        <v>46227</v>
      </c>
      <c r="G531" s="1" t="s">
        <v>119</v>
      </c>
      <c r="H531" s="1" t="n">
        <v>1459403</v>
      </c>
      <c r="I531" s="1" t="n">
        <v>11</v>
      </c>
      <c r="J531" s="1" t="s">
        <v>1384</v>
      </c>
      <c r="K531" s="65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1387</v>
      </c>
      <c r="D532" s="1" t="s">
        <v>1386</v>
      </c>
      <c r="E532" s="15" t="n">
        <v>46230</v>
      </c>
      <c r="F532" s="15" t="n">
        <v>46227</v>
      </c>
      <c r="G532" s="1" t="s">
        <v>119</v>
      </c>
      <c r="H532" s="1" t="n">
        <v>1459398</v>
      </c>
      <c r="I532" s="1" t="n">
        <v>11</v>
      </c>
      <c r="J532" s="1" t="s">
        <v>1384</v>
      </c>
      <c r="K532" s="65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1451</v>
      </c>
      <c r="D533" s="1" t="s">
        <v>1452</v>
      </c>
      <c r="E533" s="15" t="n">
        <v>46230</v>
      </c>
      <c r="F533" s="15" t="n">
        <v>46228</v>
      </c>
      <c r="G533" s="1" t="s">
        <v>212</v>
      </c>
      <c r="H533" s="1" t="n">
        <v>1459299</v>
      </c>
      <c r="I533" s="1" t="n">
        <v>11</v>
      </c>
      <c r="J533" s="1" t="s">
        <v>1384</v>
      </c>
      <c r="K533" s="65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1390</v>
      </c>
      <c r="D534" s="1" t="s">
        <v>1519</v>
      </c>
      <c r="E534" s="15" t="n">
        <v>46230</v>
      </c>
      <c r="F534" s="15" t="n">
        <v>46229</v>
      </c>
      <c r="G534" s="1" t="s">
        <v>985</v>
      </c>
      <c r="H534" s="1" t="n">
        <v>1458366</v>
      </c>
      <c r="I534" s="1" t="n">
        <v>11</v>
      </c>
      <c r="J534" s="1" t="s">
        <v>1384</v>
      </c>
      <c r="K534" s="65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1388</v>
      </c>
      <c r="D535" s="1" t="s">
        <v>1389</v>
      </c>
      <c r="E535" s="15" t="n">
        <v>46230</v>
      </c>
      <c r="F535" s="15" t="n">
        <v>46228</v>
      </c>
      <c r="G535" s="1" t="s">
        <v>369</v>
      </c>
      <c r="H535" s="1" t="n">
        <v>1458280</v>
      </c>
      <c r="I535" s="1" t="n">
        <v>11</v>
      </c>
      <c r="J535" s="1" t="s">
        <v>1384</v>
      </c>
      <c r="K535" s="65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1390</v>
      </c>
      <c r="D536" s="1" t="s">
        <v>1514</v>
      </c>
      <c r="E536" s="15" t="n">
        <v>46230</v>
      </c>
      <c r="F536" s="15" t="n">
        <v>46228</v>
      </c>
      <c r="G536" s="1" t="s">
        <v>552</v>
      </c>
      <c r="H536" s="1" t="n">
        <v>1459315</v>
      </c>
      <c r="I536" s="1" t="n">
        <v>11</v>
      </c>
      <c r="J536" s="1" t="s">
        <v>1384</v>
      </c>
      <c r="K536" s="65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1390</v>
      </c>
      <c r="D537" s="1" t="s">
        <v>1408</v>
      </c>
      <c r="E537" s="15" t="n">
        <v>46230</v>
      </c>
      <c r="F537" s="15" t="n">
        <v>46230</v>
      </c>
      <c r="G537" s="1" t="s">
        <v>171</v>
      </c>
      <c r="H537" s="1" t="n">
        <v>1459556</v>
      </c>
      <c r="I537" s="1" t="n">
        <v>11</v>
      </c>
      <c r="J537" s="1" t="s">
        <v>1384</v>
      </c>
      <c r="K537" s="65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1390</v>
      </c>
      <c r="D538" s="1" t="s">
        <v>1391</v>
      </c>
      <c r="E538" s="15" t="n">
        <v>46230</v>
      </c>
      <c r="F538" s="15" t="n">
        <v>46228</v>
      </c>
      <c r="G538" s="1" t="s">
        <v>248</v>
      </c>
      <c r="H538" s="1" t="n">
        <v>1459647</v>
      </c>
      <c r="I538" s="1" t="n">
        <v>11</v>
      </c>
      <c r="J538" s="1" t="s">
        <v>1384</v>
      </c>
      <c r="K538" s="65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1390</v>
      </c>
      <c r="D539" s="1" t="s">
        <v>1400</v>
      </c>
      <c r="E539" s="15" t="n">
        <v>46230</v>
      </c>
      <c r="F539" s="15" t="n">
        <v>46230</v>
      </c>
      <c r="G539" s="1" t="s">
        <v>132</v>
      </c>
      <c r="H539" s="1" t="n">
        <v>1459242</v>
      </c>
      <c r="I539" s="1" t="n">
        <v>6</v>
      </c>
      <c r="J539" s="1" t="s">
        <v>1384</v>
      </c>
      <c r="K539" s="65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1390</v>
      </c>
      <c r="D540" s="1" t="s">
        <v>1405</v>
      </c>
      <c r="E540" s="15" t="n">
        <v>46230</v>
      </c>
      <c r="F540" s="15" t="n">
        <v>46228</v>
      </c>
      <c r="G540" s="1" t="s">
        <v>128</v>
      </c>
      <c r="H540" s="1" t="n">
        <v>1458277</v>
      </c>
      <c r="I540" s="1" t="n">
        <v>11</v>
      </c>
      <c r="J540" s="1" t="s">
        <v>1384</v>
      </c>
      <c r="K540" s="65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1390</v>
      </c>
      <c r="D541" s="1" t="s">
        <v>1394</v>
      </c>
      <c r="E541" s="15" t="n">
        <v>46230</v>
      </c>
      <c r="F541" s="15" t="n">
        <v>46230</v>
      </c>
      <c r="G541" s="1" t="s">
        <v>266</v>
      </c>
      <c r="H541" s="1" t="n">
        <v>1459253</v>
      </c>
      <c r="I541" s="1" t="n">
        <v>11</v>
      </c>
      <c r="J541" s="1" t="s">
        <v>1384</v>
      </c>
      <c r="K541" s="65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1390</v>
      </c>
      <c r="D542" s="1" t="s">
        <v>1397</v>
      </c>
      <c r="E542" s="15" t="n">
        <v>46231</v>
      </c>
      <c r="F542" s="15" t="n">
        <v>46230</v>
      </c>
      <c r="G542" s="1" t="s">
        <v>210</v>
      </c>
      <c r="H542" s="1" t="n">
        <v>1464435</v>
      </c>
      <c r="I542" s="1" t="n">
        <v>11</v>
      </c>
      <c r="J542" s="1" t="s">
        <v>1384</v>
      </c>
      <c r="K542" s="65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1390</v>
      </c>
      <c r="D543" s="1" t="s">
        <v>1403</v>
      </c>
      <c r="E543" s="15" t="n">
        <v>46231</v>
      </c>
      <c r="F543" s="15" t="n">
        <v>46231</v>
      </c>
      <c r="G543" s="1" t="s">
        <v>332</v>
      </c>
      <c r="H543" s="1" t="n">
        <v>1464568</v>
      </c>
      <c r="I543" s="1" t="n">
        <v>11</v>
      </c>
      <c r="J543" s="1" t="s">
        <v>1384</v>
      </c>
      <c r="K543" s="65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1388</v>
      </c>
      <c r="D544" s="1" t="s">
        <v>1389</v>
      </c>
      <c r="E544" s="15" t="n">
        <v>46231</v>
      </c>
      <c r="F544" s="15" t="n">
        <v>46230</v>
      </c>
      <c r="G544" s="1" t="s">
        <v>369</v>
      </c>
      <c r="H544" s="1" t="n">
        <v>1464416</v>
      </c>
      <c r="I544" s="1" t="n">
        <v>11</v>
      </c>
      <c r="J544" s="1" t="s">
        <v>1384</v>
      </c>
      <c r="K544" s="65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1390</v>
      </c>
      <c r="D545" s="1" t="s">
        <v>1400</v>
      </c>
      <c r="E545" s="15" t="n">
        <v>46231</v>
      </c>
      <c r="F545" s="15" t="n">
        <v>46231</v>
      </c>
      <c r="G545" s="1" t="s">
        <v>132</v>
      </c>
      <c r="H545" s="1" t="n">
        <v>1465066</v>
      </c>
      <c r="I545" s="1" t="n">
        <v>6</v>
      </c>
      <c r="J545" s="1" t="s">
        <v>1384</v>
      </c>
      <c r="K545" s="65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1390</v>
      </c>
      <c r="D546" s="1" t="s">
        <v>1401</v>
      </c>
      <c r="E546" s="15" t="n">
        <v>46231</v>
      </c>
      <c r="F546" s="15" t="n">
        <v>46230</v>
      </c>
      <c r="G546" s="1" t="s">
        <v>92</v>
      </c>
      <c r="H546" s="1" t="n">
        <v>1464442</v>
      </c>
      <c r="I546" s="1" t="n">
        <v>11</v>
      </c>
      <c r="J546" s="1" t="s">
        <v>1384</v>
      </c>
      <c r="K546" s="65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1390</v>
      </c>
      <c r="D547" s="1" t="s">
        <v>1393</v>
      </c>
      <c r="E547" s="15" t="n">
        <v>46231</v>
      </c>
      <c r="F547" s="15" t="n">
        <v>46230</v>
      </c>
      <c r="G547" s="1" t="s">
        <v>188</v>
      </c>
      <c r="H547" s="1" t="n">
        <v>1464429</v>
      </c>
      <c r="I547" s="1" t="n">
        <v>11</v>
      </c>
      <c r="J547" s="1" t="s">
        <v>1384</v>
      </c>
      <c r="K547" s="65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1447</v>
      </c>
      <c r="D548" s="1" t="s">
        <v>1402</v>
      </c>
      <c r="E548" s="15" t="n">
        <v>46232</v>
      </c>
      <c r="F548" s="15" t="n">
        <v>46231</v>
      </c>
      <c r="G548" s="1" t="s">
        <v>117</v>
      </c>
      <c r="H548" s="1" t="n">
        <v>1469131</v>
      </c>
      <c r="I548" s="1" t="n">
        <v>11</v>
      </c>
      <c r="J548" s="1" t="s">
        <v>1384</v>
      </c>
      <c r="K548" s="65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1388</v>
      </c>
      <c r="D549" s="1" t="s">
        <v>1389</v>
      </c>
      <c r="E549" s="15" t="n">
        <v>46232</v>
      </c>
      <c r="F549" s="15" t="n">
        <v>46232</v>
      </c>
      <c r="G549" s="1" t="s">
        <v>369</v>
      </c>
      <c r="H549" s="1" t="n">
        <v>1469138</v>
      </c>
      <c r="I549" s="1" t="n">
        <v>11</v>
      </c>
      <c r="J549" s="1" t="s">
        <v>1384</v>
      </c>
      <c r="K549" s="65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1390</v>
      </c>
      <c r="D550" s="1" t="s">
        <v>1520</v>
      </c>
      <c r="E550" s="15" t="n">
        <v>46232</v>
      </c>
      <c r="F550" s="15" t="n">
        <v>46231</v>
      </c>
      <c r="G550" s="1" t="s">
        <v>935</v>
      </c>
      <c r="H550" s="1" t="n">
        <v>1468983</v>
      </c>
      <c r="I550" s="1" t="n">
        <v>11</v>
      </c>
      <c r="J550" s="1" t="s">
        <v>1384</v>
      </c>
      <c r="K550" s="65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1390</v>
      </c>
      <c r="D551" s="1" t="s">
        <v>1521</v>
      </c>
      <c r="E551" s="15" t="n">
        <v>46232</v>
      </c>
      <c r="F551" s="15" t="n">
        <v>46231</v>
      </c>
      <c r="G551" s="1" t="s">
        <v>1026</v>
      </c>
      <c r="H551" s="1" t="n">
        <v>1468972</v>
      </c>
      <c r="I551" s="1" t="n">
        <v>11</v>
      </c>
      <c r="J551" s="1" t="s">
        <v>1384</v>
      </c>
      <c r="K551" s="65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1390</v>
      </c>
      <c r="D552" s="1" t="s">
        <v>1395</v>
      </c>
      <c r="E552" s="15" t="n">
        <v>46233</v>
      </c>
      <c r="F552" s="15" t="n">
        <v>46232</v>
      </c>
      <c r="G552" s="1" t="s">
        <v>130</v>
      </c>
      <c r="H552" s="1" t="n">
        <v>1472573</v>
      </c>
      <c r="I552" s="1" t="n">
        <v>11</v>
      </c>
      <c r="J552" s="1" t="s">
        <v>1384</v>
      </c>
      <c r="K552" s="65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1390</v>
      </c>
      <c r="D553" s="1" t="s">
        <v>1396</v>
      </c>
      <c r="E553" s="15" t="n">
        <v>46233</v>
      </c>
      <c r="F553" s="15" t="n">
        <v>46232</v>
      </c>
      <c r="G553" s="1" t="s">
        <v>220</v>
      </c>
      <c r="H553" s="1" t="n">
        <v>1473968</v>
      </c>
      <c r="I553" s="1" t="n">
        <v>11</v>
      </c>
      <c r="J553" s="1" t="s">
        <v>1384</v>
      </c>
      <c r="K553" s="65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1390</v>
      </c>
      <c r="D554" s="1" t="s">
        <v>1406</v>
      </c>
      <c r="E554" s="15" t="n">
        <v>46233</v>
      </c>
      <c r="F554" s="15" t="n">
        <v>46233</v>
      </c>
      <c r="G554" s="1" t="s">
        <v>179</v>
      </c>
      <c r="H554" s="1" t="n">
        <v>1472934</v>
      </c>
      <c r="I554" s="1" t="n">
        <v>11</v>
      </c>
      <c r="J554" s="1" t="s">
        <v>1384</v>
      </c>
      <c r="K554" s="65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1390</v>
      </c>
      <c r="D555" s="1" t="s">
        <v>1409</v>
      </c>
      <c r="E555" s="15" t="n">
        <v>46233</v>
      </c>
      <c r="F555" s="15" t="n">
        <v>46233</v>
      </c>
      <c r="G555" s="1" t="s">
        <v>90</v>
      </c>
      <c r="H555" s="1" t="n">
        <v>1472907</v>
      </c>
      <c r="I555" s="1" t="n">
        <v>11</v>
      </c>
      <c r="J555" s="1" t="s">
        <v>1384</v>
      </c>
      <c r="K555" s="65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1390</v>
      </c>
      <c r="D556" s="1" t="s">
        <v>1425</v>
      </c>
      <c r="E556" s="15" t="n">
        <v>46233</v>
      </c>
      <c r="F556" s="15" t="n">
        <v>46233</v>
      </c>
      <c r="G556" s="1" t="s">
        <v>320</v>
      </c>
      <c r="H556" s="1" t="n">
        <v>1473869</v>
      </c>
      <c r="I556" s="1" t="n">
        <v>11</v>
      </c>
      <c r="J556" s="1" t="s">
        <v>1384</v>
      </c>
      <c r="K556" s="65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1390</v>
      </c>
      <c r="D557" s="1" t="s">
        <v>1391</v>
      </c>
      <c r="E557" s="15" t="n">
        <v>46233</v>
      </c>
      <c r="F557" s="15" t="n">
        <v>46232</v>
      </c>
      <c r="G557" s="1" t="s">
        <v>248</v>
      </c>
      <c r="H557" s="1" t="n">
        <v>1472744</v>
      </c>
      <c r="I557" s="1" t="n">
        <v>11</v>
      </c>
      <c r="J557" s="1" t="s">
        <v>1384</v>
      </c>
      <c r="K557" s="65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1390</v>
      </c>
      <c r="D558" s="1" t="s">
        <v>1400</v>
      </c>
      <c r="E558" s="15" t="n">
        <v>46233</v>
      </c>
      <c r="F558" s="15" t="n">
        <v>46233</v>
      </c>
      <c r="G558" s="1" t="s">
        <v>132</v>
      </c>
      <c r="H558" s="1" t="n">
        <v>1473455</v>
      </c>
      <c r="I558" s="1" t="n">
        <v>6</v>
      </c>
      <c r="J558" s="1" t="s">
        <v>1384</v>
      </c>
      <c r="K558" s="65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1390</v>
      </c>
      <c r="D559" s="1" t="s">
        <v>1400</v>
      </c>
      <c r="E559" s="15" t="n">
        <v>46233</v>
      </c>
      <c r="F559" s="15" t="n">
        <v>46233</v>
      </c>
      <c r="G559" s="1" t="s">
        <v>132</v>
      </c>
      <c r="H559" s="1" t="n">
        <v>1473466</v>
      </c>
      <c r="I559" s="1" t="n">
        <v>6</v>
      </c>
      <c r="J559" s="1" t="s">
        <v>1384</v>
      </c>
      <c r="K559" s="65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1390</v>
      </c>
      <c r="D560" s="1" t="s">
        <v>1436</v>
      </c>
      <c r="E560" s="15" t="n">
        <v>46233</v>
      </c>
      <c r="F560" s="15" t="n">
        <v>46233</v>
      </c>
      <c r="G560" s="1" t="s">
        <v>410</v>
      </c>
      <c r="H560" s="1" t="n">
        <v>1473201</v>
      </c>
      <c r="I560" s="1" t="n">
        <v>11</v>
      </c>
      <c r="J560" s="1" t="s">
        <v>1384</v>
      </c>
      <c r="K560" s="65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1382</v>
      </c>
      <c r="D561" s="1" t="s">
        <v>1392</v>
      </c>
      <c r="E561" s="15" t="n">
        <v>46233</v>
      </c>
      <c r="F561" s="15" t="n">
        <v>46232</v>
      </c>
      <c r="G561" s="1" t="s">
        <v>194</v>
      </c>
      <c r="H561" s="1" t="n">
        <v>1472600</v>
      </c>
      <c r="I561" s="1" t="n">
        <v>11</v>
      </c>
      <c r="J561" s="1" t="s">
        <v>1384</v>
      </c>
      <c r="K561" s="65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1390</v>
      </c>
      <c r="D562" s="1" t="s">
        <v>1439</v>
      </c>
      <c r="E562" s="15" t="n">
        <v>46233</v>
      </c>
      <c r="F562" s="15" t="n">
        <v>46232</v>
      </c>
      <c r="G562" s="1" t="s">
        <v>489</v>
      </c>
      <c r="H562" s="1" t="n">
        <v>1473497</v>
      </c>
      <c r="I562" s="1" t="n">
        <v>11</v>
      </c>
      <c r="J562" s="1" t="s">
        <v>1384</v>
      </c>
      <c r="K562" s="65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1385</v>
      </c>
      <c r="D563" s="1" t="s">
        <v>1386</v>
      </c>
      <c r="E563" s="15" t="n">
        <v>46234</v>
      </c>
      <c r="F563" s="15" t="n">
        <v>46233</v>
      </c>
      <c r="G563" s="1" t="s">
        <v>119</v>
      </c>
      <c r="H563" s="1" t="n">
        <v>1478084</v>
      </c>
      <c r="I563" s="1" t="n">
        <v>11</v>
      </c>
      <c r="J563" s="1" t="s">
        <v>1384</v>
      </c>
      <c r="K563" s="65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1385</v>
      </c>
      <c r="D564" s="1" t="s">
        <v>1386</v>
      </c>
      <c r="E564" s="15" t="n">
        <v>46234</v>
      </c>
      <c r="F564" s="15" t="n">
        <v>46233</v>
      </c>
      <c r="G564" s="1" t="s">
        <v>119</v>
      </c>
      <c r="H564" s="1" t="n">
        <v>1478164</v>
      </c>
      <c r="I564" s="1" t="n">
        <v>11</v>
      </c>
      <c r="J564" s="1" t="s">
        <v>1384</v>
      </c>
      <c r="K564" s="65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1387</v>
      </c>
      <c r="D565" s="1" t="s">
        <v>1386</v>
      </c>
      <c r="E565" s="15" t="n">
        <v>46234</v>
      </c>
      <c r="F565" s="15" t="n">
        <v>46233</v>
      </c>
      <c r="G565" s="1" t="s">
        <v>119</v>
      </c>
      <c r="H565" s="1" t="n">
        <v>1478177</v>
      </c>
      <c r="I565" s="1" t="n">
        <v>11</v>
      </c>
      <c r="J565" s="1" t="s">
        <v>1384</v>
      </c>
      <c r="K565" s="65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1387</v>
      </c>
      <c r="D566" s="1" t="s">
        <v>1386</v>
      </c>
      <c r="E566" s="15" t="n">
        <v>46234</v>
      </c>
      <c r="F566" s="15" t="n">
        <v>46233</v>
      </c>
      <c r="G566" s="1" t="s">
        <v>119</v>
      </c>
      <c r="H566" s="1" t="n">
        <v>1477931</v>
      </c>
      <c r="I566" s="1" t="n">
        <v>11</v>
      </c>
      <c r="J566" s="1" t="s">
        <v>1384</v>
      </c>
      <c r="K566" s="65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1387</v>
      </c>
      <c r="D567" s="1" t="s">
        <v>1386</v>
      </c>
      <c r="E567" s="15" t="n">
        <v>46234</v>
      </c>
      <c r="F567" s="15" t="n">
        <v>46233</v>
      </c>
      <c r="G567" s="1" t="s">
        <v>119</v>
      </c>
      <c r="H567" s="1" t="n">
        <v>1477980</v>
      </c>
      <c r="I567" s="1" t="n">
        <v>11</v>
      </c>
      <c r="J567" s="1" t="s">
        <v>1384</v>
      </c>
      <c r="K567" s="65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1390</v>
      </c>
      <c r="D568" s="1" t="s">
        <v>1441</v>
      </c>
      <c r="E568" s="15" t="n">
        <v>46234</v>
      </c>
      <c r="F568" s="15" t="n">
        <v>46234</v>
      </c>
      <c r="G568" s="1" t="s">
        <v>94</v>
      </c>
      <c r="H568" s="1" t="n">
        <v>1478618</v>
      </c>
      <c r="I568" s="1" t="n">
        <v>11</v>
      </c>
      <c r="J568" s="1" t="s">
        <v>1384</v>
      </c>
      <c r="K568" s="65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1390</v>
      </c>
      <c r="D569" s="1" t="s">
        <v>1397</v>
      </c>
      <c r="E569" s="15" t="n">
        <v>46234</v>
      </c>
      <c r="F569" s="15" t="n">
        <v>46223</v>
      </c>
      <c r="G569" s="1" t="s">
        <v>210</v>
      </c>
      <c r="H569" s="1" t="n">
        <v>1478208</v>
      </c>
      <c r="I569" s="1" t="n">
        <v>11</v>
      </c>
      <c r="J569" s="1" t="s">
        <v>1384</v>
      </c>
      <c r="K569" s="65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1451</v>
      </c>
      <c r="D570" s="1" t="s">
        <v>1452</v>
      </c>
      <c r="E570" s="15" t="n">
        <v>46234</v>
      </c>
      <c r="F570" s="15" t="n">
        <v>46233</v>
      </c>
      <c r="G570" s="1" t="s">
        <v>212</v>
      </c>
      <c r="H570" s="1" t="n">
        <v>1478268</v>
      </c>
      <c r="I570" s="1" t="n">
        <v>11</v>
      </c>
      <c r="J570" s="1" t="s">
        <v>1384</v>
      </c>
      <c r="K570" s="65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1390</v>
      </c>
      <c r="D571" s="1" t="s">
        <v>1398</v>
      </c>
      <c r="E571" s="15" t="n">
        <v>46234</v>
      </c>
      <c r="F571" s="15" t="n">
        <v>46233</v>
      </c>
      <c r="G571" s="1" t="s">
        <v>201</v>
      </c>
      <c r="H571" s="1" t="n">
        <v>1477784</v>
      </c>
      <c r="I571" s="1" t="n">
        <v>11</v>
      </c>
      <c r="J571" s="1" t="s">
        <v>1384</v>
      </c>
      <c r="K571" s="65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1388</v>
      </c>
      <c r="D572" s="1" t="s">
        <v>1389</v>
      </c>
      <c r="E572" s="15" t="n">
        <v>46234</v>
      </c>
      <c r="F572" s="15" t="n">
        <v>46234</v>
      </c>
      <c r="G572" s="1" t="s">
        <v>369</v>
      </c>
      <c r="H572" s="1" t="n">
        <v>1478657</v>
      </c>
      <c r="I572" s="1" t="n">
        <v>11</v>
      </c>
      <c r="J572" s="1" t="s">
        <v>1384</v>
      </c>
      <c r="K572" s="65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1390</v>
      </c>
      <c r="D573" s="1" t="s">
        <v>1514</v>
      </c>
      <c r="E573" s="15" t="n">
        <v>46234</v>
      </c>
      <c r="F573" s="15" t="n">
        <v>46234</v>
      </c>
      <c r="G573" s="1" t="s">
        <v>552</v>
      </c>
      <c r="H573" s="1" t="n">
        <v>1482223</v>
      </c>
      <c r="I573" s="1" t="n">
        <v>11</v>
      </c>
      <c r="J573" s="1" t="s">
        <v>1384</v>
      </c>
      <c r="K573" s="65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1390</v>
      </c>
      <c r="D574" s="1" t="s">
        <v>1417</v>
      </c>
      <c r="E574" s="15" t="n">
        <v>46234</v>
      </c>
      <c r="F574" s="15" t="n">
        <v>46234</v>
      </c>
      <c r="G574" s="1" t="s">
        <v>96</v>
      </c>
      <c r="H574" s="1" t="n">
        <v>1477858</v>
      </c>
      <c r="I574" s="1" t="n">
        <v>11</v>
      </c>
      <c r="J574" s="1" t="s">
        <v>1384</v>
      </c>
      <c r="K574" s="65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1390</v>
      </c>
      <c r="D575" s="1" t="s">
        <v>1404</v>
      </c>
      <c r="E575" s="15" t="n">
        <v>46234</v>
      </c>
      <c r="F575" s="15" t="n">
        <v>46232</v>
      </c>
      <c r="G575" s="1" t="s">
        <v>126</v>
      </c>
      <c r="H575" s="1" t="n">
        <v>1477699</v>
      </c>
      <c r="I575" s="1" t="n">
        <v>11</v>
      </c>
      <c r="J575" s="1" t="s">
        <v>1384</v>
      </c>
      <c r="K575" s="65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1390</v>
      </c>
      <c r="D576" s="1" t="s">
        <v>1400</v>
      </c>
      <c r="E576" s="15" t="n">
        <v>46234</v>
      </c>
      <c r="F576" s="15" t="n">
        <v>46234</v>
      </c>
      <c r="G576" s="1" t="s">
        <v>132</v>
      </c>
      <c r="H576" s="1" t="n">
        <v>1479031</v>
      </c>
      <c r="I576" s="1" t="n">
        <v>6</v>
      </c>
      <c r="J576" s="1" t="s">
        <v>1384</v>
      </c>
      <c r="K576" s="65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1390</v>
      </c>
      <c r="D577" s="1" t="s">
        <v>1395</v>
      </c>
      <c r="E577" s="15" t="n">
        <v>46235</v>
      </c>
      <c r="F577" s="15" t="n">
        <v>46234</v>
      </c>
      <c r="G577" s="1" t="s">
        <v>130</v>
      </c>
      <c r="H577" s="1" t="n">
        <v>1481847</v>
      </c>
      <c r="I577" s="1" t="n">
        <v>11</v>
      </c>
      <c r="J577" s="1" t="s">
        <v>1384</v>
      </c>
      <c r="K577" s="65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1390</v>
      </c>
      <c r="D578" s="1" t="s">
        <v>1403</v>
      </c>
      <c r="E578" s="15" t="n">
        <v>46235</v>
      </c>
      <c r="F578" s="15" t="n">
        <v>46234</v>
      </c>
      <c r="G578" s="1" t="s">
        <v>332</v>
      </c>
      <c r="H578" s="1" t="n">
        <v>1481937</v>
      </c>
      <c r="I578" s="1" t="n">
        <v>11</v>
      </c>
      <c r="J578" s="1" t="s">
        <v>1384</v>
      </c>
      <c r="K578" s="65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1447</v>
      </c>
      <c r="D579" s="1" t="s">
        <v>1448</v>
      </c>
      <c r="E579" s="15" t="n">
        <v>46235</v>
      </c>
      <c r="F579" s="15" t="n">
        <v>46234</v>
      </c>
      <c r="G579" s="1" t="s">
        <v>512</v>
      </c>
      <c r="H579" s="1" t="n">
        <v>1482072</v>
      </c>
      <c r="I579" s="1" t="n">
        <v>11</v>
      </c>
      <c r="J579" s="1" t="s">
        <v>1384</v>
      </c>
      <c r="K579" s="65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1382</v>
      </c>
      <c r="D580" s="1" t="s">
        <v>1392</v>
      </c>
      <c r="E580" s="15" t="n">
        <v>46235</v>
      </c>
      <c r="F580" s="15" t="n">
        <v>46234</v>
      </c>
      <c r="G580" s="1" t="s">
        <v>194</v>
      </c>
      <c r="H580" s="1" t="n">
        <v>1481872</v>
      </c>
      <c r="I580" s="1" t="n">
        <v>11</v>
      </c>
      <c r="J580" s="1" t="s">
        <v>1384</v>
      </c>
      <c r="K580" s="65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1431</v>
      </c>
      <c r="D581" s="1" t="s">
        <v>1432</v>
      </c>
      <c r="E581" s="15" t="n">
        <v>46237</v>
      </c>
      <c r="F581" s="15" t="n">
        <v>46235</v>
      </c>
      <c r="G581" s="1" t="s">
        <v>351</v>
      </c>
      <c r="H581" s="1" t="n">
        <v>1493332</v>
      </c>
      <c r="I581" s="1" t="n">
        <v>11</v>
      </c>
      <c r="J581" s="1" t="s">
        <v>1384</v>
      </c>
      <c r="K581" s="65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1388</v>
      </c>
      <c r="D582" s="1" t="s">
        <v>1389</v>
      </c>
      <c r="E582" s="15" t="n">
        <v>46237</v>
      </c>
      <c r="F582" s="15" t="n">
        <v>46235</v>
      </c>
      <c r="G582" s="1" t="s">
        <v>369</v>
      </c>
      <c r="H582" s="1" t="n">
        <v>1493056</v>
      </c>
      <c r="I582" s="1" t="n">
        <v>11</v>
      </c>
      <c r="J582" s="1" t="s">
        <v>1384</v>
      </c>
      <c r="K582" s="65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1390</v>
      </c>
      <c r="D583" s="1" t="s">
        <v>1407</v>
      </c>
      <c r="E583" s="15" t="n">
        <v>46237</v>
      </c>
      <c r="F583" s="15" t="n">
        <v>46234</v>
      </c>
      <c r="G583" s="1" t="s">
        <v>82</v>
      </c>
      <c r="H583" s="1" t="n">
        <v>1495108</v>
      </c>
      <c r="I583" s="1" t="n">
        <v>11</v>
      </c>
      <c r="J583" s="1" t="s">
        <v>1384</v>
      </c>
      <c r="K583" s="65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1390</v>
      </c>
      <c r="D584" s="1" t="s">
        <v>1411</v>
      </c>
      <c r="E584" s="15" t="n">
        <v>46237</v>
      </c>
      <c r="F584" s="15" t="n">
        <v>46234</v>
      </c>
      <c r="G584" s="1" t="s">
        <v>164</v>
      </c>
      <c r="H584" s="1" t="n">
        <v>1493100</v>
      </c>
      <c r="I584" s="1" t="n">
        <v>11</v>
      </c>
      <c r="J584" s="1" t="s">
        <v>1384</v>
      </c>
      <c r="K584" s="65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1390</v>
      </c>
      <c r="D585" s="1" t="s">
        <v>1400</v>
      </c>
      <c r="E585" s="15" t="n">
        <v>46237</v>
      </c>
      <c r="F585" s="15" t="n">
        <v>46237</v>
      </c>
      <c r="G585" s="1" t="s">
        <v>132</v>
      </c>
      <c r="H585" s="1" t="n">
        <v>1493407</v>
      </c>
      <c r="I585" s="1" t="n">
        <v>6</v>
      </c>
      <c r="J585" s="1" t="s">
        <v>1384</v>
      </c>
      <c r="K585" s="65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1390</v>
      </c>
      <c r="D586" s="1" t="s">
        <v>1400</v>
      </c>
      <c r="E586" s="15" t="n">
        <v>46237</v>
      </c>
      <c r="F586" s="15" t="n">
        <v>46237</v>
      </c>
      <c r="G586" s="1" t="s">
        <v>132</v>
      </c>
      <c r="H586" s="1" t="n">
        <v>1493427</v>
      </c>
      <c r="I586" s="1" t="n">
        <v>6</v>
      </c>
      <c r="J586" s="1" t="s">
        <v>1384</v>
      </c>
      <c r="K586" s="65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1390</v>
      </c>
      <c r="D587" s="1" t="s">
        <v>1405</v>
      </c>
      <c r="E587" s="15" t="n">
        <v>46237</v>
      </c>
      <c r="F587" s="15" t="n">
        <v>46235</v>
      </c>
      <c r="G587" s="1" t="s">
        <v>128</v>
      </c>
      <c r="H587" s="1" t="n">
        <v>1495002</v>
      </c>
      <c r="I587" s="1" t="n">
        <v>11</v>
      </c>
      <c r="J587" s="1" t="s">
        <v>1384</v>
      </c>
      <c r="K587" s="65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1390</v>
      </c>
      <c r="D588" s="1" t="s">
        <v>1395</v>
      </c>
      <c r="E588" s="15" t="n">
        <v>46238</v>
      </c>
      <c r="F588" s="15" t="n">
        <v>46237</v>
      </c>
      <c r="G588" s="1" t="s">
        <v>130</v>
      </c>
      <c r="H588" s="1" t="n">
        <v>1499197</v>
      </c>
      <c r="I588" s="1" t="n">
        <v>11</v>
      </c>
      <c r="J588" s="1" t="s">
        <v>1384</v>
      </c>
      <c r="K588" s="65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1388</v>
      </c>
      <c r="D589" s="1" t="s">
        <v>1389</v>
      </c>
      <c r="E589" s="15" t="n">
        <v>46238</v>
      </c>
      <c r="F589" s="15" t="n">
        <v>46237</v>
      </c>
      <c r="G589" s="1" t="s">
        <v>369</v>
      </c>
      <c r="H589" s="1" t="n">
        <v>1498975</v>
      </c>
      <c r="I589" s="1" t="n">
        <v>11</v>
      </c>
      <c r="J589" s="1" t="s">
        <v>1384</v>
      </c>
      <c r="K589" s="65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1390</v>
      </c>
      <c r="D590" s="1" t="s">
        <v>1400</v>
      </c>
      <c r="E590" s="15" t="n">
        <v>46238</v>
      </c>
      <c r="F590" s="15" t="n">
        <v>46238</v>
      </c>
      <c r="G590" s="1" t="s">
        <v>132</v>
      </c>
      <c r="H590" s="1" t="n">
        <v>1500211</v>
      </c>
      <c r="I590" s="1" t="n">
        <v>6</v>
      </c>
      <c r="J590" s="1" t="s">
        <v>1384</v>
      </c>
      <c r="K590" s="65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1390</v>
      </c>
      <c r="D591" s="1" t="s">
        <v>1401</v>
      </c>
      <c r="E591" s="15" t="n">
        <v>46238</v>
      </c>
      <c r="F591" s="15" t="n">
        <v>46237</v>
      </c>
      <c r="G591" s="1" t="s">
        <v>92</v>
      </c>
      <c r="H591" s="1" t="n">
        <v>1499869</v>
      </c>
      <c r="I591" s="1" t="n">
        <v>11</v>
      </c>
      <c r="J591" s="1" t="s">
        <v>1384</v>
      </c>
      <c r="K591" s="65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1390</v>
      </c>
      <c r="D592" s="1" t="s">
        <v>1482</v>
      </c>
      <c r="E592" s="15" t="n">
        <v>46239</v>
      </c>
      <c r="F592" s="15" t="n">
        <v>46234</v>
      </c>
      <c r="G592" s="1" t="s">
        <v>764</v>
      </c>
      <c r="H592" s="1" t="n">
        <v>1503877</v>
      </c>
      <c r="I592" s="1" t="n">
        <v>11</v>
      </c>
      <c r="J592" s="1" t="s">
        <v>1384</v>
      </c>
      <c r="K592" s="65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1390</v>
      </c>
      <c r="D593" s="1" t="s">
        <v>1482</v>
      </c>
      <c r="E593" s="15" t="n">
        <v>46239</v>
      </c>
      <c r="F593" s="15" t="n">
        <v>46234</v>
      </c>
      <c r="G593" s="1" t="s">
        <v>764</v>
      </c>
      <c r="H593" s="1" t="n">
        <v>1503892</v>
      </c>
      <c r="I593" s="1" t="n">
        <v>11</v>
      </c>
      <c r="J593" s="1" t="s">
        <v>1384</v>
      </c>
      <c r="K593" s="65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1390</v>
      </c>
      <c r="D594" s="1" t="s">
        <v>1482</v>
      </c>
      <c r="E594" s="15" t="n">
        <v>46239</v>
      </c>
      <c r="F594" s="15" t="n">
        <v>46234</v>
      </c>
      <c r="G594" s="1" t="s">
        <v>764</v>
      </c>
      <c r="H594" s="1" t="n">
        <v>1503915</v>
      </c>
      <c r="I594" s="1" t="n">
        <v>11</v>
      </c>
      <c r="J594" s="1" t="s">
        <v>1384</v>
      </c>
      <c r="K594" s="65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1390</v>
      </c>
      <c r="D595" s="1" t="s">
        <v>1403</v>
      </c>
      <c r="E595" s="15" t="n">
        <v>46239</v>
      </c>
      <c r="F595" s="15" t="n">
        <v>46238</v>
      </c>
      <c r="G595" s="1" t="s">
        <v>332</v>
      </c>
      <c r="H595" s="1" t="n">
        <v>1503570</v>
      </c>
      <c r="I595" s="1" t="n">
        <v>11</v>
      </c>
      <c r="J595" s="1" t="s">
        <v>1384</v>
      </c>
      <c r="K595" s="65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1451</v>
      </c>
      <c r="D596" s="1" t="s">
        <v>1452</v>
      </c>
      <c r="E596" s="15" t="n">
        <v>46239</v>
      </c>
      <c r="F596" s="15" t="n">
        <v>46238</v>
      </c>
      <c r="G596" s="1" t="s">
        <v>212</v>
      </c>
      <c r="H596" s="1" t="n">
        <v>1504545</v>
      </c>
      <c r="I596" s="1" t="n">
        <v>11</v>
      </c>
      <c r="J596" s="1" t="s">
        <v>1384</v>
      </c>
      <c r="K596" s="65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1382</v>
      </c>
      <c r="D597" s="1" t="s">
        <v>1414</v>
      </c>
      <c r="E597" s="15" t="n">
        <v>46239</v>
      </c>
      <c r="F597" s="15" t="n">
        <v>46238</v>
      </c>
      <c r="G597" s="1" t="s">
        <v>390</v>
      </c>
      <c r="H597" s="1" t="n">
        <v>1503388</v>
      </c>
      <c r="I597" s="1" t="n">
        <v>11</v>
      </c>
      <c r="J597" s="1" t="s">
        <v>1384</v>
      </c>
      <c r="K597" s="65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1390</v>
      </c>
      <c r="D598" s="1" t="s">
        <v>1514</v>
      </c>
      <c r="E598" s="15" t="n">
        <v>46239</v>
      </c>
      <c r="F598" s="15" t="n">
        <v>46239</v>
      </c>
      <c r="G598" s="1" t="s">
        <v>552</v>
      </c>
      <c r="H598" s="1" t="n">
        <v>1508121</v>
      </c>
      <c r="I598" s="1" t="n">
        <v>11</v>
      </c>
      <c r="J598" s="1" t="s">
        <v>1384</v>
      </c>
      <c r="K598" s="65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1390</v>
      </c>
      <c r="D599" s="1" t="s">
        <v>1408</v>
      </c>
      <c r="E599" s="15" t="n">
        <v>46239</v>
      </c>
      <c r="F599" s="15" t="n">
        <v>46238</v>
      </c>
      <c r="G599" s="1" t="s">
        <v>171</v>
      </c>
      <c r="H599" s="1" t="n">
        <v>1503424</v>
      </c>
      <c r="I599" s="1" t="n">
        <v>11</v>
      </c>
      <c r="J599" s="1" t="s">
        <v>1384</v>
      </c>
      <c r="K599" s="65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1390</v>
      </c>
      <c r="D600" s="1" t="s">
        <v>1522</v>
      </c>
      <c r="E600" s="15" t="n">
        <v>46239</v>
      </c>
      <c r="F600" s="15" t="n">
        <v>46239</v>
      </c>
      <c r="G600" s="1" t="s">
        <v>1073</v>
      </c>
      <c r="H600" s="1" t="n">
        <v>1504750</v>
      </c>
      <c r="I600" s="1" t="n">
        <v>11</v>
      </c>
      <c r="J600" s="1" t="s">
        <v>1384</v>
      </c>
      <c r="K600" s="65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1390</v>
      </c>
      <c r="D601" s="1" t="s">
        <v>1400</v>
      </c>
      <c r="E601" s="15" t="n">
        <v>46239</v>
      </c>
      <c r="F601" s="15" t="n">
        <v>46239</v>
      </c>
      <c r="G601" s="1" t="s">
        <v>132</v>
      </c>
      <c r="H601" s="1" t="n">
        <v>1503494</v>
      </c>
      <c r="I601" s="1" t="n">
        <v>6</v>
      </c>
      <c r="J601" s="1" t="s">
        <v>1384</v>
      </c>
      <c r="K601" s="65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1382</v>
      </c>
      <c r="D602" s="1" t="s">
        <v>1392</v>
      </c>
      <c r="E602" s="15" t="n">
        <v>46239</v>
      </c>
      <c r="F602" s="15" t="n">
        <v>46238</v>
      </c>
      <c r="G602" s="1" t="s">
        <v>194</v>
      </c>
      <c r="H602" s="1" t="n">
        <v>1503440</v>
      </c>
      <c r="I602" s="1" t="n">
        <v>11</v>
      </c>
      <c r="J602" s="1" t="s">
        <v>1384</v>
      </c>
      <c r="K602" s="65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1447</v>
      </c>
      <c r="D603" s="1" t="s">
        <v>1402</v>
      </c>
      <c r="E603" s="15" t="n">
        <v>46240</v>
      </c>
      <c r="F603" s="15" t="n">
        <v>46239</v>
      </c>
      <c r="G603" s="1" t="s">
        <v>117</v>
      </c>
      <c r="H603" s="1" t="n">
        <v>1508897</v>
      </c>
      <c r="I603" s="1" t="n">
        <v>11</v>
      </c>
      <c r="J603" s="1" t="s">
        <v>1384</v>
      </c>
      <c r="K603" s="65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1388</v>
      </c>
      <c r="D604" s="1" t="s">
        <v>1389</v>
      </c>
      <c r="E604" s="15" t="n">
        <v>46240</v>
      </c>
      <c r="F604" s="15" t="n">
        <v>46239</v>
      </c>
      <c r="G604" s="1" t="s">
        <v>369</v>
      </c>
      <c r="H604" s="1" t="n">
        <v>1508132</v>
      </c>
      <c r="I604" s="1" t="n">
        <v>11</v>
      </c>
      <c r="J604" s="1" t="s">
        <v>1384</v>
      </c>
      <c r="K604" s="65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1390</v>
      </c>
      <c r="D605" s="1" t="s">
        <v>1411</v>
      </c>
      <c r="E605" s="15" t="n">
        <v>46240</v>
      </c>
      <c r="F605" s="15" t="n">
        <v>46239</v>
      </c>
      <c r="G605" s="1" t="s">
        <v>164</v>
      </c>
      <c r="H605" s="1" t="n">
        <v>1508952</v>
      </c>
      <c r="I605" s="1" t="n">
        <v>11</v>
      </c>
      <c r="J605" s="1" t="s">
        <v>1384</v>
      </c>
      <c r="K605" s="65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1390</v>
      </c>
      <c r="D606" s="1" t="s">
        <v>1504</v>
      </c>
      <c r="E606" s="15" t="n">
        <v>46240</v>
      </c>
      <c r="F606" s="15" t="n">
        <v>46237</v>
      </c>
      <c r="G606" s="1" t="s">
        <v>725</v>
      </c>
      <c r="H606" s="1" t="n">
        <v>1508245</v>
      </c>
      <c r="I606" s="1" t="n">
        <v>11</v>
      </c>
      <c r="J606" s="1" t="s">
        <v>1384</v>
      </c>
      <c r="K606" s="65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1390</v>
      </c>
      <c r="D607" s="1" t="s">
        <v>1400</v>
      </c>
      <c r="E607" s="15" t="n">
        <v>46240</v>
      </c>
      <c r="F607" s="15" t="n">
        <v>46240</v>
      </c>
      <c r="G607" s="1" t="s">
        <v>132</v>
      </c>
      <c r="H607" s="1" t="n">
        <v>1509485</v>
      </c>
      <c r="I607" s="1" t="n">
        <v>6</v>
      </c>
      <c r="J607" s="1" t="s">
        <v>1384</v>
      </c>
      <c r="K607" s="65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1390</v>
      </c>
      <c r="D608" s="1" t="s">
        <v>1415</v>
      </c>
      <c r="E608" s="15" t="n">
        <v>46240</v>
      </c>
      <c r="F608" s="15" t="n">
        <v>46239</v>
      </c>
      <c r="G608" s="1" t="s">
        <v>388</v>
      </c>
      <c r="H608" s="1" t="n">
        <v>1508149</v>
      </c>
      <c r="I608" s="1" t="n">
        <v>11</v>
      </c>
      <c r="J608" s="1" t="s">
        <v>1384</v>
      </c>
      <c r="K608" s="65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1421</v>
      </c>
      <c r="D609" s="1" t="s">
        <v>1438</v>
      </c>
      <c r="E609" s="15" t="n">
        <v>46240</v>
      </c>
      <c r="F609" s="15" t="n">
        <v>46239</v>
      </c>
      <c r="G609" s="1" t="s">
        <v>412</v>
      </c>
      <c r="H609" s="1" t="n">
        <v>1509755</v>
      </c>
      <c r="I609" s="1" t="n">
        <v>11</v>
      </c>
      <c r="J609" s="1" t="s">
        <v>1384</v>
      </c>
      <c r="K609" s="65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1390</v>
      </c>
      <c r="D610" s="1" t="s">
        <v>1393</v>
      </c>
      <c r="E610" s="15" t="n">
        <v>46240</v>
      </c>
      <c r="F610" s="15" t="n">
        <v>46240</v>
      </c>
      <c r="G610" s="1" t="s">
        <v>188</v>
      </c>
      <c r="H610" s="1" t="n">
        <v>1551459</v>
      </c>
      <c r="I610" s="1" t="n">
        <v>11</v>
      </c>
      <c r="J610" s="1" t="s">
        <v>1384</v>
      </c>
      <c r="K610" s="65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1390</v>
      </c>
      <c r="D611" s="1" t="s">
        <v>1396</v>
      </c>
      <c r="E611" s="15" t="n">
        <v>46241</v>
      </c>
      <c r="F611" s="15" t="n">
        <v>46239</v>
      </c>
      <c r="G611" s="1" t="s">
        <v>220</v>
      </c>
      <c r="H611" s="1" t="n">
        <v>1513508</v>
      </c>
      <c r="I611" s="1" t="n">
        <v>11</v>
      </c>
      <c r="J611" s="1" t="s">
        <v>1384</v>
      </c>
      <c r="K611" s="65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1385</v>
      </c>
      <c r="D612" s="1" t="s">
        <v>1386</v>
      </c>
      <c r="E612" s="15" t="n">
        <v>46241</v>
      </c>
      <c r="F612" s="15" t="n">
        <v>46239</v>
      </c>
      <c r="G612" s="1" t="s">
        <v>119</v>
      </c>
      <c r="H612" s="1" t="n">
        <v>1514077</v>
      </c>
      <c r="I612" s="1" t="n">
        <v>11</v>
      </c>
      <c r="J612" s="1" t="s">
        <v>1384</v>
      </c>
      <c r="K612" s="65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1385</v>
      </c>
      <c r="D613" s="1" t="s">
        <v>1386</v>
      </c>
      <c r="E613" s="15" t="n">
        <v>46241</v>
      </c>
      <c r="F613" s="15" t="n">
        <v>46239</v>
      </c>
      <c r="G613" s="1" t="s">
        <v>119</v>
      </c>
      <c r="H613" s="1" t="n">
        <v>1514090</v>
      </c>
      <c r="I613" s="1" t="n">
        <v>11</v>
      </c>
      <c r="J613" s="1" t="s">
        <v>1384</v>
      </c>
      <c r="K613" s="65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1385</v>
      </c>
      <c r="D614" s="1" t="s">
        <v>1386</v>
      </c>
      <c r="E614" s="15" t="n">
        <v>46241</v>
      </c>
      <c r="F614" s="15" t="n">
        <v>46239</v>
      </c>
      <c r="G614" s="1" t="s">
        <v>119</v>
      </c>
      <c r="H614" s="1" t="n">
        <v>1514069</v>
      </c>
      <c r="I614" s="1" t="n">
        <v>11</v>
      </c>
      <c r="J614" s="1" t="s">
        <v>1384</v>
      </c>
      <c r="K614" s="65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1385</v>
      </c>
      <c r="D615" s="1" t="s">
        <v>1386</v>
      </c>
      <c r="E615" s="15" t="n">
        <v>46241</v>
      </c>
      <c r="F615" s="15" t="n">
        <v>46239</v>
      </c>
      <c r="G615" s="1" t="s">
        <v>119</v>
      </c>
      <c r="H615" s="1" t="n">
        <v>1514096</v>
      </c>
      <c r="I615" s="1" t="n">
        <v>11</v>
      </c>
      <c r="J615" s="1" t="s">
        <v>1384</v>
      </c>
      <c r="K615" s="65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1387</v>
      </c>
      <c r="D616" s="1" t="s">
        <v>1386</v>
      </c>
      <c r="E616" s="15" t="n">
        <v>46241</v>
      </c>
      <c r="F616" s="15" t="n">
        <v>46239</v>
      </c>
      <c r="G616" s="1" t="s">
        <v>119</v>
      </c>
      <c r="H616" s="1" t="n">
        <v>1514074</v>
      </c>
      <c r="I616" s="1" t="n">
        <v>11</v>
      </c>
      <c r="J616" s="1" t="s">
        <v>1384</v>
      </c>
      <c r="K616" s="65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1387</v>
      </c>
      <c r="D617" s="1" t="s">
        <v>1386</v>
      </c>
      <c r="E617" s="15" t="n">
        <v>46241</v>
      </c>
      <c r="F617" s="15" t="n">
        <v>46239</v>
      </c>
      <c r="G617" s="1" t="s">
        <v>119</v>
      </c>
      <c r="H617" s="1" t="n">
        <v>1514085</v>
      </c>
      <c r="I617" s="1" t="n">
        <v>11</v>
      </c>
      <c r="J617" s="1" t="s">
        <v>1384</v>
      </c>
      <c r="K617" s="65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1390</v>
      </c>
      <c r="D618" s="1" t="s">
        <v>1441</v>
      </c>
      <c r="E618" s="15" t="n">
        <v>46241</v>
      </c>
      <c r="F618" s="15" t="n">
        <v>46241</v>
      </c>
      <c r="G618" s="1" t="s">
        <v>94</v>
      </c>
      <c r="H618" s="1" t="n">
        <v>1513480</v>
      </c>
      <c r="I618" s="1" t="n">
        <v>11</v>
      </c>
      <c r="J618" s="1" t="s">
        <v>1384</v>
      </c>
      <c r="K618" s="65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1390</v>
      </c>
      <c r="D619" s="1" t="s">
        <v>1397</v>
      </c>
      <c r="E619" s="15" t="n">
        <v>46241</v>
      </c>
      <c r="F619" s="15" t="n">
        <v>46240</v>
      </c>
      <c r="G619" s="1" t="s">
        <v>210</v>
      </c>
      <c r="H619" s="1" t="n">
        <v>1513229</v>
      </c>
      <c r="I619" s="1" t="n">
        <v>11</v>
      </c>
      <c r="J619" s="1" t="s">
        <v>1384</v>
      </c>
      <c r="K619" s="65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1390</v>
      </c>
      <c r="D620" s="1" t="s">
        <v>1487</v>
      </c>
      <c r="E620" s="15" t="n">
        <v>46241</v>
      </c>
      <c r="F620" s="15" t="n">
        <v>46240</v>
      </c>
      <c r="G620" s="1" t="s">
        <v>305</v>
      </c>
      <c r="H620" s="1" t="n">
        <v>1514338</v>
      </c>
      <c r="I620" s="1" t="n">
        <v>11</v>
      </c>
      <c r="J620" s="1" t="s">
        <v>1384</v>
      </c>
      <c r="K620" s="65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1390</v>
      </c>
      <c r="D621" s="1" t="s">
        <v>1487</v>
      </c>
      <c r="E621" s="15" t="n">
        <v>46241</v>
      </c>
      <c r="F621" s="15" t="n">
        <v>46240</v>
      </c>
      <c r="G621" s="1" t="s">
        <v>305</v>
      </c>
      <c r="H621" s="1" t="n">
        <v>1514240</v>
      </c>
      <c r="I621" s="1" t="n">
        <v>45</v>
      </c>
      <c r="J621" s="1" t="s">
        <v>1384</v>
      </c>
      <c r="K621" s="65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1421</v>
      </c>
      <c r="D622" s="1" t="s">
        <v>1422</v>
      </c>
      <c r="E622" s="15" t="n">
        <v>46241</v>
      </c>
      <c r="F622" s="15" t="n">
        <v>46241</v>
      </c>
      <c r="G622" s="1" t="s">
        <v>250</v>
      </c>
      <c r="H622" s="1" t="n">
        <v>1514125</v>
      </c>
      <c r="I622" s="1" t="n">
        <v>11</v>
      </c>
      <c r="J622" s="1" t="s">
        <v>1384</v>
      </c>
      <c r="K622" s="65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1390</v>
      </c>
      <c r="D623" s="1" t="s">
        <v>1417</v>
      </c>
      <c r="E623" s="15" t="n">
        <v>46241</v>
      </c>
      <c r="F623" s="15" t="n">
        <v>46241</v>
      </c>
      <c r="G623" s="1" t="s">
        <v>96</v>
      </c>
      <c r="H623" s="1" t="n">
        <v>1514028</v>
      </c>
      <c r="I623" s="1" t="n">
        <v>11</v>
      </c>
      <c r="J623" s="1" t="s">
        <v>1384</v>
      </c>
      <c r="K623" s="65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1390</v>
      </c>
      <c r="D624" s="1" t="s">
        <v>1424</v>
      </c>
      <c r="E624" s="15" t="n">
        <v>46241</v>
      </c>
      <c r="F624" s="15" t="n">
        <v>46241</v>
      </c>
      <c r="G624" s="1" t="s">
        <v>400</v>
      </c>
      <c r="H624" s="1" t="n">
        <v>1513950</v>
      </c>
      <c r="I624" s="1" t="n">
        <v>11</v>
      </c>
      <c r="J624" s="1" t="s">
        <v>1384</v>
      </c>
      <c r="K624" s="65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1390</v>
      </c>
      <c r="D625" s="1" t="s">
        <v>1391</v>
      </c>
      <c r="E625" s="15" t="n">
        <v>46241</v>
      </c>
      <c r="F625" s="15" t="n">
        <v>46240</v>
      </c>
      <c r="G625" s="1" t="s">
        <v>248</v>
      </c>
      <c r="H625" s="1" t="n">
        <v>1514501</v>
      </c>
      <c r="I625" s="1" t="n">
        <v>11</v>
      </c>
      <c r="J625" s="1" t="s">
        <v>1384</v>
      </c>
      <c r="K625" s="65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1390</v>
      </c>
      <c r="D626" s="1" t="s">
        <v>1400</v>
      </c>
      <c r="E626" s="15" t="n">
        <v>46241</v>
      </c>
      <c r="F626" s="15" t="n">
        <v>46241</v>
      </c>
      <c r="G626" s="1" t="s">
        <v>132</v>
      </c>
      <c r="H626" s="1" t="n">
        <v>1513987</v>
      </c>
      <c r="I626" s="1" t="n">
        <v>6</v>
      </c>
      <c r="J626" s="1" t="s">
        <v>1384</v>
      </c>
      <c r="K626" s="65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1390</v>
      </c>
      <c r="D627" s="1" t="s">
        <v>1400</v>
      </c>
      <c r="E627" s="15" t="n">
        <v>46241</v>
      </c>
      <c r="F627" s="15" t="n">
        <v>46241</v>
      </c>
      <c r="G627" s="1" t="s">
        <v>132</v>
      </c>
      <c r="H627" s="1" t="n">
        <v>1514010</v>
      </c>
      <c r="I627" s="1" t="n">
        <v>6</v>
      </c>
      <c r="J627" s="1" t="s">
        <v>1384</v>
      </c>
      <c r="K627" s="65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1390</v>
      </c>
      <c r="D628" s="1" t="s">
        <v>1400</v>
      </c>
      <c r="E628" s="15" t="n">
        <v>46241</v>
      </c>
      <c r="F628" s="15" t="n">
        <v>46241</v>
      </c>
      <c r="G628" s="1" t="s">
        <v>132</v>
      </c>
      <c r="H628" s="1" t="n">
        <v>1514649</v>
      </c>
      <c r="I628" s="1" t="n">
        <v>6</v>
      </c>
      <c r="J628" s="1" t="s">
        <v>1384</v>
      </c>
      <c r="K628" s="65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1390</v>
      </c>
      <c r="D629" s="1" t="s">
        <v>1400</v>
      </c>
      <c r="E629" s="15" t="n">
        <v>46241</v>
      </c>
      <c r="F629" s="15" t="n">
        <v>46241</v>
      </c>
      <c r="G629" s="1" t="s">
        <v>132</v>
      </c>
      <c r="H629" s="1" t="n">
        <v>1514680</v>
      </c>
      <c r="I629" s="1" t="n">
        <v>6</v>
      </c>
      <c r="J629" s="1" t="s">
        <v>1384</v>
      </c>
      <c r="K629" s="65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1382</v>
      </c>
      <c r="D630" s="1" t="s">
        <v>1392</v>
      </c>
      <c r="E630" s="15" t="n">
        <v>46241</v>
      </c>
      <c r="F630" s="15" t="n">
        <v>46240</v>
      </c>
      <c r="G630" s="1" t="s">
        <v>194</v>
      </c>
      <c r="H630" s="1" t="n">
        <v>1512883</v>
      </c>
      <c r="I630" s="1" t="n">
        <v>11</v>
      </c>
      <c r="J630" s="1" t="s">
        <v>1384</v>
      </c>
      <c r="K630" s="65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1390</v>
      </c>
      <c r="D631" s="1" t="s">
        <v>1514</v>
      </c>
      <c r="E631" s="15" t="n">
        <v>46242</v>
      </c>
      <c r="F631" s="15" t="n">
        <v>46242</v>
      </c>
      <c r="G631" s="1" t="s">
        <v>552</v>
      </c>
      <c r="H631" s="1" t="n">
        <v>1528792</v>
      </c>
      <c r="I631" s="1" t="n">
        <v>11</v>
      </c>
      <c r="J631" s="1" t="s">
        <v>1384</v>
      </c>
      <c r="K631" s="65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1390</v>
      </c>
      <c r="D632" s="1" t="s">
        <v>1395</v>
      </c>
      <c r="E632" s="15" t="n">
        <v>46244</v>
      </c>
      <c r="F632" s="15" t="n">
        <v>46241</v>
      </c>
      <c r="G632" s="1" t="s">
        <v>130</v>
      </c>
      <c r="H632" s="1" t="n">
        <v>1529123</v>
      </c>
      <c r="I632" s="1" t="n">
        <v>11</v>
      </c>
      <c r="J632" s="1" t="s">
        <v>1384</v>
      </c>
      <c r="K632" s="65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1390</v>
      </c>
      <c r="D633" s="1" t="s">
        <v>1450</v>
      </c>
      <c r="E633" s="15" t="n">
        <v>46244</v>
      </c>
      <c r="F633" s="15" t="n">
        <v>46241</v>
      </c>
      <c r="G633" s="1" t="s">
        <v>197</v>
      </c>
      <c r="H633" s="1" t="n">
        <v>1529137</v>
      </c>
      <c r="I633" s="1" t="n">
        <v>11</v>
      </c>
      <c r="J633" s="1" t="s">
        <v>1384</v>
      </c>
      <c r="K633" s="65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1451</v>
      </c>
      <c r="D634" s="1" t="s">
        <v>1452</v>
      </c>
      <c r="E634" s="15" t="n">
        <v>46244</v>
      </c>
      <c r="F634" s="15" t="n">
        <v>46242</v>
      </c>
      <c r="G634" s="1" t="s">
        <v>212</v>
      </c>
      <c r="H634" s="1" t="n">
        <v>1529995</v>
      </c>
      <c r="I634" s="1" t="n">
        <v>11</v>
      </c>
      <c r="J634" s="1" t="s">
        <v>1384</v>
      </c>
      <c r="K634" s="65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1388</v>
      </c>
      <c r="D635" s="1" t="s">
        <v>1389</v>
      </c>
      <c r="E635" s="15" t="n">
        <v>46244</v>
      </c>
      <c r="F635" s="15" t="n">
        <v>46244</v>
      </c>
      <c r="G635" s="1" t="s">
        <v>369</v>
      </c>
      <c r="H635" s="1" t="n">
        <v>1530015</v>
      </c>
      <c r="I635" s="1" t="n">
        <v>11</v>
      </c>
      <c r="J635" s="1" t="s">
        <v>1384</v>
      </c>
      <c r="K635" s="65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1388</v>
      </c>
      <c r="D636" s="1" t="s">
        <v>1389</v>
      </c>
      <c r="E636" s="15" t="n">
        <v>46244</v>
      </c>
      <c r="F636" s="15" t="n">
        <v>46244</v>
      </c>
      <c r="G636" s="1" t="s">
        <v>369</v>
      </c>
      <c r="H636" s="1" t="n">
        <v>1530019</v>
      </c>
      <c r="I636" s="1" t="n">
        <v>11</v>
      </c>
      <c r="J636" s="1" t="s">
        <v>1384</v>
      </c>
      <c r="K636" s="65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1390</v>
      </c>
      <c r="D637" s="1" t="s">
        <v>1404</v>
      </c>
      <c r="E637" s="15" t="n">
        <v>46244</v>
      </c>
      <c r="F637" s="15" t="n">
        <v>46244</v>
      </c>
      <c r="G637" s="1" t="s">
        <v>126</v>
      </c>
      <c r="H637" s="1" t="n">
        <v>1529985</v>
      </c>
      <c r="I637" s="1" t="n">
        <v>11</v>
      </c>
      <c r="J637" s="1" t="s">
        <v>1384</v>
      </c>
      <c r="K637" s="65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1390</v>
      </c>
      <c r="D638" s="1" t="s">
        <v>1391</v>
      </c>
      <c r="E638" s="15" t="n">
        <v>46244</v>
      </c>
      <c r="F638" s="15" t="n">
        <v>46242</v>
      </c>
      <c r="G638" s="1" t="s">
        <v>248</v>
      </c>
      <c r="H638" s="1" t="n">
        <v>1529949</v>
      </c>
      <c r="I638" s="1" t="n">
        <v>11</v>
      </c>
      <c r="J638" s="1" t="s">
        <v>1384</v>
      </c>
      <c r="K638" s="65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1390</v>
      </c>
      <c r="D639" s="1" t="s">
        <v>1400</v>
      </c>
      <c r="E639" s="15" t="n">
        <v>46244</v>
      </c>
      <c r="F639" s="15" t="n">
        <v>46244</v>
      </c>
      <c r="G639" s="1" t="s">
        <v>132</v>
      </c>
      <c r="H639" s="1" t="n">
        <v>1529194</v>
      </c>
      <c r="I639" s="1" t="n">
        <v>6</v>
      </c>
      <c r="J639" s="1" t="s">
        <v>1384</v>
      </c>
      <c r="K639" s="65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1390</v>
      </c>
      <c r="D640" s="1" t="s">
        <v>1436</v>
      </c>
      <c r="E640" s="15" t="n">
        <v>46244</v>
      </c>
      <c r="F640" s="15" t="n">
        <v>46244</v>
      </c>
      <c r="G640" s="1" t="s">
        <v>410</v>
      </c>
      <c r="H640" s="1" t="n">
        <v>1528892</v>
      </c>
      <c r="I640" s="1" t="n">
        <v>11</v>
      </c>
      <c r="J640" s="1" t="s">
        <v>1384</v>
      </c>
      <c r="K640" s="65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1390</v>
      </c>
      <c r="D641" s="1" t="s">
        <v>1405</v>
      </c>
      <c r="E641" s="15" t="n">
        <v>46244</v>
      </c>
      <c r="F641" s="15" t="n">
        <v>46242</v>
      </c>
      <c r="G641" s="1" t="s">
        <v>128</v>
      </c>
      <c r="H641" s="1" t="n">
        <v>1529233</v>
      </c>
      <c r="I641" s="1" t="n">
        <v>11</v>
      </c>
      <c r="J641" s="1" t="s">
        <v>1384</v>
      </c>
      <c r="K641" s="65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1428</v>
      </c>
      <c r="D642" s="1" t="s">
        <v>1429</v>
      </c>
      <c r="E642" s="15" t="n">
        <v>46244</v>
      </c>
      <c r="F642" s="15" t="n">
        <v>46239</v>
      </c>
      <c r="G642" s="1" t="s">
        <v>206</v>
      </c>
      <c r="H642" s="1" t="n">
        <v>1529041</v>
      </c>
      <c r="I642" s="1" t="n">
        <v>11</v>
      </c>
      <c r="J642" s="1" t="s">
        <v>1384</v>
      </c>
      <c r="K642" s="65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1390</v>
      </c>
      <c r="D643" s="1" t="s">
        <v>1394</v>
      </c>
      <c r="E643" s="15" t="n">
        <v>46244</v>
      </c>
      <c r="F643" s="15" t="n">
        <v>46244</v>
      </c>
      <c r="G643" s="1" t="s">
        <v>266</v>
      </c>
      <c r="H643" s="1" t="n">
        <v>1529978</v>
      </c>
      <c r="I643" s="1" t="n">
        <v>11</v>
      </c>
      <c r="J643" s="1" t="s">
        <v>1384</v>
      </c>
      <c r="K643" s="65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1390</v>
      </c>
      <c r="D644" s="1" t="s">
        <v>1430</v>
      </c>
      <c r="E644" s="15" t="n">
        <v>46245</v>
      </c>
      <c r="F644" s="15" t="n">
        <v>46238</v>
      </c>
      <c r="G644" s="1" t="s">
        <v>73</v>
      </c>
      <c r="H644" s="1" t="n">
        <v>1533172</v>
      </c>
      <c r="I644" s="1" t="n">
        <v>11</v>
      </c>
      <c r="J644" s="1" t="s">
        <v>1384</v>
      </c>
      <c r="K644" s="65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1390</v>
      </c>
      <c r="D645" s="1" t="s">
        <v>1445</v>
      </c>
      <c r="E645" s="15" t="n">
        <v>46245</v>
      </c>
      <c r="F645" s="15" t="n">
        <v>46244</v>
      </c>
      <c r="G645" s="1" t="s">
        <v>422</v>
      </c>
      <c r="H645" s="1" t="n">
        <v>1532617</v>
      </c>
      <c r="I645" s="1" t="n">
        <v>11</v>
      </c>
      <c r="J645" s="1" t="s">
        <v>1384</v>
      </c>
      <c r="K645" s="65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1390</v>
      </c>
      <c r="D646" s="1" t="s">
        <v>1426</v>
      </c>
      <c r="E646" s="15" t="n">
        <v>46245</v>
      </c>
      <c r="F646" s="15" t="n">
        <v>46238</v>
      </c>
      <c r="G646" s="1" t="s">
        <v>302</v>
      </c>
      <c r="H646" s="1" t="n">
        <v>1532207</v>
      </c>
      <c r="I646" s="1" t="n">
        <v>11</v>
      </c>
      <c r="J646" s="1" t="s">
        <v>1384</v>
      </c>
      <c r="K646" s="65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1390</v>
      </c>
      <c r="D647" s="1" t="s">
        <v>1400</v>
      </c>
      <c r="E647" s="15" t="n">
        <v>46245</v>
      </c>
      <c r="F647" s="15" t="n">
        <v>46245</v>
      </c>
      <c r="G647" s="1" t="s">
        <v>132</v>
      </c>
      <c r="H647" s="1" t="n">
        <v>1533103</v>
      </c>
      <c r="I647" s="1" t="n">
        <v>6</v>
      </c>
      <c r="J647" s="1" t="s">
        <v>1384</v>
      </c>
      <c r="K647" s="65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1390</v>
      </c>
      <c r="D648" s="1" t="s">
        <v>1400</v>
      </c>
      <c r="E648" s="15" t="n">
        <v>46245</v>
      </c>
      <c r="F648" s="15" t="n">
        <v>46245</v>
      </c>
      <c r="G648" s="1" t="s">
        <v>132</v>
      </c>
      <c r="H648" s="1" t="n">
        <v>1533121</v>
      </c>
      <c r="I648" s="1" t="n">
        <v>6</v>
      </c>
      <c r="J648" s="1" t="s">
        <v>1384</v>
      </c>
      <c r="K648" s="65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1390</v>
      </c>
      <c r="D649" s="1" t="s">
        <v>1401</v>
      </c>
      <c r="E649" s="15" t="n">
        <v>46245</v>
      </c>
      <c r="F649" s="15" t="n">
        <v>46244</v>
      </c>
      <c r="G649" s="1" t="s">
        <v>92</v>
      </c>
      <c r="H649" s="1" t="n">
        <v>1532673</v>
      </c>
      <c r="I649" s="1" t="n">
        <v>11</v>
      </c>
      <c r="J649" s="1" t="s">
        <v>1384</v>
      </c>
      <c r="K649" s="65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1390</v>
      </c>
      <c r="D650" s="1" t="s">
        <v>1523</v>
      </c>
      <c r="E650" s="15" t="n">
        <v>46245</v>
      </c>
      <c r="F650" s="15" t="n">
        <v>46235</v>
      </c>
      <c r="G650" s="1" t="s">
        <v>461</v>
      </c>
      <c r="H650" s="1" t="n">
        <v>1532290</v>
      </c>
      <c r="I650" s="1" t="n">
        <v>11</v>
      </c>
      <c r="J650" s="1" t="s">
        <v>1384</v>
      </c>
      <c r="K650" s="65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1390</v>
      </c>
      <c r="D651" s="1" t="s">
        <v>1395</v>
      </c>
      <c r="E651" s="15" t="n">
        <v>46246</v>
      </c>
      <c r="F651" s="15" t="n">
        <v>46245</v>
      </c>
      <c r="G651" s="1" t="s">
        <v>130</v>
      </c>
      <c r="H651" s="1" t="n">
        <v>1534760</v>
      </c>
      <c r="I651" s="1" t="n">
        <v>11</v>
      </c>
      <c r="J651" s="1" t="s">
        <v>1384</v>
      </c>
      <c r="K651" s="65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1390</v>
      </c>
      <c r="D652" s="1" t="s">
        <v>1398</v>
      </c>
      <c r="E652" s="15" t="n">
        <v>46246</v>
      </c>
      <c r="F652" s="15" t="n">
        <v>46245</v>
      </c>
      <c r="G652" s="1" t="s">
        <v>201</v>
      </c>
      <c r="H652" s="1" t="n">
        <v>1534782</v>
      </c>
      <c r="I652" s="1" t="n">
        <v>11</v>
      </c>
      <c r="J652" s="1" t="s">
        <v>1384</v>
      </c>
      <c r="K652" s="65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1390</v>
      </c>
      <c r="D653" s="1" t="s">
        <v>1476</v>
      </c>
      <c r="E653" s="15" t="n">
        <v>46246</v>
      </c>
      <c r="F653" s="15" t="n">
        <v>46245</v>
      </c>
      <c r="G653" s="1" t="s">
        <v>261</v>
      </c>
      <c r="H653" s="1" t="n">
        <v>1535235</v>
      </c>
      <c r="I653" s="1" t="n">
        <v>11</v>
      </c>
      <c r="J653" s="1" t="s">
        <v>1384</v>
      </c>
      <c r="K653" s="65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1390</v>
      </c>
      <c r="D654" s="1" t="s">
        <v>1514</v>
      </c>
      <c r="E654" s="15" t="n">
        <v>46246</v>
      </c>
      <c r="F654" s="15" t="n">
        <v>46246</v>
      </c>
      <c r="G654" s="1" t="s">
        <v>552</v>
      </c>
      <c r="H654" s="1" t="n">
        <v>1545490</v>
      </c>
      <c r="I654" s="1" t="n">
        <v>11</v>
      </c>
      <c r="J654" s="1" t="s">
        <v>1384</v>
      </c>
      <c r="K654" s="65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1456</v>
      </c>
      <c r="D655" s="1" t="s">
        <v>1478</v>
      </c>
      <c r="E655" s="15" t="n">
        <v>46246</v>
      </c>
      <c r="F655" s="15" t="n">
        <v>46244</v>
      </c>
      <c r="G655" s="1" t="s">
        <v>123</v>
      </c>
      <c r="H655" s="1" t="n">
        <v>1534499</v>
      </c>
      <c r="I655" s="1" t="n">
        <v>11</v>
      </c>
      <c r="J655" s="1" t="s">
        <v>1384</v>
      </c>
      <c r="K655" s="65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1390</v>
      </c>
      <c r="D656" s="1" t="s">
        <v>1523</v>
      </c>
      <c r="E656" s="15" t="n">
        <v>46246</v>
      </c>
      <c r="F656" s="15" t="n">
        <v>46245</v>
      </c>
      <c r="G656" s="1" t="s">
        <v>461</v>
      </c>
      <c r="H656" s="1" t="n">
        <v>1534914</v>
      </c>
      <c r="I656" s="1" t="n">
        <v>11</v>
      </c>
      <c r="J656" s="1" t="s">
        <v>1384</v>
      </c>
      <c r="K656" s="65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1421</v>
      </c>
      <c r="D657" s="1" t="s">
        <v>1473</v>
      </c>
      <c r="E657" s="15" t="n">
        <v>46246</v>
      </c>
      <c r="F657" s="15" t="n">
        <v>46245</v>
      </c>
      <c r="G657" s="1" t="s">
        <v>728</v>
      </c>
      <c r="H657" s="1" t="n">
        <v>1537380</v>
      </c>
      <c r="I657" s="1" t="n">
        <v>11</v>
      </c>
      <c r="J657" s="1" t="s">
        <v>1384</v>
      </c>
      <c r="K657" s="65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1447</v>
      </c>
      <c r="D658" s="1" t="s">
        <v>1402</v>
      </c>
      <c r="E658" s="15" t="n">
        <v>46247</v>
      </c>
      <c r="F658" s="15" t="n">
        <v>46246</v>
      </c>
      <c r="G658" s="1" t="s">
        <v>117</v>
      </c>
      <c r="H658" s="1" t="n">
        <v>1540992</v>
      </c>
      <c r="I658" s="1" t="n">
        <v>11</v>
      </c>
      <c r="J658" s="1" t="s">
        <v>1384</v>
      </c>
      <c r="K658" s="65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1390</v>
      </c>
      <c r="D659" s="1" t="s">
        <v>1433</v>
      </c>
      <c r="E659" s="15" t="n">
        <v>46247</v>
      </c>
      <c r="F659" s="15" t="n">
        <v>46246</v>
      </c>
      <c r="G659" s="1" t="s">
        <v>175</v>
      </c>
      <c r="H659" s="1" t="n">
        <v>1543866</v>
      </c>
      <c r="I659" s="1" t="n">
        <v>11</v>
      </c>
      <c r="J659" s="1" t="s">
        <v>1384</v>
      </c>
      <c r="K659" s="65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1390</v>
      </c>
      <c r="D660" s="1" t="s">
        <v>1403</v>
      </c>
      <c r="E660" s="15" t="n">
        <v>46247</v>
      </c>
      <c r="F660" s="15" t="n">
        <v>46247</v>
      </c>
      <c r="G660" s="1" t="s">
        <v>332</v>
      </c>
      <c r="H660" s="1" t="n">
        <v>1542553</v>
      </c>
      <c r="I660" s="1" t="n">
        <v>11</v>
      </c>
      <c r="J660" s="1" t="s">
        <v>1384</v>
      </c>
      <c r="K660" s="65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1390</v>
      </c>
      <c r="D661" s="1" t="s">
        <v>1398</v>
      </c>
      <c r="E661" s="15" t="n">
        <v>46247</v>
      </c>
      <c r="F661" s="15" t="n">
        <v>46246</v>
      </c>
      <c r="G661" s="1" t="s">
        <v>201</v>
      </c>
      <c r="H661" s="1" t="n">
        <v>1540733</v>
      </c>
      <c r="I661" s="1" t="n">
        <v>11</v>
      </c>
      <c r="J661" s="1" t="s">
        <v>1384</v>
      </c>
      <c r="K661" s="65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1390</v>
      </c>
      <c r="D662" s="1" t="s">
        <v>1443</v>
      </c>
      <c r="E662" s="15" t="n">
        <v>46247</v>
      </c>
      <c r="F662" s="15" t="n">
        <v>46246</v>
      </c>
      <c r="G662" s="1" t="s">
        <v>82</v>
      </c>
      <c r="H662" s="1" t="n">
        <v>1540902</v>
      </c>
      <c r="I662" s="1" t="n">
        <v>11</v>
      </c>
      <c r="J662" s="1" t="s">
        <v>1384</v>
      </c>
      <c r="K662" s="65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1390</v>
      </c>
      <c r="D663" s="1" t="s">
        <v>1514</v>
      </c>
      <c r="E663" s="15" t="n">
        <v>46247</v>
      </c>
      <c r="F663" s="15" t="n">
        <v>46247</v>
      </c>
      <c r="G663" s="1" t="s">
        <v>552</v>
      </c>
      <c r="H663" s="1" t="n">
        <v>1545507</v>
      </c>
      <c r="I663" s="1" t="n">
        <v>11</v>
      </c>
      <c r="J663" s="1" t="s">
        <v>1384</v>
      </c>
      <c r="K663" s="65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1390</v>
      </c>
      <c r="D664" s="1" t="s">
        <v>1436</v>
      </c>
      <c r="E664" s="15" t="n">
        <v>46247</v>
      </c>
      <c r="F664" s="15" t="n">
        <v>46247</v>
      </c>
      <c r="G664" s="1" t="s">
        <v>410</v>
      </c>
      <c r="H664" s="1" t="n">
        <v>1541166</v>
      </c>
      <c r="I664" s="1" t="n">
        <v>11</v>
      </c>
      <c r="J664" s="1" t="s">
        <v>1384</v>
      </c>
      <c r="K664" s="65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1382</v>
      </c>
      <c r="D665" s="1" t="s">
        <v>1392</v>
      </c>
      <c r="E665" s="15" t="n">
        <v>46247</v>
      </c>
      <c r="F665" s="15" t="n">
        <v>46247</v>
      </c>
      <c r="G665" s="1" t="s">
        <v>194</v>
      </c>
      <c r="H665" s="1" t="n">
        <v>1543431</v>
      </c>
      <c r="I665" s="1" t="n">
        <v>11</v>
      </c>
      <c r="J665" s="1" t="s">
        <v>1384</v>
      </c>
      <c r="K665" s="65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1421</v>
      </c>
      <c r="D666" s="1" t="s">
        <v>1438</v>
      </c>
      <c r="E666" s="15" t="n">
        <v>46247</v>
      </c>
      <c r="F666" s="15" t="n">
        <v>46246</v>
      </c>
      <c r="G666" s="1" t="s">
        <v>412</v>
      </c>
      <c r="H666" s="1" t="n">
        <v>1541937</v>
      </c>
      <c r="I666" s="1" t="n">
        <v>11</v>
      </c>
      <c r="J666" s="1" t="s">
        <v>1384</v>
      </c>
      <c r="K666" s="65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1390</v>
      </c>
      <c r="D667" s="1" t="s">
        <v>1466</v>
      </c>
      <c r="E667" s="15" t="n">
        <v>46247</v>
      </c>
      <c r="F667" s="15" t="n">
        <v>46246</v>
      </c>
      <c r="G667" s="1" t="s">
        <v>300</v>
      </c>
      <c r="H667" s="1" t="n">
        <v>1543899</v>
      </c>
      <c r="I667" s="1" t="n">
        <v>11</v>
      </c>
      <c r="J667" s="1" t="s">
        <v>1384</v>
      </c>
      <c r="K667" s="65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1390</v>
      </c>
      <c r="D668" s="1" t="s">
        <v>1498</v>
      </c>
      <c r="E668" s="15" t="n">
        <v>46247</v>
      </c>
      <c r="F668" s="15" t="n">
        <v>46246</v>
      </c>
      <c r="G668" s="1" t="s">
        <v>88</v>
      </c>
      <c r="H668" s="1" t="n">
        <v>1543011</v>
      </c>
      <c r="I668" s="1" t="n">
        <v>11</v>
      </c>
      <c r="J668" s="1" t="s">
        <v>1384</v>
      </c>
      <c r="K668" s="65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1390</v>
      </c>
      <c r="D669" s="1" t="s">
        <v>1439</v>
      </c>
      <c r="E669" s="15" t="n">
        <v>46247</v>
      </c>
      <c r="F669" s="15" t="n">
        <v>46246</v>
      </c>
      <c r="G669" s="1" t="s">
        <v>489</v>
      </c>
      <c r="H669" s="1" t="n">
        <v>1542913</v>
      </c>
      <c r="I669" s="1" t="n">
        <v>11</v>
      </c>
      <c r="J669" s="1" t="s">
        <v>1384</v>
      </c>
      <c r="K669" s="65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1382</v>
      </c>
      <c r="D670" s="1" t="s">
        <v>1513</v>
      </c>
      <c r="E670" s="15" t="n">
        <v>46247</v>
      </c>
      <c r="F670" s="15" t="n">
        <v>46246</v>
      </c>
      <c r="G670" s="1" t="s">
        <v>1011</v>
      </c>
      <c r="H670" s="1" t="n">
        <v>1543143</v>
      </c>
      <c r="I670" s="1" t="n">
        <v>11</v>
      </c>
      <c r="J670" s="1" t="s">
        <v>1384</v>
      </c>
      <c r="K670" s="65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1390</v>
      </c>
      <c r="D671" s="1" t="s">
        <v>1480</v>
      </c>
      <c r="E671" s="15" t="n">
        <v>46248</v>
      </c>
      <c r="F671" s="15" t="n">
        <v>46246</v>
      </c>
      <c r="G671" s="1" t="s">
        <v>745</v>
      </c>
      <c r="H671" s="1" t="n">
        <v>1545803</v>
      </c>
      <c r="I671" s="1" t="n">
        <v>11</v>
      </c>
      <c r="J671" s="1" t="s">
        <v>1384</v>
      </c>
      <c r="K671" s="65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1390</v>
      </c>
      <c r="D672" s="1" t="s">
        <v>1481</v>
      </c>
      <c r="E672" s="15" t="n">
        <v>46248</v>
      </c>
      <c r="F672" s="15" t="n">
        <v>46246</v>
      </c>
      <c r="G672" s="1" t="s">
        <v>743</v>
      </c>
      <c r="H672" s="1" t="n">
        <v>1545678</v>
      </c>
      <c r="I672" s="1" t="n">
        <v>11</v>
      </c>
      <c r="J672" s="1" t="s">
        <v>1384</v>
      </c>
      <c r="K672" s="65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1385</v>
      </c>
      <c r="D673" s="1" t="s">
        <v>1386</v>
      </c>
      <c r="E673" s="15" t="n">
        <v>46248</v>
      </c>
      <c r="F673" s="15" t="n">
        <v>46246</v>
      </c>
      <c r="G673" s="1" t="s">
        <v>119</v>
      </c>
      <c r="H673" s="1" t="n">
        <v>1546018</v>
      </c>
      <c r="I673" s="1" t="n">
        <v>11</v>
      </c>
      <c r="J673" s="1" t="s">
        <v>1384</v>
      </c>
      <c r="K673" s="65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1385</v>
      </c>
      <c r="D674" s="1" t="s">
        <v>1386</v>
      </c>
      <c r="E674" s="15" t="n">
        <v>46248</v>
      </c>
      <c r="F674" s="15" t="n">
        <v>46246</v>
      </c>
      <c r="G674" s="1" t="s">
        <v>119</v>
      </c>
      <c r="H674" s="1" t="n">
        <v>1546030</v>
      </c>
      <c r="I674" s="1" t="n">
        <v>11</v>
      </c>
      <c r="J674" s="1" t="s">
        <v>1384</v>
      </c>
      <c r="K674" s="65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1387</v>
      </c>
      <c r="D675" s="1" t="s">
        <v>1386</v>
      </c>
      <c r="E675" s="15" t="n">
        <v>46248</v>
      </c>
      <c r="F675" s="15" t="n">
        <v>46246</v>
      </c>
      <c r="G675" s="1" t="s">
        <v>119</v>
      </c>
      <c r="H675" s="1" t="n">
        <v>1546065</v>
      </c>
      <c r="I675" s="1" t="n">
        <v>11</v>
      </c>
      <c r="J675" s="1" t="s">
        <v>1384</v>
      </c>
      <c r="K675" s="65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1390</v>
      </c>
      <c r="D676" s="1" t="s">
        <v>1441</v>
      </c>
      <c r="E676" s="15" t="n">
        <v>46248</v>
      </c>
      <c r="F676" s="15" t="n">
        <v>46248</v>
      </c>
      <c r="G676" s="1" t="s">
        <v>94</v>
      </c>
      <c r="H676" s="1" t="n">
        <v>1547445</v>
      </c>
      <c r="I676" s="1" t="n">
        <v>11</v>
      </c>
      <c r="J676" s="1" t="s">
        <v>1384</v>
      </c>
      <c r="K676" s="65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1451</v>
      </c>
      <c r="D677" s="1" t="s">
        <v>1452</v>
      </c>
      <c r="E677" s="15" t="n">
        <v>46248</v>
      </c>
      <c r="F677" s="15" t="n">
        <v>46247</v>
      </c>
      <c r="G677" s="1" t="s">
        <v>212</v>
      </c>
      <c r="H677" s="1" t="n">
        <v>1546177</v>
      </c>
      <c r="I677" s="1" t="n">
        <v>11</v>
      </c>
      <c r="J677" s="1" t="s">
        <v>1384</v>
      </c>
      <c r="K677" s="65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1390</v>
      </c>
      <c r="D678" s="1" t="s">
        <v>1490</v>
      </c>
      <c r="E678" s="15" t="n">
        <v>46248</v>
      </c>
      <c r="F678" s="15" t="n">
        <v>46248</v>
      </c>
      <c r="G678" s="1" t="s">
        <v>718</v>
      </c>
      <c r="H678" s="1" t="n">
        <v>1546126</v>
      </c>
      <c r="I678" s="1" t="n">
        <v>11</v>
      </c>
      <c r="J678" s="1" t="s">
        <v>1384</v>
      </c>
      <c r="K678" s="65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1390</v>
      </c>
      <c r="D679" s="1" t="s">
        <v>1420</v>
      </c>
      <c r="E679" s="15" t="n">
        <v>46248</v>
      </c>
      <c r="F679" s="15" t="n">
        <v>46247</v>
      </c>
      <c r="G679" s="1" t="s">
        <v>199</v>
      </c>
      <c r="H679" s="1" t="n">
        <v>1547723</v>
      </c>
      <c r="I679" s="1" t="n">
        <v>11</v>
      </c>
      <c r="J679" s="1" t="s">
        <v>1384</v>
      </c>
      <c r="K679" s="65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1390</v>
      </c>
      <c r="D680" s="1" t="s">
        <v>1398</v>
      </c>
      <c r="E680" s="15" t="n">
        <v>46248</v>
      </c>
      <c r="F680" s="15" t="n">
        <v>46247</v>
      </c>
      <c r="G680" s="1" t="s">
        <v>201</v>
      </c>
      <c r="H680" s="1" t="n">
        <v>1547032</v>
      </c>
      <c r="I680" s="1" t="n">
        <v>11</v>
      </c>
      <c r="J680" s="1" t="s">
        <v>1384</v>
      </c>
      <c r="K680" s="65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1388</v>
      </c>
      <c r="D681" s="1" t="s">
        <v>1389</v>
      </c>
      <c r="E681" s="15" t="n">
        <v>46248</v>
      </c>
      <c r="F681" s="15" t="n">
        <v>46248</v>
      </c>
      <c r="G681" s="1" t="s">
        <v>369</v>
      </c>
      <c r="H681" s="1" t="n">
        <v>1551184</v>
      </c>
      <c r="I681" s="1" t="n">
        <v>11</v>
      </c>
      <c r="J681" s="1" t="s">
        <v>1384</v>
      </c>
      <c r="K681" s="65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1388</v>
      </c>
      <c r="D682" s="1" t="s">
        <v>1389</v>
      </c>
      <c r="E682" s="15" t="n">
        <v>46248</v>
      </c>
      <c r="F682" s="15" t="n">
        <v>46248</v>
      </c>
      <c r="G682" s="1" t="s">
        <v>369</v>
      </c>
      <c r="H682" s="1" t="n">
        <v>1551194</v>
      </c>
      <c r="I682" s="1" t="n">
        <v>11</v>
      </c>
      <c r="J682" s="1" t="s">
        <v>1384</v>
      </c>
      <c r="K682" s="65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1382</v>
      </c>
      <c r="D683" s="1" t="s">
        <v>1414</v>
      </c>
      <c r="E683" s="15" t="n">
        <v>46248</v>
      </c>
      <c r="F683" s="15" t="n">
        <v>46248</v>
      </c>
      <c r="G683" s="1" t="s">
        <v>390</v>
      </c>
      <c r="H683" s="1" t="n">
        <v>1547606</v>
      </c>
      <c r="I683" s="1" t="n">
        <v>11</v>
      </c>
      <c r="J683" s="1" t="s">
        <v>1384</v>
      </c>
      <c r="K683" s="65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1390</v>
      </c>
      <c r="D684" s="1" t="s">
        <v>1409</v>
      </c>
      <c r="E684" s="15" t="n">
        <v>46248</v>
      </c>
      <c r="F684" s="15" t="n">
        <v>46246</v>
      </c>
      <c r="G684" s="1" t="s">
        <v>90</v>
      </c>
      <c r="H684" s="1" t="n">
        <v>1545655</v>
      </c>
      <c r="I684" s="1" t="n">
        <v>11</v>
      </c>
      <c r="J684" s="1" t="s">
        <v>1384</v>
      </c>
      <c r="K684" s="65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1390</v>
      </c>
      <c r="D685" s="1" t="s">
        <v>1417</v>
      </c>
      <c r="E685" s="15" t="n">
        <v>46248</v>
      </c>
      <c r="F685" s="15" t="n">
        <v>46248</v>
      </c>
      <c r="G685" s="1" t="s">
        <v>96</v>
      </c>
      <c r="H685" s="1" t="n">
        <v>1547265</v>
      </c>
      <c r="I685" s="1" t="n">
        <v>11</v>
      </c>
      <c r="J685" s="1" t="s">
        <v>1384</v>
      </c>
      <c r="K685" s="65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1390</v>
      </c>
      <c r="D686" s="1" t="s">
        <v>1404</v>
      </c>
      <c r="E686" s="15" t="n">
        <v>46248</v>
      </c>
      <c r="F686" s="15" t="n">
        <v>46248</v>
      </c>
      <c r="G686" s="1" t="s">
        <v>126</v>
      </c>
      <c r="H686" s="1" t="n">
        <v>1546110</v>
      </c>
      <c r="I686" s="1" t="n">
        <v>11</v>
      </c>
      <c r="J686" s="1" t="s">
        <v>1384</v>
      </c>
      <c r="K686" s="65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1390</v>
      </c>
      <c r="D687" s="1" t="s">
        <v>1400</v>
      </c>
      <c r="E687" s="15" t="n">
        <v>46248</v>
      </c>
      <c r="F687" s="15" t="n">
        <v>46248</v>
      </c>
      <c r="G687" s="1" t="s">
        <v>132</v>
      </c>
      <c r="H687" s="1" t="n">
        <v>1545625</v>
      </c>
      <c r="I687" s="1" t="n">
        <v>6</v>
      </c>
      <c r="J687" s="1" t="s">
        <v>1384</v>
      </c>
      <c r="K687" s="65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1390</v>
      </c>
      <c r="D688" s="1" t="s">
        <v>1400</v>
      </c>
      <c r="E688" s="15" t="n">
        <v>46248</v>
      </c>
      <c r="F688" s="15" t="n">
        <v>46248</v>
      </c>
      <c r="G688" s="1" t="s">
        <v>132</v>
      </c>
      <c r="H688" s="1" t="n">
        <v>1546719</v>
      </c>
      <c r="I688" s="1" t="n">
        <v>6</v>
      </c>
      <c r="J688" s="1" t="s">
        <v>1384</v>
      </c>
      <c r="K688" s="65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1390</v>
      </c>
      <c r="D689" s="1" t="s">
        <v>1400</v>
      </c>
      <c r="E689" s="15" t="n">
        <v>46248</v>
      </c>
      <c r="F689" s="15" t="n">
        <v>46248</v>
      </c>
      <c r="G689" s="1" t="s">
        <v>132</v>
      </c>
      <c r="H689" s="1" t="n">
        <v>1546864</v>
      </c>
      <c r="I689" s="1" t="n">
        <v>6</v>
      </c>
      <c r="J689" s="1" t="s">
        <v>1384</v>
      </c>
      <c r="K689" s="65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1390</v>
      </c>
      <c r="D690" s="1" t="s">
        <v>1415</v>
      </c>
      <c r="E690" s="15" t="n">
        <v>46248</v>
      </c>
      <c r="F690" s="15" t="n">
        <v>46248</v>
      </c>
      <c r="G690" s="1" t="s">
        <v>388</v>
      </c>
      <c r="H690" s="1" t="n">
        <v>1547523</v>
      </c>
      <c r="I690" s="1" t="n">
        <v>11</v>
      </c>
      <c r="J690" s="1" t="s">
        <v>1384</v>
      </c>
      <c r="K690" s="65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1447</v>
      </c>
      <c r="D691" s="1" t="s">
        <v>1492</v>
      </c>
      <c r="E691" s="15" t="n">
        <v>46248</v>
      </c>
      <c r="F691" s="15" t="n">
        <v>46247</v>
      </c>
      <c r="G691" s="1" t="s">
        <v>292</v>
      </c>
      <c r="H691" s="1" t="n">
        <v>1545975</v>
      </c>
      <c r="I691" s="1" t="n">
        <v>11</v>
      </c>
      <c r="J691" s="1" t="s">
        <v>1384</v>
      </c>
      <c r="K691" s="65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1390</v>
      </c>
      <c r="D692" s="1" t="s">
        <v>1396</v>
      </c>
      <c r="E692" s="15" t="n">
        <v>46249</v>
      </c>
      <c r="F692" s="15" t="n">
        <v>46246</v>
      </c>
      <c r="G692" s="1" t="s">
        <v>220</v>
      </c>
      <c r="H692" s="1" t="n">
        <v>1551741</v>
      </c>
      <c r="I692" s="1" t="n">
        <v>11</v>
      </c>
      <c r="J692" s="1" t="s">
        <v>1384</v>
      </c>
      <c r="K692" s="65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1390</v>
      </c>
      <c r="D693" s="1" t="s">
        <v>1420</v>
      </c>
      <c r="E693" s="15" t="n">
        <v>46249</v>
      </c>
      <c r="F693" s="15" t="n">
        <v>46247</v>
      </c>
      <c r="G693" s="1" t="s">
        <v>199</v>
      </c>
      <c r="H693" s="1" t="n">
        <v>1551950</v>
      </c>
      <c r="I693" s="1" t="n">
        <v>11</v>
      </c>
      <c r="J693" s="1" t="s">
        <v>1384</v>
      </c>
      <c r="K693" s="65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1390</v>
      </c>
      <c r="D694" s="1" t="s">
        <v>1434</v>
      </c>
      <c r="E694" s="15" t="n">
        <v>46249</v>
      </c>
      <c r="F694" s="15" t="n">
        <v>46247</v>
      </c>
      <c r="G694" s="1" t="s">
        <v>85</v>
      </c>
      <c r="H694" s="1" t="n">
        <v>1551855</v>
      </c>
      <c r="I694" s="1" t="n">
        <v>11</v>
      </c>
      <c r="J694" s="1" t="s">
        <v>1384</v>
      </c>
      <c r="K694" s="65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1390</v>
      </c>
      <c r="D695" s="1" t="s">
        <v>1514</v>
      </c>
      <c r="E695" s="15" t="n">
        <v>46249</v>
      </c>
      <c r="F695" s="15" t="n">
        <v>46249</v>
      </c>
      <c r="G695" s="1" t="s">
        <v>552</v>
      </c>
      <c r="H695" s="1" t="n">
        <v>1561098</v>
      </c>
      <c r="I695" s="1" t="n">
        <v>11</v>
      </c>
      <c r="J695" s="1" t="s">
        <v>1384</v>
      </c>
      <c r="K695" s="65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1390</v>
      </c>
      <c r="D696" s="1" t="s">
        <v>1411</v>
      </c>
      <c r="E696" s="15" t="n">
        <v>46249</v>
      </c>
      <c r="F696" s="15" t="n">
        <v>46248</v>
      </c>
      <c r="G696" s="1" t="s">
        <v>164</v>
      </c>
      <c r="H696" s="1" t="n">
        <v>1552107</v>
      </c>
      <c r="I696" s="1" t="n">
        <v>11</v>
      </c>
      <c r="J696" s="1" t="s">
        <v>1384</v>
      </c>
      <c r="K696" s="65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1390</v>
      </c>
      <c r="D697" s="1" t="s">
        <v>1400</v>
      </c>
      <c r="E697" s="15" t="n">
        <v>46249</v>
      </c>
      <c r="F697" s="15" t="n">
        <v>46249</v>
      </c>
      <c r="G697" s="1" t="s">
        <v>132</v>
      </c>
      <c r="H697" s="1" t="n">
        <v>1552260</v>
      </c>
      <c r="I697" s="1" t="n">
        <v>6</v>
      </c>
      <c r="J697" s="1" t="s">
        <v>1384</v>
      </c>
      <c r="K697" s="65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1390</v>
      </c>
      <c r="D698" s="1" t="s">
        <v>1482</v>
      </c>
      <c r="E698" s="15" t="n">
        <v>46251</v>
      </c>
      <c r="F698" s="15" t="n">
        <v>46247</v>
      </c>
      <c r="G698" s="1" t="s">
        <v>764</v>
      </c>
      <c r="H698" s="1" t="n">
        <v>1561293</v>
      </c>
      <c r="I698" s="1" t="n">
        <v>11</v>
      </c>
      <c r="J698" s="1" t="s">
        <v>1384</v>
      </c>
      <c r="K698" s="65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1390</v>
      </c>
      <c r="D699" s="1" t="s">
        <v>1413</v>
      </c>
      <c r="E699" s="15" t="n">
        <v>46251</v>
      </c>
      <c r="F699" s="15" t="n">
        <v>46251</v>
      </c>
      <c r="G699" s="1" t="s">
        <v>166</v>
      </c>
      <c r="H699" s="1" t="n">
        <v>1562642</v>
      </c>
      <c r="I699" s="1" t="n">
        <v>11</v>
      </c>
      <c r="J699" s="1" t="s">
        <v>1384</v>
      </c>
      <c r="K699" s="65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1390</v>
      </c>
      <c r="D700" s="1" t="s">
        <v>1434</v>
      </c>
      <c r="E700" s="15" t="n">
        <v>46251</v>
      </c>
      <c r="F700" s="15" t="n">
        <v>46248</v>
      </c>
      <c r="G700" s="1" t="s">
        <v>85</v>
      </c>
      <c r="H700" s="1" t="n">
        <v>1562682</v>
      </c>
      <c r="I700" s="1" t="n">
        <v>11</v>
      </c>
      <c r="J700" s="1" t="s">
        <v>1384</v>
      </c>
      <c r="K700" s="65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1388</v>
      </c>
      <c r="D701" s="1" t="s">
        <v>1389</v>
      </c>
      <c r="E701" s="15" t="n">
        <v>46251</v>
      </c>
      <c r="F701" s="15" t="n">
        <v>46249</v>
      </c>
      <c r="G701" s="1" t="s">
        <v>369</v>
      </c>
      <c r="H701" s="1" t="n">
        <v>1561145</v>
      </c>
      <c r="I701" s="1" t="n">
        <v>11</v>
      </c>
      <c r="J701" s="1" t="s">
        <v>1384</v>
      </c>
      <c r="K701" s="65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1390</v>
      </c>
      <c r="D702" s="1" t="s">
        <v>1514</v>
      </c>
      <c r="E702" s="15" t="n">
        <v>46251</v>
      </c>
      <c r="F702" s="15" t="n">
        <v>46251</v>
      </c>
      <c r="G702" s="1" t="s">
        <v>552</v>
      </c>
      <c r="H702" s="1" t="n">
        <v>1566623</v>
      </c>
      <c r="I702" s="1" t="n">
        <v>11</v>
      </c>
      <c r="J702" s="1" t="s">
        <v>1384</v>
      </c>
      <c r="K702" s="65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1390</v>
      </c>
      <c r="D703" s="1" t="s">
        <v>1524</v>
      </c>
      <c r="E703" s="15" t="n">
        <v>46251</v>
      </c>
      <c r="F703" s="15" t="n">
        <v>46246</v>
      </c>
      <c r="G703" s="1" t="s">
        <v>1267</v>
      </c>
      <c r="H703" s="1" t="n">
        <v>1562787</v>
      </c>
      <c r="I703" s="1" t="n">
        <v>11</v>
      </c>
      <c r="J703" s="1" t="s">
        <v>1384</v>
      </c>
      <c r="K703" s="65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1390</v>
      </c>
      <c r="D704" s="1" t="s">
        <v>1408</v>
      </c>
      <c r="E704" s="15" t="n">
        <v>46251</v>
      </c>
      <c r="F704" s="15" t="n">
        <v>46248</v>
      </c>
      <c r="G704" s="1" t="s">
        <v>171</v>
      </c>
      <c r="H704" s="1" t="n">
        <v>1561156</v>
      </c>
      <c r="I704" s="1" t="n">
        <v>11</v>
      </c>
      <c r="J704" s="1" t="s">
        <v>1384</v>
      </c>
      <c r="K704" s="65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1390</v>
      </c>
      <c r="D705" s="1" t="s">
        <v>1412</v>
      </c>
      <c r="E705" s="15" t="n">
        <v>46251</v>
      </c>
      <c r="F705" s="15" t="n">
        <v>46248</v>
      </c>
      <c r="G705" s="1" t="s">
        <v>208</v>
      </c>
      <c r="H705" s="1" t="n">
        <v>1562946</v>
      </c>
      <c r="I705" s="1" t="n">
        <v>11</v>
      </c>
      <c r="J705" s="1" t="s">
        <v>1384</v>
      </c>
      <c r="K705" s="65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1390</v>
      </c>
      <c r="D706" s="1" t="s">
        <v>1391</v>
      </c>
      <c r="E706" s="15" t="n">
        <v>46251</v>
      </c>
      <c r="F706" s="15" t="n">
        <v>46249</v>
      </c>
      <c r="G706" s="1" t="s">
        <v>248</v>
      </c>
      <c r="H706" s="1" t="n">
        <v>1562567</v>
      </c>
      <c r="I706" s="1" t="n">
        <v>11</v>
      </c>
      <c r="J706" s="1" t="s">
        <v>1384</v>
      </c>
      <c r="K706" s="65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1390</v>
      </c>
      <c r="D707" s="1" t="s">
        <v>1400</v>
      </c>
      <c r="E707" s="15" t="n">
        <v>46251</v>
      </c>
      <c r="F707" s="15" t="n">
        <v>46251</v>
      </c>
      <c r="G707" s="1" t="s">
        <v>132</v>
      </c>
      <c r="H707" s="1" t="n">
        <v>1562623</v>
      </c>
      <c r="I707" s="1" t="n">
        <v>6</v>
      </c>
      <c r="J707" s="1" t="s">
        <v>1384</v>
      </c>
      <c r="K707" s="65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1447</v>
      </c>
      <c r="D708" s="1" t="s">
        <v>1449</v>
      </c>
      <c r="E708" s="15" t="n">
        <v>46251</v>
      </c>
      <c r="F708" s="15" t="n">
        <v>46249</v>
      </c>
      <c r="G708" s="1" t="s">
        <v>168</v>
      </c>
      <c r="H708" s="1" t="n">
        <v>1561177</v>
      </c>
      <c r="I708" s="1" t="n">
        <v>11</v>
      </c>
      <c r="J708" s="1" t="s">
        <v>1384</v>
      </c>
      <c r="K708" s="65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1390</v>
      </c>
      <c r="D709" s="1" t="s">
        <v>1395</v>
      </c>
      <c r="E709" s="15" t="n">
        <v>46252</v>
      </c>
      <c r="F709" s="15" t="n">
        <v>46251</v>
      </c>
      <c r="G709" s="1" t="s">
        <v>130</v>
      </c>
      <c r="H709" s="1" t="n">
        <v>1566508</v>
      </c>
      <c r="I709" s="1" t="n">
        <v>11</v>
      </c>
      <c r="J709" s="1" t="s">
        <v>1384</v>
      </c>
      <c r="K709" s="65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1387</v>
      </c>
      <c r="D710" s="1" t="s">
        <v>1386</v>
      </c>
      <c r="E710" s="15" t="n">
        <v>46252</v>
      </c>
      <c r="F710" s="15" t="n">
        <v>46248</v>
      </c>
      <c r="G710" s="1" t="s">
        <v>119</v>
      </c>
      <c r="H710" s="1" t="n">
        <v>1567564</v>
      </c>
      <c r="I710" s="1" t="n">
        <v>11</v>
      </c>
      <c r="J710" s="1" t="s">
        <v>1384</v>
      </c>
      <c r="K710" s="65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1390</v>
      </c>
      <c r="D711" s="1" t="s">
        <v>1397</v>
      </c>
      <c r="E711" s="15" t="n">
        <v>46252</v>
      </c>
      <c r="F711" s="15" t="n">
        <v>46251</v>
      </c>
      <c r="G711" s="1" t="s">
        <v>210</v>
      </c>
      <c r="H711" s="1" t="n">
        <v>1566640</v>
      </c>
      <c r="I711" s="1" t="n">
        <v>11</v>
      </c>
      <c r="J711" s="1" t="s">
        <v>1384</v>
      </c>
      <c r="K711" s="65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1388</v>
      </c>
      <c r="D712" s="1" t="s">
        <v>1389</v>
      </c>
      <c r="E712" s="15" t="n">
        <v>46252</v>
      </c>
      <c r="F712" s="15" t="n">
        <v>46251</v>
      </c>
      <c r="G712" s="1" t="s">
        <v>369</v>
      </c>
      <c r="H712" s="1" t="n">
        <v>1566483</v>
      </c>
      <c r="I712" s="1" t="n">
        <v>11</v>
      </c>
      <c r="J712" s="1" t="s">
        <v>1384</v>
      </c>
      <c r="K712" s="65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1390</v>
      </c>
      <c r="D713" s="1" t="s">
        <v>1505</v>
      </c>
      <c r="E713" s="15" t="n">
        <v>46252</v>
      </c>
      <c r="F713" s="15" t="n">
        <v>46252</v>
      </c>
      <c r="G713" s="1" t="s">
        <v>76</v>
      </c>
      <c r="H713" s="1" t="n">
        <v>1567410</v>
      </c>
      <c r="I713" s="1" t="n">
        <v>11</v>
      </c>
      <c r="J713" s="1" t="s">
        <v>1384</v>
      </c>
      <c r="K713" s="65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1431</v>
      </c>
      <c r="D714" s="1" t="s">
        <v>1525</v>
      </c>
      <c r="E714" s="15" t="n">
        <v>46252</v>
      </c>
      <c r="F714" s="15" t="n">
        <v>46248</v>
      </c>
      <c r="G714" s="1" t="s">
        <v>1255</v>
      </c>
      <c r="H714" s="1" t="n">
        <v>1568081</v>
      </c>
      <c r="I714" s="1" t="n">
        <v>11</v>
      </c>
      <c r="J714" s="1" t="s">
        <v>1384</v>
      </c>
      <c r="K714" s="65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1390</v>
      </c>
      <c r="D715" s="1" t="s">
        <v>1412</v>
      </c>
      <c r="E715" s="15" t="n">
        <v>46252</v>
      </c>
      <c r="F715" s="15" t="n">
        <v>46251</v>
      </c>
      <c r="G715" s="1" t="s">
        <v>208</v>
      </c>
      <c r="H715" s="1" t="n">
        <v>1568205</v>
      </c>
      <c r="I715" s="1" t="n">
        <v>11</v>
      </c>
      <c r="J715" s="1" t="s">
        <v>1384</v>
      </c>
      <c r="K715" s="65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1390</v>
      </c>
      <c r="D716" s="1" t="s">
        <v>1510</v>
      </c>
      <c r="E716" s="15" t="n">
        <v>46252</v>
      </c>
      <c r="F716" s="15" t="n">
        <v>46248</v>
      </c>
      <c r="G716" s="1" t="s">
        <v>263</v>
      </c>
      <c r="H716" s="1" t="n">
        <v>1566789</v>
      </c>
      <c r="I716" s="1" t="n">
        <v>11</v>
      </c>
      <c r="J716" s="1" t="s">
        <v>1384</v>
      </c>
      <c r="K716" s="65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1390</v>
      </c>
      <c r="D717" s="1" t="s">
        <v>1400</v>
      </c>
      <c r="E717" s="15" t="n">
        <v>46252</v>
      </c>
      <c r="F717" s="15" t="n">
        <v>46252</v>
      </c>
      <c r="G717" s="1" t="s">
        <v>132</v>
      </c>
      <c r="H717" s="1" t="n">
        <v>1567601</v>
      </c>
      <c r="I717" s="1" t="n">
        <v>6</v>
      </c>
      <c r="J717" s="1" t="s">
        <v>1384</v>
      </c>
      <c r="K717" s="65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1390</v>
      </c>
      <c r="D718" s="1" t="s">
        <v>1400</v>
      </c>
      <c r="E718" s="15" t="n">
        <v>46252</v>
      </c>
      <c r="F718" s="15" t="n">
        <v>46252</v>
      </c>
      <c r="G718" s="1" t="s">
        <v>132</v>
      </c>
      <c r="H718" s="1" t="n">
        <v>1567627</v>
      </c>
      <c r="I718" s="1" t="n">
        <v>6</v>
      </c>
      <c r="J718" s="1" t="s">
        <v>1384</v>
      </c>
      <c r="K718" s="65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1390</v>
      </c>
      <c r="D719" s="1" t="s">
        <v>1401</v>
      </c>
      <c r="E719" s="15" t="n">
        <v>46252</v>
      </c>
      <c r="F719" s="15" t="n">
        <v>46251</v>
      </c>
      <c r="G719" s="1" t="s">
        <v>92</v>
      </c>
      <c r="H719" s="1" t="n">
        <v>1566662</v>
      </c>
      <c r="I719" s="1" t="n">
        <v>11</v>
      </c>
      <c r="J719" s="1" t="s">
        <v>1384</v>
      </c>
      <c r="K719" s="65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1382</v>
      </c>
      <c r="D720" s="1" t="s">
        <v>1392</v>
      </c>
      <c r="E720" s="15" t="n">
        <v>46252</v>
      </c>
      <c r="F720" s="15" t="n">
        <v>46251</v>
      </c>
      <c r="G720" s="1" t="s">
        <v>194</v>
      </c>
      <c r="H720" s="1" t="n">
        <v>1566531</v>
      </c>
      <c r="I720" s="1" t="n">
        <v>11</v>
      </c>
      <c r="J720" s="1" t="s">
        <v>1384</v>
      </c>
      <c r="K720" s="65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1390</v>
      </c>
      <c r="D721" s="1" t="s">
        <v>1484</v>
      </c>
      <c r="E721" s="15" t="n">
        <v>46252</v>
      </c>
      <c r="F721" s="15" t="n">
        <v>46251</v>
      </c>
      <c r="G721" s="1" t="s">
        <v>684</v>
      </c>
      <c r="H721" s="1" t="n">
        <v>1566715</v>
      </c>
      <c r="I721" s="1" t="n">
        <v>11</v>
      </c>
      <c r="J721" s="1" t="s">
        <v>1384</v>
      </c>
      <c r="K721" s="65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1390</v>
      </c>
      <c r="D722" s="1" t="s">
        <v>1498</v>
      </c>
      <c r="E722" s="15" t="n">
        <v>46252</v>
      </c>
      <c r="F722" s="15" t="n">
        <v>46247</v>
      </c>
      <c r="G722" s="1" t="s">
        <v>88</v>
      </c>
      <c r="H722" s="1" t="n">
        <v>1567122</v>
      </c>
      <c r="I722" s="1" t="n">
        <v>11</v>
      </c>
      <c r="J722" s="1" t="s">
        <v>1384</v>
      </c>
      <c r="K722" s="65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1447</v>
      </c>
      <c r="D723" s="1" t="s">
        <v>1526</v>
      </c>
      <c r="E723" s="15" t="n">
        <v>46252</v>
      </c>
      <c r="F723" s="15" t="n">
        <v>46245</v>
      </c>
      <c r="G723" s="1" t="s">
        <v>1227</v>
      </c>
      <c r="H723" s="1" t="n">
        <v>1566577</v>
      </c>
      <c r="I723" s="1" t="n">
        <v>11</v>
      </c>
      <c r="J723" s="1" t="s">
        <v>1384</v>
      </c>
      <c r="K723" s="65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1447</v>
      </c>
      <c r="D724" s="1" t="s">
        <v>1402</v>
      </c>
      <c r="E724" s="15" t="n">
        <v>46253</v>
      </c>
      <c r="F724" s="15" t="n">
        <v>46252</v>
      </c>
      <c r="G724" s="1" t="s">
        <v>117</v>
      </c>
      <c r="H724" s="1" t="n">
        <v>1570866</v>
      </c>
      <c r="I724" s="1" t="n">
        <v>11</v>
      </c>
      <c r="J724" s="1" t="s">
        <v>1384</v>
      </c>
      <c r="K724" s="65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1390</v>
      </c>
      <c r="D725" s="1" t="s">
        <v>1403</v>
      </c>
      <c r="E725" s="15" t="n">
        <v>46253</v>
      </c>
      <c r="F725" s="15" t="n">
        <v>46252</v>
      </c>
      <c r="G725" s="1" t="s">
        <v>332</v>
      </c>
      <c r="H725" s="1" t="n">
        <v>1572387</v>
      </c>
      <c r="I725" s="1" t="n">
        <v>11</v>
      </c>
      <c r="J725" s="1" t="s">
        <v>1384</v>
      </c>
      <c r="K725" s="65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1390</v>
      </c>
      <c r="D726" s="1" t="s">
        <v>1442</v>
      </c>
      <c r="E726" s="15" t="n">
        <v>46253</v>
      </c>
      <c r="F726" s="15" t="n">
        <v>46248</v>
      </c>
      <c r="G726" s="1" t="s">
        <v>80</v>
      </c>
      <c r="H726" s="1" t="n">
        <v>1570965</v>
      </c>
      <c r="I726" s="1" t="n">
        <v>11</v>
      </c>
      <c r="J726" s="1" t="s">
        <v>1384</v>
      </c>
      <c r="K726" s="65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1390</v>
      </c>
      <c r="D727" s="1" t="s">
        <v>1442</v>
      </c>
      <c r="E727" s="15" t="n">
        <v>46253</v>
      </c>
      <c r="F727" s="15" t="n">
        <v>46248</v>
      </c>
      <c r="G727" s="1" t="s">
        <v>80</v>
      </c>
      <c r="H727" s="1" t="n">
        <v>1570885</v>
      </c>
      <c r="I727" s="1" t="n">
        <v>11</v>
      </c>
      <c r="J727" s="1" t="s">
        <v>1384</v>
      </c>
      <c r="K727" s="65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1390</v>
      </c>
      <c r="D728" s="1" t="s">
        <v>1491</v>
      </c>
      <c r="E728" s="15" t="n">
        <v>46253</v>
      </c>
      <c r="F728" s="15" t="n">
        <v>46247</v>
      </c>
      <c r="G728" s="1" t="s">
        <v>818</v>
      </c>
      <c r="H728" s="1" t="n">
        <v>1572684</v>
      </c>
      <c r="I728" s="1" t="n">
        <v>11</v>
      </c>
      <c r="J728" s="1" t="s">
        <v>1384</v>
      </c>
      <c r="K728" s="65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1390</v>
      </c>
      <c r="D729" s="1" t="s">
        <v>1491</v>
      </c>
      <c r="E729" s="15" t="n">
        <v>46253</v>
      </c>
      <c r="F729" s="15" t="n">
        <v>46247</v>
      </c>
      <c r="G729" s="1" t="s">
        <v>818</v>
      </c>
      <c r="H729" s="1" t="n">
        <v>1572075</v>
      </c>
      <c r="I729" s="1" t="n">
        <v>11</v>
      </c>
      <c r="J729" s="1" t="s">
        <v>1384</v>
      </c>
      <c r="K729" s="65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1390</v>
      </c>
      <c r="D730" s="1" t="s">
        <v>1400</v>
      </c>
      <c r="E730" s="15" t="n">
        <v>46253</v>
      </c>
      <c r="F730" s="15" t="n">
        <v>46253</v>
      </c>
      <c r="G730" s="1" t="s">
        <v>132</v>
      </c>
      <c r="H730" s="1" t="n">
        <v>1572278</v>
      </c>
      <c r="I730" s="1" t="n">
        <v>6</v>
      </c>
      <c r="J730" s="1" t="s">
        <v>1384</v>
      </c>
      <c r="K730" s="65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1390</v>
      </c>
      <c r="D731" s="1" t="s">
        <v>1467</v>
      </c>
      <c r="E731" s="15" t="n">
        <v>46253</v>
      </c>
      <c r="F731" s="15" t="n">
        <v>46247</v>
      </c>
      <c r="G731" s="1" t="s">
        <v>245</v>
      </c>
      <c r="H731" s="1" t="n">
        <v>1572865</v>
      </c>
      <c r="I731" s="1" t="n">
        <v>11</v>
      </c>
      <c r="J731" s="1" t="s">
        <v>1384</v>
      </c>
      <c r="K731" s="65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1388</v>
      </c>
      <c r="D732" s="1" t="s">
        <v>1389</v>
      </c>
      <c r="E732" s="15" t="n">
        <v>46254</v>
      </c>
      <c r="F732" s="15" t="n">
        <v>46253</v>
      </c>
      <c r="G732" s="1" t="s">
        <v>369</v>
      </c>
      <c r="H732" s="1" t="n">
        <v>1576171</v>
      </c>
      <c r="I732" s="1" t="n">
        <v>11</v>
      </c>
      <c r="J732" s="1" t="s">
        <v>1384</v>
      </c>
      <c r="K732" s="65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1390</v>
      </c>
      <c r="D733" s="1" t="s">
        <v>1527</v>
      </c>
      <c r="E733" s="15" t="n">
        <v>46254</v>
      </c>
      <c r="F733" s="15" t="n">
        <v>46252</v>
      </c>
      <c r="G733" s="1" t="s">
        <v>1259</v>
      </c>
      <c r="H733" s="1" t="n">
        <v>1576139</v>
      </c>
      <c r="I733" s="1" t="n">
        <v>11</v>
      </c>
      <c r="J733" s="1" t="s">
        <v>1384</v>
      </c>
      <c r="K733" s="65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1390</v>
      </c>
      <c r="D734" s="1" t="s">
        <v>1400</v>
      </c>
      <c r="E734" s="15" t="n">
        <v>46254</v>
      </c>
      <c r="F734" s="15" t="n">
        <v>46254</v>
      </c>
      <c r="G734" s="1" t="s">
        <v>132</v>
      </c>
      <c r="H734" s="1" t="n">
        <v>1576425</v>
      </c>
      <c r="I734" s="1" t="n">
        <v>6</v>
      </c>
      <c r="J734" s="1" t="s">
        <v>1384</v>
      </c>
      <c r="K734" s="65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1390</v>
      </c>
      <c r="D735" s="1" t="s">
        <v>1405</v>
      </c>
      <c r="E735" s="15" t="n">
        <v>46254</v>
      </c>
      <c r="F735" s="15" t="n">
        <v>46253</v>
      </c>
      <c r="G735" s="1" t="s">
        <v>128</v>
      </c>
      <c r="H735" s="1" t="n">
        <v>1576222</v>
      </c>
      <c r="I735" s="1" t="n">
        <v>11</v>
      </c>
      <c r="J735" s="1" t="s">
        <v>1384</v>
      </c>
      <c r="K735" s="65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2026-08-24T15:24:33Z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