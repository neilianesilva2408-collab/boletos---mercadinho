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<sst xmlns="http://schemas.openxmlformats.org/spreadsheetml/2006/main" count="47476" uniqueCount="4854">
  <si>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</si>
  <si>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</si>
  <si>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</si>
  <si>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</si>
  <si>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</si>
  <si>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</si>
  <si>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</si>
  <si>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</si>
  <si>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</si>
  <si>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</si>
  <si>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</si>
  <si>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</si>
  <si>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</si>
  <si>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</si>
  <si>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</si>
  <si>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</si>
  <si>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</si>
  <si>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</si>
  <si>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</si>
  <si>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</si>
  <si>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</si>
  <si>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</si>
  <si>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</si>
  <si>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</si>
  <si>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</si>
  <si>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</si>
  <si>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</si>
  <si>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</si>
  <si>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</si>
  <si>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</si>
  <si>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</si>
  <si>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</si>
  <si>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</si>
  <si>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</si>
  <si>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</si>
  <si>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</si>
  <si>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</si>
  <si>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</si>
  <si>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</si>
  <si>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</si>
  <si>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</si>
  <si>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</si>
  <si>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</si>
  <si>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</si>
  <si>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</si>
  <si>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</si>
  <si>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</si>
  <si>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</si>
  <si>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</si>
  <si>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</si>
  <si>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</si>
  <si>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</si>
  <si>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</si>
  <si>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</si>
  <si>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</si>
  <si>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</si>
  <si>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</si>
  <si>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</si>
  <si>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</si>
  <si>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</si>
  <si>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</si>
  <si>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</si>
  <si>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</si>
  <si>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</si>
  <si>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</si>
  <si>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</si>
  <si>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</si>
  <si>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</si>
  <si>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</si>
  <si>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</si>
  <si>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</si>
  <si>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</si>
  <si>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</si>
  <si>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</si>
  <si>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</si>
  <si>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</si>
  <si>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</si>
  <si>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</si>
  <si>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</si>
  <si>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</si>
  <si>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</si>
  <si>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</si>
  <si>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</si>
  <si>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</si>
  <si>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</si>
  <si>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</si>
  <si>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</si>
  <si>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</si>
  <si>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</si>
  <si>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</si>
  <si>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</si>
  <si>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</si>
  <si>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</si>
  <si>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</si>
  <si>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</si>
  <si>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</si>
  <si>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</si>
  <si>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</si>
  <si>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</si>
  <si>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</si>
  <si>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</si>
  <si>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</si>
  <si>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</si>
  <si>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</si>
  <si>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</si>
  <si>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</si>
  <si>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</si>
  <si>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</si>
  <si>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</si>
  <si>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</si>
  <si>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</si>
  <si>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</si>
  <si>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</si>
  <si>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</si>
  <si>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</si>
  <si>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</si>
  <si>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</si>
  <si>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</si>
  <si>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</si>
  <si>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</si>
  <si>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</si>
  <si>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</si>
  <si>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</si>
  <si>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</si>
  <si>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</si>
  <si>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</si>
  <si>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</si>
  <si>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</si>
  <si>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</si>
  <si>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</si>
  <si>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</si>
  <si>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</si>
  <si>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</si>
  <si>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</si>
  <si>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</si>
  <si>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</si>
  <si>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</si>
  <si>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</si>
  <si>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</si>
  <si>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</si>
  <si>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</si>
  <si>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</si>
  <si>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</si>
  <si>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</si>
  <si>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</si>
  <si>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</si>
  <si>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</si>
  <si>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</si>
  <si>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</si>
  <si>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</si>
  <si>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</si>
  <si>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</si>
  <si>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</si>
  <si>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</si>
  <si>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</si>
  <si>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</si>
  <si>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</si>
  <si>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</si>
  <si>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</si>
  <si>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</si>
  <si>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</si>
  <si>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</si>
  <si>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</si>
  <si>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</si>
  <si>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</si>
  <si>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</si>
  <si>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</si>
  <si>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</si>
  <si>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</si>
  <si>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</si>
  <si>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</si>
  <si>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</si>
  <si>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</si>
  <si>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</si>
  <si>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</si>
  <si>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</si>
  <si>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</si>
  <si>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</si>
  <si>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</si>
  <si>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</si>
  <si>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</si>
  <si>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</si>
  <si>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</si>
  <si>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</si>
  <si>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</si>
  <si>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</si>
  <si>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</si>
  <si>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</si>
  <si>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</si>
  <si>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</si>
  <si>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</si>
  <si>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</si>
  <si>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</si>
  <si>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</si>
  <si>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</si>
  <si>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</si>
  <si>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</si>
  <si>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</si>
  <si>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</si>
  <si>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</si>
  <si>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</si>
  <si>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</si>
  <si>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</si>
  <si>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</si>
  <si>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</si>
  <si>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</si>
  <si>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</si>
  <si>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</si>
  <si>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</si>
  <si>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</si>
  <si>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</si>
  <si>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</si>
  <si>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</si>
  <si>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</si>
  <si>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</si>
  <si>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</si>
  <si>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</si>
  <si>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</si>
  <si>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</si>
  <si>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</si>
  <si>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</si>
  <si>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</si>
  <si>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</si>
  <si>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</si>
  <si>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</si>
  <si>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</si>
  <si>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</si>
  <si>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</si>
  <si>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</si>
  <si>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</si>
  <si>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</si>
  <si>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</si>
  <si>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</si>
  <si>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</si>
  <si>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</si>
  <si>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</si>
  <si>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</si>
  <si>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</si>
  <si>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</si>
  <si>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</si>
  <si>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</si>
  <si>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</si>
  <si>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</si>
  <si>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</si>
  <si>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</si>
  <si>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</si>
  <si>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</si>
  <si>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</si>
  <si>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</si>
  <si>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</si>
  <si>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</si>
  <si>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</si>
  <si>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</si>
  <si>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</si>
  <si>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</si>
  <si>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</si>
  <si>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</si>
  <si>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</si>
  <si>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</si>
  <si>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</si>
  <si>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</si>
  <si>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</si>
  <si>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</si>
  <si>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</si>
  <si>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</si>
  <si>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</si>
  <si>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</si>
  <si>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</si>
  <si>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</si>
  <si>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</si>
  <si>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</si>
  <si>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</si>
  <si>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</si>
  <si>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</si>
  <si>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</si>
  <si>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</si>
  <si>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</si>
  <si>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</si>
  <si>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</si>
  <si>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</si>
  <si>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</si>
  <si>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</si>
  <si>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</si>
  <si>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</si>
  <si>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</si>
  <si>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</si>
  <si>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</si>
  <si>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</si>
  <si>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</si>
  <si>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</si>
  <si>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</si>
  <si>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</si>
  <si>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</si>
  <si>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</si>
  <si>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</si>
  <si>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</si>
  <si>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</si>
  <si>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</si>
  <si>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</si>
  <si>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</si>
  <si>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</si>
  <si>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</si>
  <si>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</si>
  <si>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</si>
  <si>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</si>
  <si>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</si>
  <si>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</si>
  <si>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</si>
  <si>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</si>
  <si>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</si>
  <si>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</si>
  <si>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</si>
  <si>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</si>
  <si>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</si>
  <si>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</si>
  <si>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</si>
  <si>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</si>
  <si>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</si>
  <si>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</si>
  <si>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</si>
  <si>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</si>
  <si>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</si>
  <si>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</si>
  <si>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</si>
  <si>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</si>
  <si>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</si>
  <si>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</si>
  <si>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</si>
  <si>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</si>
  <si>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</si>
  <si>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</si>
  <si>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</si>
  <si>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</si>
  <si>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</si>
  <si>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</si>
  <si>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</si>
  <si>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</si>
  <si>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</si>
  <si>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</si>
  <si>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</si>
  <si>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</si>
  <si>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</si>
  <si>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</si>
  <si>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</si>
  <si>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</si>
  <si>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</si>
  <si>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</si>
  <si>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</si>
  <si>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</si>
  <si>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</si>
  <si>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</si>
  <si>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</si>
  <si>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</si>
  <si>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</si>
  <si>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</si>
  <si>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</si>
  <si>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</si>
  <si>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</si>
  <si>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</si>
  <si>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</si>
  <si>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</si>
  <si>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</si>
  <si>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</si>
  <si>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</si>
  <si>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</si>
  <si>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</si>
  <si>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</si>
  <si>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</si>
  <si>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</si>
  <si>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</si>
  <si>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</si>
  <si>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</si>
  <si>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</si>
  <si>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</si>
  <si>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</si>
  <si>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</si>
  <si>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</si>
  <si>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</si>
  <si>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</si>
  <si>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</si>
  <si>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</si>
  <si>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</si>
  <si>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</si>
  <si>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</si>
  <si>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</si>
  <si>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</si>
  <si>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</si>
  <si>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</si>
  <si>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</si>
  <si>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</si>
  <si>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</si>
  <si>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</si>
  <si>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</si>
  <si>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</si>
  <si>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</si>
  <si>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</si>
  <si>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</si>
  <si>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</si>
  <si>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</si>
  <si>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</si>
  <si>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</si>
  <si>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</si>
  <si>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</si>
  <si>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</si>
  <si>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</si>
  <si>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</si>
  <si>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</si>
  <si>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</si>
  <si>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</si>
  <si>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</si>
  <si>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</si>
  <si>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</si>
  <si>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</si>
  <si>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</si>
  <si>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</si>
  <si>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</si>
  <si>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</si>
  <si>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</si>
  <si>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</si>
  <si>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</si>
  <si>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</si>
  <si>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</si>
  <si>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</si>
  <si>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</si>
  <si>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</si>
  <si>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</si>
  <si>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</si>
  <si>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</si>
  <si>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</si>
  <si>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</si>
  <si>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</si>
  <si>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</si>
  <si>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</si>
  <si>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</si>
  <si>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</si>
  <si>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</si>
  <si>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</si>
  <si>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</si>
  <si>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</si>
  <si>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</si>
  <si>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</si>
  <si>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</si>
  <si>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</si>
  <si>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</si>
  <si>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</si>
  <si>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</si>
  <si>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</si>
  <si>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</si>
  <si>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</si>
  <si>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</si>
  <si>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</si>
  <si>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</si>
  <si>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</si>
  <si>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</si>
  <si>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</si>
  <si>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</si>
  <si>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</si>
  <si>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</si>
  <si>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</si>
  <si>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</si>
  <si>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</si>
  <si>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</si>
  <si>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</si>
  <si>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</si>
  <si>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</si>
  <si>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</si>
  <si>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</si>
  <si>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</si>
  <si>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</si>
  <si>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</si>
  <si>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</si>
  <si>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</si>
  <si>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</si>
  <si>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</si>
  <si>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</si>
  <si>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</si>
  <si>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</si>
  <si>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</si>
  <si>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</si>
  <si>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</si>
  <si>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</si>
  <si>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</si>
  <si>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</si>
  <si>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</si>
  <si>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</si>
  <si>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</si>
  <si>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</si>
  <si>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</si>
  <si>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</si>
  <si>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</si>
  <si>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</si>
  <si>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</si>
  <si>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</si>
  <si>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</si>
  <si>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</si>
  <si>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</si>
  <si>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</si>
  <si>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</si>
  <si>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</si>
  <si>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</si>
  <si>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</si>
  <si>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</si>
  <si>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</si>
  <si>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</si>
  <si>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</si>
  <si>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</si>
  <si>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</si>
  <si>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</si>
  <si>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</si>
  <si>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</si>
  <si>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</si>
  <si>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</si>
  <si>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</si>
  <si>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</si>
  <si>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</si>
  <si>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</si>
  <si>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</si>
  <si>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</si>
  <si>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</si>
  <si>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</si>
  <si>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</si>
  <si>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</si>
  <si>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</si>
  <si>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</si>
  <si>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</si>
  <si>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</si>
  <si>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</si>
  <si>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</si>
  <si>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</si>
  <si>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</si>
  <si>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</si>
  <si>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</si>
  <si>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</si>
  <si>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</si>
  <si>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</si>
  <si>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</si>
  <si>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</si>
  <si>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</si>
  <si>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</si>
  <si>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</si>
  <si>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</si>
  <si>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</si>
  <si>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</si>
  <si>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</si>
  <si>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</si>
  <si>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</si>
  <si>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</si>
  <si>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</si>
  <si>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</si>
  <si>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</si>
  <si>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</si>
  <si>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</si>
  <si>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</si>
  <si>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</si>
  <si>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</si>
  <si>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</si>
  <si>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</si>
  <si>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</si>
  <si>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</si>
  <si>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</si>
  <si>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</si>
  <si>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</si>
  <si>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</si>
  <si>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</si>
  <si>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</si>
  <si>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</si>
  <si>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</si>
  <si>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</si>
  <si>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</si>
  <si>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</si>
  <si>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</si>
  <si>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</si>
  <si>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</si>
  <si>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</si>
  <si>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</si>
  <si>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</si>
  <si>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</si>
  <si>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</si>
  <si>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</si>
  <si>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</si>
  <si>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</si>
  <si>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</si>
  <si>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</si>
  <si>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</si>
  <si>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</si>
  <si>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</si>
  <si>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</si>
  <si>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</si>
  <si>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</si>
  <si>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</si>
  <si>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</si>
  <si>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</si>
  <si>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</si>
  <si>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</si>
  <si>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</si>
  <si>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</si>
  <si>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</si>
  <si>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</si>
  <si>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</si>
  <si>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</si>
  <si>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</si>
  <si>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</si>
  <si>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</si>
  <si>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</si>
  <si>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</si>
  <si>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</si>
  <si>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</si>
  <si>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</si>
  <si>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</si>
  <si>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</si>
  <si>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</si>
  <si>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</si>
  <si>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</si>
  <si>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</si>
  <si>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</si>
  <si>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</si>
  <si>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</si>
  <si>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</si>
  <si>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</si>
  <si>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</si>
  <si>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</si>
  <si>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</si>
  <si>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</si>
  <si>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</si>
  <si>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</si>
  <si>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</si>
  <si>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</si>
  <si>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</si>
  <si>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</si>
  <si>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</si>
  <si>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</si>
  <si>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</si>
  <si>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</si>
  <si>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</si>
  <si>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</si>
  <si>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</si>
  <si>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</si>
  <si>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</si>
  <si>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</si>
  <si>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</si>
  <si>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</si>
  <si>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</si>
  <si>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</si>
  <si>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</si>
  <si>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</si>
  <si>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</si>
  <si>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</si>
  <si>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</si>
  <si>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</si>
  <si>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</si>
  <si>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</si>
  <si>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</si>
  <si>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</si>
  <si>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</si>
  <si>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</si>
  <si>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</si>
  <si>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</si>
  <si>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</si>
  <si>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</si>
  <si>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</si>
  <si>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</si>
  <si>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</si>
  <si>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</si>
  <si>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</si>
  <si>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</si>
  <si>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</si>
  <si>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</si>
  <si>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</si>
  <si>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</si>
  <si>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</si>
  <si>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</si>
  <si>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</si>
  <si>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</si>
  <si>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</si>
  <si>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</si>
  <si>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</si>
  <si>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</si>
  <si>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</si>
  <si>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</si>
  <si>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</si>
  <si>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</si>
  <si>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</si>
  <si>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</si>
  <si>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</si>
  <si>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</si>
  <si>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</si>
  <si>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</si>
  <si>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</si>
  <si>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</si>
  <si>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</si>
  <si>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</si>
  <si>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</si>
  <si>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</si>
  <si>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</si>
  <si>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</si>
  <si>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</si>
  <si>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</si>
  <si>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</si>
  <si>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</si>
  <si>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</si>
  <si>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</si>
  <si>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</si>
  <si>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</si>
  <si>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</si>
  <si>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</si>
  <si>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</si>
  <si>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</si>
  <si>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</si>
  <si>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</si>
  <si>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</si>
  <si>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</si>
  <si>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</si>
  <si>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</si>
  <si>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</si>
  <si>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</si>
  <si>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</si>
  <si>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</si>
  <si>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</si>
  <si>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</si>
  <si>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</si>
  <si>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</si>
  <si>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</si>
  <si>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</si>
  <si>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</si>
  <si>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</si>
  <si>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</si>
  <si>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</si>
  <si>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</si>
  <si>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</si>
  <si>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</si>
  <si>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</si>
  <si>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</si>
  <si>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</si>
  <si>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</si>
  <si>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</si>
  <si>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</si>
  <si>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</si>
  <si>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</si>
  <si>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</si>
  <si>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</si>
  <si>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</si>
  <si>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</si>
  <si>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</si>
  <si>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</si>
  <si>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</si>
  <si>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</si>
  <si>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</si>
  <si>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</si>
  <si>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</si>
  <si>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</si>
  <si>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</si>
  <si>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</si>
  <si>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</si>
  <si>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</si>
  <si>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</si>
  <si>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</si>
  <si>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</si>
  <si>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</si>
  <si>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</si>
  <si>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</si>
  <si>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</si>
  <si>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</si>
  <si>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</si>
  <si>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</si>
  <si>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</si>
  <si>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</si>
  <si>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</si>
  <si>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</si>
  <si>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</si>
  <si>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</si>
  <si>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</si>
  <si>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</si>
  <si>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</si>
  <si>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</si>
  <si>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</si>
  <si>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</si>
  <si>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</si>
  <si>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</si>
  <si>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</si>
  <si>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</si>
  <si>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</si>
  <si>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</si>
  <si>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</si>
  <si>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</si>
  <si>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</si>
  <si>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</si>
  <si>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</si>
  <si>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</si>
  <si>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</si>
  <si>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</si>
  <si>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</si>
  <si>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</si>
  <si>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</si>
  <si>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</si>
  <si>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</si>
  <si>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</si>
  <si>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</si>
  <si>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</si>
  <si>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</si>
  <si>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</si>
  <si>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</si>
  <si>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</si>
  <si>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</si>
  <si>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</si>
  <si>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</si>
  <si>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</si>
  <si>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</si>
  <si>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</si>
  <si>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</si>
  <si>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</si>
  <si>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</si>
  <si>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</si>
  <si>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</si>
  <si>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</si>
  <si>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</si>
  <si>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</si>
  <si>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</si>
  <si>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</si>
  <si>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</si>
  <si>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</si>
  <si>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</si>
  <si>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</si>
  <si>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</si>
  <si>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</si>
  <si>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</si>
  <si>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</si>
  <si>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</si>
  <si>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</si>
  <si>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</si>
  <si>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</si>
  <si>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</si>
  <si>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</si>
  <si>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</si>
  <si>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</si>
  <si>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</si>
  <si>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</si>
  <si>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</si>
  <si>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</si>
  <si>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</si>
  <si>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</si>
  <si>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</si>
  <si>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</si>
  <si>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</si>
  <si>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</si>
  <si>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</si>
  <si>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</si>
  <si>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</si>
  <si>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</si>
  <si>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</si>
  <si>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</si>
  <si>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</si>
  <si>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</si>
  <si>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</si>
  <si>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</si>
  <si>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</si>
  <si>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</si>
  <si>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</si>
  <si>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</si>
  <si>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</si>
  <si>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</si>
  <si>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</si>
  <si>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</si>
  <si>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</si>
  <si>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</si>
  <si>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</si>
  <si>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</si>
  <si>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</si>
  <si>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</si>
  <si>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</si>
  <si>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</si>
  <si>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</si>
  <si>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</si>
  <si>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</si>
  <si>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</si>
  <si>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</si>
  <si>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</si>
  <si>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</si>
  <si>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</si>
  <si>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</si>
  <si>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</si>
  <si>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</si>
  <si>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</si>
  <si>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</si>
  <si>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</si>
  <si>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</si>
  <si>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</si>
  <si>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</si>
  <si>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</si>
  <si>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</si>
  <si>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</si>
  <si>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</si>
  <si>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</si>
  <si>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</si>
  <si>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</si>
  <si>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</si>
  <si>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</si>
  <si>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</si>
  <si>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</si>
  <si>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</si>
  <si>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</si>
  <si>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</si>
  <si>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</si>
  <si>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</si>
  <si>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</si>
  <si>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</si>
  <si>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</si>
  <si>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</si>
  <si>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</si>
  <si>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</si>
  <si>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</si>
  <si>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</si>
  <si>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</si>
  <si>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</si>
  <si>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</si>
  <si>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</si>
  <si>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</si>
  <si>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</si>
  <si>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</si>
  <si>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</si>
  <si>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</si>
  <si>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</si>
  <si>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</si>
  <si>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</si>
  <si>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</si>
  <si>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</si>
  <si>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</si>
  <si>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</si>
  <si>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</si>
  <si>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</si>
  <si>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</si>
  <si>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</si>
  <si>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</si>
  <si>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</si>
  <si>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</si>
  <si>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</si>
  <si>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</si>
  <si>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</si>
  <si>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</si>
  <si>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</si>
  <si>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</si>
  <si>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</si>
  <si>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</si>
  <si>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</si>
  <si>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</si>
  <si>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</si>
  <si>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</si>
  <si>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</si>
  <si>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</si>
  <si>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</si>
  <si>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</si>
  <si>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</si>
  <si>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</si>
  <si>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</si>
  <si>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</si>
  <si>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</si>
  <si>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</si>
  <si>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</si>
  <si>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</si>
  <si>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</si>
  <si>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</si>
  <si>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</si>
  <si>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</si>
  <si>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</si>
  <si>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</si>
  <si>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</si>
  <si>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</si>
  <si>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</si>
  <si>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</si>
  <si>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</si>
  <si>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</si>
  <si>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</si>
  <si>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</si>
  <si>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</si>
  <si>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</si>
  <si>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</si>
  <si>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</si>
  <si>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</si>
  <si>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</si>
  <si>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</si>
  <si>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</si>
  <si>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</si>
  <si>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</si>
  <si>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</si>
  <si>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</si>
  <si>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</si>
  <si>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</si>
  <si>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</si>
  <si>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</si>
  <si>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</si>
  <si>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</si>
  <si>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</si>
  <si>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</si>
  <si>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</si>
  <si>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</si>
  <si>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</si>
  <si>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</si>
  <si>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</si>
  <si>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</si>
  <si>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</si>
  <si>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</si>
  <si>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</si>
  <si>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</si>
  <si>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</si>
  <si>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</si>
  <si>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</si>
  <si>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</si>
  <si>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</si>
  <si>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</si>
  <si>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</si>
  <si>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</si>
  <si>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</si>
  <si>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</si>
  <si>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</si>
  <si>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</si>
  <si>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</si>
  <si>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</si>
  <si>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</si>
  <si>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</si>
  <si>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</si>
  <si>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</si>
  <si>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</si>
  <si>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</si>
  <si>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</si>
  <si>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</si>
  <si>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</si>
  <si>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</si>
  <si>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</si>
  <si>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</si>
  <si>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</si>
  <si>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</si>
  <si>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</si>
  <si>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</si>
  <si>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</si>
  <si>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</si>
  <si>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</si>
  <si>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</si>
  <si>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</si>
  <si>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</si>
  <si>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</si>
  <si>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</si>
  <si>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</si>
  <si>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</si>
  <si>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</si>
  <si>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</si>
  <si>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</si>
  <si>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</si>
  <si>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</si>
  <si>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</si>
  <si>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</si>
  <si>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</si>
  <si>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</si>
  <si>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</si>
  <si>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</si>
  <si>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</si>
  <si>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</si>
  <si>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</si>
  <si>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</si>
  <si>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</si>
  <si>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</si>
  <si>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</si>
  <si>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</si>
  <si>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</si>
  <si>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</si>
  <si>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</si>
  <si>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</si>
  <si>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</si>
  <si>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</si>
  <si>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</si>
  <si>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</si>
  <si>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</si>
  <si>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</si>
  <si>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</si>
  <si>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</si>
  <si>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</si>
  <si>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</si>
  <si>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</si>
  <si>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</si>
  <si>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</si>
  <si>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</si>
  <si>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</si>
  <si>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</si>
  <si>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</si>
  <si>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</si>
  <si>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</si>
  <si>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</si>
  <si>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</si>
  <si>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</si>
  <si>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</si>
  <si>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</si>
  <si>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</si>
  <si>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</si>
  <si>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</si>
  <si>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</si>
  <si>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</si>
  <si>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</si>
  <si>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</si>
  <si>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</si>
  <si>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</si>
  <si>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</si>
  <si>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</si>
  <si>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</si>
  <si>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</si>
  <si>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</si>
  <si>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</si>
  <si>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</si>
  <si>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</si>
  <si>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</si>
  <si>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</si>
  <si>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</si>
  <si>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</si>
  <si>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</si>
  <si>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</si>
  <si>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</si>
  <si>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</si>
  <si>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</si>
  <si>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</si>
  <si>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</si>
  <si>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</si>
  <si>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</si>
  <si>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</si>
  <si>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</si>
  <si>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</si>
  <si>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</si>
  <si>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</si>
  <si>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</si>
  <si>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</si>
  <si>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</si>
  <si>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</si>
  <si>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</si>
  <si>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</si>
  <si>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</si>
  <si>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</si>
  <si>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</si>
  <si>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</si>
  <si>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</si>
  <si>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</si>
  <si>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</si>
  <si>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</si>
  <si>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</si>
  <si>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</si>
  <si>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</si>
  <si>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</si>
  <si>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</si>
  <si>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</si>
  <si>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</si>
  <si>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</si>
  <si>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</si>
  <si>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</si>
  <si>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</si>
  <si>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</si>
  <si>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</si>
  <si>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</si>
  <si>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</si>
  <si>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</si>
  <si>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</si>
  <si>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</si>
  <si>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</si>
  <si>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</si>
  <si>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</si>
  <si>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</si>
  <si>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</si>
  <si>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</si>
  <si>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</si>
  <si>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</si>
  <si>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</si>
  <si>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</si>
  <si>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</si>
  <si>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</si>
  <si>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</si>
  <si>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</si>
  <si>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</si>
  <si>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</si>
  <si>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</si>
  <si>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</si>
  <si>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</si>
  <si>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</si>
  <si>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</si>
  <si>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</si>
  <si>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</si>
  <si>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</si>
  <si>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</si>
  <si>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</si>
  <si>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</si>
  <si>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</si>
  <si>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</si>
  <si>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</si>
  <si>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</si>
  <si>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</si>
  <si>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</si>
  <si>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</si>
  <si>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</si>
  <si>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</si>
  <si>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</si>
  <si>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</si>
  <si>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</si>
  <si>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</si>
  <si>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</si>
  <si>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</si>
  <si>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</si>
  <si>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</si>
  <si>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</si>
  <si>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</si>
  <si>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</si>
  <si>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</si>
  <si>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</si>
  <si>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</si>
  <si>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</si>
  <si>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</si>
  <si>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</si>
  <si>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</si>
  <si>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</si>
  <si>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</si>
  <si>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</si>
  <si>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</si>
  <si>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</si>
  <si>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</si>
  <si>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</si>
  <si>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</si>
  <si>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</si>
  <si>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</si>
  <si>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</si>
  <si>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</si>
  <si>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</si>
  <si>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</si>
  <si>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</si>
  <si>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</si>
  <si>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</si>
  <si>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</si>
  <si>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</si>
  <si>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</si>
  <si>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</si>
  <si>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</si>
  <si>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</si>
  <si>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</si>
  <si>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</si>
  <si>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</si>
  <si>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</si>
  <si>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</si>
  <si>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</si>
  <si>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</si>
  <si>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</si>
  <si>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</si>
  <si>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</si>
  <si>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</si>
  <si>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</si>
  <si>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</si>
  <si>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</si>
  <si>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</si>
  <si>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</si>
  <si>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</si>
  <si>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</si>
  <si>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</si>
  <si>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</si>
  <si>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</si>
  <si>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</si>
  <si>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</si>
  <si>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</si>
  <si>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</si>
  <si>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</si>
  <si>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</si>
  <si>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</si>
  <si>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</si>
  <si>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</si>
  <si>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</si>
  <si>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</si>
  <si>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</si>
  <si>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</si>
  <si>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</si>
  <si>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</si>
  <si>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</si>
  <si>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</si>
  <si>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</si>
  <si>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</si>
  <si>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</si>
  <si>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</si>
  <si>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</si>
  <si>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</si>
  <si>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</si>
  <si>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</si>
  <si>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</si>
  <si>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</si>
  <si>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</si>
  <si>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</si>
  <si>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</si>
  <si>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</si>
  <si>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</si>
  <si>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</si>
  <si>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</si>
  <si>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</si>
  <si>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</si>
  <si>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</si>
  <si>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</si>
  <si>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</si>
  <si>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</si>
  <si>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</si>
  <si>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</si>
  <si>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</si>
  <si>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</si>
  <si>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</si>
  <si>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</si>
  <si>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</si>
  <si>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</si>
  <si>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</si>
  <si>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</si>
  <si>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</si>
  <si>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</si>
  <si>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</si>
  <si>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</si>
  <si>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</si>
  <si>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</si>
  <si>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</si>
  <si>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</si>
  <si>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</si>
  <si>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</si>
  <si>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</si>
  <si>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</si>
  <si>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</si>
  <si>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</si>
  <si>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</si>
  <si>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</si>
  <si>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</si>
  <si>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</si>
  <si>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</si>
  <si>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</si>
  <si>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</si>
  <si>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</si>
  <si>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</si>
  <si>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</si>
  <si>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</si>
  <si>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</si>
  <si>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</si>
  <si>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</si>
  <si>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</si>
  <si>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</si>
  <si>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</si>
  <si>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</si>
  <si>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</si>
  <si>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</si>
  <si>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</si>
  <si>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</si>
  <si>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</si>
  <si>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</si>
  <si>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</si>
  <si>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</si>
  <si>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</si>
  <si>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</si>
  <si>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</si>
  <si>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</si>
  <si>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</si>
  <si>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</si>
  <si>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</si>
  <si>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</si>
  <si>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</si>
  <si>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</si>
  <si>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</si>
  <si>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</si>
  <si>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</si>
  <si>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</si>
  <si>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</si>
  <si>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</si>
  <si>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</si>
  <si>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</si>
  <si>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</si>
  <si>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</si>
  <si>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</si>
  <si>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</si>
  <si>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</si>
  <si>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</si>
  <si>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</si>
  <si>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</si>
  <si>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</si>
  <si>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</si>
  <si>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</si>
  <si>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</si>
  <si>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</si>
  <si>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</si>
  <si>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</si>
  <si>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</si>
  <si>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</si>
  <si>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</si>
  <si>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</si>
  <si>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</si>
  <si>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</si>
  <si>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</si>
  <si>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</si>
  <si>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</si>
  <si>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</si>
  <si>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</si>
  <si>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</si>
  <si>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</si>
  <si>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</si>
  <si>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</si>
  <si>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</si>
  <si>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</si>
  <si>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</si>
  <si>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</si>
  <si>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</si>
  <si>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</si>
  <si>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</si>
  <si>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</si>
  <si>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</si>
  <si>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</si>
  <si>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</si>
  <si>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</si>
  <si>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</si>
  <si>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</si>
  <si>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</si>
  <si>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</si>
  <si>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</si>
  <si>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</si>
  <si>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</si>
  <si>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</si>
  <si>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</si>
  <si>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</si>
  <si>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</si>
  <si>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</si>
  <si>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</si>
  <si>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</si>
  <si>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</si>
  <si>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</si>
  <si>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</si>
  <si>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</si>
  <si>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</si>
  <si>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</si>
  <si>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</si>
  <si>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</si>
  <si>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</si>
  <si>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</si>
  <si>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</si>
  <si>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</si>
  <si>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</si>
  <si>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</si>
  <si>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</si>
  <si>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</si>
  <si>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</si>
  <si>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</si>
  <si>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</si>
  <si>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</si>
  <si>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</si>
  <si>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</si>
  <si>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</si>
  <si>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</si>
  <si>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</si>
  <si>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</si>
  <si>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</si>
  <si>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</si>
  <si>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</si>
  <si>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</si>
  <si>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</si>
  <si>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</si>
  <si>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</si>
  <si>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</si>
  <si>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</si>
  <si>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</si>
  <si>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</si>
  <si>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</si>
  <si>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</si>
  <si>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</si>
  <si>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</si>
  <si>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</si>
  <si>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</si>
  <si>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</si>
  <si>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</si>
  <si>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</si>
  <si>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</si>
  <si>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</si>
  <si>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</si>
  <si>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</si>
  <si>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</si>
  <si>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</si>
  <si>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</si>
  <si>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</si>
  <si>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</si>
  <si>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</si>
  <si>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</si>
  <si>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</si>
  <si>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</si>
  <si>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</si>
  <si>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</si>
  <si>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</si>
  <si>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</si>
  <si>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</si>
  <si>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</si>
  <si>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</si>
  <si>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</si>
  <si>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</si>
  <si>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</si>
  <si>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</si>
  <si>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</si>
  <si>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</si>
  <si>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</si>
  <si>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</si>
  <si>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</si>
  <si>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</si>
  <si>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</si>
  <si>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</si>
  <si>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</si>
  <si>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</si>
  <si>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</si>
  <si>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</si>
  <si>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</si>
  <si>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</si>
  <si>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</si>
  <si>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</si>
  <si>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</si>
  <si>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</si>
  <si>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</si>
  <si>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</si>
  <si>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</si>
  <si>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</si>
  <si>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</si>
  <si>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</si>
  <si>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</si>
  <si>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</si>
  <si>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</si>
  <si>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</si>
  <si>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</si>
  <si>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</si>
  <si>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</si>
  <si>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</si>
  <si>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</si>
  <si>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</si>
  <si>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</si>
  <si>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</si>
  <si>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</si>
  <si>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</si>
  <si>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</si>
  <si>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</si>
  <si>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</si>
  <si>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</si>
  <si>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</si>
  <si>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</si>
  <si>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</si>
  <si>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</si>
  <si>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</si>
  <si>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</si>
  <si>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</si>
  <si>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</si>
  <si>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</si>
  <si>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</si>
  <si>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</si>
  <si>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</si>
  <si>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</si>
  <si>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</si>
  <si>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</si>
  <si>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</si>
  <si>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</si>
  <si>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</si>
  <si>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</si>
  <si>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</si>
  <si>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</si>
  <si>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</si>
  <si>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</si>
  <si>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</si>
  <si>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</si>
  <si>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</si>
  <si>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</si>
  <si>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</si>
  <si>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</si>
  <si>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</si>
  <si>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</si>
  <si>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</si>
  <si>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</si>
  <si>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</si>
  <si>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256 COMPRAS-BOLO PG NO P 5/9/26 ELLEN</t>
  </si>
  <si>
    <t xml:space="preserve">NF 3829 ELLEN</t>
  </si>
  <si>
    <t xml:space="preserve">NF 15213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</si>
  <si>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</si>
  <si>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</si>
  <si>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</si>
  <si>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</si>
  <si>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</si>
  <si>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</si>
  <si>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</si>
  <si>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</si>
  <si>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</si>
  <si>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</si>
  <si>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</si>
  <si>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</si>
  <si>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</si>
  <si>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</si>
  <si>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</si>
  <si>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</si>
  <si>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</si>
  <si>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</si>
  <si>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</si>
  <si>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</si>
  <si>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</si>
  <si>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</si>
  <si>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</si>
  <si>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</si>
  <si>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</si>
  <si>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</si>
  <si>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NF 644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</si>
  <si>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</si>
  <si>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</si>
  <si>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</si>
  <si>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</si>
  <si>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</si>
  <si>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</si>
  <si>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</si>
  <si>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</si>
  <si>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</si>
  <si>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</si>
  <si>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</si>
  <si>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</si>
  <si>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</si>
  <si>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</si>
  <si>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</si>
  <si>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</si>
  <si>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</si>
  <si>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</si>
  <si>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</si>
  <si>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</si>
  <si>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</si>
  <si>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</si>
  <si>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</si>
  <si>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</si>
  <si>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</si>
  <si>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</si>
  <si>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</si>
  <si>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</si>
  <si>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</si>
  <si>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</si>
  <si>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</si>
  <si>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</si>
  <si>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</si>
  <si>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</si>
  <si>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</si>
  <si>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</si>
  <si>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</si>
  <si>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</si>
  <si>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</si>
  <si>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</si>
  <si>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</si>
  <si>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</si>
  <si>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</si>
  <si>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</si>
  <si>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</si>
  <si>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</si>
  <si>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</si>
  <si>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</si>
  <si>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</si>
  <si>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</si>
  <si>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</si>
  <si>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</si>
  <si>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</si>
  <si>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</si>
  <si>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</si>
  <si>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</si>
  <si>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</si>
  <si>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</si>
  <si>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</si>
  <si>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</si>
  <si>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</si>
  <si>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</si>
  <si>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</si>
  <si>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</si>
  <si>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</si>
  <si>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</si>
  <si>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</si>
  <si>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</si>
  <si>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</si>
  <si>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</si>
  <si>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</si>
  <si>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</si>
  <si>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</si>
  <si>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</si>
  <si>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</si>
  <si>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</si>
  <si>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</si>
  <si>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</si>
  <si>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1724435 ELLEN</t>
  </si>
  <si>
    <t xml:space="preserve">NF 15274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</si>
  <si>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</si>
  <si>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</si>
  <si>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</si>
  <si>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</si>
  <si>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</si>
  <si>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</si>
  <si>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</si>
  <si>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</si>
  <si>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</si>
  <si>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</si>
  <si>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</si>
  <si>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</si>
  <si>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</si>
  <si>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</si>
  <si>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</si>
  <si>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</si>
  <si>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</si>
  <si>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</si>
  <si>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</si>
  <si>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</si>
  <si>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</si>
  <si>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</si>
  <si>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</si>
  <si>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</si>
  <si>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</si>
  <si>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</si>
  <si>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</si>
  <si>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</si>
  <si>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</si>
  <si>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</si>
  <si>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</si>
  <si>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</si>
  <si>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</si>
  <si>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</si>
  <si>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</si>
  <si>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</si>
  <si>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</si>
  <si>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</si>
  <si>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</si>
  <si>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</si>
  <si>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</si>
  <si>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</si>
  <si>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</si>
  <si>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</si>
  <si>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</si>
  <si>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</si>
  <si>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</si>
  <si>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</si>
  <si>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</si>
  <si>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</si>
  <si>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</si>
  <si>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</si>
  <si>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</si>
  <si>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</si>
  <si>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</si>
  <si>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</si>
  <si>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</si>
  <si>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</si>
  <si>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</si>
  <si>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</si>
  <si>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</si>
  <si>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</si>
  <si>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</si>
  <si>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</si>
  <si>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</si>
  <si>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</si>
  <si>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</si>
  <si>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</si>
  <si>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</si>
  <si>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</si>
  <si>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</si>
  <si>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</si>
  <si>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</si>
  <si>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</si>
  <si>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</si>
  <si>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</si>
  <si>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</si>
  <si>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</si>
  <si>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</si>
  <si>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</si>
  <si>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</si>
  <si>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</si>
  <si>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</si>
  <si>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</si>
  <si>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</si>
  <si>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</si>
  <si>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</si>
  <si>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</si>
  <si>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</si>
  <si>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</si>
  <si>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</si>
  <si>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</si>
  <si>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</si>
  <si>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</si>
  <si>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</si>
  <si>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</si>
  <si>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</si>
  <si>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</si>
  <si>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</si>
  <si>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</si>
  <si>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</si>
  <si>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</si>
  <si>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</si>
  <si>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</si>
  <si>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</si>
  <si>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</si>
  <si>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</si>
  <si>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</si>
  <si>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</si>
  <si>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</si>
  <si>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</si>
  <si>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</si>
  <si>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</si>
  <si>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</si>
  <si>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</si>
  <si>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</si>
  <si>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</si>
  <si>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</si>
  <si>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</si>
  <si>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</si>
  <si>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</si>
  <si>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</si>
  <si>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</si>
  <si>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</si>
  <si>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</si>
  <si>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</si>
  <si>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</si>
  <si>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</si>
  <si>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</si>
  <si>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</si>
  <si>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</si>
  <si>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</si>
  <si>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</si>
  <si>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</si>
  <si>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</si>
  <si>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</si>
  <si>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</si>
  <si>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</si>
  <si>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</si>
  <si>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</si>
  <si>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</si>
  <si>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</si>
  <si>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</si>
  <si>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</si>
  <si>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</si>
  <si>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</si>
  <si>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</si>
  <si>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</si>
  <si>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</si>
  <si>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</si>
  <si>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</si>
  <si>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</si>
  <si>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</si>
  <si>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</si>
  <si>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</si>
  <si>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</si>
  <si>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</si>
  <si>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</si>
  <si>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</si>
  <si>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</si>
  <si>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resumo dia</t>
  </si>
  <si>
    <t xml:space="preserve">34579060000122</t>
  </si>
  <si>
    <t xml:space="preserve">dia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</si>
  <si>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</si>
  <si>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</si>
  <si>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</si>
  <si>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</si>
  <si>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</si>
  <si>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</si>
  <si>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</si>
  <si>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</si>
  <si>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</si>
  <si>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</si>
  <si>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</si>
  <si>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</si>
  <si>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</si>
  <si>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</si>
  <si>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</si>
  <si>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</si>
  <si>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</si>
  <si>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</si>
  <si>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</si>
  <si>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</si>
  <si>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</si>
  <si>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</si>
  <si>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</si>
  <si>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</si>
  <si>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</si>
  <si>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</si>
  <si>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</si>
  <si>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</si>
  <si>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</si>
  <si>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</si>
  <si>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</si>
  <si>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</si>
  <si>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</si>
  <si>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</si>
  <si>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</si>
  <si>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</si>
  <si>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</si>
  <si>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</si>
  <si>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</si>
  <si>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</si>
  <si>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</si>
  <si>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</si>
  <si>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</si>
  <si>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</si>
  <si>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</si>
  <si>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</si>
  <si>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</si>
  <si>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</si>
  <si>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</si>
  <si>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</si>
  <si>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</si>
  <si>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</si>
  <si>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</si>
  <si>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</si>
  <si>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</si>
  <si>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</si>
  <si>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</si>
  <si>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</si>
  <si>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</si>
  <si>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</si>
  <si>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</si>
  <si>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</si>
  <si>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</si>
  <si>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</si>
  <si>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</si>
  <si>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</si>
  <si>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</si>
  <si>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</si>
  <si>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</si>
  <si>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</si>
  <si>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</si>
  <si>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</si>
  <si>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</si>
  <si>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</si>
  <si>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</si>
  <si>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</si>
  <si>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</si>
  <si>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</si>
  <si>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</si>
  <si>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</si>
  <si>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</si>
  <si>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</si>
  <si>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</si>
  <si>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</si>
  <si>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</si>
  <si>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</si>
  <si>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</si>
  <si>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</si>
  <si>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</si>
  <si>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</si>
  <si>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</si>
  <si>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</si>
  <si>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</si>
  <si>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</si>
  <si>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</si>
  <si>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</si>
  <si>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</si>
  <si>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</si>
  <si>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</si>
  <si>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</si>
  <si>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</si>
  <si>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</si>
  <si>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</si>
  <si>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</si>
  <si>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</si>
  <si>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</si>
  <si>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</si>
  <si>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</si>
  <si>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</si>
  <si>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</si>
  <si>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</si>
  <si>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</si>
  <si>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</si>
  <si>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</si>
  <si>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</si>
  <si>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</si>
  <si>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</si>
  <si>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</si>
  <si>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</si>
  <si>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</si>
  <si>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</si>
  <si>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</si>
  <si>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</si>
  <si>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</si>
  <si>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</si>
  <si>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</si>
  <si>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</si>
  <si>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</si>
  <si>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</si>
  <si>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</si>
  <si>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</si>
  <si>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</si>
  <si>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</si>
  <si>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</si>
  <si>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</si>
  <si>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</si>
  <si>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</si>
  <si>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</si>
  <si>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</si>
  <si>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</si>
  <si>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</si>
  <si>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</si>
  <si>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</si>
  <si>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</si>
  <si>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</si>
  <si>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</si>
  <si>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</si>
  <si>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</si>
  <si>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</si>
  <si>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</si>
  <si>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</si>
  <si>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</si>
  <si>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</si>
  <si>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</si>
  <si>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</si>
  <si>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</si>
  <si>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</si>
  <si>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</si>
  <si>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</si>
  <si>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</si>
  <si>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</si>
  <si>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</si>
  <si>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</si>
  <si>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</si>
  <si>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</si>
  <si>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</si>
  <si>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</si>
  <si>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</si>
  <si>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</si>
  <si>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</si>
  <si>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</si>
  <si>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</si>
  <si>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</si>
  <si>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</si>
  <si>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</si>
  <si>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</si>
  <si>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</si>
  <si>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</si>
  <si>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</si>
  <si>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</si>
  <si>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</si>
  <si>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</si>
  <si>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</si>
  <si>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</si>
  <si>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</si>
  <si>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</si>
  <si>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</si>
  <si>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</si>
  <si>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</si>
  <si>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</si>
  <si>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</si>
  <si>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</si>
  <si>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</si>
  <si>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</si>
  <si>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</si>
  <si>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</si>
  <si>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</si>
  <si>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</si>
  <si>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</si>
  <si>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</si>
  <si>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</si>
  <si>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</si>
  <si>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</si>
  <si>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</si>
  <si>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</si>
  <si>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</si>
  <si>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</si>
  <si>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</si>
  <si>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</si>
  <si>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</si>
  <si>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</si>
  <si>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</si>
  <si>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</si>
  <si>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</si>
  <si>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</si>
  <si>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</si>
  <si>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</si>
  <si>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</si>
  <si>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</si>
  <si>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</si>
  <si>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</si>
  <si>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</si>
  <si>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</si>
  <si>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</si>
  <si>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</si>
  <si>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</si>
  <si>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</si>
  <si>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</si>
  <si>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</si>
  <si>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</si>
  <si>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</si>
  <si>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</si>
  <si>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</si>
  <si>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</si>
  <si>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</si>
  <si>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</si>
  <si>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</si>
  <si>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</si>
  <si>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</si>
  <si>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</si>
  <si>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</si>
  <si>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</si>
  <si>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</si>
  <si>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</si>
  <si>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</si>
  <si>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</si>
  <si>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</si>
  <si>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</si>
  <si>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</si>
  <si>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</si>
  <si>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</si>
  <si>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</si>
  <si>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</si>
  <si>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</si>
  <si>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</si>
  <si>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</si>
  <si>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</si>
  <si>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</si>
  <si>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</si>
  <si>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</si>
  <si>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</si>
  <si>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</si>
  <si>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</si>
  <si>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</si>
  <si>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</si>
  <si>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</si>
  <si>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</si>
  <si>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</si>
  <si>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</si>
  <si>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</si>
  <si>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</si>
  <si>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</si>
  <si>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</si>
  <si>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</si>
  <si>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</si>
  <si>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</si>
  <si>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</si>
  <si>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</si>
  <si>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</si>
  <si>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</si>
  <si>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</si>
  <si>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</si>
  <si>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</si>
  <si>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</si>
  <si>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</si>
  <si>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</si>
  <si>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</si>
  <si>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</si>
  <si>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</si>
  <si>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</si>
  <si>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</si>
  <si>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</si>
  <si>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</si>
  <si>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</si>
  <si>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</si>
  <si>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</si>
  <si>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</si>
  <si>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</si>
  <si>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</si>
  <si>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</si>
  <si>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</si>
  <si>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</si>
  <si>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</si>
  <si>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</si>
  <si>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</si>
  <si>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</si>
  <si>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</si>
  <si>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</si>
  <si>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</si>
  <si>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</si>
  <si>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</si>
  <si>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</si>
  <si>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</si>
  <si>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</si>
  <si>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</si>
  <si>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</si>
  <si>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</si>
  <si>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</si>
  <si>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</si>
  <si>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</si>
  <si>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</si>
  <si>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</si>
  <si>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</si>
  <si>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</si>
  <si>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</si>
  <si>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</si>
  <si>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</si>
  <si>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</si>
  <si>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</si>
  <si>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</si>
  <si>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</si>
  <si>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</si>
  <si>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</si>
  <si>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</si>
  <si>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</si>
  <si>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</si>
  <si>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</si>
  <si>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</si>
  <si>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</si>
  <si>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</si>
  <si>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</si>
  <si>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</si>
  <si>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</si>
  <si>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</si>
  <si>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</si>
  <si>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</si>
  <si>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</si>
  <si>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</si>
  <si>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</si>
  <si>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</si>
  <si>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</si>
  <si>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</si>
  <si>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</si>
  <si>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</si>
  <si>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</si>
  <si>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</si>
  <si>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</si>
  <si>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</si>
  <si>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</si>
  <si>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</si>
  <si>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</si>
  <si>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</si>
  <si>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</si>
  <si>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</si>
  <si>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</si>
  <si>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</si>
  <si>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</si>
  <si>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</si>
  <si>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</si>
  <si>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</si>
  <si>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</si>
  <si>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</si>
  <si>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</si>
  <si>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</si>
  <si>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</si>
  <si>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</si>
  <si>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</si>
  <si>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</si>
  <si>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</si>
  <si>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</si>
  <si>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</si>
  <si>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</si>
  <si>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</si>
  <si>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</si>
  <si>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</si>
  <si>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</si>
  <si>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</si>
  <si>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</si>
  <si>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</si>
  <si>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</si>
  <si>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</si>
  <si>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</si>
  <si>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</si>
  <si>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</si>
  <si>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</si>
  <si>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</si>
  <si>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</si>
  <si>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</si>
  <si>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</si>
  <si>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</si>
  <si>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</si>
  <si>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</si>
  <si>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</si>
  <si>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</si>
  <si>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</si>
  <si>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</si>
  <si>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</si>
  <si>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</si>
  <si>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</si>
  <si>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</si>
  <si>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</si>
  <si>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</si>
  <si>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</si>
  <si>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</si>
  <si>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</si>
  <si>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</si>
  <si>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</si>
  <si>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</si>
  <si>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</si>
  <si>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</si>
  <si>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</si>
  <si>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</si>
  <si>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</si>
  <si>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</si>
  <si>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</si>
  <si>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</si>
  <si>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</si>
  <si>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</si>
  <si>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</si>
  <si>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</si>
  <si>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</si>
  <si>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</si>
  <si>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</si>
  <si>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</si>
  <si>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</si>
  <si>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</si>
  <si>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</si>
  <si>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</si>
  <si>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</si>
  <si>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</si>
  <si>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</si>
  <si>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</si>
  <si>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</si>
  <si>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</si>
  <si>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</si>
  <si>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</si>
  <si>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</si>
  <si>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</si>
  <si>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</si>
  <si>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</si>
  <si>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</si>
  <si>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</si>
  <si>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</si>
  <si>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</si>
  <si>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</si>
  <si>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</si>
  <si>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</si>
  <si>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</si>
  <si>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</si>
  <si>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</si>
  <si>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</si>
  <si>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</si>
  <si>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</si>
  <si>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</si>
  <si>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</si>
  <si>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</si>
  <si>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</si>
  <si>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</si>
  <si>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</si>
  <si>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</si>
  <si>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</si>
  <si>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</si>
  <si>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</si>
  <si>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</si>
  <si>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</si>
  <si>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</si>
  <si>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</si>
  <si>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</si>
  <si>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</si>
  <si>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</si>
  <si>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</si>
  <si>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</si>
  <si>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</si>
  <si>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</si>
  <si>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</si>
  <si>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</si>
  <si>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</si>
  <si>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</si>
  <si>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</si>
  <si>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</si>
  <si>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</si>
  <si>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</si>
  <si>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</si>
  <si>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</si>
  <si>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</si>
  <si>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</si>
  <si>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</si>
  <si>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</si>
  <si>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</si>
  <si>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</si>
  <si>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</si>
  <si>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</si>
  <si>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</si>
  <si>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</si>
  <si>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</si>
  <si>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</si>
  <si>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</si>
  <si>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</si>
  <si>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</si>
  <si>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</si>
  <si>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</si>
  <si>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</si>
  <si>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</si>
  <si>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</si>
  <si>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</si>
  <si>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</si>
  <si>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</si>
  <si>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</si>
  <si>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</si>
  <si>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</si>
  <si>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</si>
  <si>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</si>
  <si>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</si>
  <si>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</si>
  <si>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</si>
  <si>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</si>
  <si>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</si>
  <si>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</si>
  <si>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</si>
  <si>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</si>
  <si>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</si>
  <si>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</si>
  <si>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</si>
  <si>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</si>
  <si>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</si>
  <si>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</si>
  <si>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</si>
  <si>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</si>
  <si>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</si>
  <si>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</si>
  <si>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</si>
  <si>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</si>
  <si>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</si>
  <si>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</si>
  <si>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</si>
  <si>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</si>
  <si>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</si>
  <si>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</si>
  <si>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</si>
  <si>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</si>
  <si>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</si>
  <si>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</si>
  <si>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</si>
  <si>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</si>
  <si>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</si>
  <si>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</si>
  <si>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</si>
  <si>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</si>
  <si>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</si>
  <si>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</si>
  <si>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</si>
  <si>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</si>
  <si>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</si>
  <si>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</si>
  <si>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</si>
  <si>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</si>
  <si>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</si>
  <si>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</si>
  <si>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</si>
  <si>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</si>
  <si>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</si>
  <si>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</si>
  <si>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</si>
  <si>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</si>
  <si>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</si>
  <si>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</si>
  <si>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</si>
  <si>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</si>
  <si>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</si>
  <si>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</si>
  <si>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</si>
  <si>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</si>
  <si>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</si>
  <si>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</si>
  <si>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</si>
  <si>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</si>
  <si>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</si>
  <si>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</si>
  <si>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</si>
  <si>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</si>
  <si>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</si>
  <si>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</si>
  <si>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</si>
  <si>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</si>
  <si>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</si>
  <si>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</si>
  <si>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</si>
  <si>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</si>
  <si>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</si>
  <si>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</si>
  <si>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</si>
  <si>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</si>
  <si>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</si>
  <si>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</si>
  <si>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</si>
  <si>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</si>
  <si>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</si>
  <si>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</si>
  <si>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</si>
  <si>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</si>
  <si>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</si>
  <si>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</si>
  <si>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</si>
  <si>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</si>
  <si>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</si>
  <si>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</si>
  <si>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</si>
  <si>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</si>
  <si>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</si>
  <si>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</si>
  <si>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</si>
  <si>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</si>
  <si>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</si>
  <si>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</si>
  <si>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</si>
  <si>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</si>
  <si>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</si>
  <si>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</si>
  <si>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</si>
  <si>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</si>
  <si>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</si>
  <si>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</si>
  <si>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</si>
  <si>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</si>
  <si>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</si>
  <si>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</si>
  <si>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</si>
  <si>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</si>
  <si>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</si>
  <si>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</si>
  <si>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</si>
  <si>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</si>
  <si>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BARRA DE CEREAIS NUT</t>
  </si>
  <si>
    <t xml:space="preserve">VASSOURA NOVIÇA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</si>
  <si>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</si>
  <si>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</si>
  <si>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</si>
  <si>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</si>
  <si>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</si>
  <si>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</si>
  <si>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</si>
  <si>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</si>
  <si>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</si>
  <si>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</si>
  <si>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</si>
  <si>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</si>
  <si>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</si>
  <si>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</si>
  <si>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</si>
  <si>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</si>
  <si>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</si>
  <si>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</si>
  <si>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</si>
  <si>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</si>
  <si>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</si>
  <si>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</si>
  <si>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</si>
  <si>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</si>
  <si>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</si>
  <si>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</si>
  <si>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</si>
  <si>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</si>
  <si>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</si>
  <si>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</si>
  <si>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</si>
  <si>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</si>
  <si>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</si>
  <si>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</si>
  <si>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</si>
  <si>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</si>
  <si>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</si>
  <si>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</si>
  <si>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</si>
  <si>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</si>
  <si>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</si>
  <si>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</si>
  <si>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</si>
  <si>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</si>
  <si>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</si>
  <si>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</si>
  <si>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</si>
  <si>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</si>
  <si>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</si>
  <si>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</si>
  <si>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</si>
  <si>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</si>
  <si>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</si>
  <si>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</si>
  <si>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</si>
  <si>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</si>
  <si>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</si>
  <si>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</si>
  <si>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</si>
  <si>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</si>
  <si>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</si>
  <si>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</si>
  <si>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</si>
  <si>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</si>
  <si>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</si>
  <si>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</si>
  <si>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</si>
  <si>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</si>
  <si>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</si>
  <si>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</si>
  <si>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</si>
  <si>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</si>
  <si>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</si>
  <si>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</si>
  <si>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</si>
  <si>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</si>
  <si>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</si>
  <si>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</si>
  <si>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</si>
  <si>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</si>
  <si>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</si>
  <si>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</si>
  <si>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</si>
  <si>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</si>
  <si>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</si>
  <si>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</si>
  <si>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</si>
  <si>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</si>
  <si>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</si>
  <si>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</si>
  <si>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</si>
  <si>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</si>
  <si>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</si>
  <si>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</si>
  <si>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</si>
  <si>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</si>
  <si>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</si>
  <si>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</si>
  <si>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</si>
  <si>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</si>
  <si>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</si>
  <si>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</si>
  <si>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</si>
  <si>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</si>
  <si>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</si>
  <si>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</si>
  <si>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</si>
  <si>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</si>
  <si>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</si>
  <si>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</si>
  <si>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</si>
  <si>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</si>
  <si>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</si>
  <si>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</si>
  <si>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</si>
  <si>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</si>
  <si>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</si>
  <si>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</si>
  <si>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</si>
  <si>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</si>
  <si>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</si>
  <si>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</si>
  <si>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</si>
  <si>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</si>
  <si>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</si>
  <si>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</si>
  <si>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</si>
  <si>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</si>
  <si>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</si>
  <si>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</si>
  <si>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</si>
  <si>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</si>
  <si>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</si>
  <si>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</si>
  <si>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</si>
  <si>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</si>
  <si>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</si>
  <si>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</si>
  <si>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</si>
  <si>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</si>
  <si>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</si>
  <si>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</si>
  <si>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</si>
  <si>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</si>
  <si>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</si>
  <si>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</si>
  <si>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</si>
  <si>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</si>
  <si>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</si>
  <si>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</si>
  <si>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</si>
  <si>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</si>
  <si>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</si>
  <si>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</si>
  <si>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</si>
  <si>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</si>
  <si>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</si>
  <si>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</si>
  <si>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</si>
  <si>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</si>
  <si>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</si>
  <si>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</si>
  <si>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</si>
  <si>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</si>
  <si>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</si>
  <si>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</si>
  <si>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</si>
  <si>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</si>
  <si>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</si>
  <si>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</si>
  <si>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</si>
  <si>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</si>
  <si>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</si>
  <si>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</si>
  <si>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</si>
  <si>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</si>
  <si>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</si>
  <si>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</si>
  <si>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</si>
  <si>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</si>
  <si>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</si>
  <si>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</si>
  <si>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</si>
  <si>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</si>
  <si>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</si>
  <si>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</si>
  <si>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</si>
  <si>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</si>
  <si>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</si>
  <si>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</si>
  <si>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</si>
  <si>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</si>
  <si>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</si>
  <si>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</si>
  <si>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</si>
  <si>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</si>
  <si>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</si>
  <si>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</si>
  <si>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</si>
  <si>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</si>
  <si>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</si>
  <si>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</si>
  <si>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</si>
  <si>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</si>
  <si>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</si>
  <si>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</si>
  <si>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</si>
  <si>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</si>
  <si>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</si>
  <si>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</si>
  <si>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</si>
  <si>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</si>
  <si>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</si>
  <si>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</si>
  <si>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</si>
  <si>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</si>
  <si>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</si>
  <si>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</si>
  <si>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</si>
  <si>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</si>
  <si>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</si>
  <si>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</si>
  <si>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</si>
  <si>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</si>
  <si>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</si>
  <si>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</si>
  <si>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</si>
  <si>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</si>
  <si>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</si>
  <si>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</si>
  <si>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</si>
  <si>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</si>
  <si>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</si>
  <si>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</si>
  <si>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</si>
  <si>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</si>
  <si>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</si>
  <si>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</si>
  <si>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</si>
  <si>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</si>
  <si>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</si>
  <si>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</si>
  <si>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</si>
  <si>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</si>
  <si>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</si>
  <si>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</si>
  <si>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</si>
  <si>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</si>
  <si>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</si>
  <si>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</si>
  <si>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</si>
  <si>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</si>
  <si>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</si>
  <si>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</si>
  <si>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</si>
  <si>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</si>
  <si>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</si>
  <si>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</si>
  <si>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</si>
  <si>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</si>
  <si>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</si>
  <si>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</si>
  <si>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</si>
  <si>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</si>
  <si>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</si>
  <si>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</si>
  <si>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</si>
  <si>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</si>
  <si>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</si>
  <si>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</si>
  <si>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</si>
  <si>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</si>
  <si>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</si>
  <si>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</si>
  <si>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</si>
  <si>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</si>
  <si>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</si>
  <si>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</si>
  <si>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</si>
  <si>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</si>
  <si>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</si>
  <si>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</si>
  <si>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</si>
  <si>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</si>
  <si>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</si>
  <si>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</si>
  <si>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</si>
  <si>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</si>
  <si>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</si>
  <si>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</si>
  <si>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</si>
  <si>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</si>
  <si>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</si>
  <si>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</si>
  <si>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</si>
  <si>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</si>
  <si>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</si>
  <si>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</si>
  <si>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</si>
  <si>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</si>
  <si>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</si>
  <si>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</si>
  <si>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</si>
  <si>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</si>
  <si>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</si>
  <si>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</si>
  <si>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</si>
  <si>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</si>
  <si>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</si>
  <si>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</si>
  <si>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</si>
  <si>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</si>
  <si>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</si>
  <si>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</si>
  <si>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</si>
  <si>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</si>
  <si>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</si>
  <si>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</si>
  <si>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</si>
  <si>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</si>
  <si>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</si>
  <si>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</si>
  <si>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</si>
  <si>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</si>
  <si>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</si>
  <si>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</si>
  <si>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</si>
  <si>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</si>
  <si>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</si>
  <si>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</si>
  <si>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</si>
  <si>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</si>
  <si>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</si>
  <si>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</si>
  <si>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</si>
  <si>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</si>
  <si>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</si>
  <si>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</si>
  <si>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</si>
  <si>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</si>
  <si>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</si>
  <si>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</si>
  <si>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</si>
  <si>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</si>
  <si>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</si>
  <si>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</si>
  <si>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</si>
  <si>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</si>
  <si>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</si>
  <si>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</si>
  <si>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</si>
  <si>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</si>
  <si>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</si>
  <si>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</si>
  <si>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</si>
  <si>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</si>
  <si>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</si>
  <si>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</si>
  <si>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</si>
  <si>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</si>
  <si>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</si>
  <si>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</si>
  <si>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</si>
  <si>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</si>
  <si>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</si>
  <si>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</si>
  <si>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</si>
  <si>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</si>
  <si>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</si>
  <si>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</si>
  <si>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</si>
  <si>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</si>
  <si>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</si>
  <si>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</si>
  <si>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</si>
  <si>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</si>
  <si>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</si>
  <si>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</si>
  <si>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</si>
  <si>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</si>
  <si>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</si>
  <si>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</si>
  <si>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</si>
  <si>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</si>
  <si>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</si>
  <si>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</si>
  <si>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</si>
  <si>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</si>
  <si>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</si>
  <si>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</si>
  <si>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</si>
  <si>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</si>
  <si>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</si>
  <si>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</si>
  <si>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</si>
  <si>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</si>
  <si>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</si>
  <si>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</si>
  <si>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</si>
  <si>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</si>
  <si>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</si>
  <si>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</si>
  <si>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</si>
  <si>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</si>
  <si>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</si>
  <si>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</si>
  <si>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</si>
  <si>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</si>
  <si>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</si>
  <si>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</si>
  <si>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</si>
  <si>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</si>
  <si>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</si>
  <si>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</si>
  <si>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</si>
  <si>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</si>
  <si>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</si>
  <si>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</si>
  <si>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</si>
  <si>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</si>
  <si>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</si>
  <si>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</si>
  <si>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</si>
  <si>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</si>
  <si>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</si>
  <si>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</si>
  <si>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</si>
  <si>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</si>
  <si>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</si>
  <si>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</si>
  <si>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</si>
  <si>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</si>
  <si>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</si>
  <si>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</si>
  <si>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</si>
  <si>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</si>
  <si>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</si>
  <si>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</si>
  <si>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</si>
  <si>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</si>
  <si>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</si>
  <si>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</si>
  <si>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</si>
  <si>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</si>
  <si>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</si>
  <si>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</si>
  <si>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</si>
  <si>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</si>
  <si>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</si>
  <si>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</si>
  <si>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</si>
  <si>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</si>
  <si>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</si>
  <si>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</si>
  <si>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</si>
  <si>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</si>
  <si>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</si>
  <si>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</si>
  <si>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</si>
  <si>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</si>
  <si>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</si>
  <si>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</si>
  <si>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</si>
  <si>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</si>
  <si>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</si>
  <si>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</si>
  <si>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</si>
  <si>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</si>
  <si>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</si>
  <si>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</si>
  <si>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</si>
  <si>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</si>
  <si>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</si>
  <si>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</si>
  <si>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</si>
  <si>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</si>
  <si>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</si>
  <si>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</si>
  <si>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</si>
  <si>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</si>
  <si>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</si>
  <si>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</si>
  <si>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</si>
  <si>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</si>
  <si>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</si>
  <si>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</si>
  <si>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</si>
  <si>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</si>
  <si>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</si>
  <si>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</si>
  <si>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</si>
  <si>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</si>
  <si>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</si>
  <si>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</si>
  <si>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</si>
  <si>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</si>
  <si>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</si>
  <si>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</si>
  <si>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</si>
  <si>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</si>
  <si>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</si>
  <si>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</si>
  <si>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</si>
  <si>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</si>
  <si>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</si>
  <si>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</si>
  <si>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</si>
  <si>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</si>
  <si>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</si>
  <si>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</si>
  <si>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</si>
  <si>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</si>
  <si>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</si>
  <si>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</si>
  <si>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</si>
  <si>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</si>
  <si>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</si>
  <si>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</si>
  <si>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</si>
  <si>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</si>
  <si>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</si>
  <si>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</si>
  <si>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</si>
  <si>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</si>
  <si>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</si>
  <si>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</si>
  <si>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</si>
  <si>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</si>
  <si>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</si>
  <si>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</si>
  <si>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</si>
  <si>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</si>
  <si>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</si>
  <si>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</si>
  <si>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</si>
  <si>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</si>
  <si>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</si>
  <si>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</si>
  <si>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</si>
  <si>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</si>
  <si>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</si>
  <si>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</si>
  <si>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</si>
  <si>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</si>
  <si>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</si>
  <si>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</si>
  <si>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</si>
  <si>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</si>
  <si>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</si>
  <si>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</si>
  <si>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</si>
  <si>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</si>
  <si>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</si>
  <si>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</si>
  <si>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</si>
  <si>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</si>
  <si>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</si>
  <si>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</si>
  <si>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</si>
  <si>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</si>
  <si>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</si>
  <si>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</si>
  <si>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</si>
  <si>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</si>
  <si>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</si>
  <si>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</si>
  <si>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</si>
  <si>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</si>
  <si>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</si>
  <si>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</si>
  <si>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</si>
  <si>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</si>
  <si>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</si>
  <si>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</si>
  <si>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</si>
  <si>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</si>
  <si>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</si>
  <si>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</si>
  <si>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</si>
  <si>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</si>
  <si>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</si>
  <si>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</si>
  <si>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</si>
  <si>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</si>
  <si>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</si>
  <si>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</si>
  <si>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</si>
  <si>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</si>
  <si>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</si>
  <si>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</si>
  <si>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</si>
  <si>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</si>
  <si>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CHEETOS BOLA 33G</t>
  </si>
  <si>
    <t xml:space="preserve">BATATA RUFFLES CEB SALSA 68G</t>
  </si>
  <si>
    <t xml:space="preserve">SALG CHEETOS LUA 95G</t>
  </si>
  <si>
    <t xml:space="preserve">LAYS COPA PICANHA 62G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</si>
  <si>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</si>
  <si>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</si>
  <si>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</si>
  <si>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</si>
  <si>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</si>
  <si>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</si>
  <si>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</si>
  <si>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</si>
  <si>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</si>
  <si>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</si>
  <si>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</si>
  <si>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</si>
  <si>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</si>
  <si>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</si>
  <si>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</si>
  <si>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</si>
  <si>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</si>
  <si>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</si>
  <si>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</si>
  <si>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</si>
  <si>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</si>
  <si>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</si>
  <si>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</si>
  <si>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</si>
  <si>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</si>
  <si>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</si>
  <si>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</si>
  <si>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</si>
  <si>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</si>
  <si>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</si>
  <si>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</si>
  <si>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</si>
  <si>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</si>
  <si>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</si>
  <si>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</si>
  <si>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</si>
  <si>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</si>
  <si>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</si>
  <si>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</si>
  <si>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</si>
  <si>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</si>
  <si>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</si>
  <si>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</si>
  <si>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</si>
  <si>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</si>
  <si>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</si>
  <si>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</si>
  <si>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</si>
  <si>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</si>
  <si>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</si>
  <si>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</si>
  <si>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</si>
  <si>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</si>
  <si>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</si>
  <si>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</si>
  <si>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</si>
  <si>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</si>
  <si>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</si>
  <si>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</si>
  <si>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</si>
  <si>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</si>
  <si>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</si>
  <si>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</si>
  <si>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</si>
  <si>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</si>
  <si>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</si>
  <si>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</si>
  <si>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</si>
  <si>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</si>
  <si>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</si>
  <si>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</si>
  <si>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</si>
  <si>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</si>
  <si>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</si>
  <si>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</si>
  <si>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</si>
  <si>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</si>
  <si>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</si>
  <si>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</si>
  <si>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</si>
  <si>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</si>
  <si>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</si>
  <si>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</si>
  <si>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</si>
  <si>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</si>
  <si>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</si>
  <si>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</si>
  <si>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</si>
  <si>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</si>
  <si>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</si>
  <si>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</si>
  <si>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</si>
  <si>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</si>
  <si>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</si>
  <si>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</si>
  <si>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</si>
  <si>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</si>
  <si>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</si>
  <si>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</si>
  <si>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</si>
  <si>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</si>
  <si>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</si>
  <si>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</si>
  <si>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</si>
  <si>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</si>
  <si>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</si>
  <si>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</si>
  <si>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</si>
  <si>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</si>
  <si>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</si>
  <si>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</si>
  <si>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</si>
  <si>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</si>
  <si>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</si>
  <si>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</si>
  <si>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</si>
  <si>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</si>
  <si>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</si>
  <si>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</si>
  <si>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</si>
  <si>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</si>
  <si>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</si>
  <si>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</si>
  <si>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</si>
  <si>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</si>
  <si>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</si>
  <si>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</si>
  <si>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</si>
  <si>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</si>
  <si>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</si>
  <si>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</si>
  <si>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</si>
  <si>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</si>
  <si>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</si>
  <si>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</si>
  <si>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</si>
  <si>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</si>
  <si>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</si>
  <si>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</si>
  <si>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</si>
  <si>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</si>
  <si>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</si>
  <si>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</si>
  <si>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</si>
  <si>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</si>
  <si>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</si>
  <si>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</si>
  <si>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</si>
  <si>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</si>
  <si>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</si>
  <si>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</si>
  <si>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</si>
  <si>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</si>
  <si>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</si>
  <si>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</si>
  <si>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</si>
  <si>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</si>
  <si>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</si>
  <si>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</si>
  <si>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</si>
  <si>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</si>
  <si>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</si>
  <si>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</si>
  <si>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</si>
  <si>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</si>
  <si>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</si>
  <si>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</si>
  <si>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</si>
  <si>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</si>
  <si>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</si>
  <si>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</si>
  <si>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</si>
  <si>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</si>
  <si>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</si>
  <si>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</si>
  <si>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</si>
  <si>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</si>
  <si>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</si>
  <si>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</si>
  <si>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</si>
  <si>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</si>
  <si>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</si>
  <si>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</si>
  <si>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</si>
  <si>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</si>
  <si>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</si>
  <si>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</si>
  <si>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</si>
  <si>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</si>
  <si>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</si>
  <si>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</si>
  <si>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</si>
  <si>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</si>
  <si>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</si>
  <si>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</si>
  <si>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</si>
  <si>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</si>
  <si>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</si>
  <si>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</si>
  <si>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</si>
  <si>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</si>
  <si>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</si>
  <si>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</si>
  <si>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</si>
  <si>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</si>
  <si>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</si>
  <si>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</si>
  <si>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</si>
  <si>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</si>
  <si>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</si>
  <si>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</si>
  <si>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</si>
  <si>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</si>
  <si>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</si>
  <si>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</si>
  <si>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</si>
  <si>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</si>
  <si>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</si>
  <si>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</si>
  <si>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</si>
  <si>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</si>
  <si>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</si>
  <si>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</si>
  <si>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</si>
  <si>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</si>
  <si>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</si>
  <si>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</si>
  <si>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</si>
  <si>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</si>
  <si>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</si>
  <si>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</si>
  <si>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</si>
  <si>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</si>
  <si>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</si>
  <si>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</si>
  <si>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</si>
  <si>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</si>
  <si>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</si>
  <si>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</si>
  <si>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</si>
  <si>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</si>
  <si>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</si>
  <si>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</si>
  <si>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</si>
  <si>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</si>
  <si>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</si>
  <si>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</si>
  <si>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</si>
  <si>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</si>
  <si>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</si>
  <si>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</si>
  <si>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</si>
  <si>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</si>
  <si>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</si>
  <si>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</si>
  <si>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</si>
  <si>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</si>
  <si>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</si>
  <si>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</si>
  <si>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</si>
  <si>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</si>
  <si>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</si>
  <si>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</si>
  <si>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</si>
  <si>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</si>
  <si>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</si>
  <si>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</si>
  <si>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</si>
  <si>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</si>
  <si>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</si>
  <si>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</si>
  <si>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</si>
  <si>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</si>
  <si>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</si>
  <si>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</si>
  <si>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</si>
  <si>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</si>
  <si>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</si>
  <si>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</si>
  <si>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</si>
  <si>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</si>
  <si>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</si>
  <si>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</si>
  <si>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</si>
  <si>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</si>
  <si>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</si>
  <si>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</si>
  <si>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</si>
  <si>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</si>
  <si>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</si>
  <si>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</si>
  <si>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</si>
  <si>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</si>
  <si>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</si>
  <si>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</si>
  <si>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</si>
  <si>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</si>
  <si>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</si>
  <si>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</si>
  <si>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</si>
  <si>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</si>
  <si>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</si>
  <si>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</si>
  <si>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</si>
  <si>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</si>
  <si>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</si>
  <si>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</si>
  <si>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</si>
  <si>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</si>
  <si>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</si>
  <si>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</si>
  <si>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</si>
  <si>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</si>
  <si>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</si>
  <si>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</si>
  <si>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</si>
  <si>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</si>
  <si>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</si>
  <si>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</si>
  <si>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</si>
  <si>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</si>
  <si>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</si>
  <si>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</si>
  <si>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</si>
  <si>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</si>
  <si>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</si>
  <si>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</si>
  <si>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</si>
  <si>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</si>
  <si>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</si>
  <si>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</si>
  <si>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</si>
  <si>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</si>
  <si>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</si>
  <si>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</si>
  <si>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</si>
  <si>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</si>
  <si>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</si>
  <si>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</si>
  <si>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</si>
  <si>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</si>
  <si>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</si>
  <si>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</si>
  <si>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</si>
  <si>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</si>
  <si>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</si>
  <si>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</si>
  <si>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</si>
  <si>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</si>
  <si>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</si>
  <si>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</si>
  <si>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</si>
  <si>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</si>
  <si>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</si>
  <si>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</si>
  <si>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</si>
  <si>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</si>
  <si>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</si>
  <si>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</si>
  <si>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</si>
  <si>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</si>
  <si>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</si>
  <si>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</si>
  <si>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</si>
  <si>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</si>
  <si>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</si>
  <si>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</si>
  <si>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</si>
  <si>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</si>
  <si>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</si>
  <si>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</si>
  <si>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</si>
  <si>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</si>
  <si>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</si>
  <si>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</si>
  <si>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</si>
  <si>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</si>
  <si>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</si>
  <si>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</si>
  <si>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</si>
  <si>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</si>
  <si>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</si>
  <si>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</si>
  <si>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</si>
  <si>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</si>
  <si>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</si>
  <si>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</si>
  <si>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</si>
  <si>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</si>
  <si>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</si>
  <si>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</si>
  <si>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</si>
  <si>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</si>
  <si>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</si>
  <si>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</si>
  <si>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</si>
  <si>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</si>
  <si>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</si>
  <si>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</si>
  <si>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</si>
  <si>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</si>
  <si>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</si>
  <si>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</si>
  <si>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</si>
  <si>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</si>
  <si>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</si>
  <si>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</si>
  <si>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</si>
  <si>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</si>
  <si>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</si>
  <si>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</si>
  <si>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</si>
  <si>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</si>
  <si>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</si>
  <si>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</si>
  <si>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</si>
  <si>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</si>
  <si>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</si>
  <si>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</si>
  <si>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</si>
  <si>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</si>
  <si>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</si>
  <si>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</si>
  <si>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</si>
  <si>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</si>
  <si>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</si>
  <si>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</si>
  <si>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</si>
  <si>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</si>
  <si>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</si>
  <si>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</si>
  <si>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</si>
  <si>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</si>
  <si>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</si>
  <si>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</si>
  <si>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</si>
  <si>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</si>
  <si>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</si>
  <si>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</si>
  <si>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</si>
  <si>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</si>
  <si>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</si>
  <si>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</si>
  <si>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</si>
  <si>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</si>
  <si>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</si>
  <si>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</si>
  <si>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</si>
  <si>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</si>
  <si>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</si>
  <si>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</si>
  <si>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</si>
  <si>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</si>
  <si>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</si>
  <si>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</si>
  <si>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</si>
  <si>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</si>
  <si>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</si>
  <si>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</si>
  <si>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</si>
  <si>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</si>
  <si>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</si>
  <si>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</si>
  <si>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</si>
  <si>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</si>
  <si>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</si>
  <si>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</si>
  <si>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</si>
  <si>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</si>
  <si>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</si>
  <si>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</si>
  <si>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</si>
  <si>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</si>
  <si>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</si>
  <si>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</si>
  <si>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</si>
  <si>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</si>
  <si>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</si>
  <si>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</si>
  <si>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</si>
  <si>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</si>
  <si>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</si>
  <si>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</si>
  <si>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</si>
  <si>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</si>
  <si>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</si>
  <si>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</si>
  <si>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</si>
  <si>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</si>
  <si>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</si>
  <si>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</si>
  <si>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</si>
  <si>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</si>
  <si>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</si>
  <si>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</si>
  <si>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</si>
  <si>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</si>
  <si>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</si>
  <si>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</si>
  <si>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</si>
  <si>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</si>
  <si>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</si>
  <si>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</si>
  <si>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</si>
  <si>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</si>
  <si>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</si>
  <si>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</si>
  <si>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</si>
  <si>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</si>
  <si>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</si>
  <si>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</si>
  <si>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</si>
  <si>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</si>
  <si>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</si>
  <si>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</si>
  <si>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</si>
  <si>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</si>
  <si>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</si>
  <si>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</si>
  <si>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</si>
  <si>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</si>
  <si>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</si>
  <si>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</si>
  <si>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</si>
  <si>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</si>
  <si>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</si>
  <si>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</si>
  <si>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</si>
  <si>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</si>
  <si>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</si>
  <si>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</si>
  <si>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</si>
  <si>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</si>
  <si>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</si>
  <si>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</si>
  <si>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</si>
  <si>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</si>
  <si>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</si>
  <si>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</si>
  <si>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</si>
  <si>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</si>
  <si>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</si>
  <si>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</si>
  <si>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</si>
  <si>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</si>
  <si>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</si>
  <si>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</si>
  <si>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</si>
  <si>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</si>
  <si>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</si>
  <si>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</si>
  <si>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</si>
  <si>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</si>
  <si>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</si>
  <si>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</si>
  <si>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</si>
  <si>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</si>
  <si>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</si>
  <si>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</si>
  <si>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</si>
  <si>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</si>
  <si>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</si>
  <si>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</si>
  <si>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</si>
  <si>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</si>
  <si>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</si>
  <si>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</si>
  <si>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</si>
  <si>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</si>
  <si>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</si>
  <si>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</si>
  <si>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</si>
  <si>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</si>
  <si>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</si>
  <si>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</si>
  <si>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</si>
  <si>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</si>
  <si>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</si>
  <si>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</si>
  <si>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</si>
  <si>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</si>
  <si>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</si>
  <si>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</si>
  <si>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</si>
  <si>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</si>
  <si>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</si>
  <si>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</si>
  <si>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</si>
  <si>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</si>
  <si>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</si>
  <si>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</si>
  <si>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</si>
  <si>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</si>
  <si>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</si>
  <si>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</si>
  <si>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</si>
  <si>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</si>
  <si>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</si>
  <si>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</si>
  <si>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</si>
  <si>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</si>
  <si>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</si>
  <si>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</si>
  <si>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</si>
  <si>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</si>
  <si>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</si>
  <si>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</si>
  <si>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</si>
  <si>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</si>
  <si>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</si>
  <si>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</si>
  <si>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</si>
  <si>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</si>
  <si>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</si>
  <si>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</si>
  <si>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</si>
  <si>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</si>
  <si>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</si>
  <si>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</si>
  <si>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</si>
  <si>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</si>
  <si>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</si>
  <si>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</si>
  <si>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</si>
  <si>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</si>
  <si>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</si>
  <si>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</si>
  <si>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</si>
  <si>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</si>
  <si>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</si>
  <si>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</si>
  <si>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</si>
  <si>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</si>
  <si>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</si>
  <si>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</si>
  <si>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</si>
  <si>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</si>
  <si>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</si>
  <si>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</si>
  <si>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</si>
  <si>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</si>
  <si>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</si>
  <si>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</si>
  <si>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</si>
  <si>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</si>
  <si>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</si>
  <si>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</si>
  <si>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</si>
  <si>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</si>
  <si>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</si>
  <si>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</si>
  <si>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</si>
  <si>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</si>
  <si>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</si>
  <si>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</si>
  <si>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</si>
  <si>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</si>
  <si>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</si>
  <si>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</si>
  <si>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</si>
  <si>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</si>
  <si>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</si>
  <si>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</si>
  <si>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</si>
  <si>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</si>
  <si>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</si>
  <si>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</si>
  <si>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</si>
  <si>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</si>
  <si>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</si>
  <si>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</si>
  <si>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</si>
  <si>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</si>
  <si>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</si>
  <si>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</si>
  <si>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</si>
  <si>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</si>
  <si>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</si>
  <si>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</si>
  <si>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</si>
  <si>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</si>
  <si>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</si>
  <si>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</si>
  <si>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</si>
  <si>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</si>
  <si>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</si>
  <si>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</si>
  <si>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</si>
  <si>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</si>
  <si>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</si>
  <si>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</si>
  <si>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</si>
  <si>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</si>
  <si>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</si>
  <si>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</si>
  <si>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</si>
  <si>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</si>
  <si>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</si>
  <si>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</si>
  <si>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</si>
  <si>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</si>
  <si>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</si>
  <si>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</si>
  <si>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</si>
  <si>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</si>
  <si>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</si>
  <si>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</si>
  <si>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</si>
  <si>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</si>
  <si>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</si>
  <si>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</si>
  <si>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</si>
  <si>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</si>
  <si>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</si>
  <si>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</si>
  <si>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</si>
  <si>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</si>
  <si>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</si>
  <si>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</si>
  <si>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</si>
  <si>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</si>
  <si>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</si>
  <si>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</si>
  <si>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</si>
  <si>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</si>
  <si>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</si>
  <si>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</si>
  <si>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</si>
  <si>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</si>
  <si>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</si>
  <si>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</si>
  <si>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</si>
  <si>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</si>
  <si>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</si>
  <si>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</si>
  <si>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</si>
  <si>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</si>
  <si>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</si>
  <si>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</si>
  <si>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</si>
  <si>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</si>
  <si>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</si>
  <si>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</si>
  <si>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</si>
  <si>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</si>
  <si>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</si>
  <si>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</si>
  <si>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</si>
  <si>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</si>
  <si>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</si>
  <si>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</si>
  <si>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</si>
  <si>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</si>
  <si>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</si>
  <si>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</si>
  <si>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</si>
  <si>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</si>
  <si>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</si>
  <si>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</si>
  <si>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</si>
  <si>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</si>
  <si>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</si>
  <si>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</si>
  <si>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</si>
  <si>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</si>
  <si>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</si>
  <si>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</si>
  <si>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</si>
  <si>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</si>
  <si>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</si>
  <si>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</si>
  <si>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</si>
  <si>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</si>
  <si>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</si>
  <si>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</si>
  <si>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</si>
  <si>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</si>
  <si>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</si>
  <si>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</si>
  <si>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</si>
  <si>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</si>
  <si>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</si>
  <si>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</si>
  <si>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</si>
  <si>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</si>
  <si>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</si>
  <si>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</si>
  <si>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</si>
  <si>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</si>
  <si>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</si>
  <si>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</si>
  <si>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</si>
  <si>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</si>
  <si>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</si>
  <si>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</si>
  <si>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</si>
  <si>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</si>
  <si>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</si>
  <si>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</si>
  <si>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</si>
  <si>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</si>
  <si>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</si>
  <si>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</si>
  <si>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</si>
  <si>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</si>
  <si>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</si>
  <si>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</si>
  <si>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</si>
  <si>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</si>
  <si>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</si>
  <si>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</si>
  <si>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</si>
  <si>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</si>
  <si>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</si>
  <si>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</si>
  <si>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</si>
  <si>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</si>
  <si>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</si>
  <si>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</si>
  <si>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</si>
  <si>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</si>
  <si>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</si>
  <si>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</si>
  <si>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</si>
  <si>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</si>
  <si>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</si>
  <si>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</si>
  <si>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</si>
  <si>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</si>
  <si>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</si>
  <si>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</si>
  <si>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</si>
  <si>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</si>
  <si>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</si>
  <si>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</si>
  <si>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</si>
  <si>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</si>
  <si>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</si>
  <si>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</si>
  <si>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</si>
  <si>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</si>
  <si>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</si>
  <si>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</si>
  <si>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</si>
  <si>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</si>
  <si>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</si>
  <si>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</si>
  <si>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</si>
  <si>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</si>
  <si>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</si>
  <si>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</si>
  <si>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</si>
  <si>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</si>
  <si>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</si>
  <si>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</si>
  <si>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</si>
  <si>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</si>
  <si>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</si>
  <si>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</si>
  <si>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</si>
  <si>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</si>
  <si>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</si>
  <si>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</si>
  <si>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</si>
  <si>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</si>
  <si>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</si>
  <si>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</si>
  <si>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</si>
  <si>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</si>
  <si>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</si>
  <si>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</si>
  <si>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</si>
  <si>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</si>
  <si>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</si>
  <si>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</si>
  <si>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</si>
  <si>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</si>
  <si>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</si>
  <si>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</si>
  <si>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</si>
  <si>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</si>
  <si>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</si>
  <si>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</si>
  <si>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</si>
  <si>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</si>
  <si>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</si>
  <si>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</si>
  <si>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</si>
  <si>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</si>
  <si>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</si>
  <si>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</si>
  <si>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</si>
  <si>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</si>
  <si>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</si>
  <si>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</si>
  <si>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</si>
  <si>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</si>
  <si>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</si>
  <si>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</si>
  <si>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</si>
  <si>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</si>
  <si>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</si>
  <si>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</si>
  <si>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</si>
  <si>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</si>
  <si>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</si>
  <si>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</si>
  <si>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</si>
  <si>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</si>
  <si>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</si>
  <si>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</si>
  <si>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</si>
  <si>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</si>
  <si>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</si>
  <si>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</si>
  <si>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</si>
  <si>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</si>
  <si>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</si>
  <si>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</si>
  <si>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</si>
  <si>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</si>
  <si>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</si>
  <si>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</si>
  <si>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</si>
  <si>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</si>
  <si>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</si>
  <si>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</si>
  <si>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</si>
  <si>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</si>
  <si>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</si>
  <si>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</si>
  <si>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</si>
  <si>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</si>
  <si>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</si>
  <si>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</si>
  <si>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</si>
  <si>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</si>
  <si>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</si>
  <si>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</si>
  <si>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</si>
  <si>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</si>
  <si>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</si>
  <si>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</si>
  <si>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</si>
  <si>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</si>
  <si>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</si>
  <si>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</si>
  <si>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</si>
  <si>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</si>
  <si>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</si>
  <si>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</si>
  <si>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</si>
  <si>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</si>
  <si>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</si>
  <si>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</si>
  <si>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</si>
  <si>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</si>
  <si>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</si>
  <si>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</si>
  <si>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</si>
  <si>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</si>
  <si>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</si>
  <si>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</si>
  <si>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</si>
  <si>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</si>
  <si>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</si>
  <si>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</si>
  <si>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</si>
  <si>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</si>
  <si>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</si>
  <si>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</si>
  <si>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</si>
  <si>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</si>
  <si>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</si>
  <si>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</si>
  <si>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</si>
  <si>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</si>
  <si>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</si>
  <si>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</si>
  <si>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</si>
  <si>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</si>
  <si>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</si>
  <si>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</si>
  <si>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</si>
  <si>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</si>
  <si>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</si>
  <si>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</si>
  <si>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</si>
  <si>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</si>
  <si>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</si>
  <si>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</si>
  <si>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</si>
  <si>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</si>
  <si>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</si>
  <si>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</si>
  <si>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</si>
  <si>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</si>
  <si>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</si>
  <si>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</si>
  <si>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</si>
  <si>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</si>
  <si>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</si>
  <si>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</si>
  <si>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</si>
  <si>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</si>
  <si>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</si>
  <si>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</si>
  <si>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</si>
  <si>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</si>
  <si>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</si>
  <si>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</si>
  <si>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</si>
  <si>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</si>
  <si>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</si>
  <si>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</si>
  <si>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</si>
  <si>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</si>
  <si>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</si>
  <si>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</si>
  <si>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</si>
  <si>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</si>
  <si>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</si>
  <si>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</si>
  <si>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</si>
  <si>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</si>
  <si>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</si>
  <si>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</si>
  <si>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</si>
  <si>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CJ GUIA E PEITORAL NYLON 20MM N.3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</si>
  <si>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</si>
  <si>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</si>
  <si>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</si>
  <si>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</si>
  <si>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</si>
  <si>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</si>
  <si>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</si>
  <si>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</si>
  <si>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</si>
  <si>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</si>
  <si>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</si>
  <si>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</si>
  <si>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</si>
  <si>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</si>
  <si>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</si>
  <si>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</si>
  <si>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</si>
  <si>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</si>
  <si>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</si>
  <si>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</si>
  <si>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</si>
  <si>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</si>
  <si>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</si>
  <si>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</si>
  <si>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</si>
  <si>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</si>
  <si>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</si>
  <si>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</si>
  <si>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</si>
  <si>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</si>
  <si>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</si>
  <si>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</si>
  <si>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</si>
  <si>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</si>
  <si>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</si>
  <si>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</si>
  <si>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</si>
  <si>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</si>
  <si>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</si>
  <si>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</si>
  <si>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</si>
  <si>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</si>
  <si>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</si>
  <si>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</si>
  <si>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</si>
  <si>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</si>
  <si>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</si>
  <si>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</si>
  <si>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</si>
  <si>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</si>
  <si>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</si>
  <si>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</si>
  <si>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</si>
  <si>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</si>
  <si>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</si>
  <si>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</si>
  <si>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</si>
  <si>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</si>
  <si>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</si>
  <si>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</si>
  <si>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</si>
  <si>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</si>
  <si>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</si>
  <si>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</si>
  <si>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</si>
  <si>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</si>
  <si>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</si>
  <si>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</si>
  <si>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</si>
  <si>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</si>
  <si>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</si>
  <si>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</si>
  <si>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</si>
  <si>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</si>
  <si>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</si>
  <si>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</si>
  <si>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</si>
  <si>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</si>
  <si>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</si>
  <si>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</si>
  <si>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</si>
  <si>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</si>
  <si>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</si>
  <si>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</si>
  <si>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</si>
  <si>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</si>
  <si>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</si>
  <si>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</si>
  <si>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</si>
  <si>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</si>
  <si>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</si>
  <si>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</si>
  <si>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</si>
  <si>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</si>
  <si>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</si>
  <si>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</si>
  <si>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</si>
  <si>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</si>
  <si>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</si>
  <si>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</si>
  <si>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</si>
  <si>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</si>
  <si>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</si>
  <si>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</si>
  <si>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</si>
  <si>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</si>
  <si>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</si>
  <si>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</si>
  <si>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</si>
  <si>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</si>
  <si>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</si>
  <si>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</si>
  <si>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</si>
  <si>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</si>
  <si>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</si>
  <si>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</si>
  <si>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</si>
  <si>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</si>
  <si>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</si>
  <si>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</si>
  <si>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</si>
  <si>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</si>
  <si>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</si>
  <si>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</si>
  <si>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</si>
  <si>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</si>
  <si>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</si>
  <si>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</si>
  <si>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</si>
  <si>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</si>
  <si>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</si>
  <si>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</si>
  <si>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</si>
  <si>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</si>
  <si>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</si>
  <si>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</si>
  <si>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</si>
  <si>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</si>
  <si>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</si>
  <si>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</si>
  <si>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</si>
  <si>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</si>
  <si>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</si>
  <si>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</si>
  <si>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</si>
  <si>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</si>
  <si>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</si>
  <si>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</si>
  <si>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</si>
  <si>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</si>
  <si>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</si>
  <si>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</si>
  <si>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</si>
  <si>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</si>
  <si>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</si>
  <si>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</si>
  <si>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</si>
  <si>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</si>
  <si>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</si>
  <si>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</si>
  <si>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</si>
  <si>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</si>
  <si>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</si>
  <si>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</si>
  <si>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</si>
  <si>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</si>
  <si>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</si>
  <si>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</si>
  <si>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</si>
  <si>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</si>
  <si>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</si>
  <si>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</si>
  <si>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</si>
  <si>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</si>
  <si>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</si>
  <si>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</si>
  <si>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</si>
  <si>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</si>
  <si>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</si>
  <si>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</si>
  <si>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</si>
  <si>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</si>
  <si>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</si>
  <si>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</si>
  <si>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</si>
  <si>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</si>
  <si>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</si>
  <si>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</si>
  <si>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</si>
  <si>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SAZON CALDO CAMARAO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</si>
  <si>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</si>
  <si>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</si>
  <si>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</si>
  <si>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</si>
  <si>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</si>
  <si>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</si>
  <si>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</si>
  <si>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</si>
  <si>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</si>
  <si>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</si>
  <si>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</si>
  <si>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</si>
  <si>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</si>
  <si>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</si>
  <si>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</si>
  <si>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</si>
  <si>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</si>
  <si>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</si>
  <si>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</si>
  <si>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</si>
  <si>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</si>
  <si>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</si>
  <si>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</si>
  <si>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</si>
  <si>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</si>
  <si>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</si>
  <si>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</si>
  <si>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</si>
  <si>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</si>
  <si>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</si>
  <si>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</si>
  <si>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</si>
  <si>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</si>
  <si>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</si>
  <si>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</si>
  <si>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</si>
  <si>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</si>
  <si>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</si>
  <si>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</si>
  <si>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</si>
  <si>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</si>
  <si>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</si>
  <si>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</si>
  <si>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</si>
  <si>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</si>
  <si>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</si>
  <si>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</si>
  <si>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</si>
  <si>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</si>
  <si>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</si>
  <si>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</si>
  <si>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</si>
  <si>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</si>
  <si>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</si>
  <si>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</si>
  <si>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</si>
  <si>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</si>
  <si>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</si>
  <si>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</si>
  <si>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</si>
  <si>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</si>
  <si>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</si>
  <si>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</si>
  <si>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</si>
  <si>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</si>
  <si>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</si>
  <si>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</si>
  <si>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</si>
  <si>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</si>
  <si>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</si>
  <si>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</si>
  <si>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</si>
  <si>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</si>
  <si>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</si>
  <si>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</si>
  <si>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</si>
  <si>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</si>
  <si>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</si>
  <si>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</si>
  <si>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</si>
  <si>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</si>
  <si>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</si>
  <si>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</si>
  <si>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</si>
  <si>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</si>
  <si>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</si>
  <si>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</si>
  <si>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</si>
  <si>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</si>
  <si>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</si>
  <si>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</si>
  <si>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</si>
  <si>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</si>
  <si>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</si>
  <si>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</si>
  <si>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</si>
  <si>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</si>
  <si>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</si>
  <si>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</si>
  <si>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</si>
  <si>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</si>
  <si>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</si>
  <si>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</si>
  <si>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</si>
  <si>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</si>
  <si>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</si>
  <si>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</si>
  <si>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</si>
  <si>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</si>
  <si>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</si>
  <si>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</si>
  <si>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</si>
  <si>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</si>
  <si>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</si>
  <si>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</si>
  <si>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</si>
  <si>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</si>
  <si>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</si>
  <si>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</si>
  <si>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</si>
  <si>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</si>
  <si>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</si>
  <si>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</si>
  <si>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</si>
  <si>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</si>
  <si>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</si>
  <si>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</si>
  <si>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</si>
  <si>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</si>
  <si>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</si>
  <si>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</si>
  <si>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</si>
  <si>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</si>
  <si>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</si>
  <si>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</si>
  <si>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</si>
  <si>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</si>
  <si>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</si>
  <si>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</si>
  <si>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</si>
  <si>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</si>
  <si>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</si>
  <si>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</si>
  <si>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</si>
  <si>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</si>
  <si>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</si>
  <si>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</si>
  <si>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</si>
  <si>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</si>
  <si>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</si>
  <si>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</si>
  <si>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</si>
  <si>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</si>
  <si>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</si>
  <si>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</si>
  <si>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</si>
  <si>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</si>
  <si>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</si>
  <si>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</si>
  <si>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</si>
  <si>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</si>
  <si>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</si>
  <si>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</si>
  <si>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</si>
  <si>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</si>
  <si>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</si>
  <si>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</si>
  <si>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</si>
  <si>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</si>
  <si>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</si>
  <si>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</si>
  <si>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</si>
  <si>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</si>
  <si>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</si>
  <si>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</si>
  <si>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</si>
  <si>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</si>
  <si>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</si>
  <si>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</si>
  <si>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</si>
  <si>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</si>
  <si>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</si>
  <si>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</si>
  <si>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</si>
  <si>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</si>
  <si>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</si>
  <si>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</si>
  <si>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</si>
  <si>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</si>
  <si>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</si>
  <si>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</si>
  <si>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</si>
  <si>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</si>
  <si>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</si>
  <si>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</si>
  <si>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</si>
  <si>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</si>
  <si>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</si>
  <si>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</si>
  <si>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</si>
  <si>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</si>
  <si>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</si>
  <si>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</si>
  <si>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</si>
  <si>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</si>
  <si>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</si>
  <si>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</si>
  <si>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</si>
  <si>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</si>
  <si>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</si>
  <si>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</si>
  <si>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</si>
  <si>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</si>
  <si>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</si>
  <si>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</si>
  <si>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</si>
  <si>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</si>
  <si>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</si>
  <si>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</si>
  <si>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</si>
  <si>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</si>
  <si>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</si>
  <si>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</si>
  <si>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</si>
  <si>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</si>
  <si>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</si>
  <si>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</si>
  <si>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</si>
  <si>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</si>
  <si>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</si>
  <si>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</si>
  <si>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</si>
  <si>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</si>
  <si>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</si>
  <si>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</si>
  <si>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</si>
  <si>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</si>
  <si>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</si>
  <si>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</si>
  <si>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</si>
  <si>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</si>
  <si>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</si>
  <si>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</si>
  <si>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</si>
  <si>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</si>
  <si>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</si>
  <si>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</si>
  <si>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</si>
  <si>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</si>
  <si>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</si>
  <si>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</si>
  <si>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</si>
  <si>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</si>
  <si>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</si>
  <si>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</si>
  <si>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</si>
  <si>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</si>
  <si>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</si>
  <si>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</si>
  <si>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</si>
  <si>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</si>
  <si>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</si>
  <si>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</si>
  <si>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</si>
  <si>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</si>
  <si>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</si>
  <si>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</si>
  <si>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</si>
  <si>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</si>
  <si>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</si>
  <si>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</si>
  <si>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</si>
  <si>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</si>
  <si>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</si>
  <si>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</si>
  <si>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</si>
  <si>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</si>
  <si>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</si>
  <si>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</si>
  <si>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</si>
  <si>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</si>
  <si>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</si>
  <si>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</si>
  <si>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</si>
  <si>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</si>
  <si>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</si>
  <si>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</si>
  <si>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</si>
  <si>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</si>
  <si>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</si>
  <si>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</si>
  <si>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</si>
  <si>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</si>
  <si>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CATCHUP OLE SACHE 1,</t>
  </si>
  <si>
    <t xml:space="preserve">MOLHO TOM OLE TRADIC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</si>
  <si>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</si>
  <si>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</si>
  <si>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</si>
  <si>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</si>
  <si>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</si>
  <si>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</si>
  <si>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</si>
  <si>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</si>
  <si>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</si>
  <si>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</si>
  <si>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</si>
  <si>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</si>
  <si>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</si>
  <si>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</si>
  <si>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</si>
  <si>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</si>
  <si>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</si>
  <si>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</si>
  <si>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</si>
  <si>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</si>
  <si>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</si>
  <si>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</si>
  <si>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</si>
  <si>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</si>
  <si>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</si>
  <si>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</si>
  <si>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</si>
  <si>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</si>
  <si>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</si>
  <si>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</si>
  <si>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</si>
  <si>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</si>
  <si>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</si>
  <si>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</si>
  <si>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</si>
  <si>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</si>
  <si>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</si>
  <si>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</si>
  <si>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</si>
  <si>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</si>
  <si>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</si>
  <si>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</si>
  <si>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</si>
  <si>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</si>
  <si>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</si>
  <si>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</si>
  <si>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</si>
  <si>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</si>
  <si>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</si>
  <si>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</si>
  <si>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</si>
  <si>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</si>
  <si>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</si>
  <si>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</si>
  <si>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</si>
  <si>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</si>
  <si>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</si>
  <si>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</si>
  <si>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</si>
  <si>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</si>
  <si>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</si>
  <si>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</si>
  <si>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</si>
  <si>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</si>
  <si>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</si>
  <si>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</si>
  <si>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</si>
  <si>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</si>
  <si>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TAPETE BEM VINDO 42X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</si>
  <si>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</si>
  <si>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</si>
  <si>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</si>
  <si>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</si>
  <si>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</si>
  <si>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</si>
  <si>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</si>
  <si>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</si>
  <si>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</si>
  <si>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</si>
  <si>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</si>
  <si>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</si>
  <si>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</si>
  <si>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</si>
  <si>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</si>
  <si>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</si>
  <si>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</si>
  <si>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</si>
  <si>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</si>
  <si>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</si>
  <si>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</si>
  <si>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</si>
  <si>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</si>
  <si>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</si>
  <si>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</si>
  <si>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</si>
  <si>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</si>
  <si>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</si>
  <si>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</si>
  <si>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</si>
  <si>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</si>
  <si>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</si>
  <si>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</si>
  <si>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</si>
  <si>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</si>
  <si>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</si>
  <si>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</si>
  <si>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</si>
  <si>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</si>
  <si>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</si>
  <si>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</si>
  <si>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</si>
  <si>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</si>
  <si>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</si>
  <si>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</si>
  <si>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</si>
  <si>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</si>
  <si>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</si>
  <si>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</si>
  <si>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</si>
  <si>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</si>
  <si>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</si>
  <si>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</si>
  <si>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</si>
  <si>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</si>
  <si>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</si>
  <si>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</si>
  <si>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</si>
  <si>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</si>
  <si>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</si>
  <si>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</si>
  <si>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</si>
  <si>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</si>
  <si>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</si>
  <si>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</si>
  <si>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</si>
  <si>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</si>
  <si>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</si>
  <si>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</si>
  <si>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</si>
  <si>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</si>
  <si>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</si>
  <si>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</si>
  <si>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</si>
  <si>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</si>
  <si>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</si>
  <si>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</si>
  <si>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</si>
  <si>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</si>
  <si>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</si>
  <si>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</si>
  <si>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</si>
  <si>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</si>
  <si>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</si>
  <si>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</si>
  <si>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</si>
  <si>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</si>
  <si>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</si>
  <si>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</si>
  <si>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</si>
  <si>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</si>
  <si>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</si>
  <si>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</si>
  <si>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</si>
  <si>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</si>
  <si>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</si>
  <si>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</si>
  <si>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</si>
  <si>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</si>
  <si>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</si>
  <si>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</si>
  <si>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</si>
  <si>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</si>
  <si>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</si>
  <si>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</si>
  <si>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</si>
  <si>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</si>
  <si>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</si>
  <si>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</si>
  <si>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</si>
  <si>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</si>
  <si>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</si>
  <si>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</si>
  <si>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</si>
  <si>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</si>
  <si>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</si>
  <si>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</si>
  <si>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</si>
  <si>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</si>
  <si>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</si>
  <si>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</si>
  <si>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</si>
  <si>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</si>
  <si>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</si>
  <si>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</si>
  <si>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</si>
  <si>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</si>
  <si>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</si>
  <si>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</si>
  <si>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</si>
  <si>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MARCELO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</si>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</sst>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8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 YARA 350ML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AGUA MINE YARA 350ML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 MINE YARA 350ML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46260</v>
      </c>
      <c r="C1660" s="15" t="n">
        <v>46265</v>
      </c>
      <c r="D1660" s="14" t="n">
        <v>1683</v>
      </c>
      <c r="E1660" s="1" t="s">
        <v>416</v>
      </c>
      <c r="F1660" s="14" t="n">
        <v>34</v>
      </c>
      <c r="G1660" s="1" t="s">
        <v>110</v>
      </c>
      <c r="H1660" s="14" t="n">
        <v>2110405</v>
      </c>
      <c r="I1660" s="1" t="s">
        <v>55</v>
      </c>
      <c r="J1660" s="14" t="n">
        <v>1605242</v>
      </c>
      <c r="L1660" s="14" t="n">
        <v>219919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137</v>
      </c>
      <c r="W1660" s="16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46252</v>
      </c>
      <c r="C1661" s="15" t="n">
        <v>46265</v>
      </c>
      <c r="D1661" s="14" t="n">
        <v>1675</v>
      </c>
      <c r="E1661" s="1" t="s">
        <v>293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1566792</v>
      </c>
      <c r="L1661" s="14" t="n">
        <v>213876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470.34</v>
      </c>
      <c r="W1661" s="16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1570894</v>
      </c>
      <c r="L1662" s="14" t="n">
        <v>214483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431.3</v>
      </c>
      <c r="W1662" s="16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4" t="n">
        <v>2</v>
      </c>
      <c r="B1663" s="15" t="n">
        <v>46253</v>
      </c>
      <c r="C1663" s="15" t="n">
        <v>46265</v>
      </c>
      <c r="D1663" s="14" t="n">
        <v>1616</v>
      </c>
      <c r="E1663" s="1" t="s">
        <v>94</v>
      </c>
      <c r="F1663" s="14" t="n">
        <v>24</v>
      </c>
      <c r="G1663" s="1" t="s">
        <v>91</v>
      </c>
      <c r="H1663" s="14" t="n">
        <v>2110405</v>
      </c>
      <c r="I1663" s="1" t="s">
        <v>55</v>
      </c>
      <c r="J1663" s="14" t="n">
        <v>1570971</v>
      </c>
      <c r="L1663" s="14" t="n">
        <v>214491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606.55</v>
      </c>
      <c r="W1663" s="16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4" t="n">
        <v>2</v>
      </c>
      <c r="B1664" s="15" t="n">
        <v>46254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1576184</v>
      </c>
      <c r="L1664" s="14" t="n">
        <v>215382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156</v>
      </c>
      <c r="W1664" s="16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46255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1582006</v>
      </c>
      <c r="L1665" s="14" t="n">
        <v>216486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100.5</v>
      </c>
      <c r="W1665" s="16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1683</v>
      </c>
      <c r="E1666" s="1" t="s">
        <v>416</v>
      </c>
      <c r="F1666" s="14" t="n">
        <v>34</v>
      </c>
      <c r="G1666" s="1" t="s">
        <v>110</v>
      </c>
      <c r="H1666" s="14" t="n">
        <v>2110405</v>
      </c>
      <c r="I1666" s="1" t="s">
        <v>55</v>
      </c>
      <c r="J1666" s="14" t="n">
        <v>1594276</v>
      </c>
      <c r="L1666" s="14" t="n">
        <v>218060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140</v>
      </c>
      <c r="W1666" s="16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46258</v>
      </c>
      <c r="C1667" s="15" t="n">
        <v>46265</v>
      </c>
      <c r="D1667" s="14" t="n">
        <v>1123</v>
      </c>
      <c r="E1667" s="1" t="s">
        <v>437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1595743</v>
      </c>
      <c r="L1667" s="14" t="n">
        <v>218365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460</v>
      </c>
      <c r="W1667" s="16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1328</v>
      </c>
      <c r="E1668" s="1" t="s">
        <v>105</v>
      </c>
      <c r="F1668" s="14" t="n">
        <v>24</v>
      </c>
      <c r="G1668" s="1" t="s">
        <v>91</v>
      </c>
      <c r="H1668" s="14" t="n">
        <v>2110405</v>
      </c>
      <c r="I1668" s="1" t="s">
        <v>55</v>
      </c>
      <c r="J1668" s="14" t="n">
        <v>1598929</v>
      </c>
      <c r="L1668" s="14" t="n">
        <v>218839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215.9</v>
      </c>
      <c r="W1668" s="16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1683</v>
      </c>
      <c r="E1669" s="1" t="s">
        <v>416</v>
      </c>
      <c r="F1669" s="14" t="n">
        <v>34</v>
      </c>
      <c r="G1669" s="1" t="s">
        <v>110</v>
      </c>
      <c r="H1669" s="14" t="n">
        <v>2110405</v>
      </c>
      <c r="I1669" s="1" t="s">
        <v>55</v>
      </c>
      <c r="J1669" s="14" t="n">
        <v>1598937</v>
      </c>
      <c r="L1669" s="14" t="n">
        <v>218842</v>
      </c>
      <c r="M1669" s="1" t="s">
        <v>36</v>
      </c>
      <c r="N1669" s="1" t="s">
        <v>50</v>
      </c>
      <c r="P1669" s="14" t="n">
        <v>113</v>
      </c>
      <c r="Q1669" s="1" t="s">
        <v>38</v>
      </c>
      <c r="R1669" s="1" t="s">
        <v>62</v>
      </c>
      <c r="S1669" s="14" t="n">
        <v>1130101</v>
      </c>
      <c r="T1669" s="1" t="s">
        <v>63</v>
      </c>
      <c r="U1669" s="16" t="n">
        <v>126</v>
      </c>
      <c r="W1669" s="16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1600838</v>
      </c>
      <c r="L1670" s="14" t="n">
        <v>219216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2110704</v>
      </c>
      <c r="T1670" s="1" t="s">
        <v>1084</v>
      </c>
      <c r="U1670" s="16" t="n">
        <v>586.1</v>
      </c>
      <c r="W1670" s="16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46259</v>
      </c>
      <c r="C1671" s="15" t="n">
        <v>46265</v>
      </c>
      <c r="D1671" s="14" t="n">
        <v>1807</v>
      </c>
      <c r="E1671" s="1" t="s">
        <v>1083</v>
      </c>
      <c r="F1671" s="14" t="n">
        <v>24</v>
      </c>
      <c r="G1671" s="1" t="s">
        <v>91</v>
      </c>
      <c r="H1671" s="14" t="n">
        <v>2110405</v>
      </c>
      <c r="I1671" s="1" t="s">
        <v>55</v>
      </c>
      <c r="J1671" s="14" t="n">
        <v>1600852</v>
      </c>
      <c r="L1671" s="14" t="n">
        <v>219219</v>
      </c>
      <c r="M1671" s="1" t="s">
        <v>36</v>
      </c>
      <c r="N1671" s="1" t="s">
        <v>50</v>
      </c>
      <c r="P1671" s="14" t="n">
        <v>101</v>
      </c>
      <c r="Q1671" s="1" t="s">
        <v>56</v>
      </c>
      <c r="R1671" s="1" t="s">
        <v>512</v>
      </c>
      <c r="S1671" s="14" t="n">
        <v>2110712</v>
      </c>
      <c r="T1671" s="1" t="s">
        <v>1086</v>
      </c>
      <c r="U1671" s="16" t="n">
        <v>351.66</v>
      </c>
      <c r="W1671" s="16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46270</v>
      </c>
      <c r="C1805" s="15" t="n">
        <v>46270</v>
      </c>
      <c r="D1805" s="14" t="n">
        <v>10096</v>
      </c>
      <c r="E1805" s="1" t="s">
        <v>624</v>
      </c>
      <c r="F1805" s="14" t="n">
        <v>13</v>
      </c>
      <c r="G1805" s="1" t="s">
        <v>147</v>
      </c>
      <c r="H1805" s="14" t="n">
        <v>2110405</v>
      </c>
      <c r="I1805" s="1" t="s">
        <v>55</v>
      </c>
      <c r="J1805" s="14" t="n">
        <v>1672522</v>
      </c>
      <c r="L1805" s="14" t="n">
        <v>229259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62</v>
      </c>
      <c r="S1805" s="14" t="n">
        <v>1130101</v>
      </c>
      <c r="T1805" s="1" t="s">
        <v>63</v>
      </c>
      <c r="U1805" s="16" t="n">
        <v>200</v>
      </c>
      <c r="W1805" s="16" t="n">
        <v>200</v>
      </c>
      <c r="X1805" s="1" t="s">
        <v>1564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BOLO MIYAZAKI GRANDE</v>
      </c>
      <c r="AC1805" s="1" t="n">
        <v>256</v>
      </c>
    </row>
    <row r="1806" customFormat="false" ht="12.75" hidden="false" customHeight="true" outlineLevel="0" collapsed="false">
      <c r="A1806" s="14" t="n">
        <v>2</v>
      </c>
      <c r="B1806" s="15" t="n">
        <v>46262</v>
      </c>
      <c r="C1806" s="15" t="n">
        <v>46270</v>
      </c>
      <c r="D1806" s="14" t="n">
        <v>1778</v>
      </c>
      <c r="E1806" s="1" t="s">
        <v>208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1614618</v>
      </c>
      <c r="L1806" s="14" t="n">
        <v>221466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70</v>
      </c>
      <c r="S1806" s="14" t="n">
        <v>4210207</v>
      </c>
      <c r="T1806" s="1" t="s">
        <v>209</v>
      </c>
      <c r="U1806" s="16" t="n">
        <v>620.88</v>
      </c>
      <c r="W1806" s="16" t="n">
        <v>620.88</v>
      </c>
      <c r="X1806" s="1" t="s">
        <v>210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1363</v>
      </c>
      <c r="E1807" s="1" t="s">
        <v>187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1628789</v>
      </c>
      <c r="L1807" s="14" t="n">
        <v>223357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125</v>
      </c>
      <c r="W1807" s="16" t="n">
        <v>125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HAMBURGUER SANTO PAO</v>
      </c>
      <c r="AC1807" s="1" t="n">
        <v>3829</v>
      </c>
    </row>
    <row r="1808" customFormat="false" ht="12.75" hidden="false" customHeight="true" outlineLevel="0" collapsed="false">
      <c r="A1808" s="14" t="n">
        <v>2</v>
      </c>
      <c r="B1808" s="15" t="n">
        <v>46265</v>
      </c>
      <c r="C1808" s="15" t="n">
        <v>46270</v>
      </c>
      <c r="D1808" s="14" t="n">
        <v>1625</v>
      </c>
      <c r="E1808" s="1" t="s">
        <v>272</v>
      </c>
      <c r="F1808" s="14" t="n">
        <v>24</v>
      </c>
      <c r="G1808" s="1" t="s">
        <v>91</v>
      </c>
      <c r="H1808" s="14" t="n">
        <v>2110405</v>
      </c>
      <c r="I1808" s="1" t="s">
        <v>55</v>
      </c>
      <c r="J1808" s="14" t="n">
        <v>1629113</v>
      </c>
      <c r="L1808" s="14" t="n">
        <v>223429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1557.6</v>
      </c>
      <c r="W1808" s="16" t="n">
        <v>1557.6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DIANTEIRO DE BOI L</v>
      </c>
      <c r="AC1808" s="1" t="n">
        <v>15213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46265</v>
      </c>
      <c r="C1843" s="15" t="n">
        <v>46273</v>
      </c>
      <c r="D1843" s="14" t="n">
        <v>1196</v>
      </c>
      <c r="E1843" s="1" t="s">
        <v>1423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1629256</v>
      </c>
      <c r="L1843" s="14" t="n">
        <v>223466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410</v>
      </c>
      <c r="W1843" s="16" t="n">
        <v>410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ACUCAR CRISTAL DOCE TODO DIA 30X1KG</v>
      </c>
      <c r="AC1843" s="1" t="n">
        <v>13095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1621</v>
      </c>
      <c r="E1844" s="1" t="s">
        <v>235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1630703</v>
      </c>
      <c r="L1844" s="14" t="n">
        <v>223795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1825.37</v>
      </c>
      <c r="W1844" s="16" t="n">
        <v>1825.37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CERVEJANTARCTIC 1L</v>
      </c>
      <c r="AC1844" s="1" t="n">
        <v>982558</v>
      </c>
    </row>
    <row r="1845" customFormat="false" ht="12.75" hidden="false" customHeight="true" outlineLevel="0" collapsed="false">
      <c r="A1845" s="14" t="n">
        <v>2</v>
      </c>
      <c r="B1845" s="15" t="n">
        <v>46266</v>
      </c>
      <c r="C1845" s="15" t="n">
        <v>46273</v>
      </c>
      <c r="D1845" s="14" t="n">
        <v>1642</v>
      </c>
      <c r="E1845" s="1" t="s">
        <v>233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1633903</v>
      </c>
      <c r="L1845" s="14" t="n">
        <v>224228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492.29</v>
      </c>
      <c r="W1845" s="16" t="n">
        <v>492.29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PAO DE FORMA BROTHER</v>
      </c>
      <c r="AC1845" s="1" t="n">
        <v>1039683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560</v>
      </c>
      <c r="E1846" s="1" t="s">
        <v>451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1635028</v>
      </c>
      <c r="L1846" s="14" t="n">
        <v>224552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250</v>
      </c>
      <c r="W1846" s="16" t="n">
        <v>250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BISCOITOS DA MARIA S</v>
      </c>
      <c r="AC1846" s="1" t="n">
        <v>2142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1699</v>
      </c>
      <c r="E1847" s="1" t="s">
        <v>231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1635345</v>
      </c>
      <c r="L1847" s="14" t="n">
        <v>224604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658.8</v>
      </c>
      <c r="W1847" s="16" t="n">
        <v>658.8</v>
      </c>
      <c r="X1847" s="1" t="s">
        <v>1471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SUCO JANDAI CAJU500M</v>
      </c>
      <c r="AC1847" s="1" t="n">
        <v>311270</v>
      </c>
    </row>
    <row r="1848" customFormat="false" ht="12.75" hidden="false" customHeight="true" outlineLevel="0" collapsed="false">
      <c r="A1848" s="14" t="n">
        <v>2</v>
      </c>
      <c r="B1848" s="15" t="n">
        <v>46267</v>
      </c>
      <c r="C1848" s="15" t="n">
        <v>46273</v>
      </c>
      <c r="D1848" s="14" t="n">
        <v>1625</v>
      </c>
      <c r="E1848" s="1" t="s">
        <v>272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1638627</v>
      </c>
      <c r="L1848" s="14" t="n">
        <v>225125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4886.4</v>
      </c>
      <c r="W1848" s="16" t="n">
        <v>4886.4</v>
      </c>
      <c r="X1848" s="1" t="s">
        <v>1590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TRASEIRO DE BOI L1</v>
      </c>
      <c r="AC1848" s="1" t="n">
        <v>15237</v>
      </c>
    </row>
    <row r="1849" customFormat="false" ht="12.75" hidden="false" customHeight="true" outlineLevel="0" collapsed="false">
      <c r="A1849" s="14" t="n">
        <v>2</v>
      </c>
      <c r="B1849" s="15" t="n">
        <v>46268</v>
      </c>
      <c r="C1849" s="15" t="n">
        <v>46273</v>
      </c>
      <c r="D1849" s="14" t="n">
        <v>1328</v>
      </c>
      <c r="E1849" s="1" t="s">
        <v>105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1646208</v>
      </c>
      <c r="L1849" s="14" t="n">
        <v>225890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133.5</v>
      </c>
      <c r="W1849" s="16" t="n">
        <v>133.5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PAO DE KIKAO 10</v>
      </c>
      <c r="AC1849" s="1" t="n">
        <v>4523</v>
      </c>
    </row>
    <row r="1850" customFormat="false" ht="12.75" hidden="false" customHeight="true" outlineLevel="0" collapsed="false">
      <c r="A1850" s="14" t="n">
        <v>2</v>
      </c>
      <c r="B1850" s="15" t="n">
        <v>46269</v>
      </c>
      <c r="C1850" s="15" t="n">
        <v>46273</v>
      </c>
      <c r="D1850" s="14" t="n">
        <v>10035</v>
      </c>
      <c r="E1850" s="1" t="s">
        <v>109</v>
      </c>
      <c r="F1850" s="14" t="n">
        <v>34</v>
      </c>
      <c r="G1850" s="1" t="s">
        <v>110</v>
      </c>
      <c r="H1850" s="14" t="n">
        <v>2110405</v>
      </c>
      <c r="I1850" s="1" t="s">
        <v>55</v>
      </c>
      <c r="J1850" s="14" t="n">
        <v>1651836</v>
      </c>
      <c r="L1850" s="14" t="n">
        <v>226891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177.5</v>
      </c>
      <c r="W1850" s="16" t="n">
        <v>177.5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CARVAO VEGETAL 3KG</v>
      </c>
      <c r="AC1850" s="1" t="n">
        <v>427</v>
      </c>
    </row>
    <row r="1851" customFormat="false" ht="12.75" hidden="false" customHeight="true" outlineLevel="0" collapsed="false">
      <c r="A1851" s="14" t="n">
        <v>2</v>
      </c>
      <c r="B1851" s="15" t="n">
        <v>46273</v>
      </c>
      <c r="C1851" s="15" t="n">
        <v>46273</v>
      </c>
      <c r="D1851" s="14" t="n">
        <v>642</v>
      </c>
      <c r="E1851" s="1" t="s">
        <v>144</v>
      </c>
      <c r="F1851" s="14" t="n">
        <v>24</v>
      </c>
      <c r="G1851" s="1" t="s">
        <v>91</v>
      </c>
      <c r="H1851" s="14" t="n">
        <v>2110405</v>
      </c>
      <c r="I1851" s="1" t="s">
        <v>55</v>
      </c>
      <c r="J1851" s="14" t="n">
        <v>1672490</v>
      </c>
      <c r="L1851" s="14" t="n">
        <v>229254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132</v>
      </c>
      <c r="W1851" s="16" t="n">
        <v>132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BOLO BLOOM 600G</v>
      </c>
      <c r="AC1851" s="1" t="n">
        <v>644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0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0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0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0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0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0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0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0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0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0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260.83</v>
      </c>
      <c r="W1876" s="16" t="n">
        <v>0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0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0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46191</v>
      </c>
      <c r="C1882" s="15" t="n">
        <v>46275</v>
      </c>
      <c r="D1882" s="14" t="n">
        <v>957</v>
      </c>
      <c r="E1882" s="1" t="s">
        <v>628</v>
      </c>
      <c r="F1882" s="14" t="n">
        <v>24</v>
      </c>
      <c r="G1882" s="1" t="s">
        <v>91</v>
      </c>
      <c r="H1882" s="14" t="n">
        <v>2110101</v>
      </c>
      <c r="I1882" s="1" t="s">
        <v>48</v>
      </c>
      <c r="J1882" s="14" t="n">
        <v>1268715</v>
      </c>
      <c r="L1882" s="14" t="n">
        <v>20440</v>
      </c>
      <c r="M1882" s="1" t="s">
        <v>36</v>
      </c>
      <c r="N1882" s="1" t="s">
        <v>68</v>
      </c>
      <c r="P1882" s="14" t="n">
        <v>113</v>
      </c>
      <c r="Q1882" s="1" t="s">
        <v>38</v>
      </c>
      <c r="R1882" s="1" t="s">
        <v>62</v>
      </c>
      <c r="S1882" s="14" t="n">
        <v>1130101</v>
      </c>
      <c r="T1882" s="1" t="s">
        <v>63</v>
      </c>
      <c r="U1882" s="16" t="n">
        <v>128.85</v>
      </c>
      <c r="W1882" s="16" t="n">
        <v>0</v>
      </c>
      <c r="X1882" s="1" t="s">
        <v>1614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PETISCOS GATO DREAMIES 40G</v>
      </c>
      <c r="AC1882" s="1" t="n">
        <v>20440</v>
      </c>
    </row>
    <row r="1883" customFormat="false" ht="12.75" hidden="false" customHeight="true" outlineLevel="0" collapsed="false">
      <c r="A1883" s="14" t="n">
        <v>2</v>
      </c>
      <c r="B1883" s="15" t="n">
        <v>46230</v>
      </c>
      <c r="C1883" s="15" t="n">
        <v>46275</v>
      </c>
      <c r="D1883" s="14" t="n">
        <v>513</v>
      </c>
      <c r="E1883" s="1" t="s">
        <v>352</v>
      </c>
      <c r="F1883" s="14" t="n">
        <v>24</v>
      </c>
      <c r="G1883" s="1" t="s">
        <v>91</v>
      </c>
      <c r="H1883" s="14" t="n">
        <v>2110405</v>
      </c>
      <c r="I1883" s="1" t="s">
        <v>55</v>
      </c>
      <c r="J1883" s="14" t="n">
        <v>1459285</v>
      </c>
      <c r="L1883" s="14" t="n">
        <v>197498</v>
      </c>
      <c r="M1883" s="1" t="s">
        <v>88</v>
      </c>
      <c r="N1883" s="1" t="s">
        <v>50</v>
      </c>
      <c r="P1883" s="14" t="n">
        <v>101</v>
      </c>
      <c r="Q1883" s="1" t="s">
        <v>56</v>
      </c>
      <c r="R1883" s="1" t="s">
        <v>39</v>
      </c>
      <c r="S1883" s="14" t="n">
        <v>4210315</v>
      </c>
      <c r="T1883" s="1" t="s">
        <v>283</v>
      </c>
      <c r="U1883" s="16" t="n">
        <v>160</v>
      </c>
      <c r="W1883" s="16" t="n">
        <v>0</v>
      </c>
      <c r="X1883" s="1" t="s">
        <v>805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46211</v>
      </c>
      <c r="C1884" s="15" t="n">
        <v>46275</v>
      </c>
      <c r="D1884" s="14" t="n">
        <v>33</v>
      </c>
      <c r="E1884" s="1" t="s">
        <v>305</v>
      </c>
      <c r="F1884" s="14" t="n">
        <v>34</v>
      </c>
      <c r="G1884" s="1" t="s">
        <v>110</v>
      </c>
      <c r="H1884" s="14" t="n">
        <v>2110405</v>
      </c>
      <c r="I1884" s="1" t="s">
        <v>55</v>
      </c>
      <c r="J1884" s="14" t="n">
        <v>1370733</v>
      </c>
      <c r="L1884" s="14" t="n">
        <v>184338</v>
      </c>
      <c r="M1884" s="1" t="s">
        <v>88</v>
      </c>
      <c r="N1884" s="1" t="s">
        <v>50</v>
      </c>
      <c r="P1884" s="14" t="n">
        <v>101</v>
      </c>
      <c r="Q1884" s="1" t="s">
        <v>56</v>
      </c>
      <c r="R1884" s="1" t="s">
        <v>70</v>
      </c>
      <c r="S1884" s="14" t="n">
        <v>4210222</v>
      </c>
      <c r="T1884" s="1" t="s">
        <v>1220</v>
      </c>
      <c r="U1884" s="16" t="n">
        <v>666.67</v>
      </c>
      <c r="W1884" s="16" t="n">
        <v>0</v>
      </c>
      <c r="X1884" s="1" t="s">
        <v>1221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46224</v>
      </c>
      <c r="C1885" s="15" t="n">
        <v>46275</v>
      </c>
      <c r="D1885" s="14" t="n">
        <v>1100</v>
      </c>
      <c r="E1885" s="1" t="s">
        <v>328</v>
      </c>
      <c r="F1885" s="14" t="n">
        <v>46</v>
      </c>
      <c r="G1885" s="1" t="s">
        <v>323</v>
      </c>
      <c r="H1885" s="14" t="n">
        <v>2110405</v>
      </c>
      <c r="I1885" s="1" t="s">
        <v>55</v>
      </c>
      <c r="J1885" s="14" t="n">
        <v>1427624</v>
      </c>
      <c r="L1885" s="14" t="n">
        <v>190916</v>
      </c>
      <c r="M1885" s="1" t="s">
        <v>88</v>
      </c>
      <c r="N1885" s="1" t="s">
        <v>50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266.68</v>
      </c>
      <c r="W1885" s="16" t="n">
        <v>0</v>
      </c>
      <c r="X1885" s="1" t="s">
        <v>1615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MEMORIA HIKSEMI HIKER 8GB DDR4 3200 - HS</v>
      </c>
      <c r="AC1885" s="1" t="n">
        <v>9481</v>
      </c>
    </row>
    <row r="1886" customFormat="false" ht="12.75" hidden="false" customHeight="true" outlineLevel="0" collapsed="false">
      <c r="A1886" s="14" t="n">
        <v>2</v>
      </c>
      <c r="B1886" s="15" t="n">
        <v>46247</v>
      </c>
      <c r="C1886" s="15" t="n">
        <v>46275</v>
      </c>
      <c r="D1886" s="14" t="n">
        <v>1608</v>
      </c>
      <c r="E1886" s="1" t="s">
        <v>224</v>
      </c>
      <c r="F1886" s="14" t="n">
        <v>24</v>
      </c>
      <c r="G1886" s="1" t="s">
        <v>91</v>
      </c>
      <c r="H1886" s="14" t="n">
        <v>2110405</v>
      </c>
      <c r="I1886" s="1" t="s">
        <v>55</v>
      </c>
      <c r="J1886" s="14" t="n">
        <v>1540769</v>
      </c>
      <c r="L1886" s="14" t="n">
        <v>210180</v>
      </c>
      <c r="M1886" s="1" t="s">
        <v>36</v>
      </c>
      <c r="N1886" s="1" t="s">
        <v>50</v>
      </c>
      <c r="P1886" s="14" t="n">
        <v>113</v>
      </c>
      <c r="Q1886" s="1" t="s">
        <v>38</v>
      </c>
      <c r="R1886" s="1" t="s">
        <v>62</v>
      </c>
      <c r="S1886" s="14" t="n">
        <v>1130101</v>
      </c>
      <c r="T1886" s="1" t="s">
        <v>63</v>
      </c>
      <c r="U1886" s="16" t="n">
        <v>692.26</v>
      </c>
      <c r="W1886" s="16" t="n">
        <v>0</v>
      </c>
      <c r="X1886" s="1" t="s">
        <v>1419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SAZON CALDO CARNE 32</v>
      </c>
      <c r="AC1886" s="1" t="n">
        <v>1710665</v>
      </c>
    </row>
    <row r="1887" customFormat="false" ht="12.75" hidden="false" customHeight="true" outlineLevel="0" collapsed="false">
      <c r="A1887" s="14" t="n">
        <v>2</v>
      </c>
      <c r="B1887" s="15" t="n">
        <v>46248</v>
      </c>
      <c r="C1887" s="15" t="n">
        <v>46275</v>
      </c>
      <c r="D1887" s="14" t="n">
        <v>1678</v>
      </c>
      <c r="E1887" s="1" t="s">
        <v>844</v>
      </c>
      <c r="F1887" s="14" t="n">
        <v>24</v>
      </c>
      <c r="G1887" s="1" t="s">
        <v>91</v>
      </c>
      <c r="H1887" s="14" t="n">
        <v>2110405</v>
      </c>
      <c r="I1887" s="1" t="s">
        <v>55</v>
      </c>
      <c r="J1887" s="14" t="n">
        <v>1545805</v>
      </c>
      <c r="L1887" s="14" t="n">
        <v>211100</v>
      </c>
      <c r="M1887" s="1" t="s">
        <v>36</v>
      </c>
      <c r="N1887" s="1" t="s">
        <v>50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2153.25</v>
      </c>
      <c r="W1887" s="16" t="n">
        <v>0</v>
      </c>
      <c r="X1887" s="1" t="s">
        <v>1616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AGUA SANI MODALVA 1L</v>
      </c>
      <c r="AC1887" s="1" t="n">
        <v>163912</v>
      </c>
    </row>
    <row r="1888" customFormat="false" ht="12.75" hidden="false" customHeight="true" outlineLevel="0" collapsed="false">
      <c r="A1888" s="14" t="n">
        <v>2</v>
      </c>
      <c r="B1888" s="15" t="n">
        <v>46251</v>
      </c>
      <c r="C1888" s="15" t="n">
        <v>46275</v>
      </c>
      <c r="D1888" s="14" t="n">
        <v>1637</v>
      </c>
      <c r="E1888" s="1" t="s">
        <v>870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1561330</v>
      </c>
      <c r="L1888" s="14" t="n">
        <v>213017</v>
      </c>
      <c r="M1888" s="1" t="s">
        <v>36</v>
      </c>
      <c r="N1888" s="1" t="s">
        <v>50</v>
      </c>
      <c r="P1888" s="14" t="n">
        <v>113</v>
      </c>
      <c r="Q1888" s="1" t="s">
        <v>38</v>
      </c>
      <c r="R1888" s="1" t="s">
        <v>62</v>
      </c>
      <c r="S1888" s="14" t="n">
        <v>1130101</v>
      </c>
      <c r="T1888" s="1" t="s">
        <v>63</v>
      </c>
      <c r="U1888" s="16" t="n">
        <v>561.84</v>
      </c>
      <c r="W1888" s="16" t="n">
        <v>0</v>
      </c>
      <c r="X1888" s="1" t="s">
        <v>1617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SALSICHA VIENA TARGET 300G</v>
      </c>
      <c r="AC1888" s="1" t="n">
        <v>1919900</v>
      </c>
    </row>
    <row r="1889" customFormat="false" ht="12.75" hidden="false" customHeight="true" outlineLevel="0" collapsed="false">
      <c r="A1889" s="14" t="n">
        <v>2</v>
      </c>
      <c r="B1889" s="15" t="n">
        <v>46252</v>
      </c>
      <c r="C1889" s="15" t="n">
        <v>46275</v>
      </c>
      <c r="D1889" s="14" t="n">
        <v>1671</v>
      </c>
      <c r="E1889" s="1" t="s">
        <v>101</v>
      </c>
      <c r="F1889" s="14" t="n">
        <v>24</v>
      </c>
      <c r="G1889" s="1" t="s">
        <v>91</v>
      </c>
      <c r="H1889" s="14" t="n">
        <v>2110405</v>
      </c>
      <c r="I1889" s="1" t="s">
        <v>55</v>
      </c>
      <c r="J1889" s="14" t="n">
        <v>1567132</v>
      </c>
      <c r="L1889" s="14" t="n">
        <v>213985</v>
      </c>
      <c r="M1889" s="1" t="s">
        <v>36</v>
      </c>
      <c r="N1889" s="1" t="s">
        <v>50</v>
      </c>
      <c r="P1889" s="14" t="n">
        <v>113</v>
      </c>
      <c r="Q1889" s="1" t="s">
        <v>38</v>
      </c>
      <c r="R1889" s="1" t="s">
        <v>62</v>
      </c>
      <c r="S1889" s="14" t="n">
        <v>1130101</v>
      </c>
      <c r="T1889" s="1" t="s">
        <v>63</v>
      </c>
      <c r="U1889" s="16" t="n">
        <v>793.81</v>
      </c>
      <c r="W1889" s="16" t="n">
        <v>0</v>
      </c>
      <c r="X1889" s="1" t="s">
        <v>1425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SAB LIQ PROTEX CREAM</v>
      </c>
      <c r="AC1889" s="1" t="n">
        <v>586415</v>
      </c>
    </row>
    <row r="1890" customFormat="false" ht="12.75" hidden="false" customHeight="true" outlineLevel="0" collapsed="false">
      <c r="A1890" s="14" t="n">
        <v>2</v>
      </c>
      <c r="B1890" s="15" t="n">
        <v>46256</v>
      </c>
      <c r="C1890" s="15" t="n">
        <v>46275</v>
      </c>
      <c r="D1890" s="14" t="n">
        <v>1745</v>
      </c>
      <c r="E1890" s="1" t="s">
        <v>170</v>
      </c>
      <c r="F1890" s="14" t="n">
        <v>24</v>
      </c>
      <c r="G1890" s="1" t="s">
        <v>91</v>
      </c>
      <c r="H1890" s="14" t="n">
        <v>2110405</v>
      </c>
      <c r="I1890" s="1" t="s">
        <v>55</v>
      </c>
      <c r="J1890" s="14" t="n">
        <v>1585074</v>
      </c>
      <c r="L1890" s="14" t="n">
        <v>216840</v>
      </c>
      <c r="M1890" s="1" t="s">
        <v>36</v>
      </c>
      <c r="N1890" s="1" t="s">
        <v>50</v>
      </c>
      <c r="P1890" s="14" t="n">
        <v>113</v>
      </c>
      <c r="Q1890" s="1" t="s">
        <v>38</v>
      </c>
      <c r="R1890" s="1" t="s">
        <v>62</v>
      </c>
      <c r="S1890" s="14" t="n">
        <v>1130101</v>
      </c>
      <c r="T1890" s="1" t="s">
        <v>63</v>
      </c>
      <c r="U1890" s="16" t="n">
        <v>182.8</v>
      </c>
      <c r="W1890" s="16" t="n">
        <v>0</v>
      </c>
      <c r="X1890" s="1" t="s">
        <v>1535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MILHO PIPOCA DONA CLARA 400G</v>
      </c>
      <c r="AC1890" s="1" t="n">
        <v>357892</v>
      </c>
    </row>
    <row r="1891" customFormat="false" ht="12.75" hidden="false" customHeight="true" outlineLevel="0" collapsed="false">
      <c r="A1891" s="14" t="n">
        <v>2</v>
      </c>
      <c r="B1891" s="15" t="n">
        <v>46256</v>
      </c>
      <c r="C1891" s="15" t="n">
        <v>46275</v>
      </c>
      <c r="D1891" s="14" t="n">
        <v>1713</v>
      </c>
      <c r="E1891" s="1" t="s">
        <v>75</v>
      </c>
      <c r="F1891" s="14" t="n">
        <v>46</v>
      </c>
      <c r="G1891" s="1" t="s">
        <v>323</v>
      </c>
      <c r="H1891" s="14" t="n">
        <v>2110405</v>
      </c>
      <c r="I1891" s="1" t="s">
        <v>55</v>
      </c>
      <c r="J1891" s="14" t="n">
        <v>1585399</v>
      </c>
      <c r="L1891" s="14" t="n">
        <v>216902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70</v>
      </c>
      <c r="S1891" s="14" t="n">
        <v>4210227</v>
      </c>
      <c r="T1891" s="1" t="s">
        <v>77</v>
      </c>
      <c r="U1891" s="16" t="n">
        <v>79.8</v>
      </c>
      <c r="W1891" s="16" t="n">
        <v>0</v>
      </c>
      <c r="X1891" s="1" t="s">
        <v>1618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BARRA ROSCADA FERRO</v>
      </c>
      <c r="AC1891" s="1" t="n">
        <v>13976</v>
      </c>
    </row>
    <row r="1892" customFormat="false" ht="12.75" hidden="false" customHeight="true" outlineLevel="0" collapsed="false">
      <c r="A1892" s="14" t="n">
        <v>2</v>
      </c>
      <c r="B1892" s="15" t="n">
        <v>46256</v>
      </c>
      <c r="C1892" s="15" t="n">
        <v>46275</v>
      </c>
      <c r="D1892" s="14" t="n">
        <v>10106</v>
      </c>
      <c r="E1892" s="1" t="s">
        <v>1619</v>
      </c>
      <c r="F1892" s="14" t="n">
        <v>46</v>
      </c>
      <c r="G1892" s="1" t="s">
        <v>323</v>
      </c>
      <c r="H1892" s="14" t="n">
        <v>2110405</v>
      </c>
      <c r="I1892" s="1" t="s">
        <v>55</v>
      </c>
      <c r="J1892" s="14" t="n">
        <v>1585437</v>
      </c>
      <c r="L1892" s="14" t="n">
        <v>216905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70</v>
      </c>
      <c r="S1892" s="14" t="n">
        <v>4210229</v>
      </c>
      <c r="T1892" s="1" t="s">
        <v>1090</v>
      </c>
      <c r="U1892" s="16" t="n">
        <v>101.9</v>
      </c>
      <c r="W1892" s="16" t="n">
        <v>0</v>
      </c>
      <c r="X1892" s="1" t="s">
        <v>1620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12.75" hidden="false" customHeight="true" outlineLevel="0" collapsed="false">
      <c r="A1893" s="14" t="n">
        <v>2</v>
      </c>
      <c r="B1893" s="15" t="n">
        <v>46260</v>
      </c>
      <c r="C1893" s="15" t="n">
        <v>46275</v>
      </c>
      <c r="D1893" s="14" t="n">
        <v>1672</v>
      </c>
      <c r="E1893" s="1" t="s">
        <v>340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1605100</v>
      </c>
      <c r="L1893" s="14" t="n">
        <v>219899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1515.2</v>
      </c>
      <c r="W1893" s="16" t="n">
        <v>0</v>
      </c>
      <c r="X1893" s="1" t="s">
        <v>1621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AGUA MINE YARA 350ML</v>
      </c>
      <c r="AC1893" s="1" t="n">
        <v>1430146</v>
      </c>
    </row>
    <row r="1894" customFormat="false" ht="12.75" hidden="false" customHeight="true" outlineLevel="0" collapsed="false">
      <c r="A1894" s="14" t="n">
        <v>2</v>
      </c>
      <c r="B1894" s="15" t="n">
        <v>46261</v>
      </c>
      <c r="C1894" s="15" t="n">
        <v>46275</v>
      </c>
      <c r="D1894" s="14" t="n">
        <v>1706</v>
      </c>
      <c r="E1894" s="1" t="s">
        <v>1622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1608551</v>
      </c>
      <c r="L1894" s="14" t="n">
        <v>220369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805.4</v>
      </c>
      <c r="W1894" s="16" t="n">
        <v>0</v>
      </c>
      <c r="X1894" s="1" t="s">
        <v>1623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BATATA PRINGLES ORIGINAL 104G</v>
      </c>
      <c r="AC1894" s="1" t="n">
        <v>206697</v>
      </c>
    </row>
    <row r="1895" customFormat="false" ht="12.75" hidden="false" customHeight="true" outlineLevel="0" collapsed="false">
      <c r="A1895" s="14" t="n">
        <v>2</v>
      </c>
      <c r="B1895" s="15" t="n">
        <v>46261</v>
      </c>
      <c r="C1895" s="15" t="n">
        <v>46275</v>
      </c>
      <c r="D1895" s="14" t="n">
        <v>1643</v>
      </c>
      <c r="E1895" s="1" t="s">
        <v>198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1608890</v>
      </c>
      <c r="L1895" s="14" t="n">
        <v>220447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228</v>
      </c>
      <c r="W1895" s="16" t="n">
        <v>0</v>
      </c>
      <c r="X1895" s="1" t="s">
        <v>1624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COCADA CASMORENINH</v>
      </c>
      <c r="AC1895" s="1" t="n">
        <v>10951</v>
      </c>
    </row>
    <row r="1896" customFormat="false" ht="12.75" hidden="false" customHeight="true" outlineLevel="0" collapsed="false">
      <c r="A1896" s="14" t="n">
        <v>2</v>
      </c>
      <c r="B1896" s="15" t="n">
        <v>46261</v>
      </c>
      <c r="C1896" s="15" t="n">
        <v>46275</v>
      </c>
      <c r="D1896" s="14" t="n">
        <v>1270</v>
      </c>
      <c r="E1896" s="1" t="s">
        <v>925</v>
      </c>
      <c r="F1896" s="14" t="n">
        <v>24</v>
      </c>
      <c r="G1896" s="1" t="s">
        <v>91</v>
      </c>
      <c r="H1896" s="14" t="n">
        <v>2110405</v>
      </c>
      <c r="I1896" s="1" t="s">
        <v>55</v>
      </c>
      <c r="J1896" s="14" t="n">
        <v>1609996</v>
      </c>
      <c r="L1896" s="14" t="n">
        <v>220684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62</v>
      </c>
      <c r="S1896" s="14" t="n">
        <v>1130101</v>
      </c>
      <c r="T1896" s="1" t="s">
        <v>63</v>
      </c>
      <c r="U1896" s="16" t="n">
        <v>190</v>
      </c>
      <c r="W1896" s="16" t="n">
        <v>0</v>
      </c>
      <c r="X1896" s="1" t="s">
        <v>1625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PASTA DE ALHO 200G</v>
      </c>
      <c r="AC1896" s="1" t="n">
        <v>2859</v>
      </c>
    </row>
    <row r="1897" customFormat="false" ht="12.75" hidden="false" customHeight="true" outlineLevel="0" collapsed="false">
      <c r="A1897" s="14" t="n">
        <v>2</v>
      </c>
      <c r="B1897" s="15" t="n">
        <v>46262</v>
      </c>
      <c r="C1897" s="15" t="n">
        <v>46275</v>
      </c>
      <c r="D1897" s="14" t="n">
        <v>1695</v>
      </c>
      <c r="E1897" s="1" t="s">
        <v>392</v>
      </c>
      <c r="F1897" s="14" t="n">
        <v>24</v>
      </c>
      <c r="G1897" s="1" t="s">
        <v>91</v>
      </c>
      <c r="H1897" s="14" t="n">
        <v>2110405</v>
      </c>
      <c r="I1897" s="1" t="s">
        <v>55</v>
      </c>
      <c r="J1897" s="14" t="n">
        <v>1613806</v>
      </c>
      <c r="L1897" s="14" t="n">
        <v>221286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62</v>
      </c>
      <c r="S1897" s="14" t="n">
        <v>1130101</v>
      </c>
      <c r="T1897" s="1" t="s">
        <v>63</v>
      </c>
      <c r="U1897" s="16" t="n">
        <v>1063.84</v>
      </c>
      <c r="W1897" s="16" t="n">
        <v>0</v>
      </c>
      <c r="X1897" s="1" t="s">
        <v>1537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CAFE KIMINO 250G</v>
      </c>
      <c r="AC1897" s="1" t="n">
        <v>20104</v>
      </c>
    </row>
    <row r="1898" customFormat="false" ht="12.75" hidden="false" customHeight="true" outlineLevel="0" collapsed="false">
      <c r="A1898" s="14" t="n">
        <v>2</v>
      </c>
      <c r="B1898" s="15" t="n">
        <v>46263</v>
      </c>
      <c r="C1898" s="15" t="n">
        <v>46275</v>
      </c>
      <c r="D1898" s="14" t="n">
        <v>10090</v>
      </c>
      <c r="E1898" s="1" t="s">
        <v>1539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1618583</v>
      </c>
      <c r="L1898" s="14" t="n">
        <v>221972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1012.43</v>
      </c>
      <c r="W1898" s="16" t="n">
        <v>0</v>
      </c>
      <c r="X1898" s="1" t="s">
        <v>453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OVOS BRANCO UNID</v>
      </c>
      <c r="AC1898" s="1" t="n">
        <v>299</v>
      </c>
    </row>
    <row r="1899" customFormat="false" ht="12.75" hidden="false" customHeight="true" outlineLevel="0" collapsed="false">
      <c r="A1899" s="14" t="n">
        <v>2</v>
      </c>
      <c r="B1899" s="15" t="n">
        <v>46268</v>
      </c>
      <c r="C1899" s="15" t="n">
        <v>46275</v>
      </c>
      <c r="D1899" s="14" t="n">
        <v>1363</v>
      </c>
      <c r="E1899" s="1" t="s">
        <v>187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1647846</v>
      </c>
      <c r="L1899" s="14" t="n">
        <v>226313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125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PAO BOLINHA SANTO PAO</v>
      </c>
      <c r="AC1899" s="1" t="n">
        <v>3867</v>
      </c>
    </row>
    <row r="1900" customFormat="false" ht="12.75" hidden="false" customHeight="true" outlineLevel="0" collapsed="false">
      <c r="A1900" s="14" t="n">
        <v>2</v>
      </c>
      <c r="B1900" s="15" t="n">
        <v>46269</v>
      </c>
      <c r="C1900" s="15" t="n">
        <v>46275</v>
      </c>
      <c r="D1900" s="14" t="n">
        <v>10018</v>
      </c>
      <c r="E1900" s="1" t="s">
        <v>243</v>
      </c>
      <c r="F1900" s="14" t="n">
        <v>34</v>
      </c>
      <c r="G1900" s="1" t="s">
        <v>110</v>
      </c>
      <c r="H1900" s="14" t="n">
        <v>2110405</v>
      </c>
      <c r="I1900" s="1" t="s">
        <v>55</v>
      </c>
      <c r="J1900" s="14" t="n">
        <v>1653370</v>
      </c>
      <c r="L1900" s="14" t="n">
        <v>227145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1045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TRIGOLAR S/FERM 1KG</v>
      </c>
      <c r="AC1900" s="1" t="n">
        <v>378</v>
      </c>
    </row>
    <row r="1901" customFormat="false" ht="12.75" hidden="false" customHeight="true" outlineLevel="0" collapsed="false">
      <c r="A1901" s="14" t="n">
        <v>2</v>
      </c>
      <c r="B1901" s="15" t="n">
        <v>46269</v>
      </c>
      <c r="C1901" s="15" t="n">
        <v>46275</v>
      </c>
      <c r="D1901" s="14" t="n">
        <v>1625</v>
      </c>
      <c r="E1901" s="1" t="s">
        <v>272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1653478</v>
      </c>
      <c r="L1901" s="14" t="n">
        <v>227162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4057.6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TRASEIRO DE BOI L1</v>
      </c>
      <c r="AC1901" s="1" t="n">
        <v>15256</v>
      </c>
    </row>
    <row r="1902" customFormat="false" ht="12.75" hidden="false" customHeight="true" outlineLevel="0" collapsed="false">
      <c r="A1902" s="14" t="n">
        <v>2</v>
      </c>
      <c r="B1902" s="15" t="n">
        <v>46255</v>
      </c>
      <c r="C1902" s="15" t="n">
        <v>46275</v>
      </c>
      <c r="D1902" s="14" t="n">
        <v>1758</v>
      </c>
      <c r="E1902" s="1" t="s">
        <v>486</v>
      </c>
      <c r="F1902" s="14" t="n">
        <v>46</v>
      </c>
      <c r="G1902" s="1" t="s">
        <v>323</v>
      </c>
      <c r="H1902" s="14" t="n">
        <v>2110405</v>
      </c>
      <c r="I1902" s="1" t="s">
        <v>55</v>
      </c>
      <c r="J1902" s="14" t="n">
        <v>1681758</v>
      </c>
      <c r="L1902" s="14" t="n">
        <v>230766</v>
      </c>
      <c r="M1902" s="1" t="s">
        <v>36</v>
      </c>
      <c r="N1902" s="1" t="s">
        <v>50</v>
      </c>
      <c r="P1902" s="14" t="n">
        <v>101</v>
      </c>
      <c r="Q1902" s="1" t="s">
        <v>56</v>
      </c>
      <c r="R1902" s="1" t="s">
        <v>70</v>
      </c>
      <c r="S1902" s="14" t="n">
        <v>4210227</v>
      </c>
      <c r="T1902" s="1" t="s">
        <v>77</v>
      </c>
      <c r="U1902" s="16" t="n">
        <v>84</v>
      </c>
      <c r="W1902" s="16" t="n">
        <v>0</v>
      </c>
      <c r="X1902" s="1" t="s">
        <v>1629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" t="n">
        <v>2</v>
      </c>
      <c r="B1903" s="17" t="n">
        <v>46275</v>
      </c>
      <c r="C1903" s="17" t="n">
        <v>46275</v>
      </c>
      <c r="D1903" s="1" t="n">
        <v>48</v>
      </c>
      <c r="E1903" s="1" t="s">
        <v>146</v>
      </c>
      <c r="F1903" s="1" t="n">
        <v>13</v>
      </c>
      <c r="G1903" s="1" t="s">
        <v>147</v>
      </c>
      <c r="H1903" s="1" t="n">
        <v>2110101</v>
      </c>
      <c r="I1903" s="1" t="s">
        <v>48</v>
      </c>
      <c r="J1903" s="1" t="n">
        <v>1682333</v>
      </c>
      <c r="L1903" s="1" t="n">
        <v>2667</v>
      </c>
      <c r="M1903" s="1" t="s">
        <v>36</v>
      </c>
      <c r="N1903" s="1" t="s">
        <v>68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300</v>
      </c>
      <c r="W1903" s="1" t="n">
        <v>0</v>
      </c>
      <c r="X1903" s="1" t="s">
        <v>1630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" t="n">
        <v>2</v>
      </c>
      <c r="B1904" s="17" t="n">
        <v>46256</v>
      </c>
      <c r="C1904" s="17" t="n">
        <v>46276</v>
      </c>
      <c r="D1904" s="1" t="n">
        <v>1666</v>
      </c>
      <c r="E1904" s="1" t="s">
        <v>229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1585303</v>
      </c>
      <c r="L1904" s="1" t="n">
        <v>216891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5894.1</v>
      </c>
      <c r="W1904" s="1" t="n">
        <v>0</v>
      </c>
      <c r="X1904" s="1" t="s">
        <v>1439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570907</v>
      </c>
    </row>
    <row r="1905" customFormat="false" ht="12.75" hidden="false" customHeight="true" outlineLevel="0" collapsed="false">
      <c r="A1905" s="1" t="n">
        <v>2</v>
      </c>
      <c r="B1905" s="17" t="n">
        <v>46262</v>
      </c>
      <c r="C1905" s="17" t="n">
        <v>46276</v>
      </c>
      <c r="D1905" s="1" t="n">
        <v>10002</v>
      </c>
      <c r="E1905" s="1" t="s">
        <v>196</v>
      </c>
      <c r="F1905" s="1" t="n">
        <v>24</v>
      </c>
      <c r="G1905" s="1" t="s">
        <v>91</v>
      </c>
      <c r="H1905" s="1" t="n">
        <v>2110405</v>
      </c>
      <c r="I1905" s="1" t="s">
        <v>55</v>
      </c>
      <c r="J1905" s="1" t="n">
        <v>1614688</v>
      </c>
      <c r="L1905" s="1" t="n">
        <v>221482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624.41</v>
      </c>
      <c r="W1905" s="1" t="n">
        <v>0</v>
      </c>
      <c r="X1905" s="1" t="s">
        <v>1631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POLPA MANGA BRASFRUT</v>
      </c>
      <c r="AC1905" s="1" t="n">
        <v>197945</v>
      </c>
    </row>
    <row r="1906" customFormat="false" ht="12.75" hidden="false" customHeight="true" outlineLevel="0" collapsed="false">
      <c r="A1906" s="1" t="n">
        <v>2</v>
      </c>
      <c r="B1906" s="17" t="n">
        <v>46265</v>
      </c>
      <c r="C1906" s="17" t="n">
        <v>46276</v>
      </c>
      <c r="D1906" s="1" t="n">
        <v>1616</v>
      </c>
      <c r="E1906" s="1" t="s">
        <v>94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1629531</v>
      </c>
      <c r="L1906" s="1" t="n">
        <v>223542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610.2</v>
      </c>
      <c r="W1906" s="1" t="n">
        <v>0</v>
      </c>
      <c r="X1906" s="1" t="s">
        <v>1632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ESPONJA BRILHUS 1UNI</v>
      </c>
      <c r="AC1906" s="1" t="n">
        <v>656817</v>
      </c>
    </row>
    <row r="1907" customFormat="false" ht="12.75" hidden="false" customHeight="true" outlineLevel="0" collapsed="false">
      <c r="A1907" s="1" t="n">
        <v>2</v>
      </c>
      <c r="B1907" s="17" t="n">
        <v>46269</v>
      </c>
      <c r="C1907" s="17" t="n">
        <v>46276</v>
      </c>
      <c r="D1907" s="1" t="n">
        <v>911</v>
      </c>
      <c r="E1907" s="1" t="s">
        <v>477</v>
      </c>
      <c r="F1907" s="1" t="n">
        <v>24</v>
      </c>
      <c r="G1907" s="1" t="s">
        <v>91</v>
      </c>
      <c r="H1907" s="1" t="n">
        <v>2110405</v>
      </c>
      <c r="I1907" s="1" t="s">
        <v>55</v>
      </c>
      <c r="J1907" s="1" t="n">
        <v>1652166</v>
      </c>
      <c r="L1907" s="1" t="n">
        <v>226960</v>
      </c>
      <c r="M1907" s="1" t="s">
        <v>36</v>
      </c>
      <c r="N1907" s="1" t="s">
        <v>50</v>
      </c>
      <c r="P1907" s="1" t="n">
        <v>113</v>
      </c>
      <c r="Q1907" s="1" t="s">
        <v>38</v>
      </c>
      <c r="R1907" s="1" t="s">
        <v>62</v>
      </c>
      <c r="S1907" s="1" t="n">
        <v>1130101</v>
      </c>
      <c r="T1907" s="1" t="s">
        <v>63</v>
      </c>
      <c r="U1907" s="1" t="n">
        <v>247.55</v>
      </c>
      <c r="W1907" s="1" t="n">
        <v>0</v>
      </c>
      <c r="X1907" s="1" t="s">
        <v>1633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PURAGUA SODA COM GAS</v>
      </c>
      <c r="AC1907" s="1" t="n">
        <v>58376</v>
      </c>
    </row>
    <row r="1908" customFormat="false" ht="12.75" hidden="false" customHeight="true" outlineLevel="0" collapsed="false">
      <c r="A1908" s="1" t="n">
        <v>2</v>
      </c>
      <c r="B1908" s="17" t="n">
        <v>46269</v>
      </c>
      <c r="C1908" s="17" t="n">
        <v>46276</v>
      </c>
      <c r="D1908" s="1" t="n">
        <v>1608</v>
      </c>
      <c r="E1908" s="1" t="s">
        <v>224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1652225</v>
      </c>
      <c r="L1908" s="1" t="n">
        <v>226976</v>
      </c>
      <c r="M1908" s="1" t="s">
        <v>36</v>
      </c>
      <c r="N1908" s="1" t="s">
        <v>50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832.2</v>
      </c>
      <c r="W1908" s="1" t="n">
        <v>0</v>
      </c>
      <c r="X1908" s="1" t="s">
        <v>1634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DANONE GREGO UNID FR</v>
      </c>
      <c r="AC1908" s="1" t="n">
        <v>1724730</v>
      </c>
    </row>
    <row r="1909" customFormat="false" ht="12.75" hidden="false" customHeight="true" outlineLevel="0" collapsed="false">
      <c r="A1909" s="1" t="n">
        <v>2</v>
      </c>
      <c r="B1909" s="17" t="n">
        <v>46269</v>
      </c>
      <c r="C1909" s="17" t="n">
        <v>46276</v>
      </c>
      <c r="D1909" s="1" t="n">
        <v>1815</v>
      </c>
      <c r="E1909" s="1" t="s">
        <v>180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1652435</v>
      </c>
      <c r="L1909" s="1" t="n">
        <v>227015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474.45</v>
      </c>
      <c r="W1909" s="1" t="n">
        <v>0</v>
      </c>
      <c r="X1909" s="1" t="s">
        <v>1635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COXINHA DA ASA KG</v>
      </c>
      <c r="AC1909" s="1" t="n">
        <v>401423</v>
      </c>
    </row>
    <row r="1910" customFormat="false" ht="12.75" hidden="false" customHeight="true" outlineLevel="0" collapsed="false">
      <c r="A1910" s="1" t="n">
        <v>2</v>
      </c>
      <c r="B1910" s="17" t="n">
        <v>46273</v>
      </c>
      <c r="C1910" s="17" t="n">
        <v>46276</v>
      </c>
      <c r="D1910" s="1" t="n">
        <v>1695</v>
      </c>
      <c r="E1910" s="1" t="s">
        <v>392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1673927</v>
      </c>
      <c r="L1910" s="1" t="n">
        <v>229534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860.51</v>
      </c>
      <c r="W1910" s="1" t="n">
        <v>0</v>
      </c>
      <c r="X1910" s="1" t="s">
        <v>1636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TRIGOLAR C/FERMENTO 1KG</v>
      </c>
      <c r="AC1910" s="1" t="n">
        <v>20278</v>
      </c>
    </row>
    <row r="1911" customFormat="false" ht="12.75" hidden="false" customHeight="true" outlineLevel="0" collapsed="false">
      <c r="A1911" s="1" t="n">
        <v>2</v>
      </c>
      <c r="B1911" s="17" t="n">
        <v>46274</v>
      </c>
      <c r="C1911" s="17" t="n">
        <v>46276</v>
      </c>
      <c r="D1911" s="1" t="n">
        <v>1899</v>
      </c>
      <c r="E1911" s="1" t="s">
        <v>211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1677066</v>
      </c>
      <c r="L1911" s="1" t="n">
        <v>230034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124.75</v>
      </c>
      <c r="W1911" s="1" t="n">
        <v>0</v>
      </c>
      <c r="X1911" s="1" t="s">
        <v>1637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PAO DE LEITE</v>
      </c>
      <c r="AC1911" s="1" t="n">
        <v>794</v>
      </c>
    </row>
    <row r="1912" customFormat="false" ht="12.75" hidden="false" customHeight="true" outlineLevel="0" collapsed="false">
      <c r="A1912" s="1" t="n">
        <v>2</v>
      </c>
      <c r="B1912" s="17" t="n">
        <v>46274</v>
      </c>
      <c r="C1912" s="17" t="n">
        <v>46276</v>
      </c>
      <c r="D1912" s="1" t="n">
        <v>1899</v>
      </c>
      <c r="E1912" s="1" t="s">
        <v>211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1678724</v>
      </c>
      <c r="L1912" s="1" t="n">
        <v>230329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135</v>
      </c>
      <c r="W1912" s="1" t="n">
        <v>0</v>
      </c>
      <c r="X1912" s="1" t="s">
        <v>1638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MASSA FINA</v>
      </c>
      <c r="AC1912" s="1" t="n">
        <v>797</v>
      </c>
    </row>
    <row r="1913" customFormat="false" ht="12.75" hidden="false" customHeight="true" outlineLevel="0" collapsed="false">
      <c r="A1913" s="1" t="n">
        <v>2</v>
      </c>
      <c r="B1913" s="17" t="n">
        <v>46248</v>
      </c>
      <c r="C1913" s="17" t="n">
        <v>46277</v>
      </c>
      <c r="D1913" s="1" t="n">
        <v>1718</v>
      </c>
      <c r="E1913" s="1" t="s">
        <v>222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1547763</v>
      </c>
      <c r="L1913" s="1" t="n">
        <v>211395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706.55</v>
      </c>
      <c r="W1913" s="1" t="n">
        <v>0</v>
      </c>
      <c r="X1913" s="1" t="s">
        <v>1451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PILAO 250G</v>
      </c>
      <c r="AC1913" s="1" t="n">
        <v>689222</v>
      </c>
    </row>
    <row r="1914" customFormat="false" ht="12.75" hidden="false" customHeight="true" outlineLevel="0" collapsed="false">
      <c r="A1914" s="1" t="n">
        <v>2</v>
      </c>
      <c r="B1914" s="17" t="n">
        <v>46249</v>
      </c>
      <c r="C1914" s="17" t="n">
        <v>46277</v>
      </c>
      <c r="D1914" s="1" t="n">
        <v>1718</v>
      </c>
      <c r="E1914" s="1" t="s">
        <v>222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1551508</v>
      </c>
      <c r="L1914" s="1" t="n">
        <v>211719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1422.68</v>
      </c>
      <c r="W1914" s="1" t="n">
        <v>0</v>
      </c>
      <c r="X1914" s="1" t="s">
        <v>1452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TRIDENT CANELA</v>
      </c>
      <c r="AC1914" s="1" t="n">
        <v>689224</v>
      </c>
    </row>
    <row r="1915" customFormat="false" ht="12.75" hidden="false" customHeight="true" outlineLevel="0" collapsed="false">
      <c r="A1915" s="1" t="n">
        <v>2</v>
      </c>
      <c r="B1915" s="17" t="n">
        <v>46261</v>
      </c>
      <c r="C1915" s="17" t="n">
        <v>46277</v>
      </c>
      <c r="D1915" s="1" t="n">
        <v>1671</v>
      </c>
      <c r="E1915" s="1" t="s">
        <v>101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1610059</v>
      </c>
      <c r="L1915" s="1" t="n">
        <v>220696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271.46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AER NIVEA DRY 150ML</v>
      </c>
      <c r="AC1915" s="1" t="n">
        <v>588254</v>
      </c>
    </row>
    <row r="1916" customFormat="false" ht="12.75" hidden="false" customHeight="true" outlineLevel="0" collapsed="false">
      <c r="A1916" s="1" t="n">
        <v>2</v>
      </c>
      <c r="B1916" s="17" t="n">
        <v>46269</v>
      </c>
      <c r="C1916" s="17" t="n">
        <v>46277</v>
      </c>
      <c r="D1916" s="1" t="n">
        <v>1659</v>
      </c>
      <c r="E1916" s="1" t="s">
        <v>220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1652079</v>
      </c>
      <c r="L1916" s="1" t="n">
        <v>226955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365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MOCOQUINHA 200ML</v>
      </c>
      <c r="AC1916" s="1" t="n">
        <v>894544</v>
      </c>
    </row>
    <row r="1917" customFormat="false" ht="12.75" hidden="false" customHeight="true" outlineLevel="0" collapsed="false">
      <c r="A1917" s="1" t="n">
        <v>2</v>
      </c>
      <c r="B1917" s="17" t="n">
        <v>46273</v>
      </c>
      <c r="C1917" s="17" t="n">
        <v>46277</v>
      </c>
      <c r="D1917" s="1" t="n">
        <v>10019</v>
      </c>
      <c r="E1917" s="1" t="s">
        <v>274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1673166</v>
      </c>
      <c r="L1917" s="1" t="n">
        <v>229409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309.71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PERNIL SUINO KG</v>
      </c>
      <c r="AC1917" s="1" t="n">
        <v>33408</v>
      </c>
    </row>
    <row r="1918" customFormat="false" ht="12.75" hidden="false" customHeight="true" outlineLevel="0" collapsed="false">
      <c r="A1918" s="1" t="n">
        <v>2</v>
      </c>
      <c r="B1918" s="17" t="n">
        <v>46273</v>
      </c>
      <c r="C1918" s="17" t="n">
        <v>46278</v>
      </c>
      <c r="D1918" s="1" t="n">
        <v>901</v>
      </c>
      <c r="E1918" s="1" t="s">
        <v>347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1672379</v>
      </c>
      <c r="L1918" s="1" t="n">
        <v>229226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660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MARSHMALOW NO PALITO</v>
      </c>
      <c r="AC1918" s="1" t="n">
        <v>502</v>
      </c>
    </row>
    <row r="1919" customFormat="false" ht="12.75" hidden="false" customHeight="true" outlineLevel="0" collapsed="false">
      <c r="A1919" s="1" t="n">
        <v>2</v>
      </c>
      <c r="B1919" s="17" t="n">
        <v>46253</v>
      </c>
      <c r="C1919" s="17" t="n">
        <v>46279</v>
      </c>
      <c r="D1919" s="1" t="n">
        <v>616</v>
      </c>
      <c r="E1919" s="1" t="s">
        <v>939</v>
      </c>
      <c r="F1919" s="1" t="n">
        <v>24</v>
      </c>
      <c r="G1919" s="1" t="s">
        <v>91</v>
      </c>
      <c r="H1919" s="1" t="n">
        <v>2110405</v>
      </c>
      <c r="I1919" s="1" t="s">
        <v>55</v>
      </c>
      <c r="J1919" s="1" t="n">
        <v>1572201</v>
      </c>
      <c r="L1919" s="1" t="n">
        <v>214774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983.77</v>
      </c>
      <c r="W1919" s="1" t="n">
        <v>0</v>
      </c>
      <c r="X1919" s="1" t="s">
        <v>1573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46254</v>
      </c>
      <c r="C1920" s="17" t="n">
        <v>46279</v>
      </c>
      <c r="D1920" s="1" t="n">
        <v>10012</v>
      </c>
      <c r="E1920" s="1" t="s">
        <v>176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1577219</v>
      </c>
      <c r="L1920" s="1" t="n">
        <v>215619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521.58</v>
      </c>
      <c r="W1920" s="1" t="n">
        <v>0</v>
      </c>
      <c r="X1920" s="1" t="s">
        <v>1574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SAB PHEBO ODOR90G</v>
      </c>
      <c r="AC1920" s="1" t="n">
        <v>1966312</v>
      </c>
    </row>
    <row r="1921" customFormat="false" ht="12.75" hidden="false" customHeight="true" outlineLevel="0" collapsed="false">
      <c r="A1921" s="1" t="n">
        <v>2</v>
      </c>
      <c r="B1921" s="17" t="n">
        <v>46259</v>
      </c>
      <c r="C1921" s="17" t="n">
        <v>46279</v>
      </c>
      <c r="D1921" s="1" t="n">
        <v>10009</v>
      </c>
      <c r="E1921" s="1" t="s">
        <v>469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1600194</v>
      </c>
      <c r="L1921" s="1" t="n">
        <v>219123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1268.78</v>
      </c>
      <c r="W1921" s="1" t="n">
        <v>0</v>
      </c>
      <c r="X1921" s="1" t="s">
        <v>1643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BIS NESTL CLASS140G</v>
      </c>
      <c r="AC1921" s="1" t="n">
        <v>1442200</v>
      </c>
    </row>
    <row r="1922" customFormat="false" ht="12.75" hidden="false" customHeight="true" outlineLevel="0" collapsed="false">
      <c r="A1922" s="1" t="n">
        <v>2</v>
      </c>
      <c r="B1922" s="17" t="n">
        <v>46259</v>
      </c>
      <c r="C1922" s="17" t="n">
        <v>46279</v>
      </c>
      <c r="D1922" s="1" t="n">
        <v>10009</v>
      </c>
      <c r="E1922" s="1" t="s">
        <v>469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1600353</v>
      </c>
      <c r="L1922" s="1" t="n">
        <v>219142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2477.62</v>
      </c>
      <c r="W1922" s="1" t="n">
        <v>0</v>
      </c>
      <c r="X1922" s="1" t="s">
        <v>1644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NESFIT CACAU E AVELA</v>
      </c>
      <c r="AC1922" s="1" t="n">
        <v>1442668</v>
      </c>
    </row>
    <row r="1923" customFormat="false" ht="12.75" hidden="false" customHeight="true" outlineLevel="0" collapsed="false">
      <c r="A1923" s="1" t="n">
        <v>2</v>
      </c>
      <c r="B1923" s="17" t="n">
        <v>46262</v>
      </c>
      <c r="C1923" s="17" t="n">
        <v>46279</v>
      </c>
      <c r="D1923" s="1" t="n">
        <v>1196</v>
      </c>
      <c r="E1923" s="1" t="s">
        <v>1423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1614552</v>
      </c>
      <c r="L1923" s="1" t="n">
        <v>221460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1213.95</v>
      </c>
      <c r="W1923" s="1" t="n">
        <v>0</v>
      </c>
      <c r="X1923" s="1" t="s">
        <v>1645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CAFÉ RANCHEIRO 250G</v>
      </c>
      <c r="AC1923" s="1" t="n">
        <v>13070</v>
      </c>
    </row>
    <row r="1924" customFormat="false" ht="12.75" hidden="false" customHeight="true" outlineLevel="0" collapsed="false">
      <c r="A1924" s="1" t="n">
        <v>2</v>
      </c>
      <c r="B1924" s="17" t="n">
        <v>46266</v>
      </c>
      <c r="C1924" s="17" t="n">
        <v>46279</v>
      </c>
      <c r="D1924" s="1" t="n">
        <v>794</v>
      </c>
      <c r="E1924" s="1" t="s">
        <v>343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1633934</v>
      </c>
      <c r="L1924" s="1" t="n">
        <v>224229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70</v>
      </c>
      <c r="S1924" s="1" t="n">
        <v>4210299</v>
      </c>
      <c r="T1924" s="1" t="s">
        <v>127</v>
      </c>
      <c r="U1924" s="1" t="n">
        <v>1332.55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SACOLA BRC. L. ALIP.</v>
      </c>
      <c r="AC1924" s="1" t="n">
        <v>8802</v>
      </c>
    </row>
    <row r="1925" customFormat="false" ht="12.75" hidden="false" customHeight="true" outlineLevel="0" collapsed="false">
      <c r="A1925" s="1" t="n">
        <v>2</v>
      </c>
      <c r="B1925" s="17" t="n">
        <v>46268</v>
      </c>
      <c r="C1925" s="17" t="n">
        <v>46279</v>
      </c>
      <c r="D1925" s="1" t="n">
        <v>1611</v>
      </c>
      <c r="E1925" s="1" t="s">
        <v>172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1646250</v>
      </c>
      <c r="L1925" s="1" t="n">
        <v>225903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176.58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" t="n">
        <v>2</v>
      </c>
      <c r="B1926" s="17" t="n">
        <v>46268</v>
      </c>
      <c r="C1926" s="17" t="n">
        <v>46279</v>
      </c>
      <c r="D1926" s="1" t="n">
        <v>1621</v>
      </c>
      <c r="E1926" s="1" t="s">
        <v>235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1646646</v>
      </c>
      <c r="L1926" s="1" t="n">
        <v>226012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489.74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REFR PEPSI 2L</v>
      </c>
      <c r="AC1926" s="1" t="n">
        <v>993555</v>
      </c>
    </row>
    <row r="1927" customFormat="false" ht="12.75" hidden="false" customHeight="true" outlineLevel="0" collapsed="false">
      <c r="A1927" s="1" t="n">
        <v>2</v>
      </c>
      <c r="B1927" s="17" t="n">
        <v>46274</v>
      </c>
      <c r="C1927" s="17" t="n">
        <v>46279</v>
      </c>
      <c r="D1927" s="1" t="n">
        <v>1328</v>
      </c>
      <c r="E1927" s="1" t="s">
        <v>105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1676686</v>
      </c>
      <c r="L1927" s="1" t="n">
        <v>229945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258.2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PAO DE KIKAO 10</v>
      </c>
      <c r="AC1927" s="1" t="n">
        <v>4564</v>
      </c>
    </row>
    <row r="1928" customFormat="false" ht="12.75" hidden="false" customHeight="true" outlineLevel="0" collapsed="false">
      <c r="A1928" s="1" t="n">
        <v>2</v>
      </c>
      <c r="B1928" s="17" t="n">
        <v>46097</v>
      </c>
      <c r="C1928" s="17" t="n">
        <v>46280</v>
      </c>
      <c r="D1928" s="1" t="n">
        <v>1867</v>
      </c>
      <c r="E1928" s="1" t="s">
        <v>406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808550</v>
      </c>
      <c r="L1928" s="1" t="n">
        <v>2026</v>
      </c>
      <c r="M1928" s="1" t="s">
        <v>49</v>
      </c>
      <c r="N1928" s="1" t="s">
        <v>50</v>
      </c>
      <c r="P1928" s="1" t="n">
        <v>101</v>
      </c>
      <c r="Q1928" s="1" t="s">
        <v>56</v>
      </c>
      <c r="R1928" s="1" t="s">
        <v>407</v>
      </c>
      <c r="S1928" s="1" t="n">
        <v>4210401</v>
      </c>
      <c r="T1928" s="1" t="s">
        <v>408</v>
      </c>
      <c r="U1928" s="1" t="n">
        <v>228.88</v>
      </c>
      <c r="W1928" s="1" t="n">
        <v>0</v>
      </c>
      <c r="X1928" s="1" t="s">
        <v>1650</v>
      </c>
      <c r="Z1928" s="1" t="str">
        <f aca="false">IF($T1928="","",IFERROR(INDEX('Resumo Grupos'!$AC$3:$AC$200,MATCH($T1928,'Resumo Grupos'!$AB$3:$AB$200,0)),"n/d"))</f>
        <v>Impostos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46127</v>
      </c>
      <c r="C1929" s="17" t="n">
        <v>46280</v>
      </c>
      <c r="D1929" s="1" t="n">
        <v>512</v>
      </c>
      <c r="E1929" s="1" t="s">
        <v>410</v>
      </c>
      <c r="F1929" s="1" t="n">
        <v>34</v>
      </c>
      <c r="G1929" s="1" t="s">
        <v>110</v>
      </c>
      <c r="H1929" s="1" t="n">
        <v>2110405</v>
      </c>
      <c r="I1929" s="1" t="s">
        <v>55</v>
      </c>
      <c r="J1929" s="1" t="n">
        <v>954215</v>
      </c>
      <c r="L1929" s="1" t="n">
        <v>126220</v>
      </c>
      <c r="M1929" s="1" t="s">
        <v>61</v>
      </c>
      <c r="N1929" s="1" t="s">
        <v>50</v>
      </c>
      <c r="P1929" s="1" t="n">
        <v>101</v>
      </c>
      <c r="Q1929" s="1" t="s">
        <v>56</v>
      </c>
      <c r="R1929" s="1" t="s">
        <v>411</v>
      </c>
      <c r="S1929" s="1" t="n">
        <v>4210111</v>
      </c>
      <c r="T1929" s="1" t="s">
        <v>412</v>
      </c>
      <c r="U1929" s="1" t="n">
        <v>5700</v>
      </c>
      <c r="W1929" s="1" t="n">
        <v>0</v>
      </c>
      <c r="X1929" s="1" t="s">
        <v>413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" t="n">
        <v>2</v>
      </c>
      <c r="B1930" s="17" t="n">
        <v>46252</v>
      </c>
      <c r="C1930" s="17" t="n">
        <v>46280</v>
      </c>
      <c r="D1930" s="1" t="n">
        <v>1697</v>
      </c>
      <c r="E1930" s="1" t="s">
        <v>775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1566735</v>
      </c>
      <c r="L1930" s="1" t="n">
        <v>213868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584.64</v>
      </c>
      <c r="W1930" s="1" t="n">
        <v>0</v>
      </c>
      <c r="X1930" s="1" t="s">
        <v>1489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LEITE ITALAC DESN 1L</v>
      </c>
      <c r="AC1930" s="1" t="n">
        <v>211355</v>
      </c>
    </row>
    <row r="1931" customFormat="false" ht="12.75" hidden="false" customHeight="true" outlineLevel="0" collapsed="false">
      <c r="A1931" s="1" t="n">
        <v>2</v>
      </c>
      <c r="B1931" s="17" t="n">
        <v>46252</v>
      </c>
      <c r="C1931" s="17" t="n">
        <v>46280</v>
      </c>
      <c r="D1931" s="1" t="n">
        <v>1711</v>
      </c>
      <c r="E1931" s="1" t="s">
        <v>1491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1568100</v>
      </c>
      <c r="L1931" s="1" t="n">
        <v>214112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645.71</v>
      </c>
      <c r="W1931" s="1" t="n">
        <v>0</v>
      </c>
      <c r="X1931" s="1" t="s">
        <v>1492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 BROCH UNIV COST</v>
      </c>
      <c r="AC1931" s="1" t="n">
        <v>160332</v>
      </c>
    </row>
    <row r="1932" customFormat="false" ht="63.75" hidden="false" customHeight="true" outlineLevel="0" collapsed="false">
      <c r="A1932" s="10" t="n">
        <v>2</v>
      </c>
      <c r="B1932" s="11" t="n">
        <v>46253</v>
      </c>
      <c r="C1932" s="11" t="n">
        <v>46280</v>
      </c>
      <c r="D1932" s="10" t="n">
        <v>1708</v>
      </c>
      <c r="E1932" s="12" t="s">
        <v>269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1572979</v>
      </c>
      <c r="L1932" s="10" t="n">
        <v>214928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548.18</v>
      </c>
      <c r="W1932" s="13" t="n">
        <v>0</v>
      </c>
      <c r="X1932" s="12" t="s">
        <v>1494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DISQUETI 18G</v>
      </c>
      <c r="AC1932" s="1" t="n">
        <v>265359</v>
      </c>
    </row>
    <row r="1933" customFormat="false" ht="54.75" hidden="false" customHeight="true" outlineLevel="0" collapsed="false">
      <c r="A1933" s="10" t="n">
        <v>2</v>
      </c>
      <c r="B1933" s="11" t="n">
        <v>46260</v>
      </c>
      <c r="C1933" s="11" t="n">
        <v>46280</v>
      </c>
      <c r="D1933" s="10" t="n">
        <v>1601</v>
      </c>
      <c r="E1933" s="12" t="s">
        <v>192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1603998</v>
      </c>
      <c r="L1933" s="10" t="n">
        <v>219686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62</v>
      </c>
      <c r="S1933" s="10" t="n">
        <v>1130101</v>
      </c>
      <c r="T1933" s="12" t="s">
        <v>63</v>
      </c>
      <c r="U1933" s="13" t="n">
        <v>843.65</v>
      </c>
      <c r="W1933" s="13" t="n">
        <v>0</v>
      </c>
      <c r="X1933" s="12" t="s">
        <v>1584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HEINZ YELLOW MUSTARD</v>
      </c>
      <c r="AC1933" s="1" t="n">
        <v>866347</v>
      </c>
    </row>
    <row r="1934" customFormat="false" ht="45.75" hidden="false" customHeight="true" outlineLevel="0" collapsed="false">
      <c r="A1934" s="10" t="n">
        <v>2</v>
      </c>
      <c r="B1934" s="11" t="n">
        <v>46260</v>
      </c>
      <c r="C1934" s="11" t="n">
        <v>46280</v>
      </c>
      <c r="D1934" s="10" t="n">
        <v>794</v>
      </c>
      <c r="E1934" s="12" t="s">
        <v>343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1604324</v>
      </c>
      <c r="L1934" s="10" t="n">
        <v>219750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873.08</v>
      </c>
      <c r="W1934" s="13" t="n">
        <v>0</v>
      </c>
      <c r="X1934" s="12" t="s">
        <v>1585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RODO M 30CM CONDOR</v>
      </c>
      <c r="AC1934" s="1" t="n">
        <v>8744</v>
      </c>
    </row>
    <row r="1935" customFormat="false" ht="45.75" hidden="false" customHeight="true" outlineLevel="0" collapsed="false">
      <c r="A1935" s="10" t="n">
        <v>2</v>
      </c>
      <c r="B1935" s="11" t="n">
        <v>46261</v>
      </c>
      <c r="C1935" s="11" t="n">
        <v>46280</v>
      </c>
      <c r="D1935" s="10" t="n">
        <v>1637</v>
      </c>
      <c r="E1935" s="12" t="s">
        <v>870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1608926</v>
      </c>
      <c r="L1935" s="10" t="n">
        <v>220453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974.55</v>
      </c>
      <c r="W1935" s="13" t="n">
        <v>0</v>
      </c>
      <c r="X1935" s="12" t="s">
        <v>1651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LEITE EM PO PIRACANJUBA 400G</v>
      </c>
      <c r="AC1935" s="1" t="n">
        <v>1925382</v>
      </c>
    </row>
    <row r="1936" customFormat="false" ht="27.75" hidden="false" customHeight="true" outlineLevel="0" collapsed="false">
      <c r="A1936" s="10" t="n">
        <v>2</v>
      </c>
      <c r="B1936" s="11" t="n">
        <v>46265</v>
      </c>
      <c r="C1936" s="11" t="n">
        <v>46280</v>
      </c>
      <c r="D1936" s="10" t="n">
        <v>1196</v>
      </c>
      <c r="E1936" s="12" t="s">
        <v>1423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1629259</v>
      </c>
      <c r="L1936" s="10" t="n">
        <v>223468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410</v>
      </c>
      <c r="W1936" s="13" t="n">
        <v>0</v>
      </c>
      <c r="X1936" s="12" t="s">
        <v>1586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ACUCAR CRISTAL DOCE TODO DIA 30X1KG</v>
      </c>
      <c r="AC1936" s="1" t="n">
        <v>13095</v>
      </c>
    </row>
    <row r="1937" customFormat="false" ht="45.75" hidden="false" customHeight="true" outlineLevel="0" collapsed="false">
      <c r="A1937" s="10" t="n">
        <v>2</v>
      </c>
      <c r="B1937" s="11" t="n">
        <v>46265</v>
      </c>
      <c r="C1937" s="11" t="n">
        <v>46280</v>
      </c>
      <c r="D1937" s="10" t="n">
        <v>1705</v>
      </c>
      <c r="E1937" s="12" t="s">
        <v>131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1630554</v>
      </c>
      <c r="L1937" s="10" t="n">
        <v>223766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1139.35</v>
      </c>
      <c r="W1937" s="13" t="n">
        <v>0</v>
      </c>
      <c r="X1937" s="12" t="s">
        <v>1652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MONSTER ENERGY 473ML</v>
      </c>
      <c r="AC1937" s="1" t="n">
        <v>1272321</v>
      </c>
    </row>
    <row r="1938" customFormat="false" ht="45.75" hidden="false" customHeight="true" outlineLevel="0" collapsed="false">
      <c r="A1938" s="10" t="n">
        <v>2</v>
      </c>
      <c r="B1938" s="11" t="n">
        <v>46266</v>
      </c>
      <c r="C1938" s="11" t="n">
        <v>46280</v>
      </c>
      <c r="D1938" s="10" t="n">
        <v>1921</v>
      </c>
      <c r="E1938" s="12" t="s">
        <v>182</v>
      </c>
      <c r="F1938" s="10" t="n">
        <v>24</v>
      </c>
      <c r="G1938" s="12" t="s">
        <v>91</v>
      </c>
      <c r="H1938" s="10" t="n">
        <v>2110405</v>
      </c>
      <c r="I1938" s="12" t="s">
        <v>55</v>
      </c>
      <c r="J1938" s="10" t="n">
        <v>1633947</v>
      </c>
      <c r="L1938" s="10" t="n">
        <v>224242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540.99</v>
      </c>
      <c r="W1938" s="13" t="n">
        <v>0</v>
      </c>
      <c r="X1938" s="12" t="s">
        <v>1653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TEMPERO COMPLETO CHU</v>
      </c>
      <c r="AC1938" s="1" t="n">
        <v>21345</v>
      </c>
    </row>
    <row r="1939" customFormat="false" ht="45.75" hidden="false" customHeight="true" outlineLevel="0" collapsed="false">
      <c r="A1939" s="10" t="n">
        <v>2</v>
      </c>
      <c r="B1939" s="11" t="n">
        <v>46267</v>
      </c>
      <c r="C1939" s="11" t="n">
        <v>46280</v>
      </c>
      <c r="D1939" s="10" t="n">
        <v>1683</v>
      </c>
      <c r="E1939" s="12" t="s">
        <v>416</v>
      </c>
      <c r="F1939" s="10" t="n">
        <v>34</v>
      </c>
      <c r="G1939" s="12" t="s">
        <v>110</v>
      </c>
      <c r="H1939" s="10" t="n">
        <v>2110405</v>
      </c>
      <c r="I1939" s="12" t="s">
        <v>55</v>
      </c>
      <c r="J1939" s="10" t="n">
        <v>1639288</v>
      </c>
      <c r="L1939" s="10" t="n">
        <v>225300</v>
      </c>
      <c r="M1939" s="12" t="s">
        <v>36</v>
      </c>
      <c r="N1939" s="12" t="s">
        <v>50</v>
      </c>
      <c r="P1939" s="10" t="n">
        <v>113</v>
      </c>
      <c r="Q1939" s="12" t="s">
        <v>38</v>
      </c>
      <c r="R1939" s="12" t="s">
        <v>62</v>
      </c>
      <c r="S1939" s="10" t="n">
        <v>1130101</v>
      </c>
      <c r="T1939" s="12" t="s">
        <v>63</v>
      </c>
      <c r="U1939" s="13" t="n">
        <v>96</v>
      </c>
      <c r="W1939" s="13" t="n">
        <v>0</v>
      </c>
      <c r="X1939" s="12" t="s">
        <v>418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46269</v>
      </c>
      <c r="C1940" s="11" t="n">
        <v>46280</v>
      </c>
      <c r="D1940" s="10" t="n">
        <v>1683</v>
      </c>
      <c r="E1940" s="12" t="s">
        <v>416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1652479</v>
      </c>
      <c r="L1940" s="10" t="n">
        <v>227018</v>
      </c>
      <c r="M1940" s="12" t="s">
        <v>36</v>
      </c>
      <c r="N1940" s="12" t="s">
        <v>50</v>
      </c>
      <c r="P1940" s="10" t="n">
        <v>113</v>
      </c>
      <c r="Q1940" s="12" t="s">
        <v>38</v>
      </c>
      <c r="R1940" s="12" t="s">
        <v>62</v>
      </c>
      <c r="S1940" s="10" t="n">
        <v>1130101</v>
      </c>
      <c r="T1940" s="12" t="s">
        <v>63</v>
      </c>
      <c r="U1940" s="13" t="n">
        <v>166.5</v>
      </c>
      <c r="W1940" s="13" t="n">
        <v>0</v>
      </c>
      <c r="X1940" s="12" t="s">
        <v>418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46273</v>
      </c>
      <c r="C1941" s="11" t="n">
        <v>46280</v>
      </c>
      <c r="D1941" s="10" t="n">
        <v>581</v>
      </c>
      <c r="E1941" s="12" t="s">
        <v>140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1672864</v>
      </c>
      <c r="L1941" s="10" t="n">
        <v>229352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199</v>
      </c>
      <c r="W1941" s="13" t="n">
        <v>0</v>
      </c>
      <c r="X1941" s="12" t="s">
        <v>1654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GOMA DE MANDIOCA AMA</v>
      </c>
      <c r="AC1941" s="1" t="n">
        <v>32268</v>
      </c>
    </row>
    <row r="1942" customFormat="false" ht="45.75" hidden="false" customHeight="true" outlineLevel="0" collapsed="false">
      <c r="A1942" s="10" t="n">
        <v>2</v>
      </c>
      <c r="B1942" s="11" t="n">
        <v>46273</v>
      </c>
      <c r="C1942" s="11" t="n">
        <v>46280</v>
      </c>
      <c r="D1942" s="10" t="n">
        <v>1292</v>
      </c>
      <c r="E1942" s="12" t="s">
        <v>205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1673675</v>
      </c>
      <c r="L1942" s="10" t="n">
        <v>229471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589.5</v>
      </c>
      <c r="W1942" s="13" t="n">
        <v>0</v>
      </c>
      <c r="X1942" s="12" t="s">
        <v>1655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QUEIJO MUSSARELA FAT</v>
      </c>
      <c r="AC1942" s="1" t="n">
        <v>4007</v>
      </c>
    </row>
    <row r="1943" customFormat="false" ht="45.75" hidden="false" customHeight="true" outlineLevel="0" collapsed="false">
      <c r="A1943" s="10" t="n">
        <v>2</v>
      </c>
      <c r="B1943" s="11" t="n">
        <v>46274</v>
      </c>
      <c r="C1943" s="11" t="n">
        <v>46280</v>
      </c>
      <c r="D1943" s="10" t="n">
        <v>1683</v>
      </c>
      <c r="E1943" s="12" t="s">
        <v>416</v>
      </c>
      <c r="F1943" s="10" t="n">
        <v>34</v>
      </c>
      <c r="G1943" s="12" t="s">
        <v>110</v>
      </c>
      <c r="H1943" s="10" t="n">
        <v>2110405</v>
      </c>
      <c r="I1943" s="12" t="s">
        <v>55</v>
      </c>
      <c r="J1943" s="10" t="n">
        <v>1676709</v>
      </c>
      <c r="L1943" s="10" t="n">
        <v>229947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115.5</v>
      </c>
      <c r="W1943" s="13" t="n">
        <v>0</v>
      </c>
      <c r="X1943" s="12" t="s">
        <v>418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46274</v>
      </c>
      <c r="C1944" s="11" t="n">
        <v>46280</v>
      </c>
      <c r="D1944" s="10" t="n">
        <v>1683</v>
      </c>
      <c r="E1944" s="12" t="s">
        <v>416</v>
      </c>
      <c r="F1944" s="10" t="n">
        <v>34</v>
      </c>
      <c r="G1944" s="12" t="s">
        <v>110</v>
      </c>
      <c r="H1944" s="10" t="n">
        <v>2110405</v>
      </c>
      <c r="I1944" s="12" t="s">
        <v>55</v>
      </c>
      <c r="J1944" s="10" t="n">
        <v>1676712</v>
      </c>
      <c r="L1944" s="10" t="n">
        <v>229948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147</v>
      </c>
      <c r="W1944" s="13" t="n">
        <v>0</v>
      </c>
      <c r="X1944" s="12" t="s">
        <v>418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46274</v>
      </c>
      <c r="C1945" s="11" t="n">
        <v>46280</v>
      </c>
      <c r="D1945" s="10" t="n">
        <v>10065</v>
      </c>
      <c r="E1945" s="12" t="s">
        <v>916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1676815</v>
      </c>
      <c r="L1945" s="10" t="n">
        <v>229972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144</v>
      </c>
      <c r="W1945" s="13" t="n">
        <v>0</v>
      </c>
      <c r="X1945" s="12" t="s">
        <v>1656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MOLHO DE PIMENTA ARUBÉ C TUCUPI 120ML</v>
      </c>
      <c r="AC1945" s="1" t="n">
        <v>95</v>
      </c>
    </row>
    <row r="1946" customFormat="false" ht="45.75" hidden="false" customHeight="true" outlineLevel="0" collapsed="false">
      <c r="A1946" s="10" t="n">
        <v>2</v>
      </c>
      <c r="B1946" s="11" t="n">
        <v>46274</v>
      </c>
      <c r="C1946" s="11" t="n">
        <v>46280</v>
      </c>
      <c r="D1946" s="10" t="n">
        <v>1621</v>
      </c>
      <c r="E1946" s="12" t="s">
        <v>235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1676893</v>
      </c>
      <c r="L1946" s="10" t="n">
        <v>229987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2142.27</v>
      </c>
      <c r="W1946" s="13" t="n">
        <v>0</v>
      </c>
      <c r="X1946" s="12" t="s">
        <v>1657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CERV BRAHMA ZERO 350ML</v>
      </c>
      <c r="AC1946" s="1" t="n">
        <v>996851</v>
      </c>
    </row>
    <row r="1947" customFormat="false" ht="27.75" hidden="false" customHeight="true" outlineLevel="0" collapsed="false">
      <c r="A1947" s="10" t="n">
        <v>2</v>
      </c>
      <c r="B1947" s="11" t="n">
        <v>46274</v>
      </c>
      <c r="C1947" s="11" t="n">
        <v>46280</v>
      </c>
      <c r="D1947" s="10" t="n">
        <v>1683</v>
      </c>
      <c r="E1947" s="12" t="s">
        <v>416</v>
      </c>
      <c r="F1947" s="10" t="n">
        <v>34</v>
      </c>
      <c r="G1947" s="12" t="s">
        <v>110</v>
      </c>
      <c r="H1947" s="10" t="n">
        <v>2110405</v>
      </c>
      <c r="I1947" s="12" t="s">
        <v>55</v>
      </c>
      <c r="J1947" s="10" t="n">
        <v>1678229</v>
      </c>
      <c r="L1947" s="10" t="n">
        <v>230248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178.5</v>
      </c>
      <c r="W1947" s="13" t="n">
        <v>0</v>
      </c>
      <c r="X1947" s="12" t="s">
        <v>418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46226</v>
      </c>
      <c r="C1948" s="11" t="n">
        <v>46281</v>
      </c>
      <c r="D1948" s="10" t="n">
        <v>957</v>
      </c>
      <c r="E1948" s="12" t="s">
        <v>628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1438939</v>
      </c>
      <c r="L1948" s="10" t="n">
        <v>194433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1501.38</v>
      </c>
      <c r="W1948" s="13" t="n">
        <v>0</v>
      </c>
      <c r="X1948" s="12" t="s">
        <v>1261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WHISKA FRANGO KG AGR</v>
      </c>
      <c r="AC1948" s="1" t="n">
        <v>21189</v>
      </c>
    </row>
    <row r="1949" customFormat="false" ht="54.75" hidden="false" customHeight="true" outlineLevel="0" collapsed="false">
      <c r="A1949" s="10" t="n">
        <v>2</v>
      </c>
      <c r="B1949" s="11" t="n">
        <v>46247</v>
      </c>
      <c r="C1949" s="11" t="n">
        <v>46281</v>
      </c>
      <c r="D1949" s="10" t="n">
        <v>1624</v>
      </c>
      <c r="E1949" s="12" t="s">
        <v>338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1543920</v>
      </c>
      <c r="L1949" s="10" t="n">
        <v>210536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830.13</v>
      </c>
      <c r="W1949" s="13" t="n">
        <v>0</v>
      </c>
      <c r="X1949" s="12" t="s">
        <v>1514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SAB SARNICIDA MATACURA 80G</v>
      </c>
      <c r="AC1949" s="1" t="n">
        <v>668739</v>
      </c>
    </row>
    <row r="1950" customFormat="false" ht="45.75" hidden="false" customHeight="true" outlineLevel="0" collapsed="false">
      <c r="A1950" s="10" t="n">
        <v>2</v>
      </c>
      <c r="B1950" s="11" t="n">
        <v>46252</v>
      </c>
      <c r="C1950" s="11" t="n">
        <v>46281</v>
      </c>
      <c r="D1950" s="10" t="n">
        <v>1612</v>
      </c>
      <c r="E1950" s="12" t="s">
        <v>90</v>
      </c>
      <c r="F1950" s="10" t="n">
        <v>24</v>
      </c>
      <c r="G1950" s="12" t="s">
        <v>91</v>
      </c>
      <c r="H1950" s="10" t="n">
        <v>2110405</v>
      </c>
      <c r="I1950" s="12" t="s">
        <v>55</v>
      </c>
      <c r="J1950" s="10" t="n">
        <v>1567422</v>
      </c>
      <c r="L1950" s="10" t="n">
        <v>214026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1154.65</v>
      </c>
      <c r="W1950" s="13" t="n">
        <v>0</v>
      </c>
      <c r="X1950" s="12" t="s">
        <v>1515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SANI BRILUX1L</v>
      </c>
      <c r="AC1950" s="1" t="n">
        <v>2310769</v>
      </c>
    </row>
    <row r="1951" customFormat="false" ht="45.75" hidden="false" customHeight="true" outlineLevel="0" collapsed="false">
      <c r="A1951" s="10" t="n">
        <v>2</v>
      </c>
      <c r="B1951" s="11" t="n">
        <v>46253</v>
      </c>
      <c r="C1951" s="11" t="n">
        <v>46281</v>
      </c>
      <c r="D1951" s="10" t="n">
        <v>1830</v>
      </c>
      <c r="E1951" s="12" t="s">
        <v>507</v>
      </c>
      <c r="F1951" s="10" t="n">
        <v>24</v>
      </c>
      <c r="G1951" s="12" t="s">
        <v>91</v>
      </c>
      <c r="H1951" s="10" t="n">
        <v>2110405</v>
      </c>
      <c r="I1951" s="12" t="s">
        <v>55</v>
      </c>
      <c r="J1951" s="10" t="n">
        <v>1573122</v>
      </c>
      <c r="L1951" s="10" t="n">
        <v>1308</v>
      </c>
      <c r="M1951" s="12" t="s">
        <v>36</v>
      </c>
      <c r="N1951" s="12" t="s">
        <v>50</v>
      </c>
      <c r="P1951" s="10" t="n">
        <v>101</v>
      </c>
      <c r="Q1951" s="12" t="s">
        <v>56</v>
      </c>
      <c r="R1951" s="12" t="s">
        <v>39</v>
      </c>
      <c r="S1951" s="10" t="n">
        <v>4210319</v>
      </c>
      <c r="T1951" s="12" t="s">
        <v>508</v>
      </c>
      <c r="U1951" s="13" t="n">
        <v>58</v>
      </c>
      <c r="W1951" s="13" t="n">
        <v>0</v>
      </c>
      <c r="X1951" s="12" t="s">
        <v>1658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46260</v>
      </c>
      <c r="C1952" s="11" t="n">
        <v>46281</v>
      </c>
      <c r="D1952" s="10" t="n">
        <v>1107</v>
      </c>
      <c r="E1952" s="12" t="s">
        <v>227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1605198</v>
      </c>
      <c r="L1952" s="10" t="n">
        <v>219909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1510.34</v>
      </c>
      <c r="W1952" s="13" t="n">
        <v>0</v>
      </c>
      <c r="X1952" s="12" t="s">
        <v>1607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BOLINHO MORANGO 7308</v>
      </c>
      <c r="AC1952" s="1" t="n">
        <v>447609</v>
      </c>
    </row>
    <row r="1953" customFormat="false" ht="36.75" hidden="false" customHeight="true" outlineLevel="0" collapsed="false">
      <c r="A1953" s="10" t="n">
        <v>2</v>
      </c>
      <c r="B1953" s="11" t="n">
        <v>46260</v>
      </c>
      <c r="C1953" s="11" t="n">
        <v>46281</v>
      </c>
      <c r="D1953" s="10" t="n">
        <v>1626</v>
      </c>
      <c r="E1953" s="12" t="s">
        <v>96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1605224</v>
      </c>
      <c r="L1953" s="10" t="n">
        <v>219915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679.16</v>
      </c>
      <c r="W1953" s="13" t="n">
        <v>0</v>
      </c>
      <c r="X1953" s="12" t="s">
        <v>1517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CALABRESA SEARA KG</v>
      </c>
      <c r="AC1953" s="1" t="n">
        <v>319020</v>
      </c>
    </row>
    <row r="1954" customFormat="false" ht="54.75" hidden="false" customHeight="true" outlineLevel="0" collapsed="false">
      <c r="A1954" s="10" t="n">
        <v>2</v>
      </c>
      <c r="B1954" s="11" t="n">
        <v>46261</v>
      </c>
      <c r="C1954" s="11" t="n">
        <v>46281</v>
      </c>
      <c r="D1954" s="10" t="n">
        <v>1636</v>
      </c>
      <c r="E1954" s="12" t="s">
        <v>98</v>
      </c>
      <c r="F1954" s="10" t="n">
        <v>24</v>
      </c>
      <c r="G1954" s="12" t="s">
        <v>91</v>
      </c>
      <c r="H1954" s="10" t="n">
        <v>2110405</v>
      </c>
      <c r="I1954" s="12" t="s">
        <v>55</v>
      </c>
      <c r="J1954" s="10" t="n">
        <v>1609066</v>
      </c>
      <c r="L1954" s="10" t="n">
        <v>220491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733.77</v>
      </c>
      <c r="W1954" s="13" t="n">
        <v>0</v>
      </c>
      <c r="X1954" s="12" t="s">
        <v>1519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BISC. RICHESTER RECH QUAD CHOCO ANI 130G</v>
      </c>
      <c r="AC1954" s="1" t="n">
        <v>3242273</v>
      </c>
    </row>
    <row r="1955" customFormat="false" ht="45.75" hidden="false" customHeight="true" outlineLevel="0" collapsed="false">
      <c r="A1955" s="10" t="n">
        <v>2</v>
      </c>
      <c r="B1955" s="11" t="n">
        <v>46268</v>
      </c>
      <c r="C1955" s="11" t="n">
        <v>46281</v>
      </c>
      <c r="D1955" s="10" t="n">
        <v>1635</v>
      </c>
      <c r="E1955" s="12" t="s">
        <v>129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1647282</v>
      </c>
      <c r="L1955" s="10" t="n">
        <v>226188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278.1</v>
      </c>
      <c r="W1955" s="13" t="n">
        <v>0</v>
      </c>
      <c r="X1955" s="12" t="s">
        <v>1659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BATATA LUTOSA 1KG </v>
      </c>
      <c r="AC1955" s="1" t="n">
        <v>4884</v>
      </c>
    </row>
    <row r="1956" customFormat="false" ht="27.75" hidden="false" customHeight="true" outlineLevel="0" collapsed="false">
      <c r="A1956" s="10" t="n">
        <v>2</v>
      </c>
      <c r="B1956" s="11" t="n">
        <v>46269</v>
      </c>
      <c r="C1956" s="11" t="n">
        <v>46281</v>
      </c>
      <c r="D1956" s="10" t="n">
        <v>1613</v>
      </c>
      <c r="E1956" s="12" t="s">
        <v>107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1653084</v>
      </c>
      <c r="L1956" s="10" t="n">
        <v>227107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2296</v>
      </c>
      <c r="W1956" s="13" t="n">
        <v>0</v>
      </c>
      <c r="X1956" s="12" t="s">
        <v>1660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COSTELA SUINA KG</v>
      </c>
      <c r="AC1956" s="1" t="n">
        <v>1627324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46281</v>
      </c>
      <c r="D1957" s="10" t="n">
        <v>1631</v>
      </c>
      <c r="E1957" s="12" t="s">
        <v>296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1676640</v>
      </c>
      <c r="L1957" s="10" t="n">
        <v>229934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388.68</v>
      </c>
      <c r="W1957" s="13" t="n">
        <v>0</v>
      </c>
      <c r="X1957" s="12" t="s">
        <v>1661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IOGURTE AMAZONGURT D</v>
      </c>
      <c r="AC1957" s="1" t="n">
        <v>15352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46281</v>
      </c>
      <c r="D1958" s="10" t="n">
        <v>1363</v>
      </c>
      <c r="E1958" s="12" t="s">
        <v>187</v>
      </c>
      <c r="F1958" s="10" t="n">
        <v>24</v>
      </c>
      <c r="G1958" s="12" t="s">
        <v>91</v>
      </c>
      <c r="H1958" s="10" t="n">
        <v>2110405</v>
      </c>
      <c r="I1958" s="12" t="s">
        <v>55</v>
      </c>
      <c r="J1958" s="10" t="n">
        <v>1678438</v>
      </c>
      <c r="L1958" s="10" t="n">
        <v>230267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149</v>
      </c>
      <c r="W1958" s="13" t="n">
        <v>0</v>
      </c>
      <c r="X1958" s="12" t="s">
        <v>1662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PAO HAMBURGUER SANTO PAO</v>
      </c>
      <c r="AC1958" s="1" t="n">
        <v>3898</v>
      </c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46281</v>
      </c>
      <c r="D1959" s="10" t="n">
        <v>10019</v>
      </c>
      <c r="E1959" s="12" t="s">
        <v>274</v>
      </c>
      <c r="F1959" s="10" t="n">
        <v>24</v>
      </c>
      <c r="G1959" s="12" t="s">
        <v>91</v>
      </c>
      <c r="H1959" s="10" t="n">
        <v>2110405</v>
      </c>
      <c r="I1959" s="12" t="s">
        <v>55</v>
      </c>
      <c r="J1959" s="10" t="n">
        <v>1681630</v>
      </c>
      <c r="L1959" s="10" t="n">
        <v>230736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2170.64</v>
      </c>
      <c r="W1959" s="13" t="n">
        <v>0</v>
      </c>
      <c r="X1959" s="12" t="s">
        <v>1663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PATINHO BOVINO KG</v>
      </c>
      <c r="AC1959" s="1" t="n">
        <v>33492</v>
      </c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46281</v>
      </c>
      <c r="D1960" s="10" t="n">
        <v>10019</v>
      </c>
      <c r="E1960" s="12" t="s">
        <v>274</v>
      </c>
      <c r="F1960" s="10" t="n">
        <v>24</v>
      </c>
      <c r="G1960" s="12" t="s">
        <v>91</v>
      </c>
      <c r="H1960" s="10" t="n">
        <v>2110405</v>
      </c>
      <c r="I1960" s="12" t="s">
        <v>55</v>
      </c>
      <c r="J1960" s="10" t="n">
        <v>1681652</v>
      </c>
      <c r="L1960" s="10" t="n">
        <v>230745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432.76</v>
      </c>
      <c r="W1960" s="13" t="n">
        <v>0</v>
      </c>
      <c r="X1960" s="12" t="s">
        <v>1664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ALCATRA BOVINA KG</v>
      </c>
      <c r="AC1960" s="1" t="n">
        <v>38204</v>
      </c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46281</v>
      </c>
      <c r="D1961" s="10" t="n">
        <v>1608</v>
      </c>
      <c r="E1961" s="12" t="s">
        <v>224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1681683</v>
      </c>
      <c r="L1961" s="10" t="n">
        <v>230750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684.65</v>
      </c>
      <c r="W1961" s="13" t="n">
        <v>0</v>
      </c>
      <c r="X1961" s="12" t="s">
        <v>1665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PATE ATUM COQ 170G</v>
      </c>
      <c r="AC1961" s="1" t="n">
        <v>1726308</v>
      </c>
    </row>
    <row r="1962" customFormat="false" ht="63.75" hidden="false" customHeight="true" outlineLevel="0" collapsed="false">
      <c r="A1962" s="10" t="n">
        <v>2</v>
      </c>
      <c r="B1962" s="11" t="n">
        <v>46275</v>
      </c>
      <c r="C1962" s="11" t="n">
        <v>46281</v>
      </c>
      <c r="D1962" s="10" t="n">
        <v>1625</v>
      </c>
      <c r="E1962" s="12" t="s">
        <v>272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1681794</v>
      </c>
      <c r="L1962" s="10" t="n">
        <v>230775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4070</v>
      </c>
      <c r="W1962" s="13" t="n">
        <v>0</v>
      </c>
      <c r="X1962" s="12" t="s">
        <v>1666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TRASEIRO DE BOI L1</v>
      </c>
      <c r="AC1962" s="1" t="n">
        <v>15323</v>
      </c>
    </row>
    <row r="1963" customFormat="false" ht="36.75" hidden="false" customHeight="true" outlineLevel="0" collapsed="false">
      <c r="A1963" s="10" t="n">
        <v>2</v>
      </c>
      <c r="B1963" s="11" t="n">
        <v>46275</v>
      </c>
      <c r="C1963" s="11" t="n">
        <v>46281</v>
      </c>
      <c r="D1963" s="10" t="n">
        <v>33</v>
      </c>
      <c r="E1963" s="12" t="s">
        <v>305</v>
      </c>
      <c r="F1963" s="10" t="n">
        <v>34</v>
      </c>
      <c r="G1963" s="12" t="s">
        <v>110</v>
      </c>
      <c r="H1963" s="10" t="n">
        <v>2110405</v>
      </c>
      <c r="I1963" s="12" t="s">
        <v>55</v>
      </c>
      <c r="J1963" s="10" t="n">
        <v>1682656</v>
      </c>
      <c r="L1963" s="10" t="n">
        <v>230990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781.39</v>
      </c>
      <c r="W1963" s="13" t="n">
        <v>0</v>
      </c>
      <c r="X1963" s="12" t="s">
        <v>423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SUCO FAZENDINHA CITR</v>
      </c>
      <c r="AC1963" s="1" t="n">
        <v>5642</v>
      </c>
    </row>
    <row r="1964" customFormat="false" ht="45.75" hidden="false" customHeight="true" outlineLevel="0" collapsed="false">
      <c r="A1964" s="10" t="n">
        <v>2</v>
      </c>
      <c r="B1964" s="11" t="n">
        <v>46248</v>
      </c>
      <c r="C1964" s="11" t="n">
        <v>46282</v>
      </c>
      <c r="D1964" s="10" t="n">
        <v>10011</v>
      </c>
      <c r="E1964" s="12" t="s">
        <v>330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1545976</v>
      </c>
      <c r="L1964" s="10" t="n">
        <v>211185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685.15</v>
      </c>
      <c r="W1964" s="13" t="n">
        <v>0</v>
      </c>
      <c r="X1964" s="12" t="s">
        <v>1667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RACAO GP ADU CARNE E ARROZ KG</v>
      </c>
      <c r="AC1964" s="1" t="n">
        <v>35161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46282</v>
      </c>
      <c r="D1965" s="10" t="n">
        <v>1671</v>
      </c>
      <c r="E1965" s="12" t="s">
        <v>101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1567135</v>
      </c>
      <c r="L1965" s="10" t="n">
        <v>213986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793.81</v>
      </c>
      <c r="W1965" s="13" t="n">
        <v>0</v>
      </c>
      <c r="X1965" s="12" t="s">
        <v>1425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SAB LIQ PROTEX CREAM</v>
      </c>
      <c r="AC1965" s="1" t="n">
        <v>586415</v>
      </c>
    </row>
    <row r="1966" customFormat="false" ht="36.75" hidden="false" customHeight="true" outlineLevel="0" collapsed="false">
      <c r="A1966" s="10" t="n">
        <v>2</v>
      </c>
      <c r="B1966" s="11" t="n">
        <v>46256</v>
      </c>
      <c r="C1966" s="11" t="n">
        <v>46282</v>
      </c>
      <c r="D1966" s="10" t="n">
        <v>1745</v>
      </c>
      <c r="E1966" s="12" t="s">
        <v>170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1585080</v>
      </c>
      <c r="L1966" s="10" t="n">
        <v>216841</v>
      </c>
      <c r="M1966" s="12" t="s">
        <v>36</v>
      </c>
      <c r="N1966" s="12" t="s">
        <v>50</v>
      </c>
      <c r="P1966" s="10" t="n">
        <v>113</v>
      </c>
      <c r="Q1966" s="12" t="s">
        <v>38</v>
      </c>
      <c r="R1966" s="12" t="s">
        <v>62</v>
      </c>
      <c r="S1966" s="10" t="n">
        <v>1130101</v>
      </c>
      <c r="T1966" s="12" t="s">
        <v>63</v>
      </c>
      <c r="U1966" s="13" t="n">
        <v>182.82</v>
      </c>
      <c r="W1966" s="13" t="n">
        <v>0</v>
      </c>
      <c r="X1966" s="12" t="s">
        <v>1535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MILHO PIPOCA DONA CLARA 400G</v>
      </c>
      <c r="AC1966" s="1" t="n">
        <v>357892</v>
      </c>
    </row>
    <row r="1967" customFormat="false" ht="54.75" hidden="false" customHeight="true" outlineLevel="0" collapsed="false">
      <c r="A1967" s="10" t="n">
        <v>2</v>
      </c>
      <c r="B1967" s="11" t="n">
        <v>46261</v>
      </c>
      <c r="C1967" s="11" t="n">
        <v>46282</v>
      </c>
      <c r="D1967" s="10" t="n">
        <v>1706</v>
      </c>
      <c r="E1967" s="12" t="s">
        <v>1622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1608553</v>
      </c>
      <c r="L1967" s="10" t="n">
        <v>220370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805.4</v>
      </c>
      <c r="W1967" s="13" t="n">
        <v>0</v>
      </c>
      <c r="X1967" s="12" t="s">
        <v>1623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BATATA PRINGLES ORIGINAL 104G</v>
      </c>
      <c r="AC1967" s="1" t="n">
        <v>206697</v>
      </c>
    </row>
    <row r="1968" customFormat="false" ht="63.75" hidden="false" customHeight="true" outlineLevel="0" collapsed="false">
      <c r="A1968" s="10" t="n">
        <v>2</v>
      </c>
      <c r="B1968" s="11" t="n">
        <v>46262</v>
      </c>
      <c r="C1968" s="11" t="n">
        <v>46282</v>
      </c>
      <c r="D1968" s="10" t="n">
        <v>1695</v>
      </c>
      <c r="E1968" s="12" t="s">
        <v>392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1613813</v>
      </c>
      <c r="L1968" s="10" t="n">
        <v>221290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1063.84</v>
      </c>
      <c r="W1968" s="13" t="n">
        <v>0</v>
      </c>
      <c r="X1968" s="12" t="s">
        <v>1537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CAFE KIMINO 250G</v>
      </c>
      <c r="AC1968" s="1" t="n">
        <v>20104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46282</v>
      </c>
      <c r="D1969" s="10" t="n">
        <v>1666</v>
      </c>
      <c r="E1969" s="12" t="s">
        <v>229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1647469</v>
      </c>
      <c r="L1969" s="10" t="n">
        <v>226240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4761.77</v>
      </c>
      <c r="W1969" s="13" t="n">
        <v>0</v>
      </c>
      <c r="X1969" s="12" t="s">
        <v>1668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ISQUEIRO BIC G</v>
      </c>
      <c r="AC1969" s="1" t="n">
        <v>572518</v>
      </c>
    </row>
    <row r="1970" customFormat="false" ht="45.75" hidden="false" customHeight="true" outlineLevel="0" collapsed="false">
      <c r="A1970" s="10" t="n">
        <v>2</v>
      </c>
      <c r="B1970" s="11" t="n">
        <v>46275</v>
      </c>
      <c r="C1970" s="11" t="n">
        <v>46282</v>
      </c>
      <c r="D1970" s="10" t="n">
        <v>1608</v>
      </c>
      <c r="E1970" s="12" t="s">
        <v>224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1681561</v>
      </c>
      <c r="L1970" s="10" t="n">
        <v>230713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318.78</v>
      </c>
      <c r="W1970" s="13" t="n">
        <v>0</v>
      </c>
      <c r="X1970" s="12" t="s">
        <v>1669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DANONE GREGO UNID FR</v>
      </c>
      <c r="AC1970" s="1" t="n">
        <v>1726860</v>
      </c>
    </row>
    <row r="1971" customFormat="false" ht="45.75" hidden="false" customHeight="true" outlineLevel="0" collapsed="false">
      <c r="A1971" s="10" t="n">
        <v>2</v>
      </c>
      <c r="B1971" s="11" t="n">
        <v>46275</v>
      </c>
      <c r="C1971" s="11" t="n">
        <v>46282</v>
      </c>
      <c r="D1971" s="10" t="n">
        <v>1024</v>
      </c>
      <c r="E1971" s="12" t="s">
        <v>464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1682595</v>
      </c>
      <c r="L1971" s="10" t="n">
        <v>230982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362</v>
      </c>
      <c r="W1971" s="13" t="n">
        <v>0</v>
      </c>
      <c r="X1971" s="12" t="s">
        <v>1670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REAL CLASSICO 2L PET</v>
      </c>
      <c r="AC1971" s="1" t="n">
        <v>639283</v>
      </c>
    </row>
    <row r="1972" customFormat="false" ht="27.75" hidden="false" customHeight="true" outlineLevel="0" collapsed="false">
      <c r="A1972" s="10" t="n">
        <v>2</v>
      </c>
      <c r="B1972" s="11" t="n">
        <v>46275</v>
      </c>
      <c r="C1972" s="11" t="n">
        <v>46282</v>
      </c>
      <c r="D1972" s="10" t="n">
        <v>1665</v>
      </c>
      <c r="E1972" s="12" t="s">
        <v>556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1683173</v>
      </c>
      <c r="L1972" s="10" t="n">
        <v>231058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243</v>
      </c>
      <c r="W1972" s="13" t="n">
        <v>0</v>
      </c>
      <c r="X1972" s="12" t="s">
        <v>1671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REQUEIJÃO CATUPIRY C</v>
      </c>
      <c r="AC1972" s="1" t="n">
        <v>138039</v>
      </c>
    </row>
    <row r="1973" customFormat="false" ht="45.75" hidden="false" customHeight="true" outlineLevel="0" collapsed="false">
      <c r="A1973" s="10" t="n">
        <v>2</v>
      </c>
      <c r="B1973" s="11" t="n">
        <v>46206</v>
      </c>
      <c r="C1973" s="11" t="n">
        <v>46283</v>
      </c>
      <c r="D1973" s="10" t="n">
        <v>33</v>
      </c>
      <c r="E1973" s="12" t="s">
        <v>305</v>
      </c>
      <c r="F1973" s="10" t="n">
        <v>34</v>
      </c>
      <c r="G1973" s="12" t="s">
        <v>110</v>
      </c>
      <c r="H1973" s="10" t="n">
        <v>2110405</v>
      </c>
      <c r="I1973" s="12" t="s">
        <v>55</v>
      </c>
      <c r="J1973" s="10" t="n">
        <v>1345312</v>
      </c>
      <c r="L1973" s="10" t="n">
        <v>180690</v>
      </c>
      <c r="M1973" s="12" t="s">
        <v>76</v>
      </c>
      <c r="N1973" s="12" t="s">
        <v>50</v>
      </c>
      <c r="P1973" s="10" t="n">
        <v>101</v>
      </c>
      <c r="Q1973" s="12" t="s">
        <v>56</v>
      </c>
      <c r="R1973" s="12" t="s">
        <v>70</v>
      </c>
      <c r="S1973" s="10" t="n">
        <v>4210203</v>
      </c>
      <c r="T1973" s="12" t="s">
        <v>750</v>
      </c>
      <c r="U1973" s="13" t="n">
        <v>247.27</v>
      </c>
      <c r="W1973" s="13" t="n">
        <v>0</v>
      </c>
      <c r="X1973" s="12" t="s">
        <v>935</v>
      </c>
      <c r="Z1973" s="1" t="str">
        <f aca="false">IF($T1973="","",IFERROR(INDEX('Resumo Grupos'!$AC$3:$AC$200,MATCH($T1973,'Resumo Grupos'!$AB$3:$AB$200,0)),"n/d"))</f>
        <v>Despesa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46265</v>
      </c>
      <c r="C1974" s="11" t="n">
        <v>46283</v>
      </c>
      <c r="D1974" s="10" t="n">
        <v>1616</v>
      </c>
      <c r="E1974" s="12" t="s">
        <v>94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1629536</v>
      </c>
      <c r="L1974" s="10" t="n">
        <v>223544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610.19</v>
      </c>
      <c r="W1974" s="13" t="n">
        <v>0</v>
      </c>
      <c r="X1974" s="12" t="s">
        <v>1632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ESPONJA BRILHUS 1UNI</v>
      </c>
      <c r="AC1974" s="1" t="n">
        <v>656817</v>
      </c>
    </row>
    <row r="1975" customFormat="false" ht="45.75" hidden="false" customHeight="true" outlineLevel="0" collapsed="false">
      <c r="A1975" s="10" t="n">
        <v>2</v>
      </c>
      <c r="B1975" s="11" t="n">
        <v>46269</v>
      </c>
      <c r="C1975" s="11" t="n">
        <v>46283</v>
      </c>
      <c r="D1975" s="10" t="n">
        <v>911</v>
      </c>
      <c r="E1975" s="12" t="s">
        <v>477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1652172</v>
      </c>
      <c r="L1975" s="10" t="n">
        <v>226965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247.56</v>
      </c>
      <c r="W1975" s="13" t="n">
        <v>0</v>
      </c>
      <c r="X1975" s="12" t="s">
        <v>1633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PURAGUA SODA COM GAS</v>
      </c>
      <c r="AC1975" s="1" t="n">
        <v>58376</v>
      </c>
    </row>
    <row r="1976" customFormat="false" ht="54.75" hidden="false" customHeight="true" outlineLevel="0" collapsed="false">
      <c r="A1976" s="10" t="n">
        <v>2</v>
      </c>
      <c r="B1976" s="11" t="n">
        <v>46269</v>
      </c>
      <c r="C1976" s="11" t="n">
        <v>46283</v>
      </c>
      <c r="D1976" s="10" t="n">
        <v>1608</v>
      </c>
      <c r="E1976" s="12" t="s">
        <v>224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1653001</v>
      </c>
      <c r="L1976" s="10" t="n">
        <v>227088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1333.11</v>
      </c>
      <c r="W1976" s="13" t="n">
        <v>0</v>
      </c>
      <c r="X1976" s="12" t="s">
        <v>1672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ACHOC TODDY 200G</v>
      </c>
      <c r="AC1976" s="1" t="n">
        <v>1724435</v>
      </c>
    </row>
    <row r="1977" customFormat="false" ht="45.75" hidden="false" customHeight="true" outlineLevel="0" collapsed="false">
      <c r="A1977" s="10" t="n">
        <v>2</v>
      </c>
      <c r="B1977" s="11" t="n">
        <v>46273</v>
      </c>
      <c r="C1977" s="11" t="n">
        <v>46283</v>
      </c>
      <c r="D1977" s="10" t="n">
        <v>1625</v>
      </c>
      <c r="E1977" s="12" t="s">
        <v>272</v>
      </c>
      <c r="F1977" s="10" t="n">
        <v>24</v>
      </c>
      <c r="G1977" s="12" t="s">
        <v>91</v>
      </c>
      <c r="H1977" s="10" t="n">
        <v>2110405</v>
      </c>
      <c r="I1977" s="12" t="s">
        <v>55</v>
      </c>
      <c r="J1977" s="10" t="n">
        <v>1673727</v>
      </c>
      <c r="L1977" s="10" t="n">
        <v>229482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1460.8</v>
      </c>
      <c r="W1977" s="13" t="n">
        <v>0</v>
      </c>
      <c r="X1977" s="12" t="s">
        <v>1673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DIANTEIRO DE BOI L</v>
      </c>
      <c r="AC1977" s="1" t="n">
        <v>15274</v>
      </c>
    </row>
    <row r="1978" customFormat="false" ht="45.75" hidden="false" customHeight="true" outlineLevel="0" collapsed="false">
      <c r="A1978" s="10" t="n">
        <v>2</v>
      </c>
      <c r="B1978" s="11" t="n">
        <v>46273</v>
      </c>
      <c r="C1978" s="11" t="n">
        <v>46283</v>
      </c>
      <c r="D1978" s="10" t="n">
        <v>1695</v>
      </c>
      <c r="E1978" s="12" t="s">
        <v>392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1673933</v>
      </c>
      <c r="L1978" s="10" t="n">
        <v>229538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860.51</v>
      </c>
      <c r="W1978" s="13" t="n">
        <v>0</v>
      </c>
      <c r="X1978" s="12" t="s">
        <v>1636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TRIGOLAR C/FERMENTO 1KG</v>
      </c>
      <c r="AC1978" s="1" t="n">
        <v>20278</v>
      </c>
    </row>
    <row r="1979" customFormat="false" ht="45.75" hidden="false" customHeight="true" outlineLevel="0" collapsed="false">
      <c r="A1979" s="10" t="n">
        <v>2</v>
      </c>
      <c r="B1979" s="11" t="n">
        <v>46273</v>
      </c>
      <c r="C1979" s="11" t="n">
        <v>46284</v>
      </c>
      <c r="D1979" s="10" t="n">
        <v>10019</v>
      </c>
      <c r="E1979" s="12" t="s">
        <v>274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1673169</v>
      </c>
      <c r="L1979" s="10" t="n">
        <v>229412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309.71</v>
      </c>
      <c r="W1979" s="13" t="n">
        <v>0</v>
      </c>
      <c r="X1979" s="12" t="s">
        <v>1641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PERNIL SUINO KG</v>
      </c>
      <c r="AC1979" s="1" t="n">
        <v>33408</v>
      </c>
    </row>
    <row r="1980" customFormat="false" ht="36.75" hidden="false" customHeight="true" outlineLevel="0" collapsed="false">
      <c r="A1980" s="10" t="n">
        <v>2</v>
      </c>
      <c r="B1980" s="11" t="n">
        <v>46223</v>
      </c>
      <c r="C1980" s="11" t="n">
        <v>46285</v>
      </c>
      <c r="D1980" s="10" t="n">
        <v>33</v>
      </c>
      <c r="E1980" s="12" t="s">
        <v>305</v>
      </c>
      <c r="F1980" s="10" t="n">
        <v>34</v>
      </c>
      <c r="G1980" s="12" t="s">
        <v>110</v>
      </c>
      <c r="H1980" s="10" t="n">
        <v>2110405</v>
      </c>
      <c r="I1980" s="12" t="s">
        <v>55</v>
      </c>
      <c r="J1980" s="10" t="n">
        <v>1424244</v>
      </c>
      <c r="L1980" s="10" t="n">
        <v>190900</v>
      </c>
      <c r="M1980" s="12" t="s">
        <v>76</v>
      </c>
      <c r="N1980" s="12" t="s">
        <v>50</v>
      </c>
      <c r="P1980" s="10" t="n">
        <v>101</v>
      </c>
      <c r="Q1980" s="12" t="s">
        <v>56</v>
      </c>
      <c r="R1980" s="12" t="s">
        <v>411</v>
      </c>
      <c r="S1980" s="10" t="n">
        <v>4210107</v>
      </c>
      <c r="T1980" s="12" t="s">
        <v>497</v>
      </c>
      <c r="U1980" s="13" t="n">
        <v>138.3</v>
      </c>
      <c r="W1980" s="13" t="n">
        <v>0</v>
      </c>
      <c r="X1980" s="12" t="s">
        <v>1674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</row>
    <row r="1981" customFormat="false" ht="54.75" hidden="false" customHeight="true" outlineLevel="0" collapsed="false">
      <c r="A1981" s="10" t="n">
        <v>2</v>
      </c>
      <c r="B1981" s="11" t="n">
        <v>46241</v>
      </c>
      <c r="C1981" s="11" t="n">
        <v>46285</v>
      </c>
      <c r="D1981" s="10" t="n">
        <v>10028</v>
      </c>
      <c r="E1981" s="12" t="s">
        <v>495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1370757</v>
      </c>
      <c r="L1981" s="10" t="n">
        <v>184341</v>
      </c>
      <c r="M1981" s="12" t="s">
        <v>76</v>
      </c>
      <c r="N1981" s="12" t="s">
        <v>50</v>
      </c>
      <c r="P1981" s="10" t="n">
        <v>101</v>
      </c>
      <c r="Q1981" s="12" t="s">
        <v>56</v>
      </c>
      <c r="R1981" s="12" t="s">
        <v>39</v>
      </c>
      <c r="S1981" s="10" t="n">
        <v>4210315</v>
      </c>
      <c r="T1981" s="12" t="s">
        <v>283</v>
      </c>
      <c r="U1981" s="13" t="n">
        <v>595.9</v>
      </c>
      <c r="W1981" s="13" t="n">
        <v>0</v>
      </c>
      <c r="X1981" s="12" t="s">
        <v>496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45.75" hidden="false" customHeight="true" outlineLevel="0" collapsed="false">
      <c r="A1982" s="10" t="n">
        <v>2</v>
      </c>
      <c r="B1982" s="11" t="n">
        <v>46253</v>
      </c>
      <c r="C1982" s="11" t="n">
        <v>46286</v>
      </c>
      <c r="D1982" s="10" t="n">
        <v>616</v>
      </c>
      <c r="E1982" s="12" t="s">
        <v>939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1572206</v>
      </c>
      <c r="L1982" s="10" t="n">
        <v>214775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983.77</v>
      </c>
      <c r="W1982" s="13" t="n">
        <v>0</v>
      </c>
      <c r="X1982" s="12" t="s">
        <v>1573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27.75" hidden="false" customHeight="true" outlineLevel="0" collapsed="false">
      <c r="A1983" s="10" t="n">
        <v>2</v>
      </c>
      <c r="B1983" s="11" t="n">
        <v>46254</v>
      </c>
      <c r="C1983" s="11" t="n">
        <v>46286</v>
      </c>
      <c r="D1983" s="10" t="n">
        <v>10012</v>
      </c>
      <c r="E1983" s="12" t="s">
        <v>176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1577225</v>
      </c>
      <c r="L1983" s="10" t="n">
        <v>215620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521.74</v>
      </c>
      <c r="W1983" s="13" t="n">
        <v>0</v>
      </c>
      <c r="X1983" s="12" t="s">
        <v>1574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SAB PHEBO ODOR90G</v>
      </c>
      <c r="AC1983" s="1" t="n">
        <v>1966312</v>
      </c>
    </row>
    <row r="1984" customFormat="false" ht="45.75" hidden="false" customHeight="true" outlineLevel="0" collapsed="false">
      <c r="A1984" s="10" t="n">
        <v>2</v>
      </c>
      <c r="B1984" s="11" t="n">
        <v>46259</v>
      </c>
      <c r="C1984" s="11" t="n">
        <v>46286</v>
      </c>
      <c r="D1984" s="10" t="n">
        <v>10009</v>
      </c>
      <c r="E1984" s="12" t="s">
        <v>469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1600247</v>
      </c>
      <c r="L1984" s="10" t="n">
        <v>219128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1255.7</v>
      </c>
      <c r="W1984" s="13" t="n">
        <v>0</v>
      </c>
      <c r="X1984" s="12" t="s">
        <v>1675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TALENTO CSTN 85G</v>
      </c>
      <c r="AC1984" s="1" t="n">
        <v>1441731</v>
      </c>
    </row>
    <row r="1985" customFormat="false" ht="54.75" hidden="false" customHeight="true" outlineLevel="0" collapsed="false">
      <c r="A1985" s="10" t="n">
        <v>2</v>
      </c>
      <c r="B1985" s="11" t="n">
        <v>46262</v>
      </c>
      <c r="C1985" s="11" t="n">
        <v>46286</v>
      </c>
      <c r="D1985" s="10" t="n">
        <v>1196</v>
      </c>
      <c r="E1985" s="12" t="s">
        <v>1423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1614556</v>
      </c>
      <c r="L1985" s="10" t="n">
        <v>221461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1213.95</v>
      </c>
      <c r="W1985" s="13" t="n">
        <v>0</v>
      </c>
      <c r="X1985" s="12" t="s">
        <v>1645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CAFÉ RANCHEIRO 250G</v>
      </c>
      <c r="AC1985" s="1" t="n">
        <v>13070</v>
      </c>
    </row>
    <row r="1986" customFormat="false" ht="45.75" hidden="false" customHeight="true" outlineLevel="0" collapsed="false">
      <c r="A1986" s="10" t="n">
        <v>2</v>
      </c>
      <c r="B1986" s="11" t="n">
        <v>46266</v>
      </c>
      <c r="C1986" s="11" t="n">
        <v>46286</v>
      </c>
      <c r="D1986" s="10" t="n">
        <v>794</v>
      </c>
      <c r="E1986" s="12" t="s">
        <v>343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1633936</v>
      </c>
      <c r="L1986" s="10" t="n">
        <v>224235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70</v>
      </c>
      <c r="S1986" s="10" t="n">
        <v>4210299</v>
      </c>
      <c r="T1986" s="12" t="s">
        <v>127</v>
      </c>
      <c r="U1986" s="13" t="n">
        <v>1332.55</v>
      </c>
      <c r="W1986" s="13" t="n">
        <v>0</v>
      </c>
      <c r="X1986" s="12" t="s">
        <v>1646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SACOLA BRC. L. ALIP.</v>
      </c>
      <c r="AC1986" s="1" t="n">
        <v>8802</v>
      </c>
    </row>
    <row r="1987" customFormat="false" ht="45.75" hidden="false" customHeight="true" outlineLevel="0" collapsed="false">
      <c r="A1987" s="10" t="n">
        <v>2</v>
      </c>
      <c r="B1987" s="11" t="n">
        <v>46268</v>
      </c>
      <c r="C1987" s="11" t="n">
        <v>46286</v>
      </c>
      <c r="D1987" s="10" t="n">
        <v>1611</v>
      </c>
      <c r="E1987" s="12" t="s">
        <v>172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1646253</v>
      </c>
      <c r="L1987" s="10" t="n">
        <v>225904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176.57</v>
      </c>
      <c r="W1987" s="13" t="n">
        <v>0</v>
      </c>
      <c r="X1987" s="12" t="s">
        <v>1647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46260</v>
      </c>
      <c r="C1988" s="11" t="n">
        <v>46287</v>
      </c>
      <c r="D1988" s="10" t="n">
        <v>1601</v>
      </c>
      <c r="E1988" s="12" t="s">
        <v>192</v>
      </c>
      <c r="F1988" s="10" t="n">
        <v>24</v>
      </c>
      <c r="G1988" s="12" t="s">
        <v>91</v>
      </c>
      <c r="H1988" s="10" t="n">
        <v>2110405</v>
      </c>
      <c r="I1988" s="12" t="s">
        <v>55</v>
      </c>
      <c r="J1988" s="10" t="n">
        <v>1604000</v>
      </c>
      <c r="L1988" s="10" t="n">
        <v>219688</v>
      </c>
      <c r="M1988" s="12" t="s">
        <v>36</v>
      </c>
      <c r="N1988" s="12" t="s">
        <v>50</v>
      </c>
      <c r="P1988" s="10" t="n">
        <v>113</v>
      </c>
      <c r="Q1988" s="12" t="s">
        <v>38</v>
      </c>
      <c r="R1988" s="12" t="s">
        <v>62</v>
      </c>
      <c r="S1988" s="10" t="n">
        <v>1130101</v>
      </c>
      <c r="T1988" s="12" t="s">
        <v>63</v>
      </c>
      <c r="U1988" s="13" t="n">
        <v>843.65</v>
      </c>
      <c r="W1988" s="13" t="n">
        <v>0</v>
      </c>
      <c r="X1988" s="12" t="s">
        <v>1584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HEINZ YELLOW MUSTARD</v>
      </c>
      <c r="AC1988" s="1" t="n">
        <v>866347</v>
      </c>
    </row>
    <row r="1989" customFormat="false" ht="36.75" hidden="false" customHeight="true" outlineLevel="0" collapsed="false">
      <c r="A1989" s="10" t="n">
        <v>2</v>
      </c>
      <c r="B1989" s="11" t="n">
        <v>46260</v>
      </c>
      <c r="C1989" s="11" t="n">
        <v>46287</v>
      </c>
      <c r="D1989" s="10" t="n">
        <v>794</v>
      </c>
      <c r="E1989" s="12" t="s">
        <v>343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1604329</v>
      </c>
      <c r="L1989" s="10" t="n">
        <v>219752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873.08</v>
      </c>
      <c r="W1989" s="13" t="n">
        <v>0</v>
      </c>
      <c r="X1989" s="12" t="s">
        <v>1585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RODO M 30CM CONDOR</v>
      </c>
      <c r="AC1989" s="1" t="n">
        <v>8744</v>
      </c>
    </row>
    <row r="1990" customFormat="false" ht="54.75" hidden="false" customHeight="true" outlineLevel="0" collapsed="false">
      <c r="A1990" s="10" t="n">
        <v>2</v>
      </c>
      <c r="B1990" s="11" t="n">
        <v>46261</v>
      </c>
      <c r="C1990" s="11" t="n">
        <v>46287</v>
      </c>
      <c r="D1990" s="10" t="n">
        <v>1637</v>
      </c>
      <c r="E1990" s="12" t="s">
        <v>870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1609012</v>
      </c>
      <c r="L1990" s="10" t="n">
        <v>220473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942.69</v>
      </c>
      <c r="W1990" s="13" t="n">
        <v>0</v>
      </c>
      <c r="X1990" s="12" t="s">
        <v>1676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LEITE NINHO INTEGRAL380G LT</v>
      </c>
      <c r="AC1990" s="1" t="n">
        <v>1925381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46287</v>
      </c>
      <c r="D1991" s="10" t="n">
        <v>1672</v>
      </c>
      <c r="E1991" s="12" t="s">
        <v>340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1651551</v>
      </c>
      <c r="L1991" s="10" t="n">
        <v>226827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1917.5</v>
      </c>
      <c r="W1991" s="13" t="n">
        <v>0</v>
      </c>
      <c r="X1991" s="12" t="s">
        <v>1677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REFRIG MAGISTRAL 2L</v>
      </c>
      <c r="AC1991" s="1" t="n">
        <v>1440541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46287</v>
      </c>
      <c r="D1992" s="10" t="n">
        <v>1734</v>
      </c>
      <c r="E1992" s="12" t="s">
        <v>553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1673855</v>
      </c>
      <c r="L1992" s="10" t="n">
        <v>229517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972.4</v>
      </c>
      <c r="W1992" s="13" t="n">
        <v>0</v>
      </c>
      <c r="X1992" s="12" t="s">
        <v>1678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SORVETE 2 LTS CHOCOL</v>
      </c>
      <c r="AC1992" s="1" t="n">
        <v>259439</v>
      </c>
    </row>
    <row r="1993" customFormat="false" ht="45.75" hidden="false" customHeight="true" outlineLevel="0" collapsed="false">
      <c r="A1993" s="10" t="n">
        <v>2</v>
      </c>
      <c r="B1993" s="11" t="n">
        <v>46274</v>
      </c>
      <c r="C1993" s="11" t="n">
        <v>46287</v>
      </c>
      <c r="D1993" s="10" t="n">
        <v>1667</v>
      </c>
      <c r="E1993" s="12" t="s">
        <v>96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1676746</v>
      </c>
      <c r="L1993" s="10" t="n">
        <v>229954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587.44</v>
      </c>
      <c r="W1993" s="13" t="n">
        <v>0</v>
      </c>
      <c r="X1993" s="12" t="s">
        <v>1679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AG SANIT QUALYBRIL1L</v>
      </c>
      <c r="AC1993" s="1" t="n">
        <v>399726</v>
      </c>
    </row>
    <row r="1994" customFormat="false" ht="54.75" hidden="false" customHeight="true" outlineLevel="0" collapsed="false">
      <c r="A1994" s="10" t="n">
        <v>2</v>
      </c>
      <c r="B1994" s="11" t="n">
        <v>46274</v>
      </c>
      <c r="C1994" s="11" t="n">
        <v>46287</v>
      </c>
      <c r="D1994" s="10" t="n">
        <v>1671</v>
      </c>
      <c r="E1994" s="12" t="s">
        <v>101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1678494</v>
      </c>
      <c r="L1994" s="10" t="n">
        <v>230275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573.28</v>
      </c>
      <c r="W1994" s="13" t="n">
        <v>0</v>
      </c>
      <c r="X1994" s="12" t="s">
        <v>1680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NATURALMEN C/A 8</v>
      </c>
      <c r="AC1994" s="1" t="n">
        <v>591052</v>
      </c>
    </row>
    <row r="1995" customFormat="false" ht="54.75" hidden="false" customHeight="true" outlineLevel="0" collapsed="false">
      <c r="A1995" s="10" t="n">
        <v>2</v>
      </c>
      <c r="B1995" s="11" t="n">
        <v>46244</v>
      </c>
      <c r="C1995" s="11" t="n">
        <v>46288</v>
      </c>
      <c r="D1995" s="10" t="n">
        <v>1789</v>
      </c>
      <c r="E1995" s="12" t="s">
        <v>549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1529685</v>
      </c>
      <c r="L1995" s="10" t="n">
        <v>208126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411</v>
      </c>
      <c r="S1995" s="10" t="n">
        <v>4210112</v>
      </c>
      <c r="T1995" s="12" t="s">
        <v>550</v>
      </c>
      <c r="U1995" s="13" t="n">
        <v>10413.34</v>
      </c>
      <c r="W1995" s="13" t="n">
        <v>0</v>
      </c>
      <c r="X1995" s="12" t="s">
        <v>1681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46260</v>
      </c>
      <c r="C1996" s="11" t="n">
        <v>46288</v>
      </c>
      <c r="D1996" s="10" t="n">
        <v>1107</v>
      </c>
      <c r="E1996" s="12" t="s">
        <v>227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1605200</v>
      </c>
      <c r="L1996" s="10" t="n">
        <v>219910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1510.34</v>
      </c>
      <c r="W1996" s="13" t="n">
        <v>0</v>
      </c>
      <c r="X1996" s="12" t="s">
        <v>1607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BOLINHO MORANGO 7308</v>
      </c>
      <c r="AC1996" s="1" t="n">
        <v>447609</v>
      </c>
    </row>
    <row r="1997" customFormat="false" ht="36.75" hidden="false" customHeight="true" outlineLevel="0" collapsed="false">
      <c r="A1997" s="10" t="n">
        <v>2</v>
      </c>
      <c r="B1997" s="11" t="n">
        <v>46269</v>
      </c>
      <c r="C1997" s="11" t="n">
        <v>46288</v>
      </c>
      <c r="D1997" s="10" t="n">
        <v>1613</v>
      </c>
      <c r="E1997" s="12" t="s">
        <v>107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1653086</v>
      </c>
      <c r="L1997" s="10" t="n">
        <v>227108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2295.99</v>
      </c>
      <c r="W1997" s="13" t="n">
        <v>0</v>
      </c>
      <c r="X1997" s="12" t="s">
        <v>1660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COSTELA SUINA KG</v>
      </c>
      <c r="AC1997" s="1" t="n">
        <v>1627324</v>
      </c>
    </row>
    <row r="1998" customFormat="false" ht="36.75" hidden="false" customHeight="true" outlineLevel="0" collapsed="false">
      <c r="A1998" s="10" t="n">
        <v>2</v>
      </c>
      <c r="B1998" s="11" t="n">
        <v>46274</v>
      </c>
      <c r="C1998" s="11" t="n">
        <v>46288</v>
      </c>
      <c r="D1998" s="10" t="n">
        <v>1705</v>
      </c>
      <c r="E1998" s="12" t="s">
        <v>131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1677099</v>
      </c>
      <c r="L1998" s="10" t="n">
        <v>230038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50.85</v>
      </c>
      <c r="W1998" s="13" t="n">
        <v>0</v>
      </c>
      <c r="X1998" s="12" t="s">
        <v>1682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MONSTER ENERGY ENERG</v>
      </c>
      <c r="AC1998" s="1" t="n">
        <v>1281795</v>
      </c>
    </row>
    <row r="1999" customFormat="false" ht="36.75" hidden="false" customHeight="true" outlineLevel="0" collapsed="false">
      <c r="A1999" s="10" t="n">
        <v>2</v>
      </c>
      <c r="B1999" s="11" t="n">
        <v>46274</v>
      </c>
      <c r="C1999" s="11" t="n">
        <v>46288</v>
      </c>
      <c r="D1999" s="10" t="n">
        <v>1705</v>
      </c>
      <c r="E1999" s="12" t="s">
        <v>131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1677122</v>
      </c>
      <c r="L1999" s="10" t="n">
        <v>230042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221.99</v>
      </c>
      <c r="W1999" s="13" t="n">
        <v>0</v>
      </c>
      <c r="X1999" s="12" t="s">
        <v>1683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REFRI. COCA COLA RETORNAVEL 2L</v>
      </c>
      <c r="AC1999" s="1" t="n">
        <v>2029788</v>
      </c>
    </row>
    <row r="2000" customFormat="false" ht="36.75" hidden="false" customHeight="true" outlineLevel="0" collapsed="false">
      <c r="A2000" s="10" t="n">
        <v>2</v>
      </c>
      <c r="B2000" s="11" t="n">
        <v>46274</v>
      </c>
      <c r="C2000" s="11" t="n">
        <v>46288</v>
      </c>
      <c r="D2000" s="10" t="n">
        <v>1705</v>
      </c>
      <c r="E2000" s="12" t="s">
        <v>131</v>
      </c>
      <c r="F2000" s="10" t="n">
        <v>24</v>
      </c>
      <c r="G2000" s="12" t="s">
        <v>91</v>
      </c>
      <c r="H2000" s="10" t="n">
        <v>2110405</v>
      </c>
      <c r="I2000" s="12" t="s">
        <v>55</v>
      </c>
      <c r="J2000" s="10" t="n">
        <v>1677166</v>
      </c>
      <c r="L2000" s="10" t="n">
        <v>230048</v>
      </c>
      <c r="M2000" s="12" t="s">
        <v>36</v>
      </c>
      <c r="N2000" s="12" t="s">
        <v>50</v>
      </c>
      <c r="P2000" s="10" t="n">
        <v>113</v>
      </c>
      <c r="Q2000" s="12" t="s">
        <v>38</v>
      </c>
      <c r="R2000" s="12" t="s">
        <v>62</v>
      </c>
      <c r="S2000" s="10" t="n">
        <v>1130101</v>
      </c>
      <c r="T2000" s="12" t="s">
        <v>63</v>
      </c>
      <c r="U2000" s="13" t="n">
        <v>949.62</v>
      </c>
      <c r="W2000" s="13" t="n">
        <v>0</v>
      </c>
      <c r="X2000" s="12" t="s">
        <v>1684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KAPO UVA 200ML</v>
      </c>
      <c r="AC2000" s="1" t="n">
        <v>1281807</v>
      </c>
    </row>
    <row r="2001" customFormat="false" ht="36.75" hidden="false" customHeight="true" outlineLevel="0" collapsed="false">
      <c r="A2001" s="10" t="n">
        <v>2</v>
      </c>
      <c r="B2001" s="11" t="n">
        <v>46274</v>
      </c>
      <c r="C2001" s="11" t="n">
        <v>46288</v>
      </c>
      <c r="D2001" s="10" t="n">
        <v>1705</v>
      </c>
      <c r="E2001" s="12" t="s">
        <v>131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1677308</v>
      </c>
      <c r="L2001" s="10" t="n">
        <v>230067</v>
      </c>
      <c r="M2001" s="12" t="s">
        <v>36</v>
      </c>
      <c r="N2001" s="12" t="s">
        <v>50</v>
      </c>
      <c r="P2001" s="10" t="n">
        <v>113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630.74</v>
      </c>
      <c r="W2001" s="13" t="n">
        <v>0</v>
      </c>
      <c r="X2001" s="12" t="s">
        <v>1685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POWERADE FRUTA 500ML</v>
      </c>
      <c r="AC2001" s="1" t="n">
        <v>1281791</v>
      </c>
    </row>
    <row r="2002" customFormat="false" ht="36.75" hidden="false" customHeight="true" outlineLevel="0" collapsed="false">
      <c r="A2002" s="10" t="n">
        <v>2</v>
      </c>
      <c r="B2002" s="11" t="n">
        <v>46274</v>
      </c>
      <c r="C2002" s="11" t="n">
        <v>46288</v>
      </c>
      <c r="D2002" s="10" t="n">
        <v>1705</v>
      </c>
      <c r="E2002" s="12" t="s">
        <v>131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1677411</v>
      </c>
      <c r="L2002" s="10" t="n">
        <v>230075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2815.26</v>
      </c>
      <c r="W2002" s="13" t="n">
        <v>0</v>
      </c>
      <c r="X2002" s="12" t="s">
        <v>1686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REFR FANTA UVA 200ML</v>
      </c>
      <c r="AC2002" s="1" t="n">
        <v>2030858</v>
      </c>
    </row>
    <row r="2003" customFormat="false" ht="36.75" hidden="false" customHeight="true" outlineLevel="0" collapsed="false">
      <c r="A2003" s="10" t="n">
        <v>2</v>
      </c>
      <c r="B2003" s="11" t="n">
        <v>46274</v>
      </c>
      <c r="C2003" s="11" t="n">
        <v>46288</v>
      </c>
      <c r="D2003" s="10" t="n">
        <v>1789</v>
      </c>
      <c r="E2003" s="12" t="s">
        <v>549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1677752</v>
      </c>
      <c r="L2003" s="10" t="n">
        <v>230158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411</v>
      </c>
      <c r="S2003" s="10" t="n">
        <v>4210112</v>
      </c>
      <c r="T2003" s="12" t="s">
        <v>550</v>
      </c>
      <c r="U2003" s="13" t="n">
        <v>118.01</v>
      </c>
      <c r="W2003" s="13" t="n">
        <v>0</v>
      </c>
      <c r="X2003" s="12" t="s">
        <v>1687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46275</v>
      </c>
      <c r="C2004" s="11" t="n">
        <v>46288</v>
      </c>
      <c r="D2004" s="10" t="n">
        <v>10019</v>
      </c>
      <c r="E2004" s="12" t="s">
        <v>274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1681636</v>
      </c>
      <c r="L2004" s="10" t="n">
        <v>230738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2170.63</v>
      </c>
      <c r="W2004" s="13" t="n">
        <v>0</v>
      </c>
      <c r="X2004" s="12" t="s">
        <v>1663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PATINHO BOVINO KG</v>
      </c>
      <c r="AC2004" s="1" t="n">
        <v>33492</v>
      </c>
    </row>
    <row r="2005" customFormat="false" ht="45.75" hidden="false" customHeight="true" outlineLevel="0" collapsed="false">
      <c r="A2005" s="10" t="n">
        <v>2</v>
      </c>
      <c r="B2005" s="11" t="n">
        <v>46275</v>
      </c>
      <c r="C2005" s="11" t="n">
        <v>46288</v>
      </c>
      <c r="D2005" s="10" t="n">
        <v>10019</v>
      </c>
      <c r="E2005" s="12" t="s">
        <v>274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1681653</v>
      </c>
      <c r="L2005" s="10" t="n">
        <v>230747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432.76</v>
      </c>
      <c r="W2005" s="13" t="n">
        <v>0</v>
      </c>
      <c r="X2005" s="12" t="s">
        <v>1664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ALCATRA BOVINA KG</v>
      </c>
      <c r="AC2005" s="1" t="n">
        <v>38204</v>
      </c>
    </row>
    <row r="2006" customFormat="false" ht="36.75" hidden="false" customHeight="true" outlineLevel="0" collapsed="false">
      <c r="A2006" s="10" t="n">
        <v>2</v>
      </c>
      <c r="B2006" s="11" t="n">
        <v>46275</v>
      </c>
      <c r="C2006" s="11" t="n">
        <v>46288</v>
      </c>
      <c r="D2006" s="10" t="n">
        <v>1608</v>
      </c>
      <c r="E2006" s="12" t="s">
        <v>224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1681684</v>
      </c>
      <c r="L2006" s="10" t="n">
        <v>230751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62</v>
      </c>
      <c r="S2006" s="10" t="n">
        <v>1130101</v>
      </c>
      <c r="T2006" s="12" t="s">
        <v>63</v>
      </c>
      <c r="U2006" s="13" t="n">
        <v>684.67</v>
      </c>
      <c r="W2006" s="13" t="n">
        <v>0</v>
      </c>
      <c r="X2006" s="12" t="s">
        <v>1665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PATE ATUM COQ 170G</v>
      </c>
      <c r="AC2006" s="1" t="n">
        <v>1726308</v>
      </c>
    </row>
    <row r="2007" customFormat="false" ht="36.75" hidden="false" customHeight="true" outlineLevel="0" collapsed="false">
      <c r="A2007" s="10" t="n">
        <v>2</v>
      </c>
      <c r="B2007" s="11" t="n">
        <v>46275</v>
      </c>
      <c r="C2007" s="11" t="n">
        <v>46288</v>
      </c>
      <c r="D2007" s="10" t="n">
        <v>33</v>
      </c>
      <c r="E2007" s="12" t="s">
        <v>305</v>
      </c>
      <c r="F2007" s="10" t="n">
        <v>34</v>
      </c>
      <c r="G2007" s="12" t="s">
        <v>110</v>
      </c>
      <c r="H2007" s="10" t="n">
        <v>2110405</v>
      </c>
      <c r="I2007" s="12" t="s">
        <v>55</v>
      </c>
      <c r="J2007" s="10" t="n">
        <v>1682658</v>
      </c>
      <c r="L2007" s="10" t="n">
        <v>230993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781.39</v>
      </c>
      <c r="W2007" s="13" t="n">
        <v>0</v>
      </c>
      <c r="X2007" s="12" t="s">
        <v>423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SUCO FAZENDINHA CITR</v>
      </c>
      <c r="AC2007" s="1" t="n">
        <v>5642</v>
      </c>
    </row>
    <row r="2008" customFormat="false" ht="36.75" hidden="false" customHeight="true" outlineLevel="0" collapsed="false">
      <c r="A2008" s="10" t="n">
        <v>2</v>
      </c>
      <c r="B2008" s="11" t="n">
        <v>46261</v>
      </c>
      <c r="C2008" s="11" t="n">
        <v>46289</v>
      </c>
      <c r="D2008" s="10" t="n">
        <v>1706</v>
      </c>
      <c r="E2008" s="12" t="s">
        <v>1622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1608557</v>
      </c>
      <c r="L2008" s="10" t="n">
        <v>220371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805.4</v>
      </c>
      <c r="W2008" s="13" t="n">
        <v>0</v>
      </c>
      <c r="X2008" s="12" t="s">
        <v>1623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BATATA PRINGLES ORIGINAL 104G</v>
      </c>
      <c r="AC2008" s="1" t="n">
        <v>206697</v>
      </c>
    </row>
    <row r="2009" customFormat="false" ht="36.75" hidden="false" customHeight="true" outlineLevel="0" collapsed="false">
      <c r="A2009" s="10" t="n">
        <v>2</v>
      </c>
      <c r="B2009" s="11" t="n">
        <v>46268</v>
      </c>
      <c r="C2009" s="11" t="n">
        <v>46289</v>
      </c>
      <c r="D2009" s="10" t="n">
        <v>1666</v>
      </c>
      <c r="E2009" s="12" t="s">
        <v>229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1647476</v>
      </c>
      <c r="L2009" s="10" t="n">
        <v>226243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4761.78</v>
      </c>
      <c r="W2009" s="13" t="n">
        <v>0</v>
      </c>
      <c r="X2009" s="12" t="s">
        <v>1668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ISQUEIRO BIC G</v>
      </c>
      <c r="AC2009" s="1" t="n">
        <v>572518</v>
      </c>
    </row>
    <row r="2010" customFormat="false" ht="36.75" hidden="false" customHeight="true" outlineLevel="0" collapsed="false">
      <c r="A2010" s="10" t="n">
        <v>2</v>
      </c>
      <c r="B2010" s="11" t="n">
        <v>46273</v>
      </c>
      <c r="C2010" s="11" t="n">
        <v>46289</v>
      </c>
      <c r="D2010" s="10" t="n">
        <v>10012</v>
      </c>
      <c r="E2010" s="12" t="s">
        <v>176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1672887</v>
      </c>
      <c r="L2010" s="10" t="n">
        <v>229362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419.38</v>
      </c>
      <c r="W2010" s="13" t="n">
        <v>0</v>
      </c>
      <c r="X2010" s="12" t="s">
        <v>1688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ABS SEMPERLIVRE SUAVE C/ABA -16UN</v>
      </c>
      <c r="AC2010" s="1" t="n">
        <v>1968927</v>
      </c>
    </row>
    <row r="2011" customFormat="false" ht="36.75" hidden="false" customHeight="true" outlineLevel="0" collapsed="false">
      <c r="A2011" s="10" t="n">
        <v>2</v>
      </c>
      <c r="B2011" s="11" t="n">
        <v>46275</v>
      </c>
      <c r="C2011" s="11" t="n">
        <v>46289</v>
      </c>
      <c r="D2011" s="10" t="n">
        <v>1740</v>
      </c>
      <c r="E2011" s="12" t="s">
        <v>462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1682167</v>
      </c>
      <c r="L2011" s="10" t="n">
        <v>230864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458.93</v>
      </c>
      <c r="W2011" s="13" t="n">
        <v>0</v>
      </c>
      <c r="X2011" s="12" t="s">
        <v>1689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IOG BI-CAMADA MGO CO</v>
      </c>
      <c r="AC2011" s="1" t="n">
        <v>1268629</v>
      </c>
    </row>
    <row r="2012" customFormat="false" ht="45.75" hidden="false" customHeight="true" outlineLevel="0" collapsed="false">
      <c r="A2012" s="10" t="n">
        <v>2</v>
      </c>
      <c r="B2012" s="11" t="n">
        <v>46013</v>
      </c>
      <c r="C2012" s="11" t="n">
        <v>46290</v>
      </c>
      <c r="D2012" s="10" t="n">
        <v>17</v>
      </c>
      <c r="E2012" s="12" t="s">
        <v>490</v>
      </c>
      <c r="F2012" s="10" t="n">
        <v>48</v>
      </c>
      <c r="G2012" s="12" t="s">
        <v>569</v>
      </c>
      <c r="H2012" s="10" t="n">
        <v>2110405</v>
      </c>
      <c r="I2012" s="12" t="s">
        <v>55</v>
      </c>
      <c r="J2012" s="10" t="n">
        <v>660421</v>
      </c>
      <c r="L2012" s="10" t="n">
        <v>86128</v>
      </c>
      <c r="M2012" s="12" t="s">
        <v>1118</v>
      </c>
      <c r="N2012" s="12" t="s">
        <v>50</v>
      </c>
      <c r="P2012" s="10" t="n">
        <v>101</v>
      </c>
      <c r="Q2012" s="12" t="s">
        <v>56</v>
      </c>
      <c r="R2012" s="12" t="s">
        <v>57</v>
      </c>
      <c r="S2012" s="10" t="n">
        <v>4220199</v>
      </c>
      <c r="T2012" s="12" t="s">
        <v>58</v>
      </c>
      <c r="U2012" s="13" t="n">
        <v>362.14</v>
      </c>
      <c r="W2012" s="13" t="n">
        <v>0</v>
      </c>
      <c r="X2012" s="12" t="s">
        <v>571</v>
      </c>
      <c r="Z2012" s="1" t="str">
        <f aca="false">IF($T2012="","",IFERROR(INDEX('Resumo Grupos'!$AC$3:$AC$200,MATCH($T2012,'Resumo Grupos'!$AB$3:$AB$200,0)),"n/d"))</f>
        <v>Pagamentos outros não operacionais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46029</v>
      </c>
      <c r="C2013" s="11" t="n">
        <v>46290</v>
      </c>
      <c r="D2013" s="10" t="n">
        <v>17</v>
      </c>
      <c r="E2013" s="12" t="s">
        <v>490</v>
      </c>
      <c r="F2013" s="10" t="n">
        <v>48</v>
      </c>
      <c r="G2013" s="12" t="s">
        <v>569</v>
      </c>
      <c r="H2013" s="10" t="n">
        <v>2110405</v>
      </c>
      <c r="I2013" s="12" t="s">
        <v>55</v>
      </c>
      <c r="J2013" s="10" t="n">
        <v>660305</v>
      </c>
      <c r="L2013" s="10" t="n">
        <v>86116</v>
      </c>
      <c r="M2013" s="12" t="s">
        <v>1118</v>
      </c>
      <c r="N2013" s="12" t="s">
        <v>50</v>
      </c>
      <c r="P2013" s="10" t="n">
        <v>101</v>
      </c>
      <c r="Q2013" s="12" t="s">
        <v>56</v>
      </c>
      <c r="R2013" s="12" t="s">
        <v>57</v>
      </c>
      <c r="S2013" s="10" t="n">
        <v>4220199</v>
      </c>
      <c r="T2013" s="12" t="s">
        <v>58</v>
      </c>
      <c r="U2013" s="13" t="n">
        <v>84.03</v>
      </c>
      <c r="W2013" s="13" t="n">
        <v>0</v>
      </c>
      <c r="X2013" s="12" t="s">
        <v>570</v>
      </c>
      <c r="Z2013" s="1" t="str">
        <f aca="false">IF($T2013="","",IFERROR(INDEX('Resumo Grupos'!$AC$3:$AC$200,MATCH($T2013,'Resumo Grupos'!$AB$3:$AB$200,0)),"n/d"))</f>
        <v>Pagamentos outros não operacionais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0" t="n">
        <v>2</v>
      </c>
      <c r="B2014" s="11" t="n">
        <v>46243</v>
      </c>
      <c r="C2014" s="11" t="n">
        <v>46290</v>
      </c>
      <c r="D2014" s="10" t="n">
        <v>17</v>
      </c>
      <c r="E2014" s="12" t="s">
        <v>490</v>
      </c>
      <c r="F2014" s="10" t="n">
        <v>48</v>
      </c>
      <c r="G2014" s="12" t="s">
        <v>569</v>
      </c>
      <c r="H2014" s="10" t="n">
        <v>2110405</v>
      </c>
      <c r="I2014" s="12" t="s">
        <v>55</v>
      </c>
      <c r="J2014" s="10" t="n">
        <v>1551938</v>
      </c>
      <c r="L2014" s="10" t="n">
        <v>211786</v>
      </c>
      <c r="M2014" s="12" t="s">
        <v>88</v>
      </c>
      <c r="N2014" s="12" t="s">
        <v>50</v>
      </c>
      <c r="P2014" s="10" t="n">
        <v>101</v>
      </c>
      <c r="Q2014" s="12" t="s">
        <v>56</v>
      </c>
      <c r="R2014" s="12" t="s">
        <v>57</v>
      </c>
      <c r="S2014" s="10" t="n">
        <v>4220199</v>
      </c>
      <c r="T2014" s="12" t="s">
        <v>58</v>
      </c>
      <c r="U2014" s="13" t="n">
        <v>52.52</v>
      </c>
      <c r="W2014" s="13" t="n">
        <v>0</v>
      </c>
      <c r="X2014" s="12" t="s">
        <v>1690</v>
      </c>
      <c r="Z2014" s="1" t="str">
        <f aca="false">IF($T2014="","",IFERROR(INDEX('Resumo Grupos'!$AC$3:$AC$200,MATCH($T2014,'Resumo Grupos'!$AB$3:$AB$200,0)),"n/d"))</f>
        <v>Pagamentos outros não operacionais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46256</v>
      </c>
      <c r="C2015" s="11" t="n">
        <v>46290</v>
      </c>
      <c r="D2015" s="10" t="n">
        <v>1782</v>
      </c>
      <c r="E2015" s="12" t="s">
        <v>1691</v>
      </c>
      <c r="F2015" s="10" t="n">
        <v>48</v>
      </c>
      <c r="G2015" s="12" t="s">
        <v>569</v>
      </c>
      <c r="H2015" s="10" t="n">
        <v>2110405</v>
      </c>
      <c r="I2015" s="12" t="s">
        <v>55</v>
      </c>
      <c r="J2015" s="10" t="n">
        <v>1595448</v>
      </c>
      <c r="L2015" s="10" t="n">
        <v>2208</v>
      </c>
      <c r="M2015" s="12" t="s">
        <v>36</v>
      </c>
      <c r="N2015" s="12" t="s">
        <v>50</v>
      </c>
      <c r="P2015" s="10" t="n">
        <v>101</v>
      </c>
      <c r="Q2015" s="12" t="s">
        <v>56</v>
      </c>
      <c r="R2015" s="12" t="s">
        <v>70</v>
      </c>
      <c r="S2015" s="10" t="n">
        <v>4210232</v>
      </c>
      <c r="T2015" s="12" t="s">
        <v>324</v>
      </c>
      <c r="U2015" s="13" t="n">
        <v>79.9</v>
      </c>
      <c r="W2015" s="13" t="n">
        <v>0</v>
      </c>
      <c r="X2015" s="12" t="s">
        <v>1692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46265</v>
      </c>
      <c r="C2016" s="11" t="n">
        <v>46290</v>
      </c>
      <c r="D2016" s="10" t="n">
        <v>1616</v>
      </c>
      <c r="E2016" s="12" t="s">
        <v>94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1629541</v>
      </c>
      <c r="L2016" s="10" t="n">
        <v>223546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610.19</v>
      </c>
      <c r="W2016" s="13" t="n">
        <v>0</v>
      </c>
      <c r="X2016" s="12" t="s">
        <v>1632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ESPONJA BRILHUS 1UNI</v>
      </c>
      <c r="AC2016" s="1" t="n">
        <v>656817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46290</v>
      </c>
      <c r="D2017" s="10" t="n">
        <v>1608</v>
      </c>
      <c r="E2017" s="12" t="s">
        <v>224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1653005</v>
      </c>
      <c r="L2017" s="10" t="n">
        <v>227090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1333.12</v>
      </c>
      <c r="W2017" s="13" t="n">
        <v>0</v>
      </c>
      <c r="X2017" s="12" t="s">
        <v>1672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ACHOC TODDY 200G</v>
      </c>
      <c r="AC2017" s="1" t="n">
        <v>1724435</v>
      </c>
    </row>
    <row r="2018" customFormat="false" ht="36.75" hidden="false" customHeight="true" outlineLevel="0" collapsed="false">
      <c r="A2018" s="10" t="n">
        <v>2</v>
      </c>
      <c r="B2018" s="11" t="n">
        <v>46273</v>
      </c>
      <c r="C2018" s="11" t="n">
        <v>46290</v>
      </c>
      <c r="D2018" s="10" t="n">
        <v>1695</v>
      </c>
      <c r="E2018" s="12" t="s">
        <v>392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1673938</v>
      </c>
      <c r="L2018" s="10" t="n">
        <v>229540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860.5</v>
      </c>
      <c r="W2018" s="13" t="n">
        <v>0</v>
      </c>
      <c r="X2018" s="12" t="s">
        <v>1636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TRIGOLAR C/FERMENTO 1KG</v>
      </c>
      <c r="AC2018" s="1" t="n">
        <v>20278</v>
      </c>
    </row>
    <row r="2019" customFormat="false" ht="45.75" hidden="false" customHeight="true" outlineLevel="0" collapsed="false">
      <c r="A2019" s="10" t="n">
        <v>2</v>
      </c>
      <c r="B2019" s="11" t="n">
        <v>46023</v>
      </c>
      <c r="C2019" s="11" t="n">
        <v>46293</v>
      </c>
      <c r="D2019" s="10" t="n">
        <v>515</v>
      </c>
      <c r="E2019" s="12" t="s">
        <v>157</v>
      </c>
      <c r="F2019" s="10" t="n">
        <v>34</v>
      </c>
      <c r="G2019" s="12" t="s">
        <v>110</v>
      </c>
      <c r="H2019" s="10" t="n">
        <v>2110405</v>
      </c>
      <c r="I2019" s="12" t="s">
        <v>55</v>
      </c>
      <c r="J2019" s="10" t="n">
        <v>1012266</v>
      </c>
      <c r="L2019" s="10" t="n">
        <v>133812</v>
      </c>
      <c r="M2019" s="12" t="s">
        <v>1118</v>
      </c>
      <c r="N2019" s="12" t="s">
        <v>50</v>
      </c>
      <c r="P2019" s="10" t="n">
        <v>101</v>
      </c>
      <c r="Q2019" s="12" t="s">
        <v>56</v>
      </c>
      <c r="R2019" s="12" t="s">
        <v>333</v>
      </c>
      <c r="S2019" s="10" t="n">
        <v>2110901</v>
      </c>
      <c r="T2019" s="12" t="s">
        <v>334</v>
      </c>
      <c r="U2019" s="13" t="n">
        <v>4168.41</v>
      </c>
      <c r="W2019" s="13" t="n">
        <v>0</v>
      </c>
      <c r="X2019" s="12" t="s">
        <v>1693</v>
      </c>
      <c r="Z2019" s="1" t="str">
        <f aca="false">IF($T2019="","",IFERROR(INDEX('Resumo Grupos'!$AC$3:$AC$200,MATCH($T2019,'Resumo Grupos'!$AB$3:$AB$200,0)),"n/d"))</f>
        <v>Empréstimo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46262</v>
      </c>
      <c r="C2020" s="11" t="n">
        <v>46293</v>
      </c>
      <c r="D2020" s="10" t="n">
        <v>1196</v>
      </c>
      <c r="E2020" s="12" t="s">
        <v>1423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1614562</v>
      </c>
      <c r="L2020" s="10" t="n">
        <v>221462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1213.96</v>
      </c>
      <c r="W2020" s="13" t="n">
        <v>0</v>
      </c>
      <c r="X2020" s="12" t="s">
        <v>1645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CAFÉ RANCHEIRO 250G</v>
      </c>
      <c r="AC2020" s="1" t="n">
        <v>13070</v>
      </c>
    </row>
    <row r="2021" customFormat="false" ht="36.75" hidden="false" customHeight="true" outlineLevel="0" collapsed="false">
      <c r="A2021" s="10" t="n">
        <v>2</v>
      </c>
      <c r="B2021" s="11" t="n">
        <v>46265</v>
      </c>
      <c r="C2021" s="11" t="n">
        <v>46293</v>
      </c>
      <c r="D2021" s="10" t="n">
        <v>1637</v>
      </c>
      <c r="E2021" s="12" t="s">
        <v>870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1629204</v>
      </c>
      <c r="L2021" s="10" t="n">
        <v>223450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1348.29</v>
      </c>
      <c r="W2021" s="13" t="n">
        <v>0</v>
      </c>
      <c r="X2021" s="12" t="s">
        <v>1694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LEITE NINHO INTEGRAL380G LT</v>
      </c>
      <c r="AC2021" s="1" t="n">
        <v>1927745</v>
      </c>
    </row>
    <row r="2022" customFormat="false" ht="45.75" hidden="false" customHeight="true" outlineLevel="0" collapsed="false">
      <c r="A2022" s="10" t="n">
        <v>2</v>
      </c>
      <c r="B2022" s="11" t="n">
        <v>46266</v>
      </c>
      <c r="C2022" s="11" t="n">
        <v>46293</v>
      </c>
      <c r="D2022" s="10" t="n">
        <v>794</v>
      </c>
      <c r="E2022" s="12" t="s">
        <v>343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1633937</v>
      </c>
      <c r="L2022" s="10" t="n">
        <v>224236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70</v>
      </c>
      <c r="S2022" s="10" t="n">
        <v>4210299</v>
      </c>
      <c r="T2022" s="12" t="s">
        <v>127</v>
      </c>
      <c r="U2022" s="13" t="n">
        <v>1332.55</v>
      </c>
      <c r="W2022" s="13" t="n">
        <v>0</v>
      </c>
      <c r="X2022" s="12" t="s">
        <v>1646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SACOLA BRC. L. ALIP.</v>
      </c>
      <c r="AC2022" s="1" t="n">
        <v>8802</v>
      </c>
    </row>
    <row r="2023" customFormat="false" ht="36.75" hidden="false" customHeight="true" outlineLevel="0" collapsed="false">
      <c r="A2023" s="10" t="n">
        <v>2</v>
      </c>
      <c r="B2023" s="11" t="n">
        <v>46268</v>
      </c>
      <c r="C2023" s="11" t="n">
        <v>46293</v>
      </c>
      <c r="D2023" s="10" t="n">
        <v>1611</v>
      </c>
      <c r="E2023" s="12" t="s">
        <v>172</v>
      </c>
      <c r="F2023" s="10" t="n">
        <v>24</v>
      </c>
      <c r="G2023" s="12" t="s">
        <v>91</v>
      </c>
      <c r="H2023" s="10" t="n">
        <v>2110101</v>
      </c>
      <c r="I2023" s="12" t="s">
        <v>48</v>
      </c>
      <c r="J2023" s="10" t="n">
        <v>1646259</v>
      </c>
      <c r="L2023" s="10" t="n">
        <v>225906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62</v>
      </c>
      <c r="S2023" s="10" t="n">
        <v>1130101</v>
      </c>
      <c r="T2023" s="12" t="s">
        <v>63</v>
      </c>
      <c r="U2023" s="13" t="n">
        <v>176.57</v>
      </c>
      <c r="W2023" s="13" t="n">
        <v>0</v>
      </c>
      <c r="X2023" s="12" t="s">
        <v>1647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46260</v>
      </c>
      <c r="C2024" s="11" t="n">
        <v>46294</v>
      </c>
      <c r="D2024" s="10" t="n">
        <v>1390</v>
      </c>
      <c r="E2024" s="12" t="s">
        <v>1695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1603783</v>
      </c>
      <c r="L2024" s="10" t="n">
        <v>219644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348.18</v>
      </c>
      <c r="W2024" s="13" t="n">
        <v>0</v>
      </c>
      <c r="X2024" s="12" t="s">
        <v>1696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LOLLIPOP DONUTS SORTIDOS 15G</v>
      </c>
      <c r="AC2024" s="1" t="n">
        <v>7287</v>
      </c>
    </row>
    <row r="2025" customFormat="false" ht="45.75" hidden="false" customHeight="true" outlineLevel="0" collapsed="false">
      <c r="A2025" s="10" t="n">
        <v>2</v>
      </c>
      <c r="B2025" s="11" t="n">
        <v>46260</v>
      </c>
      <c r="C2025" s="11" t="n">
        <v>46294</v>
      </c>
      <c r="D2025" s="10" t="n">
        <v>794</v>
      </c>
      <c r="E2025" s="12" t="s">
        <v>343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1604332</v>
      </c>
      <c r="L2025" s="10" t="n">
        <v>219753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873.06</v>
      </c>
      <c r="W2025" s="13" t="n">
        <v>0</v>
      </c>
      <c r="X2025" s="12" t="s">
        <v>1585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RODO M 30CM CONDOR</v>
      </c>
      <c r="AC2025" s="1" t="n">
        <v>8744</v>
      </c>
    </row>
    <row r="2026" customFormat="false" ht="45.75" hidden="false" customHeight="true" outlineLevel="0" collapsed="false">
      <c r="A2026" s="10" t="n">
        <v>2</v>
      </c>
      <c r="B2026" s="11" t="n">
        <v>46274</v>
      </c>
      <c r="C2026" s="11" t="n">
        <v>46294</v>
      </c>
      <c r="D2026" s="10" t="n">
        <v>1667</v>
      </c>
      <c r="E2026" s="12" t="s">
        <v>96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1676753</v>
      </c>
      <c r="L2026" s="10" t="n">
        <v>229956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587.44</v>
      </c>
      <c r="W2026" s="13" t="n">
        <v>0</v>
      </c>
      <c r="X2026" s="12" t="s">
        <v>1679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AG SANIT QUALYBRIL1L</v>
      </c>
      <c r="AC2026" s="1" t="n">
        <v>399726</v>
      </c>
    </row>
    <row r="2027" customFormat="false" ht="54.75" hidden="false" customHeight="true" outlineLevel="0" collapsed="false">
      <c r="A2027" s="10" t="n">
        <v>2</v>
      </c>
      <c r="B2027" s="11" t="n">
        <v>46274</v>
      </c>
      <c r="C2027" s="11" t="n">
        <v>46294</v>
      </c>
      <c r="D2027" s="10" t="n">
        <v>1671</v>
      </c>
      <c r="E2027" s="12" t="s">
        <v>101</v>
      </c>
      <c r="F2027" s="10" t="n">
        <v>24</v>
      </c>
      <c r="G2027" s="12" t="s">
        <v>91</v>
      </c>
      <c r="H2027" s="10" t="n">
        <v>2110405</v>
      </c>
      <c r="I2027" s="12" t="s">
        <v>55</v>
      </c>
      <c r="J2027" s="10" t="n">
        <v>1678510</v>
      </c>
      <c r="L2027" s="10" t="n">
        <v>230277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575.27</v>
      </c>
      <c r="W2027" s="13" t="n">
        <v>0</v>
      </c>
      <c r="X2027" s="12" t="s">
        <v>1680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ABS NATURALMEN C/A 8</v>
      </c>
      <c r="AC2027" s="1" t="n">
        <v>591052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46295</v>
      </c>
      <c r="D2028" s="10" t="n">
        <v>1150</v>
      </c>
      <c r="E2028" s="12" t="s">
        <v>1697</v>
      </c>
      <c r="F2028" s="10" t="n">
        <v>46</v>
      </c>
      <c r="G2028" s="12" t="s">
        <v>323</v>
      </c>
      <c r="H2028" s="10" t="n">
        <v>2110405</v>
      </c>
      <c r="I2028" s="12" t="s">
        <v>55</v>
      </c>
      <c r="J2028" s="10" t="n">
        <v>1656987</v>
      </c>
      <c r="L2028" s="10" t="n">
        <v>87916</v>
      </c>
      <c r="M2028" s="12" t="s">
        <v>36</v>
      </c>
      <c r="N2028" s="12" t="s">
        <v>50</v>
      </c>
      <c r="P2028" s="10" t="n">
        <v>101</v>
      </c>
      <c r="Q2028" s="12" t="s">
        <v>56</v>
      </c>
      <c r="R2028" s="12" t="s">
        <v>70</v>
      </c>
      <c r="S2028" s="10" t="n">
        <v>4210227</v>
      </c>
      <c r="T2028" s="12" t="s">
        <v>77</v>
      </c>
      <c r="U2028" s="13" t="n">
        <v>241.82</v>
      </c>
      <c r="W2028" s="13" t="n">
        <v>0</v>
      </c>
      <c r="X2028" s="12"/>
      <c r="Z2028" s="1" t="str">
        <f aca="false">IF($T2028="","",IFERROR(INDEX('Resumo Grupos'!$AC$3:$AC$200,MATCH($T2028,'Resumo Grupos'!$AB$3:$AB$200,0)),"n/d"))</f>
        <v>Despesa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45.75" hidden="false" customHeight="true" outlineLevel="0" collapsed="false">
      <c r="A2029" s="10" t="n">
        <v>2</v>
      </c>
      <c r="B2029" s="11" t="n">
        <v>46270</v>
      </c>
      <c r="C2029" s="11" t="n">
        <v>46295</v>
      </c>
      <c r="D2029" s="10" t="n">
        <v>639</v>
      </c>
      <c r="E2029" s="12" t="s">
        <v>501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1141287</v>
      </c>
      <c r="L2029" s="10" t="n">
        <v>151507</v>
      </c>
      <c r="M2029" s="12" t="s">
        <v>76</v>
      </c>
      <c r="N2029" s="12" t="s">
        <v>50</v>
      </c>
      <c r="P2029" s="10" t="n">
        <v>101</v>
      </c>
      <c r="Q2029" s="12" t="s">
        <v>56</v>
      </c>
      <c r="R2029" s="12" t="s">
        <v>70</v>
      </c>
      <c r="S2029" s="10" t="n">
        <v>4210216</v>
      </c>
      <c r="T2029" s="12" t="s">
        <v>502</v>
      </c>
      <c r="U2029" s="13" t="n">
        <v>420</v>
      </c>
      <c r="W2029" s="13" t="n">
        <v>0</v>
      </c>
      <c r="X2029" s="12" t="s">
        <v>992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36.75" hidden="false" customHeight="true" outlineLevel="0" collapsed="false">
      <c r="A2030" s="10" t="n">
        <v>2</v>
      </c>
      <c r="B2030" s="11" t="n">
        <v>46275</v>
      </c>
      <c r="C2030" s="11" t="n">
        <v>46295</v>
      </c>
      <c r="D2030" s="10" t="n">
        <v>1608</v>
      </c>
      <c r="E2030" s="12" t="s">
        <v>224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1681691</v>
      </c>
      <c r="L2030" s="10" t="n">
        <v>230752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684.67</v>
      </c>
      <c r="W2030" s="13" t="n">
        <v>0</v>
      </c>
      <c r="X2030" s="12" t="s">
        <v>1665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PATE ATUM COQ 170G</v>
      </c>
      <c r="AC2030" s="1" t="n">
        <v>1726308</v>
      </c>
    </row>
    <row r="2031" customFormat="false" ht="36.75" hidden="false" customHeight="true" outlineLevel="0" collapsed="false">
      <c r="A2031" s="10" t="n">
        <v>2</v>
      </c>
      <c r="B2031" s="11" t="n">
        <v>46275</v>
      </c>
      <c r="C2031" s="11" t="n">
        <v>46295</v>
      </c>
      <c r="D2031" s="10" t="n">
        <v>33</v>
      </c>
      <c r="E2031" s="12" t="s">
        <v>305</v>
      </c>
      <c r="F2031" s="10" t="n">
        <v>34</v>
      </c>
      <c r="G2031" s="12" t="s">
        <v>110</v>
      </c>
      <c r="H2031" s="10" t="n">
        <v>2110405</v>
      </c>
      <c r="I2031" s="12" t="s">
        <v>55</v>
      </c>
      <c r="J2031" s="10" t="n">
        <v>1682663</v>
      </c>
      <c r="L2031" s="10" t="n">
        <v>230994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781.38</v>
      </c>
      <c r="W2031" s="13" t="n">
        <v>0</v>
      </c>
      <c r="X2031" s="12" t="s">
        <v>423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FAZENDINHA CITR</v>
      </c>
      <c r="AC2031" s="1" t="n">
        <v>5642</v>
      </c>
    </row>
    <row r="2032" customFormat="false" ht="45.75" hidden="false" customHeight="true" outlineLevel="0" collapsed="false">
      <c r="A2032" s="10" t="n">
        <v>2</v>
      </c>
      <c r="B2032" s="11" t="n">
        <v>46055</v>
      </c>
      <c r="C2032" s="11" t="n">
        <v>46296</v>
      </c>
      <c r="D2032" s="10" t="n">
        <v>10039</v>
      </c>
      <c r="E2032" s="12" t="s">
        <v>84</v>
      </c>
      <c r="F2032" s="10" t="n">
        <v>47</v>
      </c>
      <c r="G2032" s="12" t="s">
        <v>47</v>
      </c>
      <c r="H2032" s="10" t="n">
        <v>2110405</v>
      </c>
      <c r="I2032" s="12" t="s">
        <v>55</v>
      </c>
      <c r="J2032" s="10" t="n">
        <v>846832</v>
      </c>
      <c r="L2032" s="10" t="n">
        <v>111506</v>
      </c>
      <c r="M2032" s="12" t="s">
        <v>678</v>
      </c>
      <c r="N2032" s="12" t="s">
        <v>50</v>
      </c>
      <c r="P2032" s="10" t="n">
        <v>113</v>
      </c>
      <c r="Q2032" s="12" t="s">
        <v>38</v>
      </c>
      <c r="R2032" s="12" t="s">
        <v>70</v>
      </c>
      <c r="S2032" s="10" t="n">
        <v>4210227</v>
      </c>
      <c r="T2032" s="12" t="s">
        <v>77</v>
      </c>
      <c r="U2032" s="13" t="n">
        <v>378.82</v>
      </c>
      <c r="W2032" s="13" t="n">
        <v>0</v>
      </c>
      <c r="X2032" s="12" t="s">
        <v>1698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nao encontrado</v>
      </c>
      <c r="AC2032" s="1" t="n">
        <v>258</v>
      </c>
    </row>
    <row r="2033" customFormat="false" ht="36.75" hidden="false" customHeight="true" outlineLevel="0" collapsed="false">
      <c r="A2033" s="10" t="n">
        <v>2</v>
      </c>
      <c r="B2033" s="11" t="n">
        <v>46246</v>
      </c>
      <c r="C2033" s="11" t="n">
        <v>46296</v>
      </c>
      <c r="D2033" s="10" t="n">
        <v>875</v>
      </c>
      <c r="E2033" s="12" t="s">
        <v>87</v>
      </c>
      <c r="F2033" s="10" t="n">
        <v>47</v>
      </c>
      <c r="G2033" s="12" t="s">
        <v>47</v>
      </c>
      <c r="H2033" s="10" t="n">
        <v>2110405</v>
      </c>
      <c r="I2033" s="12" t="s">
        <v>55</v>
      </c>
      <c r="J2033" s="10" t="n">
        <v>1534947</v>
      </c>
      <c r="L2033" s="10" t="n">
        <v>209452</v>
      </c>
      <c r="M2033" s="12" t="s">
        <v>88</v>
      </c>
      <c r="N2033" s="12" t="s">
        <v>50</v>
      </c>
      <c r="P2033" s="10" t="n">
        <v>113</v>
      </c>
      <c r="Q2033" s="12" t="s">
        <v>38</v>
      </c>
      <c r="R2033" s="12" t="s">
        <v>62</v>
      </c>
      <c r="S2033" s="10" t="n">
        <v>1130101</v>
      </c>
      <c r="T2033" s="12" t="s">
        <v>63</v>
      </c>
      <c r="U2033" s="13" t="n">
        <v>638.75</v>
      </c>
      <c r="W2033" s="13" t="n">
        <v>0</v>
      </c>
      <c r="X2033" s="12" t="s">
        <v>1699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FONE DE OUVIDO DO IP</v>
      </c>
      <c r="AC2033" s="1" t="n">
        <v>1898</v>
      </c>
    </row>
    <row r="2034" customFormat="false" ht="36.75" hidden="false" customHeight="true" outlineLevel="0" collapsed="false">
      <c r="A2034" s="10" t="n">
        <v>2</v>
      </c>
      <c r="B2034" s="11" t="n">
        <v>46273</v>
      </c>
      <c r="C2034" s="11" t="n">
        <v>46296</v>
      </c>
      <c r="D2034" s="10" t="n">
        <v>10012</v>
      </c>
      <c r="E2034" s="12" t="s">
        <v>176</v>
      </c>
      <c r="F2034" s="10" t="n">
        <v>24</v>
      </c>
      <c r="G2034" s="12" t="s">
        <v>91</v>
      </c>
      <c r="H2034" s="10" t="n">
        <v>2110405</v>
      </c>
      <c r="I2034" s="12" t="s">
        <v>55</v>
      </c>
      <c r="J2034" s="10" t="n">
        <v>1672890</v>
      </c>
      <c r="L2034" s="10" t="n">
        <v>229363</v>
      </c>
      <c r="M2034" s="12" t="s">
        <v>36</v>
      </c>
      <c r="N2034" s="12" t="s">
        <v>50</v>
      </c>
      <c r="P2034" s="10" t="n">
        <v>113</v>
      </c>
      <c r="Q2034" s="12" t="s">
        <v>38</v>
      </c>
      <c r="R2034" s="12" t="s">
        <v>62</v>
      </c>
      <c r="S2034" s="10" t="n">
        <v>1130101</v>
      </c>
      <c r="T2034" s="12" t="s">
        <v>63</v>
      </c>
      <c r="U2034" s="13" t="n">
        <v>419.38</v>
      </c>
      <c r="W2034" s="13" t="n">
        <v>0</v>
      </c>
      <c r="X2034" s="12" t="s">
        <v>1688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ABS SEMPERLIVRE SUAVE C/ABA -16UN</v>
      </c>
      <c r="AC2034" s="1" t="n">
        <v>1968927</v>
      </c>
    </row>
    <row r="2035" customFormat="false" ht="54.75" hidden="false" customHeight="true" outlineLevel="0" collapsed="false">
      <c r="A2035" s="10" t="n">
        <v>2</v>
      </c>
      <c r="B2035" s="11" t="n">
        <v>46275</v>
      </c>
      <c r="C2035" s="11" t="n">
        <v>46296</v>
      </c>
      <c r="D2035" s="10" t="n">
        <v>1725</v>
      </c>
      <c r="E2035" s="12" t="s">
        <v>1700</v>
      </c>
      <c r="F2035" s="10" t="n">
        <v>47</v>
      </c>
      <c r="G2035" s="12" t="s">
        <v>47</v>
      </c>
      <c r="H2035" s="10" t="n">
        <v>2110405</v>
      </c>
      <c r="I2035" s="12" t="s">
        <v>55</v>
      </c>
      <c r="J2035" s="10" t="n">
        <v>1683458</v>
      </c>
      <c r="L2035" s="10" t="n">
        <v>231094</v>
      </c>
      <c r="M2035" s="12" t="s">
        <v>36</v>
      </c>
      <c r="N2035" s="12" t="s">
        <v>50</v>
      </c>
      <c r="P2035" s="10" t="n">
        <v>113</v>
      </c>
      <c r="Q2035" s="12" t="s">
        <v>38</v>
      </c>
      <c r="R2035" s="12" t="s">
        <v>70</v>
      </c>
      <c r="S2035" s="10" t="n">
        <v>4210227</v>
      </c>
      <c r="T2035" s="12" t="s">
        <v>77</v>
      </c>
      <c r="U2035" s="13" t="n">
        <v>162.5</v>
      </c>
      <c r="W2035" s="13" t="n">
        <v>0</v>
      </c>
      <c r="X2035" s="12" t="s">
        <v>1701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46269</v>
      </c>
      <c r="C2036" s="11" t="n">
        <v>46297</v>
      </c>
      <c r="D2036" s="10" t="n">
        <v>1608</v>
      </c>
      <c r="E2036" s="12" t="s">
        <v>224</v>
      </c>
      <c r="F2036" s="10" t="n">
        <v>24</v>
      </c>
      <c r="G2036" s="12" t="s">
        <v>91</v>
      </c>
      <c r="H2036" s="10" t="n">
        <v>2110405</v>
      </c>
      <c r="I2036" s="12" t="s">
        <v>55</v>
      </c>
      <c r="J2036" s="10" t="n">
        <v>1653008</v>
      </c>
      <c r="L2036" s="10" t="n">
        <v>227092</v>
      </c>
      <c r="M2036" s="12" t="s">
        <v>36</v>
      </c>
      <c r="N2036" s="12" t="s">
        <v>50</v>
      </c>
      <c r="P2036" s="10" t="n">
        <v>113</v>
      </c>
      <c r="Q2036" s="12" t="s">
        <v>38</v>
      </c>
      <c r="R2036" s="12" t="s">
        <v>62</v>
      </c>
      <c r="S2036" s="10" t="n">
        <v>1130101</v>
      </c>
      <c r="T2036" s="12" t="s">
        <v>63</v>
      </c>
      <c r="U2036" s="13" t="n">
        <v>1333.12</v>
      </c>
      <c r="W2036" s="13" t="n">
        <v>0</v>
      </c>
      <c r="X2036" s="12" t="s">
        <v>1672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ACHOC TODDY 200G</v>
      </c>
      <c r="AC2036" s="1" t="n">
        <v>1724435</v>
      </c>
    </row>
    <row r="2037" customFormat="false" ht="63.75" hidden="false" customHeight="true" outlineLevel="0" collapsed="false">
      <c r="A2037" s="10" t="n">
        <v>2</v>
      </c>
      <c r="B2037" s="11" t="n">
        <v>46238</v>
      </c>
      <c r="C2037" s="11" t="n">
        <v>46299</v>
      </c>
      <c r="D2037" s="10" t="n">
        <v>862</v>
      </c>
      <c r="E2037" s="12" t="s">
        <v>322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1498421</v>
      </c>
      <c r="L2037" s="10" t="n">
        <v>202608</v>
      </c>
      <c r="M2037" s="12" t="s">
        <v>76</v>
      </c>
      <c r="N2037" s="12" t="s">
        <v>50</v>
      </c>
      <c r="P2037" s="10" t="n">
        <v>101</v>
      </c>
      <c r="Q2037" s="12" t="s">
        <v>56</v>
      </c>
      <c r="R2037" s="12" t="s">
        <v>70</v>
      </c>
      <c r="S2037" s="10" t="n">
        <v>4210233</v>
      </c>
      <c r="T2037" s="12" t="s">
        <v>203</v>
      </c>
      <c r="U2037" s="13" t="n">
        <v>270.9</v>
      </c>
      <c r="W2037" s="13" t="n">
        <v>0</v>
      </c>
      <c r="X2037" s="12"/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46244</v>
      </c>
      <c r="C2038" s="11" t="n">
        <v>46300</v>
      </c>
      <c r="D2038" s="10" t="n">
        <v>33</v>
      </c>
      <c r="E2038" s="12" t="s">
        <v>305</v>
      </c>
      <c r="F2038" s="10" t="n">
        <v>34</v>
      </c>
      <c r="G2038" s="12" t="s">
        <v>110</v>
      </c>
      <c r="H2038" s="10" t="n">
        <v>2110405</v>
      </c>
      <c r="I2038" s="12" t="s">
        <v>55</v>
      </c>
      <c r="J2038" s="10" t="n">
        <v>1530158</v>
      </c>
      <c r="L2038" s="10" t="n">
        <v>208205</v>
      </c>
      <c r="M2038" s="12" t="s">
        <v>88</v>
      </c>
      <c r="N2038" s="12" t="s">
        <v>50</v>
      </c>
      <c r="P2038" s="10" t="n">
        <v>101</v>
      </c>
      <c r="Q2038" s="12" t="s">
        <v>56</v>
      </c>
      <c r="R2038" s="12" t="s">
        <v>39</v>
      </c>
      <c r="S2038" s="10" t="n">
        <v>4210301</v>
      </c>
      <c r="T2038" s="12" t="s">
        <v>253</v>
      </c>
      <c r="U2038" s="13" t="n">
        <v>250.1</v>
      </c>
      <c r="W2038" s="13" t="n">
        <v>0</v>
      </c>
      <c r="X2038" s="12" t="s">
        <v>1579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46266</v>
      </c>
      <c r="C2039" s="11" t="n">
        <v>46300</v>
      </c>
      <c r="D2039" s="10" t="n">
        <v>794</v>
      </c>
      <c r="E2039" s="12" t="s">
        <v>343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1633939</v>
      </c>
      <c r="L2039" s="10" t="n">
        <v>224238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70</v>
      </c>
      <c r="S2039" s="10" t="n">
        <v>4210299</v>
      </c>
      <c r="T2039" s="12" t="s">
        <v>127</v>
      </c>
      <c r="U2039" s="13" t="n">
        <v>1332.55</v>
      </c>
      <c r="W2039" s="13" t="n">
        <v>0</v>
      </c>
      <c r="X2039" s="12" t="s">
        <v>1646</v>
      </c>
      <c r="Z2039" s="1" t="str">
        <f aca="false">IF($T2039="","",IFERROR(INDEX('Resumo Grupos'!$AC$3:$AC$200,MATCH($T2039,'Resumo Grupos'!$AB$3:$AB$200,0)),"n/d"))</f>
        <v>Despesa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SACOLA BRC. L. ALIP.</v>
      </c>
      <c r="AC2039" s="1" t="n">
        <v>8802</v>
      </c>
    </row>
    <row r="2040" customFormat="false" ht="36.75" hidden="false" customHeight="true" outlineLevel="0" collapsed="false">
      <c r="A2040" s="10" t="n">
        <v>2</v>
      </c>
      <c r="B2040" s="11" t="n">
        <v>46275</v>
      </c>
      <c r="C2040" s="11" t="n">
        <v>46300</v>
      </c>
      <c r="D2040" s="10" t="n">
        <v>1637</v>
      </c>
      <c r="E2040" s="12" t="s">
        <v>870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1681939</v>
      </c>
      <c r="L2040" s="10" t="n">
        <v>230799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476.24</v>
      </c>
      <c r="W2040" s="13" t="n">
        <v>0</v>
      </c>
      <c r="X2040" s="12" t="s">
        <v>1702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DAFRUTA GOIABA 1L PT</v>
      </c>
      <c r="AC2040" s="1" t="n">
        <v>1930761</v>
      </c>
    </row>
    <row r="2041" customFormat="false" ht="54.75" hidden="false" customHeight="true" outlineLevel="0" collapsed="false">
      <c r="A2041" s="10" t="n">
        <v>2</v>
      </c>
      <c r="B2041" s="11" t="n">
        <v>46274</v>
      </c>
      <c r="C2041" s="11" t="n">
        <v>46301</v>
      </c>
      <c r="D2041" s="10" t="n">
        <v>1671</v>
      </c>
      <c r="E2041" s="12" t="s">
        <v>101</v>
      </c>
      <c r="F2041" s="10" t="n">
        <v>24</v>
      </c>
      <c r="G2041" s="12" t="s">
        <v>91</v>
      </c>
      <c r="H2041" s="10" t="n">
        <v>2110405</v>
      </c>
      <c r="I2041" s="12" t="s">
        <v>55</v>
      </c>
      <c r="J2041" s="10" t="n">
        <v>1678538</v>
      </c>
      <c r="L2041" s="10" t="n">
        <v>230287</v>
      </c>
      <c r="M2041" s="12" t="s">
        <v>36</v>
      </c>
      <c r="N2041" s="12" t="s">
        <v>50</v>
      </c>
      <c r="P2041" s="10" t="n">
        <v>113</v>
      </c>
      <c r="Q2041" s="12" t="s">
        <v>38</v>
      </c>
      <c r="R2041" s="12" t="s">
        <v>62</v>
      </c>
      <c r="S2041" s="10" t="n">
        <v>1130101</v>
      </c>
      <c r="T2041" s="12" t="s">
        <v>63</v>
      </c>
      <c r="U2041" s="13" t="n">
        <v>575.27</v>
      </c>
      <c r="W2041" s="13" t="n">
        <v>0</v>
      </c>
      <c r="X2041" s="12" t="s">
        <v>1680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NATURALMEN C/A 8</v>
      </c>
      <c r="AC2041" s="1" t="n">
        <v>591052</v>
      </c>
    </row>
    <row r="2042" customFormat="false" ht="36.75" hidden="false" customHeight="true" outlineLevel="0" collapsed="false">
      <c r="A2042" s="10" t="n">
        <v>2</v>
      </c>
      <c r="B2042" s="11" t="n">
        <v>46232</v>
      </c>
      <c r="C2042" s="11" t="n">
        <v>46302</v>
      </c>
      <c r="D2042" s="10" t="n">
        <v>1932</v>
      </c>
      <c r="E2042" s="12" t="s">
        <v>282</v>
      </c>
      <c r="F2042" s="10" t="n">
        <v>34</v>
      </c>
      <c r="G2042" s="12" t="s">
        <v>110</v>
      </c>
      <c r="H2042" s="10" t="n">
        <v>2110405</v>
      </c>
      <c r="I2042" s="12" t="s">
        <v>55</v>
      </c>
      <c r="J2042" s="10" t="n">
        <v>1469462</v>
      </c>
      <c r="L2042" s="10" t="n">
        <v>199057</v>
      </c>
      <c r="M2042" s="12" t="s">
        <v>76</v>
      </c>
      <c r="N2042" s="12" t="s">
        <v>50</v>
      </c>
      <c r="P2042" s="10" t="n">
        <v>101</v>
      </c>
      <c r="Q2042" s="12" t="s">
        <v>56</v>
      </c>
      <c r="R2042" s="12" t="s">
        <v>39</v>
      </c>
      <c r="S2042" s="10" t="n">
        <v>4210315</v>
      </c>
      <c r="T2042" s="12" t="s">
        <v>283</v>
      </c>
      <c r="U2042" s="13" t="n">
        <v>119.97</v>
      </c>
      <c r="W2042" s="13" t="n">
        <v>0</v>
      </c>
      <c r="X2042" s="12" t="s">
        <v>1203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46275</v>
      </c>
      <c r="C2043" s="11" t="n">
        <v>46302</v>
      </c>
      <c r="D2043" s="10" t="n">
        <v>1608</v>
      </c>
      <c r="E2043" s="12" t="s">
        <v>224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1681694</v>
      </c>
      <c r="L2043" s="10" t="n">
        <v>230754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684.67</v>
      </c>
      <c r="W2043" s="13" t="n">
        <v>0</v>
      </c>
      <c r="X2043" s="12" t="s">
        <v>1665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PATE ATUM COQ 170G</v>
      </c>
      <c r="AC2043" s="1" t="n">
        <v>1726308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46303</v>
      </c>
      <c r="D2044" s="10" t="n">
        <v>10012</v>
      </c>
      <c r="E2044" s="12" t="s">
        <v>176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1672894</v>
      </c>
      <c r="L2044" s="10" t="n">
        <v>229365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62</v>
      </c>
      <c r="S2044" s="10" t="n">
        <v>1130101</v>
      </c>
      <c r="T2044" s="12" t="s">
        <v>63</v>
      </c>
      <c r="U2044" s="13" t="n">
        <v>419.5</v>
      </c>
      <c r="W2044" s="13" t="n">
        <v>0</v>
      </c>
      <c r="X2044" s="12" t="s">
        <v>1688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ABS SEMPERLIVRE SUAVE C/ABA -16UN</v>
      </c>
      <c r="AC2044" s="1" t="n">
        <v>1968927</v>
      </c>
    </row>
    <row r="2045" customFormat="false" ht="54.75" hidden="false" customHeight="true" outlineLevel="0" collapsed="false">
      <c r="A2045" s="10" t="n">
        <v>2</v>
      </c>
      <c r="B2045" s="11" t="n">
        <v>46211</v>
      </c>
      <c r="C2045" s="11" t="n">
        <v>46305</v>
      </c>
      <c r="D2045" s="10" t="n">
        <v>33</v>
      </c>
      <c r="E2045" s="12" t="s">
        <v>305</v>
      </c>
      <c r="F2045" s="10" t="n">
        <v>34</v>
      </c>
      <c r="G2045" s="12" t="s">
        <v>110</v>
      </c>
      <c r="H2045" s="10" t="n">
        <v>2110405</v>
      </c>
      <c r="I2045" s="12" t="s">
        <v>55</v>
      </c>
      <c r="J2045" s="10" t="n">
        <v>1370733</v>
      </c>
      <c r="L2045" s="10" t="n">
        <v>184338</v>
      </c>
      <c r="M2045" s="12" t="s">
        <v>76</v>
      </c>
      <c r="N2045" s="12" t="s">
        <v>50</v>
      </c>
      <c r="P2045" s="10" t="n">
        <v>101</v>
      </c>
      <c r="Q2045" s="12" t="s">
        <v>56</v>
      </c>
      <c r="R2045" s="12" t="s">
        <v>70</v>
      </c>
      <c r="S2045" s="10" t="n">
        <v>4210222</v>
      </c>
      <c r="T2045" s="12" t="s">
        <v>1220</v>
      </c>
      <c r="U2045" s="13" t="n">
        <v>666.67</v>
      </c>
      <c r="W2045" s="13" t="n">
        <v>0</v>
      </c>
      <c r="X2045" s="12" t="s">
        <v>1221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46242</v>
      </c>
      <c r="C2046" s="11" t="n">
        <v>46305</v>
      </c>
      <c r="D2046" s="10" t="n">
        <v>1100</v>
      </c>
      <c r="E2046" s="12" t="s">
        <v>328</v>
      </c>
      <c r="F2046" s="10" t="n">
        <v>46</v>
      </c>
      <c r="G2046" s="12" t="s">
        <v>323</v>
      </c>
      <c r="H2046" s="10" t="n">
        <v>2110405</v>
      </c>
      <c r="I2046" s="12" t="s">
        <v>55</v>
      </c>
      <c r="J2046" s="10" t="n">
        <v>1427624</v>
      </c>
      <c r="L2046" s="10" t="n">
        <v>190916</v>
      </c>
      <c r="M2046" s="12" t="s">
        <v>76</v>
      </c>
      <c r="N2046" s="12" t="s">
        <v>50</v>
      </c>
      <c r="P2046" s="10" t="n">
        <v>101</v>
      </c>
      <c r="Q2046" s="12" t="s">
        <v>56</v>
      </c>
      <c r="R2046" s="12" t="s">
        <v>70</v>
      </c>
      <c r="S2046" s="10" t="n">
        <v>4210227</v>
      </c>
      <c r="T2046" s="12" t="s">
        <v>77</v>
      </c>
      <c r="U2046" s="13" t="n">
        <v>266.68</v>
      </c>
      <c r="W2046" s="13" t="n">
        <v>0</v>
      </c>
      <c r="X2046" s="12" t="s">
        <v>1703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MEMORIA HIKSEMI HIKER 8GB DDR4 3200 - HS</v>
      </c>
      <c r="AC2046" s="1" t="n">
        <v>9481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46305</v>
      </c>
      <c r="D2047" s="10" t="n">
        <v>1835</v>
      </c>
      <c r="E2047" s="12" t="s">
        <v>1697</v>
      </c>
      <c r="F2047" s="10" t="n">
        <v>46</v>
      </c>
      <c r="G2047" s="12" t="s">
        <v>323</v>
      </c>
      <c r="H2047" s="10" t="n">
        <v>2110405</v>
      </c>
      <c r="I2047" s="12" t="s">
        <v>55</v>
      </c>
      <c r="J2047" s="10" t="n">
        <v>1605275</v>
      </c>
      <c r="L2047" s="10" t="n">
        <v>219925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70</v>
      </c>
      <c r="S2047" s="10" t="n">
        <v>4210227</v>
      </c>
      <c r="T2047" s="12" t="s">
        <v>77</v>
      </c>
      <c r="U2047" s="13" t="n">
        <v>176.82</v>
      </c>
      <c r="W2047" s="13" t="n">
        <v>0</v>
      </c>
      <c r="X2047" s="12" t="s">
        <v>1704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TINTA ESMALTE FOSCO CITY 3L PRETO UN QTD</v>
      </c>
      <c r="AC2047" s="1" t="n">
        <v>110228</v>
      </c>
    </row>
    <row r="2048" customFormat="false" ht="63.75" hidden="false" customHeight="true" outlineLevel="0" collapsed="false">
      <c r="A2048" s="10" t="n">
        <v>2</v>
      </c>
      <c r="B2048" s="11" t="n">
        <v>46261</v>
      </c>
      <c r="C2048" s="11" t="n">
        <v>46305</v>
      </c>
      <c r="D2048" s="10" t="n">
        <v>1134</v>
      </c>
      <c r="E2048" s="12" t="s">
        <v>1705</v>
      </c>
      <c r="F2048" s="10" t="n">
        <v>46</v>
      </c>
      <c r="G2048" s="12" t="s">
        <v>323</v>
      </c>
      <c r="H2048" s="10" t="n">
        <v>2110405</v>
      </c>
      <c r="I2048" s="12" t="s">
        <v>55</v>
      </c>
      <c r="J2048" s="10" t="n">
        <v>1608652</v>
      </c>
      <c r="L2048" s="10" t="n">
        <v>220390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70</v>
      </c>
      <c r="S2048" s="10" t="n">
        <v>4210227</v>
      </c>
      <c r="T2048" s="12" t="s">
        <v>77</v>
      </c>
      <c r="U2048" s="13" t="n">
        <v>100</v>
      </c>
      <c r="W2048" s="13" t="n">
        <v>0</v>
      </c>
      <c r="X2048" s="12" t="s">
        <v>1706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46305</v>
      </c>
      <c r="D2049" s="10" t="n">
        <v>10106</v>
      </c>
      <c r="E2049" s="12" t="s">
        <v>1619</v>
      </c>
      <c r="F2049" s="10" t="n">
        <v>46</v>
      </c>
      <c r="G2049" s="12" t="s">
        <v>323</v>
      </c>
      <c r="H2049" s="10" t="n">
        <v>2110405</v>
      </c>
      <c r="I2049" s="12" t="s">
        <v>55</v>
      </c>
      <c r="J2049" s="10" t="n">
        <v>1585437</v>
      </c>
      <c r="L2049" s="10" t="n">
        <v>216905</v>
      </c>
      <c r="M2049" s="12" t="s">
        <v>88</v>
      </c>
      <c r="N2049" s="12" t="s">
        <v>50</v>
      </c>
      <c r="P2049" s="10" t="n">
        <v>101</v>
      </c>
      <c r="Q2049" s="12" t="s">
        <v>56</v>
      </c>
      <c r="R2049" s="12" t="s">
        <v>70</v>
      </c>
      <c r="S2049" s="10" t="n">
        <v>4210229</v>
      </c>
      <c r="T2049" s="12" t="s">
        <v>1090</v>
      </c>
      <c r="U2049" s="13" t="n">
        <v>101.9</v>
      </c>
      <c r="W2049" s="13" t="n">
        <v>0</v>
      </c>
      <c r="X2049" s="12" t="s">
        <v>1620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45.75" hidden="false" customHeight="true" outlineLevel="0" collapsed="false">
      <c r="A2050" s="10" t="n">
        <v>2</v>
      </c>
      <c r="B2050" s="11" t="n">
        <v>46275</v>
      </c>
      <c r="C2050" s="11" t="n">
        <v>46305</v>
      </c>
      <c r="D2050" s="10" t="n">
        <v>1747</v>
      </c>
      <c r="E2050" s="12" t="s">
        <v>1707</v>
      </c>
      <c r="F2050" s="10" t="n">
        <v>46</v>
      </c>
      <c r="G2050" s="12" t="s">
        <v>323</v>
      </c>
      <c r="H2050" s="10" t="n">
        <v>2110405</v>
      </c>
      <c r="I2050" s="12" t="s">
        <v>55</v>
      </c>
      <c r="J2050" s="10" t="n">
        <v>1683464</v>
      </c>
      <c r="L2050" s="10" t="n">
        <v>231103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70</v>
      </c>
      <c r="S2050" s="10" t="n">
        <v>4210227</v>
      </c>
      <c r="T2050" s="12" t="s">
        <v>77</v>
      </c>
      <c r="U2050" s="13" t="n">
        <v>141.85</v>
      </c>
      <c r="W2050" s="13" t="n">
        <v>0</v>
      </c>
      <c r="X2050" s="12" t="s">
        <v>1708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46275</v>
      </c>
      <c r="C2051" s="11" t="n">
        <v>46305</v>
      </c>
      <c r="D2051" s="10" t="n">
        <v>1747</v>
      </c>
      <c r="E2051" s="12" t="s">
        <v>1707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1683676</v>
      </c>
      <c r="L2051" s="10" t="n">
        <v>231136</v>
      </c>
      <c r="M2051" s="12" t="s">
        <v>36</v>
      </c>
      <c r="N2051" s="12" t="s">
        <v>50</v>
      </c>
      <c r="P2051" s="10" t="n">
        <v>113</v>
      </c>
      <c r="Q2051" s="12" t="s">
        <v>38</v>
      </c>
      <c r="R2051" s="12" t="s">
        <v>70</v>
      </c>
      <c r="S2051" s="10" t="n">
        <v>4210227</v>
      </c>
      <c r="T2051" s="12" t="s">
        <v>77</v>
      </c>
      <c r="U2051" s="13" t="n">
        <v>161.75</v>
      </c>
      <c r="W2051" s="13" t="n">
        <v>0</v>
      </c>
      <c r="X2051" s="12" t="s">
        <v>1709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GLASURITI ESM. FOSCO</v>
      </c>
      <c r="AC2051" s="1" t="n">
        <v>1544516</v>
      </c>
    </row>
    <row r="2052" customFormat="false" ht="45.75" hidden="false" customHeight="true" outlineLevel="0" collapsed="false">
      <c r="A2052" s="10" t="n">
        <v>2</v>
      </c>
      <c r="B2052" s="11" t="n">
        <v>46254</v>
      </c>
      <c r="C2052" s="11" t="n">
        <v>46308</v>
      </c>
      <c r="D2052" s="10" t="n">
        <v>33</v>
      </c>
      <c r="E2052" s="12" t="s">
        <v>305</v>
      </c>
      <c r="F2052" s="10" t="n">
        <v>34</v>
      </c>
      <c r="G2052" s="12" t="s">
        <v>110</v>
      </c>
      <c r="H2052" s="10" t="n">
        <v>2110405</v>
      </c>
      <c r="I2052" s="12" t="s">
        <v>55</v>
      </c>
      <c r="J2052" s="10" t="n">
        <v>1577428</v>
      </c>
      <c r="L2052" s="10" t="n">
        <v>215659</v>
      </c>
      <c r="M2052" s="12" t="s">
        <v>36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4210222</v>
      </c>
      <c r="T2052" s="12" t="s">
        <v>1220</v>
      </c>
      <c r="U2052" s="13" t="n">
        <v>522.5</v>
      </c>
      <c r="W2052" s="13" t="n">
        <v>0</v>
      </c>
      <c r="X2052" s="12" t="s">
        <v>1710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46097</v>
      </c>
      <c r="C2053" s="11" t="n">
        <v>46310</v>
      </c>
      <c r="D2053" s="10" t="n">
        <v>1867</v>
      </c>
      <c r="E2053" s="12" t="s">
        <v>406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808550</v>
      </c>
      <c r="L2053" s="10" t="n">
        <v>2026</v>
      </c>
      <c r="M2053" s="12" t="s">
        <v>678</v>
      </c>
      <c r="N2053" s="12" t="s">
        <v>50</v>
      </c>
      <c r="P2053" s="10" t="n">
        <v>101</v>
      </c>
      <c r="Q2053" s="12" t="s">
        <v>56</v>
      </c>
      <c r="R2053" s="12" t="s">
        <v>407</v>
      </c>
      <c r="S2053" s="10" t="n">
        <v>4210401</v>
      </c>
      <c r="T2053" s="12" t="s">
        <v>408</v>
      </c>
      <c r="U2053" s="13" t="n">
        <v>228.88</v>
      </c>
      <c r="W2053" s="13" t="n">
        <v>0</v>
      </c>
      <c r="X2053" s="12" t="s">
        <v>1711</v>
      </c>
      <c r="Z2053" s="1" t="str">
        <f aca="false">IF($T2053="","",IFERROR(INDEX('Resumo Grupos'!$AC$3:$AC$200,MATCH($T2053,'Resumo Grupos'!$AB$3:$AB$200,0)),"n/d"))</f>
        <v>Impostos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46127</v>
      </c>
      <c r="C2054" s="11" t="n">
        <v>46310</v>
      </c>
      <c r="D2054" s="10" t="n">
        <v>512</v>
      </c>
      <c r="E2054" s="12" t="s">
        <v>410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954215</v>
      </c>
      <c r="L2054" s="10" t="n">
        <v>126220</v>
      </c>
      <c r="M2054" s="12" t="s">
        <v>49</v>
      </c>
      <c r="N2054" s="12" t="s">
        <v>50</v>
      </c>
      <c r="P2054" s="10" t="n">
        <v>101</v>
      </c>
      <c r="Q2054" s="12" t="s">
        <v>56</v>
      </c>
      <c r="R2054" s="12" t="s">
        <v>411</v>
      </c>
      <c r="S2054" s="10" t="n">
        <v>4210111</v>
      </c>
      <c r="T2054" s="12" t="s">
        <v>412</v>
      </c>
      <c r="U2054" s="13" t="n">
        <v>5700</v>
      </c>
      <c r="W2054" s="13" t="n">
        <v>0</v>
      </c>
      <c r="X2054" s="12" t="s">
        <v>413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46206</v>
      </c>
      <c r="C2055" s="11" t="n">
        <v>46313</v>
      </c>
      <c r="D2055" s="10" t="n">
        <v>33</v>
      </c>
      <c r="E2055" s="12" t="s">
        <v>305</v>
      </c>
      <c r="F2055" s="10" t="n">
        <v>34</v>
      </c>
      <c r="G2055" s="12" t="s">
        <v>110</v>
      </c>
      <c r="H2055" s="10" t="n">
        <v>2110405</v>
      </c>
      <c r="I2055" s="12" t="s">
        <v>55</v>
      </c>
      <c r="J2055" s="10" t="n">
        <v>1345312</v>
      </c>
      <c r="L2055" s="10" t="n">
        <v>180690</v>
      </c>
      <c r="M2055" s="12" t="s">
        <v>85</v>
      </c>
      <c r="N2055" s="12" t="s">
        <v>50</v>
      </c>
      <c r="P2055" s="10" t="n">
        <v>101</v>
      </c>
      <c r="Q2055" s="12" t="s">
        <v>56</v>
      </c>
      <c r="R2055" s="12" t="s">
        <v>70</v>
      </c>
      <c r="S2055" s="10" t="n">
        <v>4210203</v>
      </c>
      <c r="T2055" s="12" t="s">
        <v>750</v>
      </c>
      <c r="U2055" s="13" t="n">
        <v>247.27</v>
      </c>
      <c r="W2055" s="13" t="n">
        <v>0</v>
      </c>
      <c r="X2055" s="12" t="s">
        <v>935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46275</v>
      </c>
      <c r="C2056" s="11" t="n">
        <v>46315</v>
      </c>
      <c r="D2056" s="10" t="n">
        <v>10028</v>
      </c>
      <c r="E2056" s="12" t="s">
        <v>495</v>
      </c>
      <c r="F2056" s="10" t="n">
        <v>24</v>
      </c>
      <c r="G2056" s="12" t="s">
        <v>91</v>
      </c>
      <c r="H2056" s="10" t="n">
        <v>2110405</v>
      </c>
      <c r="I2056" s="12" t="s">
        <v>55</v>
      </c>
      <c r="J2056" s="10" t="n">
        <v>1370757</v>
      </c>
      <c r="L2056" s="10" t="n">
        <v>184341</v>
      </c>
      <c r="M2056" s="12" t="s">
        <v>85</v>
      </c>
      <c r="N2056" s="12" t="s">
        <v>50</v>
      </c>
      <c r="P2056" s="10" t="n">
        <v>101</v>
      </c>
      <c r="Q2056" s="12" t="s">
        <v>56</v>
      </c>
      <c r="R2056" s="12" t="s">
        <v>39</v>
      </c>
      <c r="S2056" s="10" t="n">
        <v>4210315</v>
      </c>
      <c r="T2056" s="12" t="s">
        <v>283</v>
      </c>
      <c r="U2056" s="13" t="n">
        <v>595.9</v>
      </c>
      <c r="W2056" s="13" t="n">
        <v>0</v>
      </c>
      <c r="X2056" s="12" t="s">
        <v>496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46274</v>
      </c>
      <c r="C2057" s="11" t="n">
        <v>46318</v>
      </c>
      <c r="D2057" s="10" t="n">
        <v>1789</v>
      </c>
      <c r="E2057" s="12" t="s">
        <v>549</v>
      </c>
      <c r="F2057" s="10" t="n">
        <v>24</v>
      </c>
      <c r="G2057" s="12" t="s">
        <v>91</v>
      </c>
      <c r="H2057" s="10" t="n">
        <v>2110405</v>
      </c>
      <c r="I2057" s="12" t="s">
        <v>55</v>
      </c>
      <c r="J2057" s="10" t="n">
        <v>1677749</v>
      </c>
      <c r="L2057" s="10" t="n">
        <v>230157</v>
      </c>
      <c r="M2057" s="12" t="s">
        <v>36</v>
      </c>
      <c r="N2057" s="12" t="s">
        <v>50</v>
      </c>
      <c r="P2057" s="10" t="n">
        <v>113</v>
      </c>
      <c r="Q2057" s="12" t="s">
        <v>38</v>
      </c>
      <c r="R2057" s="12" t="s">
        <v>411</v>
      </c>
      <c r="S2057" s="10" t="n">
        <v>4210112</v>
      </c>
      <c r="T2057" s="12" t="s">
        <v>550</v>
      </c>
      <c r="U2057" s="13" t="n">
        <v>10413.34</v>
      </c>
      <c r="W2057" s="13" t="n">
        <v>0</v>
      </c>
      <c r="X2057" s="12" t="s">
        <v>1712</v>
      </c>
      <c r="Z2057" s="1" t="str">
        <f aca="false">IF($T2057="","",IFERROR(INDEX('Resumo Grupos'!$AC$3:$AC$200,MATCH($T2057,'Resumo Grupos'!$AB$3:$AB$200,0)),"n/d"))</f>
        <v>Despesa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46013</v>
      </c>
      <c r="C2058" s="11" t="n">
        <v>46320</v>
      </c>
      <c r="D2058" s="10" t="n">
        <v>17</v>
      </c>
      <c r="E2058" s="12" t="s">
        <v>490</v>
      </c>
      <c r="F2058" s="10" t="n">
        <v>48</v>
      </c>
      <c r="G2058" s="12" t="s">
        <v>569</v>
      </c>
      <c r="H2058" s="10" t="n">
        <v>2110405</v>
      </c>
      <c r="I2058" s="12" t="s">
        <v>55</v>
      </c>
      <c r="J2058" s="10" t="n">
        <v>660421</v>
      </c>
      <c r="L2058" s="10" t="n">
        <v>86128</v>
      </c>
      <c r="M2058" s="12" t="s">
        <v>1481</v>
      </c>
      <c r="N2058" s="12" t="s">
        <v>50</v>
      </c>
      <c r="P2058" s="10" t="n">
        <v>101</v>
      </c>
      <c r="Q2058" s="12" t="s">
        <v>56</v>
      </c>
      <c r="R2058" s="12" t="s">
        <v>57</v>
      </c>
      <c r="S2058" s="10" t="n">
        <v>4220199</v>
      </c>
      <c r="T2058" s="12" t="s">
        <v>58</v>
      </c>
      <c r="U2058" s="13" t="n">
        <v>362.14</v>
      </c>
      <c r="W2058" s="13" t="n">
        <v>0</v>
      </c>
      <c r="X2058" s="12" t="s">
        <v>571</v>
      </c>
      <c r="Z2058" s="1" t="str">
        <f aca="false">IF($T2058="","",IFERROR(INDEX('Resumo Grupos'!$AC$3:$AC$200,MATCH($T2058,'Resumo Grupos'!$AB$3:$AB$200,0)),"n/d"))</f>
        <v>Pagamentos outros não operacionais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46029</v>
      </c>
      <c r="C2059" s="11" t="n">
        <v>46320</v>
      </c>
      <c r="D2059" s="10" t="n">
        <v>17</v>
      </c>
      <c r="E2059" s="12" t="s">
        <v>490</v>
      </c>
      <c r="F2059" s="10" t="n">
        <v>48</v>
      </c>
      <c r="G2059" s="12" t="s">
        <v>569</v>
      </c>
      <c r="H2059" s="10" t="n">
        <v>2110405</v>
      </c>
      <c r="I2059" s="12" t="s">
        <v>55</v>
      </c>
      <c r="J2059" s="10" t="n">
        <v>660305</v>
      </c>
      <c r="L2059" s="10" t="n">
        <v>86116</v>
      </c>
      <c r="M2059" s="12" t="s">
        <v>1481</v>
      </c>
      <c r="N2059" s="12" t="s">
        <v>50</v>
      </c>
      <c r="P2059" s="10" t="n">
        <v>101</v>
      </c>
      <c r="Q2059" s="12" t="s">
        <v>56</v>
      </c>
      <c r="R2059" s="12" t="s">
        <v>57</v>
      </c>
      <c r="S2059" s="10" t="n">
        <v>4220199</v>
      </c>
      <c r="T2059" s="12" t="s">
        <v>58</v>
      </c>
      <c r="U2059" s="13" t="n">
        <v>84.03</v>
      </c>
      <c r="W2059" s="13" t="n">
        <v>0</v>
      </c>
      <c r="X2059" s="12" t="s">
        <v>570</v>
      </c>
      <c r="Z2059" s="1" t="str">
        <f aca="false">IF($T2059="","",IFERROR(INDEX('Resumo Grupos'!$AC$3:$AC$200,MATCH($T2059,'Resumo Grupos'!$AB$3:$AB$200,0)),"n/d"))</f>
        <v>Pagamentos outros não operacionais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46256</v>
      </c>
      <c r="C2060" s="11" t="n">
        <v>46320</v>
      </c>
      <c r="D2060" s="10" t="n">
        <v>1782</v>
      </c>
      <c r="E2060" s="12" t="s">
        <v>1691</v>
      </c>
      <c r="F2060" s="10" t="n">
        <v>48</v>
      </c>
      <c r="G2060" s="12" t="s">
        <v>569</v>
      </c>
      <c r="H2060" s="10" t="n">
        <v>2110405</v>
      </c>
      <c r="I2060" s="12" t="s">
        <v>55</v>
      </c>
      <c r="J2060" s="10" t="n">
        <v>1595448</v>
      </c>
      <c r="L2060" s="10" t="n">
        <v>2208</v>
      </c>
      <c r="M2060" s="12" t="s">
        <v>88</v>
      </c>
      <c r="N2060" s="12" t="s">
        <v>50</v>
      </c>
      <c r="P2060" s="10" t="n">
        <v>101</v>
      </c>
      <c r="Q2060" s="12" t="s">
        <v>56</v>
      </c>
      <c r="R2060" s="12" t="s">
        <v>70</v>
      </c>
      <c r="S2060" s="10" t="n">
        <v>4210232</v>
      </c>
      <c r="T2060" s="12" t="s">
        <v>324</v>
      </c>
      <c r="U2060" s="13" t="n">
        <v>79.9</v>
      </c>
      <c r="W2060" s="13" t="n">
        <v>0</v>
      </c>
      <c r="X2060" s="12" t="s">
        <v>1713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46023</v>
      </c>
      <c r="C2061" s="11" t="n">
        <v>46321</v>
      </c>
      <c r="D2061" s="10" t="n">
        <v>515</v>
      </c>
      <c r="E2061" s="12" t="s">
        <v>157</v>
      </c>
      <c r="F2061" s="10" t="n">
        <v>34</v>
      </c>
      <c r="G2061" s="12" t="s">
        <v>110</v>
      </c>
      <c r="H2061" s="10" t="n">
        <v>2110405</v>
      </c>
      <c r="I2061" s="12" t="s">
        <v>55</v>
      </c>
      <c r="J2061" s="10" t="n">
        <v>1012266</v>
      </c>
      <c r="L2061" s="10" t="n">
        <v>133812</v>
      </c>
      <c r="M2061" s="12" t="s">
        <v>1481</v>
      </c>
      <c r="N2061" s="12" t="s">
        <v>50</v>
      </c>
      <c r="P2061" s="10" t="n">
        <v>101</v>
      </c>
      <c r="Q2061" s="12" t="s">
        <v>56</v>
      </c>
      <c r="R2061" s="12" t="s">
        <v>333</v>
      </c>
      <c r="S2061" s="10" t="n">
        <v>2110901</v>
      </c>
      <c r="T2061" s="12" t="s">
        <v>334</v>
      </c>
      <c r="U2061" s="13" t="n">
        <v>4168.41</v>
      </c>
      <c r="W2061" s="13" t="n">
        <v>0</v>
      </c>
      <c r="X2061" s="12" t="s">
        <v>1714</v>
      </c>
      <c r="Z2061" s="1" t="str">
        <f aca="false">IF($T2061="","",IFERROR(INDEX('Resumo Grupos'!$AC$3:$AC$200,MATCH($T2061,'Resumo Grupos'!$AB$3:$AB$200,0)),"n/d"))</f>
        <v>Empréstimo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46325</v>
      </c>
      <c r="D2062" s="10" t="n">
        <v>1150</v>
      </c>
      <c r="E2062" s="12" t="s">
        <v>1697</v>
      </c>
      <c r="F2062" s="10" t="n">
        <v>46</v>
      </c>
      <c r="G2062" s="12" t="s">
        <v>323</v>
      </c>
      <c r="H2062" s="10" t="n">
        <v>2110405</v>
      </c>
      <c r="I2062" s="12" t="s">
        <v>55</v>
      </c>
      <c r="J2062" s="10" t="n">
        <v>1656987</v>
      </c>
      <c r="L2062" s="10" t="n">
        <v>87916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70</v>
      </c>
      <c r="S2062" s="10" t="n">
        <v>4210227</v>
      </c>
      <c r="T2062" s="12" t="s">
        <v>77</v>
      </c>
      <c r="U2062" s="13" t="n">
        <v>241.82</v>
      </c>
      <c r="W2062" s="13" t="n">
        <v>0</v>
      </c>
      <c r="X2062" s="12"/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46055</v>
      </c>
      <c r="C2063" s="11" t="n">
        <v>46327</v>
      </c>
      <c r="D2063" s="10" t="n">
        <v>10039</v>
      </c>
      <c r="E2063" s="12" t="s">
        <v>84</v>
      </c>
      <c r="F2063" s="10" t="n">
        <v>47</v>
      </c>
      <c r="G2063" s="12" t="s">
        <v>47</v>
      </c>
      <c r="H2063" s="10" t="n">
        <v>2110405</v>
      </c>
      <c r="I2063" s="12" t="s">
        <v>55</v>
      </c>
      <c r="J2063" s="10" t="n">
        <v>846832</v>
      </c>
      <c r="L2063" s="10" t="n">
        <v>111506</v>
      </c>
      <c r="M2063" s="12" t="s">
        <v>1118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4210227</v>
      </c>
      <c r="T2063" s="12" t="s">
        <v>77</v>
      </c>
      <c r="U2063" s="13" t="n">
        <v>378.82</v>
      </c>
      <c r="W2063" s="13" t="n">
        <v>0</v>
      </c>
      <c r="X2063" s="12" t="s">
        <v>1715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nao encontrado</v>
      </c>
      <c r="AC2063" s="1" t="n">
        <v>258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46327</v>
      </c>
      <c r="D2064" s="10" t="n">
        <v>1725</v>
      </c>
      <c r="E2064" s="12" t="s">
        <v>1700</v>
      </c>
      <c r="F2064" s="10" t="n">
        <v>47</v>
      </c>
      <c r="G2064" s="12" t="s">
        <v>47</v>
      </c>
      <c r="H2064" s="10" t="n">
        <v>2110405</v>
      </c>
      <c r="I2064" s="12" t="s">
        <v>55</v>
      </c>
      <c r="J2064" s="10" t="n">
        <v>1683458</v>
      </c>
      <c r="L2064" s="10" t="n">
        <v>231094</v>
      </c>
      <c r="M2064" s="12" t="s">
        <v>88</v>
      </c>
      <c r="N2064" s="12" t="s">
        <v>50</v>
      </c>
      <c r="P2064" s="10" t="n">
        <v>113</v>
      </c>
      <c r="Q2064" s="12" t="s">
        <v>38</v>
      </c>
      <c r="R2064" s="12" t="s">
        <v>70</v>
      </c>
      <c r="S2064" s="10" t="n">
        <v>4210227</v>
      </c>
      <c r="T2064" s="12" t="s">
        <v>77</v>
      </c>
      <c r="U2064" s="13" t="n">
        <v>162.5</v>
      </c>
      <c r="W2064" s="13" t="n">
        <v>0</v>
      </c>
      <c r="X2064" s="12" t="s">
        <v>1716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36.75" hidden="false" customHeight="true" outlineLevel="0" collapsed="false">
      <c r="A2065" s="10" t="n">
        <v>2</v>
      </c>
      <c r="B2065" s="11" t="n">
        <v>46244</v>
      </c>
      <c r="C2065" s="11" t="n">
        <v>46331</v>
      </c>
      <c r="D2065" s="10" t="n">
        <v>33</v>
      </c>
      <c r="E2065" s="12" t="s">
        <v>305</v>
      </c>
      <c r="F2065" s="10" t="n">
        <v>34</v>
      </c>
      <c r="G2065" s="12" t="s">
        <v>110</v>
      </c>
      <c r="H2065" s="10" t="n">
        <v>2110405</v>
      </c>
      <c r="I2065" s="12" t="s">
        <v>55</v>
      </c>
      <c r="J2065" s="10" t="n">
        <v>1530158</v>
      </c>
      <c r="L2065" s="10" t="n">
        <v>208205</v>
      </c>
      <c r="M2065" s="12" t="s">
        <v>76</v>
      </c>
      <c r="N2065" s="12" t="s">
        <v>50</v>
      </c>
      <c r="P2065" s="10" t="n">
        <v>101</v>
      </c>
      <c r="Q2065" s="12" t="s">
        <v>56</v>
      </c>
      <c r="R2065" s="12" t="s">
        <v>39</v>
      </c>
      <c r="S2065" s="10" t="n">
        <v>4210301</v>
      </c>
      <c r="T2065" s="12" t="s">
        <v>253</v>
      </c>
      <c r="U2065" s="13" t="n">
        <v>250.1</v>
      </c>
      <c r="W2065" s="13" t="n">
        <v>0</v>
      </c>
      <c r="X2065" s="12" t="s">
        <v>1579</v>
      </c>
      <c r="Z2065" s="1" t="str">
        <f aca="false">IF($T2065="","",IFERROR(INDEX('Resumo Grupos'!$AC$3:$AC$200,MATCH($T2065,'Resumo Grupos'!$AB$3:$AB$200,0)),"n/d"))</f>
        <v>Salários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54.75" hidden="false" customHeight="true" outlineLevel="0" collapsed="false">
      <c r="A2066" s="10" t="n">
        <v>2</v>
      </c>
      <c r="B2066" s="11" t="n">
        <v>46211</v>
      </c>
      <c r="C2066" s="11" t="n">
        <v>46336</v>
      </c>
      <c r="D2066" s="10" t="n">
        <v>33</v>
      </c>
      <c r="E2066" s="12" t="s">
        <v>305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1370733</v>
      </c>
      <c r="L2066" s="10" t="n">
        <v>184338</v>
      </c>
      <c r="M2066" s="12" t="s">
        <v>85</v>
      </c>
      <c r="N2066" s="12" t="s">
        <v>50</v>
      </c>
      <c r="P2066" s="10" t="n">
        <v>101</v>
      </c>
      <c r="Q2066" s="12" t="s">
        <v>56</v>
      </c>
      <c r="R2066" s="12" t="s">
        <v>70</v>
      </c>
      <c r="S2066" s="10" t="n">
        <v>4210222</v>
      </c>
      <c r="T2066" s="12" t="s">
        <v>1220</v>
      </c>
      <c r="U2066" s="13" t="n">
        <v>666.67</v>
      </c>
      <c r="W2066" s="13" t="n">
        <v>0</v>
      </c>
      <c r="X2066" s="12" t="s">
        <v>1221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46260</v>
      </c>
      <c r="C2067" s="11" t="n">
        <v>46336</v>
      </c>
      <c r="D2067" s="10" t="n">
        <v>1835</v>
      </c>
      <c r="E2067" s="12" t="s">
        <v>1697</v>
      </c>
      <c r="F2067" s="10" t="n">
        <v>46</v>
      </c>
      <c r="G2067" s="12" t="s">
        <v>323</v>
      </c>
      <c r="H2067" s="10" t="n">
        <v>2110405</v>
      </c>
      <c r="I2067" s="12" t="s">
        <v>55</v>
      </c>
      <c r="J2067" s="10" t="n">
        <v>1605275</v>
      </c>
      <c r="L2067" s="10" t="n">
        <v>219925</v>
      </c>
      <c r="M2067" s="12" t="s">
        <v>88</v>
      </c>
      <c r="N2067" s="12" t="s">
        <v>50</v>
      </c>
      <c r="P2067" s="10" t="n">
        <v>113</v>
      </c>
      <c r="Q2067" s="12" t="s">
        <v>38</v>
      </c>
      <c r="R2067" s="12" t="s">
        <v>70</v>
      </c>
      <c r="S2067" s="10" t="n">
        <v>4210227</v>
      </c>
      <c r="T2067" s="12" t="s">
        <v>77</v>
      </c>
      <c r="U2067" s="13" t="n">
        <v>176.81</v>
      </c>
      <c r="W2067" s="13" t="n">
        <v>0</v>
      </c>
      <c r="X2067" s="12" t="s">
        <v>1717</v>
      </c>
      <c r="Z2067" s="1" t="str">
        <f aca="false">IF($T2067="","",IFERROR(INDEX('Resumo Grupos'!$AC$3:$AC$200,MATCH($T2067,'Resumo Grupos'!$AB$3:$AB$200,0)),"n/d"))</f>
        <v>Despesa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TINTA ESMALTE FOSCO CITY 3L PRETO UN QTD</v>
      </c>
      <c r="AC2067" s="1" t="n">
        <v>110228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46336</v>
      </c>
      <c r="D2068" s="10" t="n">
        <v>1747</v>
      </c>
      <c r="E2068" s="12" t="s">
        <v>1707</v>
      </c>
      <c r="F2068" s="10" t="n">
        <v>46</v>
      </c>
      <c r="G2068" s="12" t="s">
        <v>323</v>
      </c>
      <c r="H2068" s="10" t="n">
        <v>2110405</v>
      </c>
      <c r="I2068" s="12" t="s">
        <v>55</v>
      </c>
      <c r="J2068" s="10" t="n">
        <v>1683676</v>
      </c>
      <c r="L2068" s="10" t="n">
        <v>231136</v>
      </c>
      <c r="M2068" s="12" t="s">
        <v>88</v>
      </c>
      <c r="N2068" s="12" t="s">
        <v>50</v>
      </c>
      <c r="P2068" s="10" t="n">
        <v>113</v>
      </c>
      <c r="Q2068" s="12" t="s">
        <v>38</v>
      </c>
      <c r="R2068" s="12" t="s">
        <v>70</v>
      </c>
      <c r="S2068" s="10" t="n">
        <v>4210227</v>
      </c>
      <c r="T2068" s="12" t="s">
        <v>77</v>
      </c>
      <c r="U2068" s="13" t="n">
        <v>161.75</v>
      </c>
      <c r="W2068" s="13" t="n">
        <v>0</v>
      </c>
      <c r="X2068" s="12" t="s">
        <v>1718</v>
      </c>
      <c r="Z2068" s="1" t="str">
        <f aca="false">IF($T2068="","",IFERROR(INDEX('Resumo Grupos'!$AC$3:$AC$200,MATCH($T2068,'Resumo Grupos'!$AB$3:$AB$200,0)),"n/d"))</f>
        <v>Despesa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GLASURITI ESM. FOSCO</v>
      </c>
      <c r="AC2068" s="1" t="n">
        <v>1544516</v>
      </c>
    </row>
    <row r="2069" customFormat="false" ht="45.75" hidden="false" customHeight="true" outlineLevel="0" collapsed="false">
      <c r="A2069" s="10" t="n">
        <v>2</v>
      </c>
      <c r="B2069" s="11" t="n">
        <v>46097</v>
      </c>
      <c r="C2069" s="11" t="n">
        <v>46341</v>
      </c>
      <c r="D2069" s="10" t="n">
        <v>1867</v>
      </c>
      <c r="E2069" s="12" t="s">
        <v>406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808550</v>
      </c>
      <c r="L2069" s="10" t="n">
        <v>2026</v>
      </c>
      <c r="M2069" s="12" t="s">
        <v>1118</v>
      </c>
      <c r="N2069" s="12" t="s">
        <v>50</v>
      </c>
      <c r="P2069" s="10" t="n">
        <v>101</v>
      </c>
      <c r="Q2069" s="12" t="s">
        <v>56</v>
      </c>
      <c r="R2069" s="12" t="s">
        <v>407</v>
      </c>
      <c r="S2069" s="10" t="n">
        <v>4210401</v>
      </c>
      <c r="T2069" s="12" t="s">
        <v>408</v>
      </c>
      <c r="U2069" s="13" t="n">
        <v>228.88</v>
      </c>
      <c r="W2069" s="13" t="n">
        <v>0</v>
      </c>
      <c r="X2069" s="12" t="s">
        <v>1719</v>
      </c>
      <c r="Z2069" s="1" t="str">
        <f aca="false">IF($T2069="","",IFERROR(INDEX('Resumo Grupos'!$AC$3:$AC$200,MATCH($T2069,'Resumo Grupos'!$AB$3:$AB$200,0)),"n/d"))</f>
        <v>Impostos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27.75" hidden="false" customHeight="true" outlineLevel="0" collapsed="false">
      <c r="A2070" s="10" t="n">
        <v>2</v>
      </c>
      <c r="B2070" s="11" t="n">
        <v>46127</v>
      </c>
      <c r="C2070" s="11" t="n">
        <v>46341</v>
      </c>
      <c r="D2070" s="10" t="n">
        <v>512</v>
      </c>
      <c r="E2070" s="12" t="s">
        <v>410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954215</v>
      </c>
      <c r="L2070" s="10" t="n">
        <v>126220</v>
      </c>
      <c r="M2070" s="12" t="s">
        <v>678</v>
      </c>
      <c r="N2070" s="12" t="s">
        <v>50</v>
      </c>
      <c r="P2070" s="10" t="n">
        <v>101</v>
      </c>
      <c r="Q2070" s="12" t="s">
        <v>56</v>
      </c>
      <c r="R2070" s="12" t="s">
        <v>411</v>
      </c>
      <c r="S2070" s="10" t="n">
        <v>4210111</v>
      </c>
      <c r="T2070" s="12" t="s">
        <v>412</v>
      </c>
      <c r="U2070" s="13" t="n">
        <v>5700</v>
      </c>
      <c r="W2070" s="13" t="n">
        <v>0</v>
      </c>
      <c r="X2070" s="12" t="s">
        <v>413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46206</v>
      </c>
      <c r="C2071" s="11" t="n">
        <v>46344</v>
      </c>
      <c r="D2071" s="10" t="n">
        <v>33</v>
      </c>
      <c r="E2071" s="12" t="s">
        <v>305</v>
      </c>
      <c r="F2071" s="10" t="n">
        <v>34</v>
      </c>
      <c r="G2071" s="12" t="s">
        <v>110</v>
      </c>
      <c r="H2071" s="10" t="n">
        <v>2110405</v>
      </c>
      <c r="I2071" s="12" t="s">
        <v>55</v>
      </c>
      <c r="J2071" s="10" t="n">
        <v>1345312</v>
      </c>
      <c r="L2071" s="10" t="n">
        <v>180690</v>
      </c>
      <c r="M2071" s="12" t="s">
        <v>67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4210203</v>
      </c>
      <c r="T2071" s="12" t="s">
        <v>750</v>
      </c>
      <c r="U2071" s="13" t="n">
        <v>247.27</v>
      </c>
      <c r="W2071" s="13" t="n">
        <v>0</v>
      </c>
      <c r="X2071" s="12" t="s">
        <v>935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54.75" hidden="false" customHeight="true" outlineLevel="0" collapsed="false">
      <c r="A2072" s="10" t="n">
        <v>2</v>
      </c>
      <c r="B2072" s="11" t="n">
        <v>46256</v>
      </c>
      <c r="C2072" s="11" t="n">
        <v>46351</v>
      </c>
      <c r="D2072" s="10" t="n">
        <v>1782</v>
      </c>
      <c r="E2072" s="12" t="s">
        <v>1691</v>
      </c>
      <c r="F2072" s="10" t="n">
        <v>48</v>
      </c>
      <c r="G2072" s="12" t="s">
        <v>569</v>
      </c>
      <c r="H2072" s="10" t="n">
        <v>2110405</v>
      </c>
      <c r="I2072" s="12" t="s">
        <v>55</v>
      </c>
      <c r="J2072" s="10" t="n">
        <v>1595448</v>
      </c>
      <c r="L2072" s="10" t="n">
        <v>2208</v>
      </c>
      <c r="M2072" s="12" t="s">
        <v>76</v>
      </c>
      <c r="N2072" s="12" t="s">
        <v>50</v>
      </c>
      <c r="P2072" s="10" t="n">
        <v>101</v>
      </c>
      <c r="Q2072" s="12" t="s">
        <v>56</v>
      </c>
      <c r="R2072" s="12" t="s">
        <v>70</v>
      </c>
      <c r="S2072" s="10" t="n">
        <v>4210232</v>
      </c>
      <c r="T2072" s="12" t="s">
        <v>324</v>
      </c>
      <c r="U2072" s="13" t="n">
        <v>79.9</v>
      </c>
      <c r="W2072" s="13" t="n">
        <v>0</v>
      </c>
      <c r="X2072" s="12" t="s">
        <v>1720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45.75" hidden="false" customHeight="true" outlineLevel="0" collapsed="false">
      <c r="A2073" s="10" t="n">
        <v>2</v>
      </c>
      <c r="B2073" s="11" t="n">
        <v>46023</v>
      </c>
      <c r="C2073" s="11" t="n">
        <v>46352</v>
      </c>
      <c r="D2073" s="10" t="n">
        <v>515</v>
      </c>
      <c r="E2073" s="12" t="s">
        <v>157</v>
      </c>
      <c r="F2073" s="10" t="n">
        <v>34</v>
      </c>
      <c r="G2073" s="12" t="s">
        <v>110</v>
      </c>
      <c r="H2073" s="10" t="n">
        <v>2110405</v>
      </c>
      <c r="I2073" s="12" t="s">
        <v>55</v>
      </c>
      <c r="J2073" s="10" t="n">
        <v>1012266</v>
      </c>
      <c r="L2073" s="10" t="n">
        <v>133812</v>
      </c>
      <c r="M2073" s="12" t="s">
        <v>1721</v>
      </c>
      <c r="N2073" s="12" t="s">
        <v>50</v>
      </c>
      <c r="P2073" s="10" t="n">
        <v>101</v>
      </c>
      <c r="Q2073" s="12" t="s">
        <v>56</v>
      </c>
      <c r="R2073" s="12" t="s">
        <v>333</v>
      </c>
      <c r="S2073" s="10" t="n">
        <v>2110901</v>
      </c>
      <c r="T2073" s="12" t="s">
        <v>334</v>
      </c>
      <c r="U2073" s="13" t="n">
        <v>4168.41</v>
      </c>
      <c r="W2073" s="13" t="n">
        <v>0</v>
      </c>
      <c r="X2073" s="12" t="s">
        <v>1722</v>
      </c>
      <c r="Z2073" s="1" t="str">
        <f aca="false">IF($T2073="","",IFERROR(INDEX('Resumo Grupos'!$AC$3:$AC$200,MATCH($T2073,'Resumo Grupos'!$AB$3:$AB$200,0)),"n/d"))</f>
        <v>Empréstimo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46265</v>
      </c>
      <c r="C2074" s="11" t="n">
        <v>46355</v>
      </c>
      <c r="D2074" s="10" t="n">
        <v>1150</v>
      </c>
      <c r="E2074" s="12" t="s">
        <v>1697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1656987</v>
      </c>
      <c r="L2074" s="10" t="n">
        <v>87916</v>
      </c>
      <c r="M2074" s="12" t="s">
        <v>76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4210227</v>
      </c>
      <c r="T2074" s="12" t="s">
        <v>77</v>
      </c>
      <c r="U2074" s="13" t="n">
        <v>241.83</v>
      </c>
      <c r="W2074" s="13" t="n">
        <v>0</v>
      </c>
      <c r="X2074" s="12"/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46055</v>
      </c>
      <c r="C2075" s="11" t="n">
        <v>46357</v>
      </c>
      <c r="D2075" s="10" t="n">
        <v>10039</v>
      </c>
      <c r="E2075" s="12" t="s">
        <v>84</v>
      </c>
      <c r="F2075" s="10" t="n">
        <v>47</v>
      </c>
      <c r="G2075" s="12" t="s">
        <v>47</v>
      </c>
      <c r="H2075" s="10" t="n">
        <v>2110405</v>
      </c>
      <c r="I2075" s="12" t="s">
        <v>55</v>
      </c>
      <c r="J2075" s="10" t="n">
        <v>846832</v>
      </c>
      <c r="L2075" s="10" t="n">
        <v>111506</v>
      </c>
      <c r="M2075" s="12" t="s">
        <v>1481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378.82</v>
      </c>
      <c r="W2075" s="13" t="n">
        <v>0</v>
      </c>
      <c r="X2075" s="12" t="s">
        <v>1723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nao encontrado</v>
      </c>
      <c r="AC2075" s="1" t="n">
        <v>258</v>
      </c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46357</v>
      </c>
      <c r="D2076" s="10" t="n">
        <v>1725</v>
      </c>
      <c r="E2076" s="12" t="s">
        <v>1700</v>
      </c>
      <c r="F2076" s="10" t="n">
        <v>47</v>
      </c>
      <c r="G2076" s="12" t="s">
        <v>47</v>
      </c>
      <c r="H2076" s="10" t="n">
        <v>2110405</v>
      </c>
      <c r="I2076" s="12" t="s">
        <v>55</v>
      </c>
      <c r="J2076" s="10" t="n">
        <v>1683458</v>
      </c>
      <c r="L2076" s="10" t="n">
        <v>231094</v>
      </c>
      <c r="M2076" s="12" t="s">
        <v>76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162.5</v>
      </c>
      <c r="W2076" s="13" t="n">
        <v>0</v>
      </c>
      <c r="X2076" s="12" t="s">
        <v>1724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46244</v>
      </c>
      <c r="C2077" s="11" t="n">
        <v>46361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1530158</v>
      </c>
      <c r="L2077" s="10" t="n">
        <v>208205</v>
      </c>
      <c r="M2077" s="12" t="s">
        <v>85</v>
      </c>
      <c r="N2077" s="12" t="s">
        <v>50</v>
      </c>
      <c r="P2077" s="10" t="n">
        <v>101</v>
      </c>
      <c r="Q2077" s="12" t="s">
        <v>56</v>
      </c>
      <c r="R2077" s="12" t="s">
        <v>39</v>
      </c>
      <c r="S2077" s="10" t="n">
        <v>4210301</v>
      </c>
      <c r="T2077" s="12" t="s">
        <v>253</v>
      </c>
      <c r="U2077" s="13" t="n">
        <v>250.1</v>
      </c>
      <c r="W2077" s="13" t="n">
        <v>0</v>
      </c>
      <c r="X2077" s="12" t="s">
        <v>1579</v>
      </c>
      <c r="Z2077" s="1" t="str">
        <f aca="false">IF($T2077="","",IFERROR(INDEX('Resumo Grupos'!$AC$3:$AC$200,MATCH($T2077,'Resumo Grupos'!$AB$3:$AB$200,0)),"n/d"))</f>
        <v>Salários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46211</v>
      </c>
      <c r="C2078" s="11" t="n">
        <v>46366</v>
      </c>
      <c r="D2078" s="10" t="n">
        <v>33</v>
      </c>
      <c r="E2078" s="12" t="s">
        <v>305</v>
      </c>
      <c r="F2078" s="10" t="n">
        <v>34</v>
      </c>
      <c r="G2078" s="12" t="s">
        <v>110</v>
      </c>
      <c r="H2078" s="10" t="n">
        <v>2110405</v>
      </c>
      <c r="I2078" s="12" t="s">
        <v>55</v>
      </c>
      <c r="J2078" s="10" t="n">
        <v>1370733</v>
      </c>
      <c r="L2078" s="10" t="n">
        <v>184338</v>
      </c>
      <c r="M2078" s="12" t="s">
        <v>67</v>
      </c>
      <c r="N2078" s="12" t="s">
        <v>50</v>
      </c>
      <c r="P2078" s="10" t="n">
        <v>101</v>
      </c>
      <c r="Q2078" s="12" t="s">
        <v>56</v>
      </c>
      <c r="R2078" s="12" t="s">
        <v>70</v>
      </c>
      <c r="S2078" s="10" t="n">
        <v>4210222</v>
      </c>
      <c r="T2078" s="12" t="s">
        <v>1220</v>
      </c>
      <c r="U2078" s="13" t="n">
        <v>666.67</v>
      </c>
      <c r="W2078" s="13" t="n">
        <v>0</v>
      </c>
      <c r="X2078" s="12" t="s">
        <v>1221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46275</v>
      </c>
      <c r="C2079" s="11" t="n">
        <v>46366</v>
      </c>
      <c r="D2079" s="10" t="n">
        <v>1747</v>
      </c>
      <c r="E2079" s="12" t="s">
        <v>1707</v>
      </c>
      <c r="F2079" s="10" t="n">
        <v>46</v>
      </c>
      <c r="G2079" s="12" t="s">
        <v>323</v>
      </c>
      <c r="H2079" s="10" t="n">
        <v>2110405</v>
      </c>
      <c r="I2079" s="12" t="s">
        <v>55</v>
      </c>
      <c r="J2079" s="10" t="n">
        <v>1683676</v>
      </c>
      <c r="L2079" s="10" t="n">
        <v>231136</v>
      </c>
      <c r="M2079" s="12" t="s">
        <v>76</v>
      </c>
      <c r="N2079" s="12" t="s">
        <v>50</v>
      </c>
      <c r="P2079" s="10" t="n">
        <v>113</v>
      </c>
      <c r="Q2079" s="12" t="s">
        <v>38</v>
      </c>
      <c r="R2079" s="12" t="s">
        <v>70</v>
      </c>
      <c r="S2079" s="10" t="n">
        <v>4210227</v>
      </c>
      <c r="T2079" s="12" t="s">
        <v>77</v>
      </c>
      <c r="U2079" s="13" t="n">
        <v>161.74</v>
      </c>
      <c r="W2079" s="13" t="n">
        <v>0</v>
      </c>
      <c r="X2079" s="12" t="s">
        <v>1725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GLASURITI ESM. FOSCO</v>
      </c>
      <c r="AC2079" s="1" t="n">
        <v>1544516</v>
      </c>
    </row>
    <row r="2080" customFormat="false" ht="45.75" hidden="false" customHeight="true" outlineLevel="0" collapsed="false">
      <c r="A2080" s="10" t="n">
        <v>2</v>
      </c>
      <c r="B2080" s="11" t="n">
        <v>46097</v>
      </c>
      <c r="C2080" s="11" t="n">
        <v>46371</v>
      </c>
      <c r="D2080" s="10" t="n">
        <v>1867</v>
      </c>
      <c r="E2080" s="12" t="s">
        <v>406</v>
      </c>
      <c r="F2080" s="10" t="n">
        <v>24</v>
      </c>
      <c r="G2080" s="12" t="s">
        <v>91</v>
      </c>
      <c r="H2080" s="10" t="n">
        <v>2110405</v>
      </c>
      <c r="I2080" s="12" t="s">
        <v>55</v>
      </c>
      <c r="J2080" s="10" t="n">
        <v>808550</v>
      </c>
      <c r="L2080" s="10" t="n">
        <v>2026</v>
      </c>
      <c r="M2080" s="12" t="s">
        <v>1481</v>
      </c>
      <c r="N2080" s="12" t="s">
        <v>50</v>
      </c>
      <c r="P2080" s="10" t="n">
        <v>101</v>
      </c>
      <c r="Q2080" s="12" t="s">
        <v>56</v>
      </c>
      <c r="R2080" s="12" t="s">
        <v>407</v>
      </c>
      <c r="S2080" s="10" t="n">
        <v>4210401</v>
      </c>
      <c r="T2080" s="12" t="s">
        <v>408</v>
      </c>
      <c r="U2080" s="13" t="n">
        <v>228.88</v>
      </c>
      <c r="W2080" s="13" t="n">
        <v>0</v>
      </c>
      <c r="X2080" s="12" t="s">
        <v>1726</v>
      </c>
      <c r="Z2080" s="1" t="str">
        <f aca="false">IF($T2080="","",IFERROR(INDEX('Resumo Grupos'!$AC$3:$AC$200,MATCH($T2080,'Resumo Grupos'!$AB$3:$AB$200,0)),"n/d"))</f>
        <v>Impostos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46127</v>
      </c>
      <c r="C2081" s="11" t="n">
        <v>46371</v>
      </c>
      <c r="D2081" s="10" t="n">
        <v>512</v>
      </c>
      <c r="E2081" s="12" t="s">
        <v>410</v>
      </c>
      <c r="F2081" s="10" t="n">
        <v>34</v>
      </c>
      <c r="G2081" s="12" t="s">
        <v>110</v>
      </c>
      <c r="H2081" s="10" t="n">
        <v>2110405</v>
      </c>
      <c r="I2081" s="12" t="s">
        <v>55</v>
      </c>
      <c r="J2081" s="10" t="n">
        <v>954215</v>
      </c>
      <c r="L2081" s="10" t="n">
        <v>126220</v>
      </c>
      <c r="M2081" s="12" t="s">
        <v>1118</v>
      </c>
      <c r="N2081" s="12" t="s">
        <v>50</v>
      </c>
      <c r="P2081" s="10" t="n">
        <v>101</v>
      </c>
      <c r="Q2081" s="12" t="s">
        <v>56</v>
      </c>
      <c r="R2081" s="12" t="s">
        <v>411</v>
      </c>
      <c r="S2081" s="10" t="n">
        <v>4210111</v>
      </c>
      <c r="T2081" s="12" t="s">
        <v>412</v>
      </c>
      <c r="U2081" s="13" t="n">
        <v>5700</v>
      </c>
      <c r="W2081" s="13" t="n">
        <v>0</v>
      </c>
      <c r="X2081" s="12" t="s">
        <v>413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46206</v>
      </c>
      <c r="C2082" s="11" t="n">
        <v>46374</v>
      </c>
      <c r="D2082" s="10" t="n">
        <v>33</v>
      </c>
      <c r="E2082" s="12" t="s">
        <v>305</v>
      </c>
      <c r="F2082" s="10" t="n">
        <v>34</v>
      </c>
      <c r="G2082" s="12" t="s">
        <v>110</v>
      </c>
      <c r="H2082" s="10" t="n">
        <v>2110405</v>
      </c>
      <c r="I2082" s="12" t="s">
        <v>55</v>
      </c>
      <c r="J2082" s="10" t="n">
        <v>1345312</v>
      </c>
      <c r="L2082" s="10" t="n">
        <v>180690</v>
      </c>
      <c r="M2082" s="12" t="s">
        <v>61</v>
      </c>
      <c r="N2082" s="12" t="s">
        <v>50</v>
      </c>
      <c r="P2082" s="10" t="n">
        <v>101</v>
      </c>
      <c r="Q2082" s="12" t="s">
        <v>56</v>
      </c>
      <c r="R2082" s="12" t="s">
        <v>70</v>
      </c>
      <c r="S2082" s="10" t="n">
        <v>4210203</v>
      </c>
      <c r="T2082" s="12" t="s">
        <v>750</v>
      </c>
      <c r="U2082" s="13" t="n">
        <v>247.27</v>
      </c>
      <c r="W2082" s="13" t="n">
        <v>0</v>
      </c>
      <c r="X2082" s="12" t="s">
        <v>935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46011</v>
      </c>
      <c r="C2083" s="11" t="n">
        <v>46376</v>
      </c>
      <c r="D2083" s="10" t="n">
        <v>10028</v>
      </c>
      <c r="E2083" s="12" t="s">
        <v>495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375619</v>
      </c>
      <c r="L2083" s="10" t="n">
        <v>664</v>
      </c>
      <c r="M2083" s="12" t="s">
        <v>88</v>
      </c>
      <c r="N2083" s="12" t="s">
        <v>50</v>
      </c>
      <c r="P2083" s="10" t="n">
        <v>101</v>
      </c>
      <c r="Q2083" s="12" t="s">
        <v>56</v>
      </c>
      <c r="R2083" s="12" t="s">
        <v>39</v>
      </c>
      <c r="S2083" s="10" t="n">
        <v>4210315</v>
      </c>
      <c r="T2083" s="12" t="s">
        <v>283</v>
      </c>
      <c r="U2083" s="13" t="n">
        <v>595.9</v>
      </c>
      <c r="W2083" s="13" t="n">
        <v>0</v>
      </c>
      <c r="X2083" s="12" t="s">
        <v>1727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46256</v>
      </c>
      <c r="C2084" s="11" t="n">
        <v>46381</v>
      </c>
      <c r="D2084" s="10" t="n">
        <v>1782</v>
      </c>
      <c r="E2084" s="12" t="s">
        <v>1691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1595448</v>
      </c>
      <c r="L2084" s="10" t="n">
        <v>2208</v>
      </c>
      <c r="M2084" s="12" t="s">
        <v>85</v>
      </c>
      <c r="N2084" s="12" t="s">
        <v>50</v>
      </c>
      <c r="P2084" s="10" t="n">
        <v>101</v>
      </c>
      <c r="Q2084" s="12" t="s">
        <v>56</v>
      </c>
      <c r="R2084" s="12" t="s">
        <v>70</v>
      </c>
      <c r="S2084" s="10" t="n">
        <v>4210232</v>
      </c>
      <c r="T2084" s="12" t="s">
        <v>324</v>
      </c>
      <c r="U2084" s="13" t="n">
        <v>79.9</v>
      </c>
      <c r="W2084" s="13" t="n">
        <v>0</v>
      </c>
      <c r="X2084" s="12" t="s">
        <v>1728</v>
      </c>
      <c r="Z2084" s="1" t="str">
        <f aca="false">IF($T2084="","",IFERROR(INDEX('Resumo Grupos'!$AC$3:$AC$200,MATCH($T2084,'Resumo Grupos'!$AB$3:$AB$200,0)),"n/d"))</f>
        <v>Despesa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46023</v>
      </c>
      <c r="C2085" s="11" t="n">
        <v>46383</v>
      </c>
      <c r="D2085" s="10" t="n">
        <v>515</v>
      </c>
      <c r="E2085" s="12" t="s">
        <v>157</v>
      </c>
      <c r="F2085" s="10" t="n">
        <v>34</v>
      </c>
      <c r="G2085" s="12" t="s">
        <v>110</v>
      </c>
      <c r="H2085" s="10" t="n">
        <v>2110405</v>
      </c>
      <c r="I2085" s="12" t="s">
        <v>55</v>
      </c>
      <c r="J2085" s="10" t="n">
        <v>1012266</v>
      </c>
      <c r="L2085" s="10" t="n">
        <v>133812</v>
      </c>
      <c r="M2085" s="12" t="s">
        <v>1729</v>
      </c>
      <c r="N2085" s="12" t="s">
        <v>50</v>
      </c>
      <c r="P2085" s="10" t="n">
        <v>101</v>
      </c>
      <c r="Q2085" s="12" t="s">
        <v>56</v>
      </c>
      <c r="R2085" s="12" t="s">
        <v>333</v>
      </c>
      <c r="S2085" s="10" t="n">
        <v>2110901</v>
      </c>
      <c r="T2085" s="12" t="s">
        <v>334</v>
      </c>
      <c r="U2085" s="13" t="n">
        <v>4168.41</v>
      </c>
      <c r="W2085" s="13" t="n">
        <v>0</v>
      </c>
      <c r="X2085" s="12" t="s">
        <v>1730</v>
      </c>
      <c r="Z2085" s="1" t="str">
        <f aca="false">IF($T2085="","",IFERROR(INDEX('Resumo Grupos'!$AC$3:$AC$200,MATCH($T2085,'Resumo Grupos'!$AB$3:$AB$200,0)),"n/d"))</f>
        <v>Empréstimo</v>
      </c>
      <c r="AA2085" s="1" t="str">
        <f aca="false">IF($T2085="","",IF(COUNTIF('Resumo Grupos'!$AE$3:$AE$40,$T2085)&gt;0,"NAO","SIM"))</f>
        <v>SIM</v>
      </c>
      <c r="AB2085" s="1"/>
      <c r="AC2085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1731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EDSON AGUIAR DE SOUZA</v>
      </c>
      <c r="C1072" s="16" t="n">
        <f aca="false">Report!U1660</f>
        <v>137</v>
      </c>
      <c r="D1072" s="1" t="str">
        <f aca="false">Report!X1660</f>
        <v>COMPRAS - CHEIRO-VERDE -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MARQUES &amp; MELO LTDA - FILIAL</v>
      </c>
      <c r="C1073" s="16" t="n">
        <f aca="false">Report!U1661</f>
        <v>470.34</v>
      </c>
      <c r="D1073" s="1" t="str">
        <f aca="false">Report!X1661</f>
        <v>NF 508442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431.3</v>
      </c>
      <c r="D1074" s="1" t="str">
        <f aca="false">Report!X1662</f>
        <v>NF 654908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DURAES DISTRIBUIDORA DE ESTIVAS LTDA</v>
      </c>
      <c r="C1075" s="16" t="n">
        <f aca="false">Report!U1663</f>
        <v>606.55</v>
      </c>
      <c r="D1075" s="1" t="str">
        <f aca="false">Report!X1663</f>
        <v>NF 654907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156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100.5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EDSON AGUIAR DE SOUZA</v>
      </c>
      <c r="C1078" s="16" t="n">
        <f aca="false">Report!U1666</f>
        <v>140</v>
      </c>
      <c r="D1078" s="1" t="str">
        <f aca="false">Report!X1666</f>
        <v>COMPRAS - CHEIRO-VERDE -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NORTELAC DISTRIBUIDORA DE FRIOS LTDA</v>
      </c>
      <c r="C1079" s="16" t="n">
        <f aca="false">Report!U1667</f>
        <v>460</v>
      </c>
      <c r="D1079" s="1" t="str">
        <f aca="false">Report!X1667</f>
        <v>NF 46622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NOVA FRIOS COMERCIO ATACADISTA DE LATICINIOS LTDA</v>
      </c>
      <c r="C1080" s="16" t="n">
        <f aca="false">Report!U1668</f>
        <v>215.9</v>
      </c>
      <c r="D1080" s="1" t="str">
        <f aca="false">Report!X1668</f>
        <v>NF 4446 ELLEN</v>
      </c>
    </row>
    <row r="1081" customFormat="false" ht="12.75" hidden="false" customHeight="true" outlineLevel="0" collapsed="false">
      <c r="A1081" s="15" t="n">
        <f aca="false">Report!C1669</f>
        <v>46265</v>
      </c>
      <c r="B1081" s="1" t="str">
        <f aca="false">Report!E1669</f>
        <v>EDSON AGUIAR DE SOUZA</v>
      </c>
      <c r="C1081" s="16" t="n">
        <f aca="false">Report!U1669</f>
        <v>126</v>
      </c>
      <c r="D1081" s="1" t="str">
        <f aca="false">Report!X1669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Report!C1805</f>
        <v>46270</v>
      </c>
      <c r="B1149" s="1" t="str">
        <f aca="false">Report!E1805</f>
        <v>H L M PADARIA E CONFEITARIA LTDA</v>
      </c>
      <c r="C1149" s="16" t="n">
        <f aca="false">Report!U1805</f>
        <v>200</v>
      </c>
      <c r="D1149" s="1" t="str">
        <f aca="false">Report!X1805</f>
        <v>NF 256 COMPRAS-BOLO PG NO P 5/9/26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JAB COMERCIO DE PRODUTOS ALIMENTICIOS LT</v>
      </c>
      <c r="C1150" s="16" t="n">
        <f aca="false">Report!U1807</f>
        <v>125</v>
      </c>
      <c r="D1150" s="1" t="str">
        <f aca="false">Report!X1807</f>
        <v>NF 3829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MAXFRI DISTRIUIDORA LTDA</v>
      </c>
      <c r="C1151" s="16" t="n">
        <f aca="false">Report!U1808</f>
        <v>1557.6</v>
      </c>
      <c r="D1151" s="1" t="str">
        <f aca="false">Report!X1808</f>
        <v>NF 15213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VICTORIA COMERCIO INTERNACIONAL DE ALIME</v>
      </c>
      <c r="C1172" s="16" t="n">
        <f aca="false">Report!U1843</f>
        <v>410</v>
      </c>
      <c r="D1172" s="1" t="str">
        <f aca="false">Report!X1843</f>
        <v>NF 13095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CRBS S/A</v>
      </c>
      <c r="C1173" s="16" t="n">
        <f aca="false">Report!U1844</f>
        <v>1825.37</v>
      </c>
      <c r="D1173" s="1" t="str">
        <f aca="false">Report!X1844</f>
        <v>NF 982558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BROTHERS  INDUSTRIA DE ALIMENTOS LTDA</v>
      </c>
      <c r="C1174" s="16" t="n">
        <f aca="false">Report!U1845</f>
        <v>492.29</v>
      </c>
      <c r="D1174" s="1" t="str">
        <f aca="false">Report!X1845</f>
        <v>NF 1039683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KAROLINY RODRIGUES SOUZA VENANCIO 915783</v>
      </c>
      <c r="C1175" s="16" t="n">
        <f aca="false">Report!U1846</f>
        <v>250</v>
      </c>
      <c r="D1175" s="1" t="str">
        <f aca="false">Report!X1846</f>
        <v>NF 2142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L S M COMERCIO DE ALIMENTOS E NAVEGACAO</v>
      </c>
      <c r="C1176" s="16" t="n">
        <f aca="false">Report!U1847</f>
        <v>658.8</v>
      </c>
      <c r="D1176" s="1" t="str">
        <f aca="false">Report!X1847</f>
        <v>NF 311270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MAXFRI DISTRIUIDORA LTDA</v>
      </c>
      <c r="C1177" s="16" t="n">
        <f aca="false">Report!U1848</f>
        <v>4886.4</v>
      </c>
      <c r="D1177" s="1" t="str">
        <f aca="false">Report!X1848</f>
        <v>NF 15237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NOVA FRIOS COMERCIO ATACADISTA DE LATICINIOS LTDA</v>
      </c>
      <c r="C1178" s="16" t="n">
        <f aca="false">Report!U1849</f>
        <v>133.5</v>
      </c>
      <c r="D1178" s="1" t="str">
        <f aca="false">Report!X1849</f>
        <v>NF 4523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J W N DOS SANTOS</v>
      </c>
      <c r="C1179" s="16" t="n">
        <f aca="false">Report!U1850</f>
        <v>177.5</v>
      </c>
      <c r="D1179" s="1" t="str">
        <f aca="false">Report!X1850</f>
        <v>NF 427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ADICSO FABIAN GONZALEZ MONTILLA 70302186</v>
      </c>
      <c r="C1180" s="16" t="n">
        <f aca="false">Report!U1851</f>
        <v>132</v>
      </c>
      <c r="D1180" s="1" t="str">
        <f aca="false">Report!X1851</f>
        <v>NF 644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260.83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Report!C1882</f>
        <v>46275</v>
      </c>
      <c r="B1202" s="1" t="str">
        <f aca="false">Report!E1882</f>
        <v>FUNNY PET DISTRIBUIDORA DE ALIMENTOS PAR</v>
      </c>
      <c r="C1202" s="16" t="n">
        <f aca="false">Report!U1882</f>
        <v>128.85</v>
      </c>
      <c r="D1202" s="1" t="str">
        <f aca="false">Report!X1882</f>
        <v>NF 20440 ELLEN</v>
      </c>
    </row>
    <row r="1203" customFormat="false" ht="12.75" hidden="false" customHeight="true" outlineLevel="0" collapsed="false">
      <c r="A1203" s="15" t="n">
        <f aca="false">Report!C1886</f>
        <v>46275</v>
      </c>
      <c r="B1203" s="1" t="str">
        <f aca="false">Report!E1886</f>
        <v>DISTRIBUIDORA LOPES LTDA</v>
      </c>
      <c r="C1203" s="16" t="n">
        <f aca="false">Report!U1886</f>
        <v>692.26</v>
      </c>
      <c r="D1203" s="1" t="str">
        <f aca="false">Report!X1886</f>
        <v>NF 1710665 ELLEN</v>
      </c>
    </row>
    <row r="1204" customFormat="false" ht="12.75" hidden="false" customHeight="true" outlineLevel="0" collapsed="false">
      <c r="A1204" s="15" t="n">
        <f aca="false">Report!C1887</f>
        <v>46275</v>
      </c>
      <c r="B1204" s="1" t="str">
        <f aca="false">Report!E1887</f>
        <v>AGM COMERCIO E DISTRIBUIDORA DE MATERIAS DE PERFUMARIA E LIMPEZA LTDA</v>
      </c>
      <c r="C1204" s="16" t="n">
        <f aca="false">Report!U1887</f>
        <v>2153.25</v>
      </c>
      <c r="D1204" s="1" t="str">
        <f aca="false">Report!X1887</f>
        <v>NF 163912 ELLEN</v>
      </c>
    </row>
    <row r="1205" customFormat="false" ht="12.75" hidden="false" customHeight="true" outlineLevel="0" collapsed="false">
      <c r="A1205" s="15" t="n">
        <f aca="false">Report!C1888</f>
        <v>46275</v>
      </c>
      <c r="B1205" s="1" t="str">
        <f aca="false">Report!E1888</f>
        <v>ATACADAO S.A.</v>
      </c>
      <c r="C1205" s="16" t="n">
        <f aca="false">Report!U1888</f>
        <v>561.84</v>
      </c>
      <c r="D1205" s="1" t="str">
        <f aca="false">Report!X1888</f>
        <v>NF 1919900 ELLEN</v>
      </c>
    </row>
    <row r="1206" customFormat="false" ht="12.75" hidden="false" customHeight="true" outlineLevel="0" collapsed="false">
      <c r="A1206" s="15" t="n">
        <f aca="false">Report!C1889</f>
        <v>46275</v>
      </c>
      <c r="B1206" s="1" t="str">
        <f aca="false">Report!E1889</f>
        <v>TAPAJOS COM DE PERFUMARIA COSMETICOS E G</v>
      </c>
      <c r="C1206" s="16" t="n">
        <f aca="false">Report!U1889</f>
        <v>793.81</v>
      </c>
      <c r="D1206" s="1" t="str">
        <f aca="false">Report!X1889</f>
        <v>NF 586415 ELLEN</v>
      </c>
    </row>
    <row r="1207" customFormat="false" ht="12.75" hidden="false" customHeight="true" outlineLevel="0" collapsed="false">
      <c r="A1207" s="15" t="n">
        <f aca="false">Report!C1890</f>
        <v>46275</v>
      </c>
      <c r="B1207" s="1" t="str">
        <f aca="false">Report!E1890</f>
        <v>TRES CORACOES ALIMENTOS S.A.</v>
      </c>
      <c r="C1207" s="16" t="n">
        <f aca="false">Report!U1890</f>
        <v>182.8</v>
      </c>
      <c r="D1207" s="1" t="str">
        <f aca="false">Report!X1890</f>
        <v>NF 357892 ELLEN</v>
      </c>
    </row>
    <row r="1208" customFormat="false" ht="12.75" hidden="false" customHeight="true" outlineLevel="0" collapsed="false">
      <c r="A1208" s="15" t="n">
        <f aca="false">Report!C1893</f>
        <v>46275</v>
      </c>
      <c r="B1208" s="1" t="str">
        <f aca="false">Report!E1893</f>
        <v>MARE DISTRIBUIDORA DE BEBIDAS E DE PRODUTOS ALIMENTICIOS LTDA</v>
      </c>
      <c r="C1208" s="16" t="n">
        <f aca="false">Report!U1893</f>
        <v>1515.2</v>
      </c>
      <c r="D1208" s="1" t="str">
        <f aca="false">Report!X1893</f>
        <v>NF 1430146 ELLEN</v>
      </c>
    </row>
    <row r="1209" customFormat="false" ht="12.75" hidden="false" customHeight="true" outlineLevel="0" collapsed="false">
      <c r="A1209" s="15" t="n">
        <f aca="false">Report!C1894</f>
        <v>46275</v>
      </c>
      <c r="B1209" s="1" t="str">
        <f aca="false">Report!E1894</f>
        <v>AMAZON MILK IND. E COMERCIO LTDA</v>
      </c>
      <c r="C1209" s="16" t="n">
        <f aca="false">Report!U1894</f>
        <v>805.4</v>
      </c>
      <c r="D1209" s="1" t="str">
        <f aca="false">Report!X1894</f>
        <v>NF 206697 ELLEN</v>
      </c>
    </row>
    <row r="1210" customFormat="false" ht="12.75" hidden="false" customHeight="true" outlineLevel="0" collapsed="false">
      <c r="A1210" s="15" t="n">
        <f aca="false">Report!C1895</f>
        <v>46275</v>
      </c>
      <c r="B1210" s="1" t="str">
        <f aca="false">Report!E1895</f>
        <v>T A DE MATTOS COMIM EIRELI</v>
      </c>
      <c r="C1210" s="16" t="n">
        <f aca="false">Report!U1895</f>
        <v>228</v>
      </c>
      <c r="D1210" s="1" t="str">
        <f aca="false">Report!X1895</f>
        <v>NF 10951 ELLEN</v>
      </c>
    </row>
    <row r="1211" customFormat="false" ht="12.75" hidden="false" customHeight="true" outlineLevel="0" collapsed="false">
      <c r="A1211" s="15" t="n">
        <f aca="false">Report!C1896</f>
        <v>46275</v>
      </c>
      <c r="B1211" s="1" t="str">
        <f aca="false">Report!E1896</f>
        <v>J. S. MOREIRA ALVES LTDA</v>
      </c>
      <c r="C1211" s="16" t="n">
        <f aca="false">Report!U1896</f>
        <v>190</v>
      </c>
      <c r="D1211" s="1" t="str">
        <f aca="false">Report!X1896</f>
        <v>NF 2859 ELLEN</v>
      </c>
    </row>
    <row r="1212" customFormat="false" ht="12.75" hidden="false" customHeight="true" outlineLevel="0" collapsed="false">
      <c r="A1212" s="15" t="n">
        <f aca="false">Report!C1897</f>
        <v>46275</v>
      </c>
      <c r="B1212" s="1" t="str">
        <f aca="false">Report!E1897</f>
        <v>BRAGA TABACARIA EIRELI ME</v>
      </c>
      <c r="C1212" s="16" t="n">
        <f aca="false">Report!U1897</f>
        <v>1063.84</v>
      </c>
      <c r="D1212" s="1" t="str">
        <f aca="false">Report!X1897</f>
        <v>NF 20104 ELLEN</v>
      </c>
    </row>
    <row r="1213" customFormat="false" ht="12.75" hidden="false" customHeight="true" outlineLevel="0" collapsed="false">
      <c r="A1213" s="15" t="n">
        <f aca="false">Report!C1898</f>
        <v>46275</v>
      </c>
      <c r="B1213" s="1" t="str">
        <f aca="false">Report!E1898</f>
        <v>ALEXSANDRO BEZERRA DA SILVA</v>
      </c>
      <c r="C1213" s="16" t="n">
        <f aca="false">Report!U1898</f>
        <v>1012.43</v>
      </c>
      <c r="D1213" s="1" t="str">
        <f aca="false">Report!X1898</f>
        <v>NF 299 ELLEN</v>
      </c>
    </row>
    <row r="1214" customFormat="false" ht="12.75" hidden="false" customHeight="true" outlineLevel="0" collapsed="false">
      <c r="A1214" s="15" t="n">
        <f aca="false">Report!C1899</f>
        <v>46275</v>
      </c>
      <c r="B1214" s="1" t="str">
        <f aca="false">Report!E1899</f>
        <v>JAB COMERCIO DE PRODUTOS ALIMENTICIOS LT</v>
      </c>
      <c r="C1214" s="16" t="n">
        <f aca="false">Report!U1899</f>
        <v>125</v>
      </c>
      <c r="D1214" s="1" t="str">
        <f aca="false">Report!X1899</f>
        <v>NF 3867 ELLEN</v>
      </c>
    </row>
    <row r="1215" customFormat="false" ht="12.75" hidden="false" customHeight="true" outlineLevel="0" collapsed="false">
      <c r="A1215" s="15" t="n">
        <f aca="false">Report!C1900</f>
        <v>46275</v>
      </c>
      <c r="B1215" s="1" t="str">
        <f aca="false">Report!E1900</f>
        <v>ADRIANO FEITOSA OLIVEIRA LTDA</v>
      </c>
      <c r="C1215" s="16" t="n">
        <f aca="false">Report!U1900</f>
        <v>1045</v>
      </c>
      <c r="D1215" s="1" t="str">
        <f aca="false">Report!X1900</f>
        <v>NF 378 ELLEN</v>
      </c>
    </row>
    <row r="1216" customFormat="false" ht="12.75" hidden="false" customHeight="true" outlineLevel="0" collapsed="false">
      <c r="A1216" s="15" t="n">
        <f aca="false">Report!C1901</f>
        <v>46275</v>
      </c>
      <c r="B1216" s="1" t="str">
        <f aca="false">Report!E1901</f>
        <v>MAXFRI DISTRIUIDORA LTDA</v>
      </c>
      <c r="C1216" s="16" t="n">
        <f aca="false">Report!U1901</f>
        <v>4057.6</v>
      </c>
      <c r="D1216" s="1" t="str">
        <f aca="false">Report!X1901</f>
        <v>NF 15256 ELLEN</v>
      </c>
    </row>
    <row r="1217" customFormat="false" ht="12.75" hidden="false" customHeight="true" outlineLevel="0" collapsed="false">
      <c r="A1217" s="15" t="n">
        <f aca="false">Report!C1903</f>
        <v>46275</v>
      </c>
      <c r="B1217" s="1" t="str">
        <f aca="false">Report!E1903</f>
        <v>NEYLIANE S DE OLIVEIRA &amp; CIA LTDA</v>
      </c>
      <c r="C1217" s="16" t="n">
        <f aca="false">Report!U1903</f>
        <v>300</v>
      </c>
      <c r="D1217" s="1" t="str">
        <f aca="false">Report!X1903</f>
        <v>COMPRAS - 20L AÇAI - PG NO P 10/9/26 - ELLEN</v>
      </c>
    </row>
    <row r="1218" customFormat="false" ht="12.75" hidden="false" customHeight="true" outlineLevel="0" collapsed="false">
      <c r="A1218" s="15" t="n">
        <f aca="false">Report!C1904</f>
        <v>46276</v>
      </c>
      <c r="B1218" s="1" t="str">
        <f aca="false">Report!E1904</f>
        <v>SOUZA CRUZ LTDA.</v>
      </c>
      <c r="C1218" s="16" t="n">
        <f aca="false">Report!U1904</f>
        <v>5894.1</v>
      </c>
      <c r="D1218" s="1" t="str">
        <f aca="false">Report!X1904</f>
        <v>NF 570907 ELLEN</v>
      </c>
    </row>
    <row r="1219" customFormat="false" ht="12.75" hidden="false" customHeight="true" outlineLevel="0" collapsed="false">
      <c r="A1219" s="15" t="n">
        <f aca="false">Report!C1905</f>
        <v>46276</v>
      </c>
      <c r="B1219" s="1" t="str">
        <f aca="false">Report!E1905</f>
        <v>DA FRUTA DISTRIBUIDORA LTDA</v>
      </c>
      <c r="C1219" s="16" t="n">
        <f aca="false">Report!U1905</f>
        <v>624.41</v>
      </c>
      <c r="D1219" s="1" t="str">
        <f aca="false">Report!X1905</f>
        <v>NF 197945 ELLEN</v>
      </c>
    </row>
    <row r="1220" customFormat="false" ht="12.75" hidden="false" customHeight="true" outlineLevel="0" collapsed="false">
      <c r="A1220" s="15" t="n">
        <f aca="false">Report!C1906</f>
        <v>46276</v>
      </c>
      <c r="B1220" s="1" t="str">
        <f aca="false">Report!E1906</f>
        <v>DURAES DISTRIBUIDORA DE ESTIVAS LTDA</v>
      </c>
      <c r="C1220" s="16" t="n">
        <f aca="false">Report!U1906</f>
        <v>610.2</v>
      </c>
      <c r="D1220" s="1" t="str">
        <f aca="false">Report!X1906</f>
        <v>NF 656817 ELLEN</v>
      </c>
    </row>
    <row r="1221" customFormat="false" ht="12.75" hidden="false" customHeight="true" outlineLevel="0" collapsed="false">
      <c r="A1221" s="15" t="n">
        <f aca="false">Report!C1907</f>
        <v>46276</v>
      </c>
      <c r="B1221" s="1" t="str">
        <f aca="false">Report!E1907</f>
        <v>FEMAR IND E COM DE BEBIDAS LTDA</v>
      </c>
      <c r="C1221" s="16" t="n">
        <f aca="false">Report!U1907</f>
        <v>247.55</v>
      </c>
      <c r="D1221" s="1" t="str">
        <f aca="false">Report!X1907</f>
        <v>NF 58376 ELLEN</v>
      </c>
    </row>
    <row r="1222" customFormat="false" ht="12.75" hidden="false" customHeight="true" outlineLevel="0" collapsed="false">
      <c r="A1222" s="15" t="n">
        <f aca="false">Report!C1908</f>
        <v>46276</v>
      </c>
      <c r="B1222" s="1" t="str">
        <f aca="false">Report!E1908</f>
        <v>DISTRIBUIDORA LOPES LTDA</v>
      </c>
      <c r="C1222" s="16" t="n">
        <f aca="false">Report!U1908</f>
        <v>832.2</v>
      </c>
      <c r="D1222" s="1" t="str">
        <f aca="false">Report!X1908</f>
        <v>NF 1724730 ELLEN</v>
      </c>
    </row>
    <row r="1223" customFormat="false" ht="12.75" hidden="false" customHeight="true" outlineLevel="0" collapsed="false">
      <c r="A1223" s="15" t="n">
        <f aca="false">Report!C1909</f>
        <v>46276</v>
      </c>
      <c r="B1223" s="1" t="str">
        <f aca="false">Report!E1909</f>
        <v>J G COMERCIO DE PRODUTOS ALIMENTICIOS LTDA</v>
      </c>
      <c r="C1223" s="16" t="n">
        <f aca="false">Report!U1909</f>
        <v>474.45</v>
      </c>
      <c r="D1223" s="1" t="str">
        <f aca="false">Report!X1909</f>
        <v>NF 401423 ELLEN</v>
      </c>
    </row>
    <row r="1224" customFormat="false" ht="12.75" hidden="false" customHeight="true" outlineLevel="0" collapsed="false">
      <c r="A1224" s="15" t="n">
        <f aca="false">Report!C1910</f>
        <v>46276</v>
      </c>
      <c r="B1224" s="1" t="str">
        <f aca="false">Report!E1910</f>
        <v>BRAGA TABACARIA EIRELI ME</v>
      </c>
      <c r="C1224" s="16" t="n">
        <f aca="false">Report!U1910</f>
        <v>860.51</v>
      </c>
      <c r="D1224" s="1" t="str">
        <f aca="false">Report!X1910</f>
        <v>NF 20278 ELLEN</v>
      </c>
    </row>
    <row r="1225" customFormat="false" ht="12.75" hidden="false" customHeight="true" outlineLevel="0" collapsed="false">
      <c r="A1225" s="15" t="n">
        <f aca="false">Report!C1911</f>
        <v>46276</v>
      </c>
      <c r="B1225" s="1" t="str">
        <f aca="false">Report!E1911</f>
        <v>PANIFICADORA E CONFEITARIA REAL MADRI LTDA</v>
      </c>
      <c r="C1225" s="16" t="n">
        <f aca="false">Report!U1911</f>
        <v>124.75</v>
      </c>
      <c r="D1225" s="1" t="str">
        <f aca="false">Report!X1911</f>
        <v>NF 794 ELLEN</v>
      </c>
    </row>
    <row r="1226" customFormat="false" ht="12.75" hidden="false" customHeight="true" outlineLevel="0" collapsed="false">
      <c r="A1226" s="15" t="n">
        <f aca="false">Report!C1912</f>
        <v>46276</v>
      </c>
      <c r="B1226" s="1" t="str">
        <f aca="false">Report!E1912</f>
        <v>PANIFICADORA E CONFEITARIA REAL MADRI LTDA</v>
      </c>
      <c r="C1226" s="16" t="n">
        <f aca="false">Report!U1912</f>
        <v>135</v>
      </c>
      <c r="D1226" s="1" t="str">
        <f aca="false">Report!X1912</f>
        <v>NF 797 ELLEN</v>
      </c>
    </row>
    <row r="1227" customFormat="false" ht="12.75" hidden="false" customHeight="true" outlineLevel="0" collapsed="false">
      <c r="A1227" s="15" t="n">
        <f aca="false">Report!C1913</f>
        <v>46277</v>
      </c>
      <c r="B1227" s="1" t="str">
        <f aca="false">Report!E1913</f>
        <v>DISTRIBUIDORA FARIAS LTDA.</v>
      </c>
      <c r="C1227" s="16" t="n">
        <f aca="false">Report!U1913</f>
        <v>706.55</v>
      </c>
      <c r="D1227" s="1" t="str">
        <f aca="false">Report!X1913</f>
        <v>NF 689222 ELLEN</v>
      </c>
    </row>
    <row r="1228" customFormat="false" ht="12.75" hidden="false" customHeight="true" outlineLevel="0" collapsed="false">
      <c r="A1228" s="15" t="n">
        <f aca="false">Report!C1914</f>
        <v>46277</v>
      </c>
      <c r="B1228" s="1" t="str">
        <f aca="false">Report!E1914</f>
        <v>DISTRIBUIDORA FARIAS LTDA.</v>
      </c>
      <c r="C1228" s="16" t="n">
        <f aca="false">Report!U1914</f>
        <v>1422.68</v>
      </c>
      <c r="D1228" s="1" t="str">
        <f aca="false">Report!X1914</f>
        <v>NF 689224 ELLEN</v>
      </c>
    </row>
    <row r="1229" customFormat="false" ht="12.75" hidden="false" customHeight="true" outlineLevel="0" collapsed="false">
      <c r="A1229" s="15" t="n">
        <f aca="false">Report!C1915</f>
        <v>46277</v>
      </c>
      <c r="B1229" s="1" t="str">
        <f aca="false">Report!E1915</f>
        <v>TAPAJOS COM DE PERFUMARIA COSMETICOS E G</v>
      </c>
      <c r="C1229" s="16" t="n">
        <f aca="false">Report!U1915</f>
        <v>271.46</v>
      </c>
      <c r="D1229" s="1" t="str">
        <f aca="false">Report!X1915</f>
        <v>NF 588254 ELLEN</v>
      </c>
    </row>
    <row r="1230" customFormat="false" ht="12.75" hidden="false" customHeight="true" outlineLevel="0" collapsed="false">
      <c r="A1230" s="15" t="n">
        <f aca="false">Report!C1916</f>
        <v>46277</v>
      </c>
      <c r="B1230" s="1" t="str">
        <f aca="false">Report!E1916</f>
        <v>ADRIANA DISTRIBUIDORA DE PRODUTOS ALIMEN</v>
      </c>
      <c r="C1230" s="16" t="n">
        <f aca="false">Report!U1916</f>
        <v>365</v>
      </c>
      <c r="D1230" s="1" t="str">
        <f aca="false">Report!X1916</f>
        <v>NF 894544 ELLEN</v>
      </c>
    </row>
    <row r="1231" customFormat="false" ht="12.75" hidden="false" customHeight="true" outlineLevel="0" collapsed="false">
      <c r="A1231" s="15" t="n">
        <f aca="false">Report!C1917</f>
        <v>46277</v>
      </c>
      <c r="B1231" s="1" t="str">
        <f aca="false">Report!E1917</f>
        <v>FALCAO INDUSTRIA DE ALIMENTOS LTDA</v>
      </c>
      <c r="C1231" s="16" t="n">
        <f aca="false">Report!U1917</f>
        <v>309.71</v>
      </c>
      <c r="D1231" s="1" t="str">
        <f aca="false">Report!X1917</f>
        <v>NF 33408 ELLEN</v>
      </c>
    </row>
    <row r="1232" customFormat="false" ht="12.75" hidden="false" customHeight="true" outlineLevel="0" collapsed="false">
      <c r="A1232" s="15" t="n">
        <f aca="false">Report!C1918</f>
        <v>46278</v>
      </c>
      <c r="B1232" s="1" t="str">
        <f aca="false">Report!E1918</f>
        <v>CHERRYS SEMI JOIAS LTDA</v>
      </c>
      <c r="C1232" s="16" t="n">
        <f aca="false">Report!U1918</f>
        <v>660</v>
      </c>
      <c r="D1232" s="1" t="str">
        <f aca="false">Report!X1918</f>
        <v>NF 502 ELLEN</v>
      </c>
    </row>
    <row r="1233" customFormat="false" ht="12.75" hidden="false" customHeight="true" outlineLevel="0" collapsed="false">
      <c r="A1233" s="15" t="n">
        <f aca="false">Report!C1919</f>
        <v>46279</v>
      </c>
      <c r="B1233" s="1" t="str">
        <f aca="false">Report!E1919</f>
        <v>MAXPEL COMERCIAL LTDA</v>
      </c>
      <c r="C1233" s="16" t="n">
        <f aca="false">Report!U1919</f>
        <v>983.77</v>
      </c>
      <c r="D1233" s="1" t="str">
        <f aca="false">Report!X1919</f>
        <v>NFS 319296/319297 - ELLEN</v>
      </c>
    </row>
    <row r="1234" customFormat="false" ht="12.75" hidden="false" customHeight="true" outlineLevel="0" collapsed="false">
      <c r="A1234" s="15" t="n">
        <f aca="false">Report!C1920</f>
        <v>46279</v>
      </c>
      <c r="B1234" s="1" t="str">
        <f aca="false">Report!E1920</f>
        <v>SB COMERCIO LTDA</v>
      </c>
      <c r="C1234" s="16" t="n">
        <f aca="false">Report!U1920</f>
        <v>521.58</v>
      </c>
      <c r="D1234" s="1" t="str">
        <f aca="false">Report!X1920</f>
        <v>NF 1966312 ELLEN</v>
      </c>
    </row>
    <row r="1235" customFormat="false" ht="12.75" hidden="false" customHeight="true" outlineLevel="0" collapsed="false">
      <c r="A1235" s="15" t="n">
        <f aca="false">Report!C1921</f>
        <v>46279</v>
      </c>
      <c r="B1235" s="1" t="str">
        <f aca="false">Report!E1921</f>
        <v>NESTLÉ BRASIL LTDA.</v>
      </c>
      <c r="C1235" s="16" t="n">
        <f aca="false">Report!U1921</f>
        <v>1268.78</v>
      </c>
      <c r="D1235" s="1" t="str">
        <f aca="false">Report!X1921</f>
        <v>NF 1442200 ELLEN</v>
      </c>
    </row>
    <row r="1236" customFormat="false" ht="12.75" hidden="false" customHeight="true" outlineLevel="0" collapsed="false">
      <c r="A1236" s="15" t="n">
        <f aca="false">Report!C1922</f>
        <v>46279</v>
      </c>
      <c r="B1236" s="1" t="str">
        <f aca="false">Report!E1922</f>
        <v>NESTLÉ BRASIL LTDA.</v>
      </c>
      <c r="C1236" s="16" t="n">
        <f aca="false">Report!U1922</f>
        <v>2477.62</v>
      </c>
      <c r="D1236" s="1" t="str">
        <f aca="false">Report!X1922</f>
        <v>NF 1442668 ELLEN</v>
      </c>
    </row>
    <row r="1237" customFormat="false" ht="12.75" hidden="false" customHeight="true" outlineLevel="0" collapsed="false">
      <c r="A1237" s="15" t="n">
        <f aca="false">Report!C1923</f>
        <v>46279</v>
      </c>
      <c r="B1237" s="1" t="str">
        <f aca="false">Report!E1923</f>
        <v>VICTORIA COMERCIO INTERNACIONAL DE ALIME</v>
      </c>
      <c r="C1237" s="16" t="n">
        <f aca="false">Report!U1923</f>
        <v>1213.95</v>
      </c>
      <c r="D1237" s="1" t="str">
        <f aca="false">Report!X1923</f>
        <v>NF 13070 ELLEN</v>
      </c>
    </row>
    <row r="1238" customFormat="false" ht="12.75" hidden="false" customHeight="true" outlineLevel="0" collapsed="false">
      <c r="A1238" s="15" t="n">
        <f aca="false">Report!C1925</f>
        <v>46279</v>
      </c>
      <c r="B1238" s="1" t="str">
        <f aca="false">Report!E1925</f>
        <v>MARTINS COM SERV DISTR SA</v>
      </c>
      <c r="C1238" s="16" t="n">
        <f aca="false">Report!U1925</f>
        <v>176.58</v>
      </c>
      <c r="D1238" s="1" t="str">
        <f aca="false">Report!X1925</f>
        <v>NF'S 1796899/1796900 ELLEN</v>
      </c>
    </row>
    <row r="1239" customFormat="false" ht="12.75" hidden="false" customHeight="true" outlineLevel="0" collapsed="false">
      <c r="A1239" s="15" t="n">
        <f aca="false">Report!C1926</f>
        <v>46279</v>
      </c>
      <c r="B1239" s="1" t="str">
        <f aca="false">Report!E1926</f>
        <v>CRBS S/A</v>
      </c>
      <c r="C1239" s="16" t="n">
        <f aca="false">Report!U1926</f>
        <v>489.74</v>
      </c>
      <c r="D1239" s="1" t="str">
        <f aca="false">Report!X1926</f>
        <v>NF 993555 ELLEN</v>
      </c>
    </row>
    <row r="1240" customFormat="false" ht="12.75" hidden="false" customHeight="true" outlineLevel="0" collapsed="false">
      <c r="A1240" s="15" t="n">
        <f aca="false">Report!C1927</f>
        <v>46279</v>
      </c>
      <c r="B1240" s="1" t="str">
        <f aca="false">Report!E1927</f>
        <v>NOVA FRIOS COMERCIO ATACADISTA DE LATICINIOS LTDA</v>
      </c>
      <c r="C1240" s="16" t="n">
        <f aca="false">Report!U1927</f>
        <v>258.2</v>
      </c>
      <c r="D1240" s="1" t="str">
        <f aca="false">Report!X1927</f>
        <v>NF 4564 ELLEN</v>
      </c>
    </row>
    <row r="1241" customFormat="false" ht="12.75" hidden="false" customHeight="true" outlineLevel="0" collapsed="false">
      <c r="A1241" s="15" t="n">
        <f aca="false">Report!C1930</f>
        <v>46280</v>
      </c>
      <c r="B1241" s="1" t="str">
        <f aca="false">Report!E1930</f>
        <v>ROCHA E PAIVA LTDA</v>
      </c>
      <c r="C1241" s="16" t="n">
        <f aca="false">Report!U1930</f>
        <v>584.64</v>
      </c>
      <c r="D1241" s="1" t="str">
        <f aca="false">Report!X1930</f>
        <v>NF 211355 ELLEN</v>
      </c>
    </row>
    <row r="1242" customFormat="false" ht="12.75" hidden="false" customHeight="true" outlineLevel="0" collapsed="false">
      <c r="A1242" s="15" t="n">
        <f aca="false">Report!C1931</f>
        <v>46280</v>
      </c>
      <c r="B1242" s="1" t="str">
        <f aca="false">Report!E1931</f>
        <v>J. A. F. DE LIMA</v>
      </c>
      <c r="C1242" s="16" t="n">
        <f aca="false">Report!U1931</f>
        <v>645.71</v>
      </c>
      <c r="D1242" s="1" t="str">
        <f aca="false">Report!X1931</f>
        <v>NF 160332 ELLEN</v>
      </c>
    </row>
    <row r="1243" customFormat="false" ht="12.75" hidden="false" customHeight="true" outlineLevel="0" collapsed="false">
      <c r="A1243" s="15" t="n">
        <f aca="false">Report!C1932</f>
        <v>46280</v>
      </c>
      <c r="B1243" s="1" t="str">
        <f aca="false">Report!E1932</f>
        <v>SUPER CANCUN COMERCIO DE PRODUTOS ALIMEN</v>
      </c>
      <c r="C1243" s="16" t="n">
        <f aca="false">Report!U1932</f>
        <v>548.18</v>
      </c>
      <c r="D1243" s="1" t="str">
        <f aca="false">Report!X1932</f>
        <v>NF 265359 ELLEN</v>
      </c>
    </row>
    <row r="1244" customFormat="false" ht="12.75" hidden="false" customHeight="true" outlineLevel="0" collapsed="false">
      <c r="A1244" s="15" t="n">
        <f aca="false">Report!C1933</f>
        <v>46280</v>
      </c>
      <c r="B1244" s="1" t="str">
        <f aca="false">Report!E1933</f>
        <v>CB COMERCIO E DISTRIBUIDORA DE ALIMENTOS</v>
      </c>
      <c r="C1244" s="16" t="n">
        <f aca="false">Report!U1933</f>
        <v>843.65</v>
      </c>
      <c r="D1244" s="1" t="str">
        <f aca="false">Report!X1933</f>
        <v>NF 866347 ELLEN</v>
      </c>
    </row>
    <row r="1245" customFormat="false" ht="12.75" hidden="false" customHeight="true" outlineLevel="0" collapsed="false">
      <c r="A1245" s="15" t="n">
        <f aca="false">Report!C1934</f>
        <v>46280</v>
      </c>
      <c r="B1245" s="1" t="str">
        <f aca="false">Report!E1934</f>
        <v>EDMARA COMERCIO DE HIGIENE PESSOAL LTDA</v>
      </c>
      <c r="C1245" s="16" t="n">
        <f aca="false">Report!U1934</f>
        <v>873.08</v>
      </c>
      <c r="D1245" s="1" t="str">
        <f aca="false">Report!X1934</f>
        <v>NF 8744 ELLEN</v>
      </c>
    </row>
    <row r="1246" customFormat="false" ht="12.75" hidden="false" customHeight="true" outlineLevel="0" collapsed="false">
      <c r="A1246" s="15" t="n">
        <f aca="false">Report!C1935</f>
        <v>46280</v>
      </c>
      <c r="B1246" s="1" t="str">
        <f aca="false">Report!E1935</f>
        <v>ATACADAO S.A.</v>
      </c>
      <c r="C1246" s="16" t="n">
        <f aca="false">Report!U1935</f>
        <v>974.55</v>
      </c>
      <c r="D1246" s="1" t="str">
        <f aca="false">Report!X1935</f>
        <v>NF 1925382 ELLEN</v>
      </c>
    </row>
    <row r="1247" customFormat="false" ht="12.75" hidden="false" customHeight="true" outlineLevel="0" collapsed="false">
      <c r="A1247" s="15" t="n">
        <f aca="false">Report!C1936</f>
        <v>46280</v>
      </c>
      <c r="B1247" s="1" t="str">
        <f aca="false">Report!E1936</f>
        <v>VICTORIA COMERCIO INTERNACIONAL DE ALIME</v>
      </c>
      <c r="C1247" s="16" t="n">
        <f aca="false">Report!U1936</f>
        <v>410</v>
      </c>
      <c r="D1247" s="1" t="str">
        <f aca="false">Report!X1936</f>
        <v>NF 13095 ELLEN</v>
      </c>
    </row>
    <row r="1248" customFormat="false" ht="12.75" hidden="false" customHeight="true" outlineLevel="0" collapsed="false">
      <c r="A1248" s="15" t="n">
        <f aca="false">Report!C1937</f>
        <v>46280</v>
      </c>
      <c r="B1248" s="1" t="str">
        <f aca="false">Report!E1937</f>
        <v>BRASIL NORTE BEBIDAS S/A</v>
      </c>
      <c r="C1248" s="16" t="n">
        <f aca="false">Report!U1937</f>
        <v>1139.35</v>
      </c>
      <c r="D1248" s="1" t="str">
        <f aca="false">Report!X1937</f>
        <v>NF 1272321 ELLEN</v>
      </c>
    </row>
    <row r="1249" customFormat="false" ht="12.75" hidden="false" customHeight="true" outlineLevel="0" collapsed="false">
      <c r="A1249" s="15" t="n">
        <f aca="false">Report!C1938</f>
        <v>46280</v>
      </c>
      <c r="B1249" s="1" t="str">
        <f aca="false">Report!E1938</f>
        <v>BF COMERCIO DE ALIMENTOS REPRESENTACAO L</v>
      </c>
      <c r="C1249" s="16" t="n">
        <f aca="false">Report!U1938</f>
        <v>540.99</v>
      </c>
      <c r="D1249" s="1" t="str">
        <f aca="false">Report!X1938</f>
        <v>NF 21345 ELLEN</v>
      </c>
    </row>
    <row r="1250" customFormat="false" ht="12.75" hidden="false" customHeight="true" outlineLevel="0" collapsed="false">
      <c r="A1250" s="15" t="n">
        <f aca="false">Report!C1939</f>
        <v>46280</v>
      </c>
      <c r="B1250" s="1" t="str">
        <f aca="false">Report!E1939</f>
        <v>EDSON AGUIAR DE SOUZA</v>
      </c>
      <c r="C1250" s="16" t="n">
        <f aca="false">Report!U1939</f>
        <v>96</v>
      </c>
      <c r="D1250" s="1" t="str">
        <f aca="false">Report!X1939</f>
        <v>COMPRAS - CHEIRO-VERDE - ELLEN</v>
      </c>
    </row>
    <row r="1251" customFormat="false" ht="12.75" hidden="false" customHeight="true" outlineLevel="0" collapsed="false">
      <c r="A1251" s="15" t="n">
        <f aca="false">Report!C1940</f>
        <v>46280</v>
      </c>
      <c r="B1251" s="1" t="str">
        <f aca="false">Report!E1940</f>
        <v>EDSON AGUIAR DE SOUZA</v>
      </c>
      <c r="C1251" s="16" t="n">
        <f aca="false">Report!U1940</f>
        <v>166.5</v>
      </c>
      <c r="D1251" s="1" t="str">
        <f aca="false">Report!X1940</f>
        <v>COMPRAS - CHEIRO-VERDE - ELLEN</v>
      </c>
    </row>
    <row r="1252" customFormat="false" ht="12.75" hidden="false" customHeight="true" outlineLevel="0" collapsed="false">
      <c r="A1252" s="15" t="n">
        <f aca="false">Report!C1941</f>
        <v>46280</v>
      </c>
      <c r="B1252" s="1" t="str">
        <f aca="false">Report!E1941</f>
        <v>LIMA E BARANDA COMERCIO DE PRODUTOS REGI</v>
      </c>
      <c r="C1252" s="16" t="n">
        <f aca="false">Report!U1941</f>
        <v>199</v>
      </c>
      <c r="D1252" s="1" t="str">
        <f aca="false">Report!X1941</f>
        <v>NF 32268 ELLEN</v>
      </c>
    </row>
    <row r="1253" customFormat="false" ht="12.75" hidden="false" customHeight="true" outlineLevel="0" collapsed="false">
      <c r="A1253" s="15" t="n">
        <f aca="false">Report!C1942</f>
        <v>46280</v>
      </c>
      <c r="B1253" s="1" t="str">
        <f aca="false">Report!E1942</f>
        <v>SAO JOSE COMERCIO DE LATICINIOS E FRIOS</v>
      </c>
      <c r="C1253" s="16" t="n">
        <f aca="false">Report!U1942</f>
        <v>589.5</v>
      </c>
      <c r="D1253" s="1" t="str">
        <f aca="false">Report!X1942</f>
        <v>NF 4007 ELLEN</v>
      </c>
    </row>
    <row r="1254" customFormat="false" ht="12.75" hidden="false" customHeight="true" outlineLevel="0" collapsed="false">
      <c r="A1254" s="15" t="n">
        <f aca="false">Report!C1943</f>
        <v>46280</v>
      </c>
      <c r="B1254" s="1" t="str">
        <f aca="false">Report!E1943</f>
        <v>EDSON AGUIAR DE SOUZA</v>
      </c>
      <c r="C1254" s="16" t="n">
        <f aca="false">Report!U1943</f>
        <v>115.5</v>
      </c>
      <c r="D1254" s="1" t="str">
        <f aca="false">Report!X1943</f>
        <v>COMPRAS - CHEIRO-VERDE - ELLEN</v>
      </c>
    </row>
    <row r="1255" customFormat="false" ht="12.75" hidden="false" customHeight="true" outlineLevel="0" collapsed="false">
      <c r="A1255" s="15" t="n">
        <f aca="false">Report!C1944</f>
        <v>46280</v>
      </c>
      <c r="B1255" s="1" t="str">
        <f aca="false">Report!E1944</f>
        <v>EDSON AGUIAR DE SOUZA</v>
      </c>
      <c r="C1255" s="16" t="n">
        <f aca="false">Report!U1944</f>
        <v>147</v>
      </c>
      <c r="D1255" s="1" t="str">
        <f aca="false">Report!X1944</f>
        <v>COMPRAS - CHEIRO-VERDE - ELLEN</v>
      </c>
    </row>
    <row r="1256" customFormat="false" ht="12.75" hidden="false" customHeight="true" outlineLevel="0" collapsed="false">
      <c r="A1256" s="15" t="n">
        <f aca="false">Report!C1945</f>
        <v>46280</v>
      </c>
      <c r="B1256" s="1" t="str">
        <f aca="false">Report!E1945</f>
        <v>64.225.624 ROBERTO REIS AROUCHE</v>
      </c>
      <c r="C1256" s="16" t="n">
        <f aca="false">Report!U1945</f>
        <v>144</v>
      </c>
      <c r="D1256" s="1" t="str">
        <f aca="false">Report!X1945</f>
        <v>NF 95 ELLEN</v>
      </c>
    </row>
    <row r="1257" customFormat="false" ht="12.75" hidden="false" customHeight="true" outlineLevel="0" collapsed="false">
      <c r="A1257" s="15" t="n">
        <f aca="false">Report!C1946</f>
        <v>46280</v>
      </c>
      <c r="B1257" s="1" t="str">
        <f aca="false">Report!E1946</f>
        <v>CRBS S/A</v>
      </c>
      <c r="C1257" s="16" t="n">
        <f aca="false">Report!U1946</f>
        <v>2142.27</v>
      </c>
      <c r="D1257" s="1" t="str">
        <f aca="false">Report!X1946</f>
        <v>NF 996851 ELLEN</v>
      </c>
    </row>
    <row r="1258" customFormat="false" ht="12.75" hidden="false" customHeight="true" outlineLevel="0" collapsed="false">
      <c r="A1258" s="15" t="n">
        <f aca="false">Report!C1947</f>
        <v>46280</v>
      </c>
      <c r="B1258" s="1" t="str">
        <f aca="false">Report!E1947</f>
        <v>EDSON AGUIAR DE SOUZA</v>
      </c>
      <c r="C1258" s="16" t="n">
        <f aca="false">Report!U1947</f>
        <v>178.5</v>
      </c>
      <c r="D1258" s="1" t="str">
        <f aca="false">Report!X1947</f>
        <v>COMPRAS - CHEIRO-VERDE - ELLEN</v>
      </c>
    </row>
    <row r="1259" customFormat="false" ht="12.75" hidden="false" customHeight="true" outlineLevel="0" collapsed="false">
      <c r="A1259" s="15" t="n">
        <f aca="false">Report!C1948</f>
        <v>46281</v>
      </c>
      <c r="B1259" s="1" t="str">
        <f aca="false">Report!E1948</f>
        <v>FUNNY PET DISTRIBUIDORA DE ALIMENTOS PAR</v>
      </c>
      <c r="C1259" s="16" t="n">
        <f aca="false">Report!U1948</f>
        <v>1501.38</v>
      </c>
      <c r="D1259" s="1" t="str">
        <f aca="false">Report!X1948</f>
        <v>NF 21189 ELLEN</v>
      </c>
    </row>
    <row r="1260" customFormat="false" ht="12.75" hidden="false" customHeight="true" outlineLevel="0" collapsed="false">
      <c r="A1260" s="15" t="n">
        <f aca="false">Report!C1949</f>
        <v>46281</v>
      </c>
      <c r="B1260" s="1" t="str">
        <f aca="false">Report!E1949</f>
        <v>RISADINHA LTDA</v>
      </c>
      <c r="C1260" s="16" t="n">
        <f aca="false">Report!U1949</f>
        <v>830.13</v>
      </c>
      <c r="D1260" s="1" t="str">
        <f aca="false">Report!X1949</f>
        <v>NF 668739 ELLEN</v>
      </c>
    </row>
    <row r="1261" customFormat="false" ht="12.75" hidden="false" customHeight="true" outlineLevel="0" collapsed="false">
      <c r="A1261" s="15" t="n">
        <f aca="false">Report!C1950</f>
        <v>46281</v>
      </c>
      <c r="B1261" s="1" t="str">
        <f aca="false">Report!E1950</f>
        <v>EMPRESA BRASILEIRA DE DISTRIBUICAO LTDA</v>
      </c>
      <c r="C1261" s="16" t="n">
        <f aca="false">Report!U1950</f>
        <v>1154.65</v>
      </c>
      <c r="D1261" s="1" t="str">
        <f aca="false">Report!X1950</f>
        <v>NF 2310769 ELLEN</v>
      </c>
    </row>
    <row r="1262" customFormat="false" ht="12.75" hidden="false" customHeight="true" outlineLevel="0" collapsed="false">
      <c r="A1262" s="15" t="n">
        <f aca="false">Report!C1952</f>
        <v>46281</v>
      </c>
      <c r="B1262" s="1" t="str">
        <f aca="false">Report!E1952</f>
        <v>OESA COMERCIO E REPRESENTACOES S/A</v>
      </c>
      <c r="C1262" s="16" t="n">
        <f aca="false">Report!U1952</f>
        <v>1510.34</v>
      </c>
      <c r="D1262" s="1" t="str">
        <f aca="false">Report!X1952</f>
        <v>NF 447609 ELLEN</v>
      </c>
    </row>
    <row r="1263" customFormat="false" ht="12.75" hidden="false" customHeight="true" outlineLevel="0" collapsed="false">
      <c r="A1263" s="15" t="n">
        <f aca="false">Report!C1953</f>
        <v>46281</v>
      </c>
      <c r="B1263" s="1" t="str">
        <f aca="false">Report!E1953</f>
        <v>FENNIX BRASIL DISTRIBUIDORA DE PRODUTOS</v>
      </c>
      <c r="C1263" s="16" t="n">
        <f aca="false">Report!U1953</f>
        <v>679.16</v>
      </c>
      <c r="D1263" s="1" t="str">
        <f aca="false">Report!X1953</f>
        <v>NF 319020 ELLEN</v>
      </c>
    </row>
    <row r="1264" customFormat="false" ht="12.75" hidden="false" customHeight="true" outlineLevel="0" collapsed="false">
      <c r="A1264" s="15" t="n">
        <f aca="false">Report!C1954</f>
        <v>46281</v>
      </c>
      <c r="B1264" s="1" t="str">
        <f aca="false">Report!E1954</f>
        <v>DUNORTE DISTRIBUIDORA DE PRODUTOS DE CONSUMO LTDA</v>
      </c>
      <c r="C1264" s="16" t="n">
        <f aca="false">Report!U1954</f>
        <v>733.77</v>
      </c>
      <c r="D1264" s="1" t="str">
        <f aca="false">Report!X1954</f>
        <v>NF 3242273 ELLEN</v>
      </c>
    </row>
    <row r="1265" customFormat="false" ht="12.75" hidden="false" customHeight="true" outlineLevel="0" collapsed="false">
      <c r="A1265" s="15" t="n">
        <f aca="false">Report!C1955</f>
        <v>46281</v>
      </c>
      <c r="B1265" s="1" t="str">
        <f aca="false">Report!E1955</f>
        <v>BONNA VITTA INDUSTRIA E COMERCIO LTDA.</v>
      </c>
      <c r="C1265" s="16" t="n">
        <f aca="false">Report!U1955</f>
        <v>278.1</v>
      </c>
      <c r="D1265" s="1" t="str">
        <f aca="false">Report!X1955</f>
        <v>NF 4884 ELLEN</v>
      </c>
    </row>
    <row r="1266" customFormat="false" ht="12.75" hidden="false" customHeight="true" outlineLevel="0" collapsed="false">
      <c r="A1266" s="15" t="n">
        <f aca="false">Report!C1956</f>
        <v>46281</v>
      </c>
      <c r="B1266" s="1" t="str">
        <f aca="false">Report!E1956</f>
        <v>BRF S A</v>
      </c>
      <c r="C1266" s="16" t="n">
        <f aca="false">Report!U1956</f>
        <v>2296</v>
      </c>
      <c r="D1266" s="1" t="str">
        <f aca="false">Report!X1956</f>
        <v>NF 1627324 ELLEN</v>
      </c>
    </row>
    <row r="1267" customFormat="false" ht="12.75" hidden="false" customHeight="true" outlineLevel="0" collapsed="false">
      <c r="A1267" s="15" t="n">
        <f aca="false">Report!C1957</f>
        <v>46281</v>
      </c>
      <c r="B1267" s="1" t="str">
        <f aca="false">Report!E1957</f>
        <v>T. M. L. DA SILVA LTDA</v>
      </c>
      <c r="C1267" s="16" t="n">
        <f aca="false">Report!U1957</f>
        <v>388.68</v>
      </c>
      <c r="D1267" s="1" t="str">
        <f aca="false">Report!X1957</f>
        <v>NF 15352 ELLEN</v>
      </c>
    </row>
    <row r="1268" customFormat="false" ht="12.75" hidden="false" customHeight="true" outlineLevel="0" collapsed="false">
      <c r="A1268" s="15" t="n">
        <f aca="false">Report!C1958</f>
        <v>46281</v>
      </c>
      <c r="B1268" s="1" t="str">
        <f aca="false">Report!E1958</f>
        <v>JAB COMERCIO DE PRODUTOS ALIMENTICIOS LT</v>
      </c>
      <c r="C1268" s="16" t="n">
        <f aca="false">Report!U1958</f>
        <v>149</v>
      </c>
      <c r="D1268" s="1" t="str">
        <f aca="false">Report!X1958</f>
        <v>NF 3898 ELLEN</v>
      </c>
    </row>
    <row r="1269" customFormat="false" ht="12.75" hidden="false" customHeight="true" outlineLevel="0" collapsed="false">
      <c r="A1269" s="15" t="n">
        <f aca="false">Report!C1959</f>
        <v>46281</v>
      </c>
      <c r="B1269" s="1" t="str">
        <f aca="false">Report!E1959</f>
        <v>FALCAO INDUSTRIA DE ALIMENTOS LTDA</v>
      </c>
      <c r="C1269" s="16" t="n">
        <f aca="false">Report!U1959</f>
        <v>2170.64</v>
      </c>
      <c r="D1269" s="1" t="str">
        <f aca="false">Report!X1959</f>
        <v>NF 33492 ELLEN</v>
      </c>
    </row>
    <row r="1270" customFormat="false" ht="12.75" hidden="false" customHeight="true" outlineLevel="0" collapsed="false">
      <c r="A1270" s="15" t="n">
        <f aca="false">Report!C1960</f>
        <v>46281</v>
      </c>
      <c r="B1270" s="1" t="str">
        <f aca="false">Report!E1960</f>
        <v>FALCAO INDUSTRIA DE ALIMENTOS LTDA</v>
      </c>
      <c r="C1270" s="16" t="n">
        <f aca="false">Report!U1960</f>
        <v>432.76</v>
      </c>
      <c r="D1270" s="1" t="str">
        <f aca="false">Report!X1960</f>
        <v>NF 38204 ELLEN</v>
      </c>
    </row>
    <row r="1271" customFormat="false" ht="12.75" hidden="false" customHeight="true" outlineLevel="0" collapsed="false">
      <c r="A1271" s="15" t="n">
        <f aca="false">Report!C1961</f>
        <v>46281</v>
      </c>
      <c r="B1271" s="1" t="str">
        <f aca="false">Report!E1961</f>
        <v>DISTRIBUIDORA LOPES LTDA</v>
      </c>
      <c r="C1271" s="16" t="n">
        <f aca="false">Report!U1961</f>
        <v>684.65</v>
      </c>
      <c r="D1271" s="1" t="str">
        <f aca="false">Report!X1961</f>
        <v>NF 1726308 ELLEN</v>
      </c>
    </row>
    <row r="1272" customFormat="false" ht="12.75" hidden="false" customHeight="true" outlineLevel="0" collapsed="false">
      <c r="A1272" s="15" t="n">
        <f aca="false">Report!C1962</f>
        <v>46281</v>
      </c>
      <c r="B1272" s="1" t="str">
        <f aca="false">Report!E1962</f>
        <v>MAXFRI DISTRIUIDORA LTDA</v>
      </c>
      <c r="C1272" s="16" t="n">
        <f aca="false">Report!U1962</f>
        <v>4070</v>
      </c>
      <c r="D1272" s="1" t="str">
        <f aca="false">Report!X1962</f>
        <v>NF 15323 ELLEN</v>
      </c>
    </row>
    <row r="1273" customFormat="false" ht="12.75" hidden="false" customHeight="true" outlineLevel="0" collapsed="false">
      <c r="A1273" s="15" t="n">
        <f aca="false">Report!C1963</f>
        <v>46281</v>
      </c>
      <c r="B1273" s="1" t="str">
        <f aca="false">Report!E1963</f>
        <v>RENATO DE O AZEVEDO E CIA LTDA - EPP</v>
      </c>
      <c r="C1273" s="16" t="n">
        <f aca="false">Report!U1963</f>
        <v>781.39</v>
      </c>
      <c r="D1273" s="1" t="str">
        <f aca="false">Report!X1963</f>
        <v>NF 5642 ELLEN</v>
      </c>
    </row>
    <row r="1274" customFormat="false" ht="12.75" hidden="false" customHeight="true" outlineLevel="0" collapsed="false">
      <c r="A1274" s="15" t="n">
        <f aca="false">Report!C1964</f>
        <v>46282</v>
      </c>
      <c r="B1274" s="1" t="str">
        <f aca="false">Report!E1964</f>
        <v>OPPORTUNITY ALIMENTOS PARA ANIMAIS LTDA</v>
      </c>
      <c r="C1274" s="16" t="n">
        <f aca="false">Report!U1964</f>
        <v>685.15</v>
      </c>
      <c r="D1274" s="1" t="str">
        <f aca="false">Report!X1964</f>
        <v>NF 35161 ELLEN</v>
      </c>
    </row>
    <row r="1275" customFormat="false" ht="12.75" hidden="false" customHeight="true" outlineLevel="0" collapsed="false">
      <c r="A1275" s="15" t="n">
        <f aca="false">Report!C1965</f>
        <v>46282</v>
      </c>
      <c r="B1275" s="1" t="str">
        <f aca="false">Report!E1965</f>
        <v>TAPAJOS COM DE PERFUMARIA COSMETICOS E G</v>
      </c>
      <c r="C1275" s="16" t="n">
        <f aca="false">Report!U1965</f>
        <v>793.81</v>
      </c>
      <c r="D1275" s="1" t="str">
        <f aca="false">Report!X1965</f>
        <v>NF 586415 ELLEN</v>
      </c>
    </row>
    <row r="1276" customFormat="false" ht="12.75" hidden="false" customHeight="true" outlineLevel="0" collapsed="false">
      <c r="A1276" s="15" t="n">
        <f aca="false">Report!C1966</f>
        <v>46282</v>
      </c>
      <c r="B1276" s="1" t="str">
        <f aca="false">Report!E1966</f>
        <v>TRES CORACOES ALIMENTOS S.A.</v>
      </c>
      <c r="C1276" s="16" t="n">
        <f aca="false">Report!U1966</f>
        <v>182.82</v>
      </c>
      <c r="D1276" s="1" t="str">
        <f aca="false">Report!X1966</f>
        <v>NF 357892 ELLEN</v>
      </c>
    </row>
    <row r="1277" customFormat="false" ht="12.75" hidden="false" customHeight="true" outlineLevel="0" collapsed="false">
      <c r="A1277" s="15" t="n">
        <f aca="false">Report!C1967</f>
        <v>46282</v>
      </c>
      <c r="B1277" s="1" t="str">
        <f aca="false">Report!E1967</f>
        <v>AMAZON MILK IND. E COMERCIO LTDA</v>
      </c>
      <c r="C1277" s="16" t="n">
        <f aca="false">Report!U1967</f>
        <v>805.4</v>
      </c>
      <c r="D1277" s="1" t="str">
        <f aca="false">Report!X1967</f>
        <v>NF 206697 ELLEN</v>
      </c>
    </row>
    <row r="1278" customFormat="false" ht="12.75" hidden="false" customHeight="true" outlineLevel="0" collapsed="false">
      <c r="A1278" s="15" t="n">
        <f aca="false">Report!C1968</f>
        <v>46282</v>
      </c>
      <c r="B1278" s="1" t="str">
        <f aca="false">Report!E1968</f>
        <v>BRAGA TABACARIA EIRELI ME</v>
      </c>
      <c r="C1278" s="16" t="n">
        <f aca="false">Report!U1968</f>
        <v>1063.84</v>
      </c>
      <c r="D1278" s="1" t="str">
        <f aca="false">Report!X1968</f>
        <v>NF 20104 ELLEN</v>
      </c>
    </row>
    <row r="1279" customFormat="false" ht="12.75" hidden="false" customHeight="true" outlineLevel="0" collapsed="false">
      <c r="A1279" s="15" t="n">
        <f aca="false">Report!C1969</f>
        <v>46282</v>
      </c>
      <c r="B1279" s="1" t="str">
        <f aca="false">Report!E1969</f>
        <v>SOUZA CRUZ LTDA.</v>
      </c>
      <c r="C1279" s="16" t="n">
        <f aca="false">Report!U1969</f>
        <v>4761.77</v>
      </c>
      <c r="D1279" s="1" t="str">
        <f aca="false">Report!X1969</f>
        <v>NF 572518 ELLEN</v>
      </c>
    </row>
    <row r="1280" customFormat="false" ht="12.75" hidden="false" customHeight="true" outlineLevel="0" collapsed="false">
      <c r="A1280" s="15" t="n">
        <f aca="false">Report!C1970</f>
        <v>46282</v>
      </c>
      <c r="B1280" s="1" t="str">
        <f aca="false">Report!E1970</f>
        <v>DISTRIBUIDORA LOPES LTDA</v>
      </c>
      <c r="C1280" s="16" t="n">
        <f aca="false">Report!U1970</f>
        <v>318.78</v>
      </c>
      <c r="D1280" s="1" t="str">
        <f aca="false">Report!X1970</f>
        <v>NF 1726860 ELLEN</v>
      </c>
    </row>
    <row r="1281" customFormat="false" ht="12.75" hidden="false" customHeight="true" outlineLevel="0" collapsed="false">
      <c r="A1281" s="15" t="n">
        <f aca="false">Report!C1971</f>
        <v>46282</v>
      </c>
      <c r="B1281" s="1" t="str">
        <f aca="false">Report!E1971</f>
        <v>REAL BEBIDAS DA AMAZONIA LTDA</v>
      </c>
      <c r="C1281" s="16" t="n">
        <f aca="false">Report!U1971</f>
        <v>362</v>
      </c>
      <c r="D1281" s="1" t="str">
        <f aca="false">Report!X1971</f>
        <v>NF 639283 ELLEN</v>
      </c>
    </row>
    <row r="1282" customFormat="false" ht="12.75" hidden="false" customHeight="true" outlineLevel="0" collapsed="false">
      <c r="A1282" s="15" t="n">
        <f aca="false">Report!C1972</f>
        <v>46282</v>
      </c>
      <c r="B1282" s="1" t="str">
        <f aca="false">Report!E1972</f>
        <v>H.V.M. XAVIER ALIMENTOS</v>
      </c>
      <c r="C1282" s="16" t="n">
        <f aca="false">Report!U1972</f>
        <v>243</v>
      </c>
      <c r="D1282" s="1" t="str">
        <f aca="false">Report!X1972</f>
        <v>NF 138039 ELLEN</v>
      </c>
    </row>
    <row r="1283" customFormat="false" ht="12.75" hidden="false" customHeight="true" outlineLevel="0" collapsed="false">
      <c r="A1283" s="15" t="n">
        <f aca="false">Report!C1974</f>
        <v>46283</v>
      </c>
      <c r="B1283" s="1" t="str">
        <f aca="false">Report!E1974</f>
        <v>DURAES DISTRIBUIDORA DE ESTIVAS LTDA</v>
      </c>
      <c r="C1283" s="16" t="n">
        <f aca="false">Report!U1974</f>
        <v>610.19</v>
      </c>
      <c r="D1283" s="1" t="str">
        <f aca="false">Report!X1974</f>
        <v>NF 656817 ELLEN</v>
      </c>
    </row>
    <row r="1284" customFormat="false" ht="12.75" hidden="false" customHeight="true" outlineLevel="0" collapsed="false">
      <c r="A1284" s="15" t="n">
        <f aca="false">Report!C1975</f>
        <v>46283</v>
      </c>
      <c r="B1284" s="1" t="str">
        <f aca="false">Report!E1975</f>
        <v>FEMAR IND E COM DE BEBIDAS LTDA</v>
      </c>
      <c r="C1284" s="16" t="n">
        <f aca="false">Report!U1975</f>
        <v>247.56</v>
      </c>
      <c r="D1284" s="1" t="str">
        <f aca="false">Report!X1975</f>
        <v>NF 58376 ELLEN</v>
      </c>
    </row>
    <row r="1285" customFormat="false" ht="12.75" hidden="false" customHeight="true" outlineLevel="0" collapsed="false">
      <c r="A1285" s="15" t="n">
        <f aca="false">Report!C1976</f>
        <v>46283</v>
      </c>
      <c r="B1285" s="1" t="str">
        <f aca="false">Report!E1976</f>
        <v>DISTRIBUIDORA LOPES LTDA</v>
      </c>
      <c r="C1285" s="16" t="n">
        <f aca="false">Report!U1976</f>
        <v>1333.11</v>
      </c>
      <c r="D1285" s="1" t="str">
        <f aca="false">Report!X1976</f>
        <v>NF 1724435 ELLEN</v>
      </c>
    </row>
    <row r="1286" customFormat="false" ht="12.75" hidden="false" customHeight="true" outlineLevel="0" collapsed="false">
      <c r="A1286" s="15" t="n">
        <f aca="false">Report!C1977</f>
        <v>46283</v>
      </c>
      <c r="B1286" s="1" t="str">
        <f aca="false">Report!E1977</f>
        <v>MAXFRI DISTRIUIDORA LTDA</v>
      </c>
      <c r="C1286" s="16" t="n">
        <f aca="false">Report!U1977</f>
        <v>1460.8</v>
      </c>
      <c r="D1286" s="1" t="str">
        <f aca="false">Report!X1977</f>
        <v>NF 15274 ELLEN</v>
      </c>
    </row>
    <row r="1287" customFormat="false" ht="12.75" hidden="false" customHeight="true" outlineLevel="0" collapsed="false">
      <c r="A1287" s="15" t="n">
        <f aca="false">Report!C1978</f>
        <v>46283</v>
      </c>
      <c r="B1287" s="1" t="str">
        <f aca="false">Report!E1978</f>
        <v>BRAGA TABACARIA EIRELI ME</v>
      </c>
      <c r="C1287" s="16" t="n">
        <f aca="false">Report!U1978</f>
        <v>860.51</v>
      </c>
      <c r="D1287" s="1" t="str">
        <f aca="false">Report!X1978</f>
        <v>NF 20278 ELLEN</v>
      </c>
    </row>
    <row r="1288" customFormat="false" ht="12.75" hidden="false" customHeight="true" outlineLevel="0" collapsed="false">
      <c r="A1288" s="15" t="n">
        <f aca="false">Report!C1979</f>
        <v>46284</v>
      </c>
      <c r="B1288" s="1" t="str">
        <f aca="false">Report!E1979</f>
        <v>FALCAO INDUSTRIA DE ALIMENTOS LTDA</v>
      </c>
      <c r="C1288" s="16" t="n">
        <f aca="false">Report!U1979</f>
        <v>309.71</v>
      </c>
      <c r="D1288" s="1" t="str">
        <f aca="false">Report!X1979</f>
        <v>NF 33408 ELLEN</v>
      </c>
    </row>
    <row r="1289" customFormat="false" ht="12.75" hidden="false" customHeight="true" outlineLevel="0" collapsed="false">
      <c r="A1289" s="15" t="n">
        <f aca="false">Report!C1982</f>
        <v>46286</v>
      </c>
      <c r="B1289" s="1" t="str">
        <f aca="false">Report!E1982</f>
        <v>MAXPEL COMERCIAL LTDA</v>
      </c>
      <c r="C1289" s="16" t="n">
        <f aca="false">Report!U1982</f>
        <v>983.77</v>
      </c>
      <c r="D1289" s="1" t="str">
        <f aca="false">Report!X1982</f>
        <v>NFS 319296/319297 - ELLEN</v>
      </c>
    </row>
    <row r="1290" customFormat="false" ht="12.75" hidden="false" customHeight="true" outlineLevel="0" collapsed="false">
      <c r="A1290" s="15" t="n">
        <f aca="false">Report!C1983</f>
        <v>46286</v>
      </c>
      <c r="B1290" s="1" t="str">
        <f aca="false">Report!E1983</f>
        <v>SB COMERCIO LTDA</v>
      </c>
      <c r="C1290" s="16" t="n">
        <f aca="false">Report!U1983</f>
        <v>521.74</v>
      </c>
      <c r="D1290" s="1" t="str">
        <f aca="false">Report!X1983</f>
        <v>NF 1966312 ELLEN</v>
      </c>
    </row>
    <row r="1291" customFormat="false" ht="12.75" hidden="false" customHeight="true" outlineLevel="0" collapsed="false">
      <c r="A1291" s="15" t="n">
        <f aca="false">Report!C1984</f>
        <v>46286</v>
      </c>
      <c r="B1291" s="1" t="str">
        <f aca="false">Report!E1984</f>
        <v>NESTLÉ BRASIL LTDA.</v>
      </c>
      <c r="C1291" s="16" t="n">
        <f aca="false">Report!U1984</f>
        <v>1255.7</v>
      </c>
      <c r="D1291" s="1" t="str">
        <f aca="false">Report!X1984</f>
        <v>NF NF 1441731 ELLEN</v>
      </c>
    </row>
    <row r="1292" customFormat="false" ht="12.75" hidden="false" customHeight="true" outlineLevel="0" collapsed="false">
      <c r="A1292" s="15" t="n">
        <f aca="false">Report!C1985</f>
        <v>46286</v>
      </c>
      <c r="B1292" s="1" t="str">
        <f aca="false">Report!E1985</f>
        <v>VICTORIA COMERCIO INTERNACIONAL DE ALIME</v>
      </c>
      <c r="C1292" s="16" t="n">
        <f aca="false">Report!U1985</f>
        <v>1213.95</v>
      </c>
      <c r="D1292" s="1" t="str">
        <f aca="false">Report!X1985</f>
        <v>NF 13070 ELLEN</v>
      </c>
    </row>
    <row r="1293" customFormat="false" ht="12.75" hidden="false" customHeight="true" outlineLevel="0" collapsed="false">
      <c r="A1293" s="15" t="n">
        <f aca="false">Report!C1987</f>
        <v>46286</v>
      </c>
      <c r="B1293" s="1" t="str">
        <f aca="false">Report!E1987</f>
        <v>MARTINS COM SERV DISTR SA</v>
      </c>
      <c r="C1293" s="16" t="n">
        <f aca="false">Report!U1987</f>
        <v>176.57</v>
      </c>
      <c r="D1293" s="1" t="str">
        <f aca="false">Report!X1987</f>
        <v>NF'S 1796899/1796900 ELLEN</v>
      </c>
    </row>
    <row r="1294" customFormat="false" ht="12.75" hidden="false" customHeight="true" outlineLevel="0" collapsed="false">
      <c r="A1294" s="15" t="n">
        <f aca="false">Report!C1988</f>
        <v>46287</v>
      </c>
      <c r="B1294" s="1" t="str">
        <f aca="false">Report!E1988</f>
        <v>CB COMERCIO E DISTRIBUIDORA DE ALIMENTOS</v>
      </c>
      <c r="C1294" s="16" t="n">
        <f aca="false">Report!U1988</f>
        <v>843.65</v>
      </c>
      <c r="D1294" s="1" t="str">
        <f aca="false">Report!X1988</f>
        <v>NF 866347 ELLEN</v>
      </c>
    </row>
    <row r="1295" customFormat="false" ht="12.75" hidden="false" customHeight="true" outlineLevel="0" collapsed="false">
      <c r="A1295" s="15" t="n">
        <f aca="false">Report!C1989</f>
        <v>46287</v>
      </c>
      <c r="B1295" s="1" t="str">
        <f aca="false">Report!E1989</f>
        <v>EDMARA COMERCIO DE HIGIENE PESSOAL LTDA</v>
      </c>
      <c r="C1295" s="16" t="n">
        <f aca="false">Report!U1989</f>
        <v>873.08</v>
      </c>
      <c r="D1295" s="1" t="str">
        <f aca="false">Report!X1989</f>
        <v>NF 8744 ELLEN</v>
      </c>
    </row>
    <row r="1296" customFormat="false" ht="12.75" hidden="false" customHeight="true" outlineLevel="0" collapsed="false">
      <c r="A1296" s="15" t="n">
        <f aca="false">Report!C1990</f>
        <v>46287</v>
      </c>
      <c r="B1296" s="1" t="str">
        <f aca="false">Report!E1990</f>
        <v>ATACADAO S.A.</v>
      </c>
      <c r="C1296" s="16" t="n">
        <f aca="false">Report!U1990</f>
        <v>942.69</v>
      </c>
      <c r="D1296" s="1" t="str">
        <f aca="false">Report!X1990</f>
        <v>NF 1925381 ELLEN</v>
      </c>
    </row>
    <row r="1297" customFormat="false" ht="12.75" hidden="false" customHeight="true" outlineLevel="0" collapsed="false">
      <c r="A1297" s="15" t="n">
        <f aca="false">Report!C1991</f>
        <v>46287</v>
      </c>
      <c r="B1297" s="1" t="str">
        <f aca="false">Report!E1991</f>
        <v>MARE DISTRIBUIDORA DE BEBIDAS E DE PRODUTOS ALIMENTICIOS LTDA</v>
      </c>
      <c r="C1297" s="16" t="n">
        <f aca="false">Report!U1991</f>
        <v>1917.5</v>
      </c>
      <c r="D1297" s="1" t="str">
        <f aca="false">Report!X1991</f>
        <v>NF 1440541 ELLEN</v>
      </c>
    </row>
    <row r="1298" customFormat="false" ht="12.75" hidden="false" customHeight="true" outlineLevel="0" collapsed="false">
      <c r="A1298" s="15" t="n">
        <f aca="false">Report!C1992</f>
        <v>46287</v>
      </c>
      <c r="B1298" s="1" t="str">
        <f aca="false">Report!E1992</f>
        <v>TOYA INDUSTRIA E COMERCIO LTDA.</v>
      </c>
      <c r="C1298" s="16" t="n">
        <f aca="false">Report!U1992</f>
        <v>972.4</v>
      </c>
      <c r="D1298" s="1" t="str">
        <f aca="false">Report!X1992</f>
        <v>NF 259439 ELLEN</v>
      </c>
    </row>
    <row r="1299" customFormat="false" ht="12.75" hidden="false" customHeight="true" outlineLevel="0" collapsed="false">
      <c r="A1299" s="15" t="n">
        <f aca="false">Report!C1993</f>
        <v>46287</v>
      </c>
      <c r="B1299" s="1" t="str">
        <f aca="false">Report!E1993</f>
        <v>FENNIX BRASIL DISTRIBUIDORA DE PRODUTOS</v>
      </c>
      <c r="C1299" s="16" t="n">
        <f aca="false">Report!U1993</f>
        <v>587.44</v>
      </c>
      <c r="D1299" s="1" t="str">
        <f aca="false">Report!X1993</f>
        <v>NF 399726 ELLEN</v>
      </c>
    </row>
    <row r="1300" customFormat="false" ht="12.75" hidden="false" customHeight="true" outlineLevel="0" collapsed="false">
      <c r="A1300" s="15" t="n">
        <f aca="false">Report!C1994</f>
        <v>46287</v>
      </c>
      <c r="B1300" s="1" t="str">
        <f aca="false">Report!E1994</f>
        <v>TAPAJOS COM DE PERFUMARIA COSMETICOS E G</v>
      </c>
      <c r="C1300" s="16" t="n">
        <f aca="false">Report!U1994</f>
        <v>573.28</v>
      </c>
      <c r="D1300" s="1" t="str">
        <f aca="false">Report!X1994</f>
        <v>NF 591052 ELLEN</v>
      </c>
    </row>
    <row r="1301" customFormat="false" ht="12.75" hidden="false" customHeight="true" outlineLevel="0" collapsed="false">
      <c r="A1301" s="15" t="n">
        <f aca="false">Report!C1996</f>
        <v>46288</v>
      </c>
      <c r="B1301" s="1" t="str">
        <f aca="false">Report!E1996</f>
        <v>OESA COMERCIO E REPRESENTACOES S/A</v>
      </c>
      <c r="C1301" s="16" t="n">
        <f aca="false">Report!U1996</f>
        <v>1510.34</v>
      </c>
      <c r="D1301" s="1" t="str">
        <f aca="false">Report!X1996</f>
        <v>NF 447609 ELLEN</v>
      </c>
    </row>
    <row r="1302" customFormat="false" ht="12.75" hidden="false" customHeight="true" outlineLevel="0" collapsed="false">
      <c r="A1302" s="15" t="n">
        <f aca="false">Report!C1997</f>
        <v>46288</v>
      </c>
      <c r="B1302" s="1" t="str">
        <f aca="false">Report!E1997</f>
        <v>BRF S A</v>
      </c>
      <c r="C1302" s="16" t="n">
        <f aca="false">Report!U1997</f>
        <v>2295.99</v>
      </c>
      <c r="D1302" s="1" t="str">
        <f aca="false">Report!X1997</f>
        <v>NF 1627324 ELLEN</v>
      </c>
    </row>
    <row r="1303" customFormat="false" ht="12.75" hidden="false" customHeight="true" outlineLevel="0" collapsed="false">
      <c r="A1303" s="15" t="n">
        <f aca="false">Report!C1998</f>
        <v>46288</v>
      </c>
      <c r="B1303" s="1" t="str">
        <f aca="false">Report!E1998</f>
        <v>BRASIL NORTE BEBIDAS S/A</v>
      </c>
      <c r="C1303" s="16" t="n">
        <f aca="false">Report!U1998</f>
        <v>50.85</v>
      </c>
      <c r="D1303" s="1" t="str">
        <f aca="false">Report!X1998</f>
        <v>NF 1281795 ELLEN</v>
      </c>
    </row>
    <row r="1304" customFormat="false" ht="12.75" hidden="false" customHeight="true" outlineLevel="0" collapsed="false">
      <c r="A1304" s="15" t="n">
        <f aca="false">Report!C1999</f>
        <v>46288</v>
      </c>
      <c r="B1304" s="1" t="str">
        <f aca="false">Report!E1999</f>
        <v>BRASIL NORTE BEBIDAS S/A</v>
      </c>
      <c r="C1304" s="16" t="n">
        <f aca="false">Report!U1999</f>
        <v>221.99</v>
      </c>
      <c r="D1304" s="1" t="str">
        <f aca="false">Report!X1999</f>
        <v>NF 2029788 ELLEN</v>
      </c>
    </row>
    <row r="1305" customFormat="false" ht="12.75" hidden="false" customHeight="true" outlineLevel="0" collapsed="false">
      <c r="A1305" s="15" t="n">
        <f aca="false">Report!C2000</f>
        <v>46288</v>
      </c>
      <c r="B1305" s="1" t="str">
        <f aca="false">Report!E2000</f>
        <v>BRASIL NORTE BEBIDAS S/A</v>
      </c>
      <c r="C1305" s="16" t="n">
        <f aca="false">Report!U2000</f>
        <v>949.62</v>
      </c>
      <c r="D1305" s="1" t="str">
        <f aca="false">Report!X2000</f>
        <v>NF 1281807 ELLEN</v>
      </c>
    </row>
    <row r="1306" customFormat="false" ht="12.75" hidden="false" customHeight="true" outlineLevel="0" collapsed="false">
      <c r="A1306" s="15" t="n">
        <f aca="false">Report!C2001</f>
        <v>46288</v>
      </c>
      <c r="B1306" s="1" t="str">
        <f aca="false">Report!E2001</f>
        <v>BRASIL NORTE BEBIDAS S/A</v>
      </c>
      <c r="C1306" s="16" t="n">
        <f aca="false">Report!U2001</f>
        <v>630.74</v>
      </c>
      <c r="D1306" s="1" t="str">
        <f aca="false">Report!X2001</f>
        <v>NF 1281791 ELLEN</v>
      </c>
    </row>
    <row r="1307" customFormat="false" ht="12.75" hidden="false" customHeight="true" outlineLevel="0" collapsed="false">
      <c r="A1307" s="15" t="n">
        <f aca="false">Report!C2002</f>
        <v>46288</v>
      </c>
      <c r="B1307" s="1" t="str">
        <f aca="false">Report!E2002</f>
        <v>BRASIL NORTE BEBIDAS S/A</v>
      </c>
      <c r="C1307" s="16" t="n">
        <f aca="false">Report!U2002</f>
        <v>2815.26</v>
      </c>
      <c r="D1307" s="1" t="str">
        <f aca="false">Report!X2002</f>
        <v>NF 2030858 ELLEN</v>
      </c>
    </row>
    <row r="1308" customFormat="false" ht="12.75" hidden="false" customHeight="true" outlineLevel="0" collapsed="false">
      <c r="A1308" s="15" t="n">
        <f aca="false">Report!C2004</f>
        <v>46288</v>
      </c>
      <c r="B1308" s="1" t="str">
        <f aca="false">Report!E2004</f>
        <v>FALCAO INDUSTRIA DE ALIMENTOS LTDA</v>
      </c>
      <c r="C1308" s="16" t="n">
        <f aca="false">Report!U2004</f>
        <v>2170.63</v>
      </c>
      <c r="D1308" s="1" t="str">
        <f aca="false">Report!X2004</f>
        <v>NF 33492 ELLEN</v>
      </c>
    </row>
    <row r="1309" customFormat="false" ht="12.75" hidden="false" customHeight="true" outlineLevel="0" collapsed="false">
      <c r="A1309" s="15" t="n">
        <f aca="false">Report!C2005</f>
        <v>46288</v>
      </c>
      <c r="B1309" s="1" t="str">
        <f aca="false">Report!E2005</f>
        <v>FALCAO INDUSTRIA DE ALIMENTOS LTDA</v>
      </c>
      <c r="C1309" s="16" t="n">
        <f aca="false">Report!U2005</f>
        <v>432.76</v>
      </c>
      <c r="D1309" s="1" t="str">
        <f aca="false">Report!X2005</f>
        <v>NF 38204 ELLEN</v>
      </c>
    </row>
    <row r="1310" customFormat="false" ht="12.75" hidden="false" customHeight="true" outlineLevel="0" collapsed="false">
      <c r="A1310" s="15" t="n">
        <f aca="false">Report!C2006</f>
        <v>46288</v>
      </c>
      <c r="B1310" s="1" t="str">
        <f aca="false">Report!E2006</f>
        <v>DISTRIBUIDORA LOPES LTDA</v>
      </c>
      <c r="C1310" s="16" t="n">
        <f aca="false">Report!U2006</f>
        <v>684.67</v>
      </c>
      <c r="D1310" s="1" t="str">
        <f aca="false">Report!X2006</f>
        <v>NF 1726308 ELLEN</v>
      </c>
    </row>
    <row r="1311" customFormat="false" ht="12.75" hidden="false" customHeight="true" outlineLevel="0" collapsed="false">
      <c r="A1311" s="15" t="n">
        <f aca="false">Report!C2007</f>
        <v>46288</v>
      </c>
      <c r="B1311" s="1" t="str">
        <f aca="false">Report!E2007</f>
        <v>RENATO DE O AZEVEDO E CIA LTDA - EPP</v>
      </c>
      <c r="C1311" s="16" t="n">
        <f aca="false">Report!U2007</f>
        <v>781.39</v>
      </c>
      <c r="D1311" s="1" t="str">
        <f aca="false">Report!X2007</f>
        <v>NF 5642 ELLEN</v>
      </c>
    </row>
    <row r="1312" customFormat="false" ht="12.75" hidden="false" customHeight="true" outlineLevel="0" collapsed="false">
      <c r="A1312" s="15" t="n">
        <f aca="false">Report!C2008</f>
        <v>46289</v>
      </c>
      <c r="B1312" s="1" t="str">
        <f aca="false">Report!E2008</f>
        <v>AMAZON MILK IND. E COMERCIO LTDA</v>
      </c>
      <c r="C1312" s="16" t="n">
        <f aca="false">Report!U2008</f>
        <v>805.4</v>
      </c>
      <c r="D1312" s="1" t="str">
        <f aca="false">Report!X2008</f>
        <v>NF 206697 ELLEN</v>
      </c>
    </row>
    <row r="1313" customFormat="false" ht="12.75" hidden="false" customHeight="true" outlineLevel="0" collapsed="false">
      <c r="A1313" s="15" t="n">
        <f aca="false">Report!C2009</f>
        <v>46289</v>
      </c>
      <c r="B1313" s="1" t="str">
        <f aca="false">Report!E2009</f>
        <v>SOUZA CRUZ LTDA.</v>
      </c>
      <c r="C1313" s="16" t="n">
        <f aca="false">Report!U2009</f>
        <v>4761.78</v>
      </c>
      <c r="D1313" s="1" t="str">
        <f aca="false">Report!X2009</f>
        <v>NF 572518 ELLEN</v>
      </c>
    </row>
    <row r="1314" customFormat="false" ht="12.75" hidden="false" customHeight="true" outlineLevel="0" collapsed="false">
      <c r="A1314" s="15" t="n">
        <f aca="false">Report!C2010</f>
        <v>46289</v>
      </c>
      <c r="B1314" s="1" t="str">
        <f aca="false">Report!E2010</f>
        <v>SB COMERCIO LTDA</v>
      </c>
      <c r="C1314" s="16" t="n">
        <f aca="false">Report!U2010</f>
        <v>419.38</v>
      </c>
      <c r="D1314" s="1" t="str">
        <f aca="false">Report!X2010</f>
        <v>NF 1968927 ELLEN</v>
      </c>
    </row>
    <row r="1315" customFormat="false" ht="12.75" hidden="false" customHeight="true" outlineLevel="0" collapsed="false">
      <c r="A1315" s="15" t="n">
        <f aca="false">Report!C2011</f>
        <v>46289</v>
      </c>
      <c r="B1315" s="1" t="str">
        <f aca="false">Report!E2011</f>
        <v>OCIDENTAL COMERCIO DE FRIOS LTDA</v>
      </c>
      <c r="C1315" s="16" t="n">
        <f aca="false">Report!U2011</f>
        <v>458.93</v>
      </c>
      <c r="D1315" s="1" t="str">
        <f aca="false">Report!X2011</f>
        <v>NF 1268629 ELLEN</v>
      </c>
    </row>
    <row r="1316" customFormat="false" ht="12.75" hidden="false" customHeight="true" outlineLevel="0" collapsed="false">
      <c r="A1316" s="15" t="n">
        <f aca="false">Report!C2016</f>
        <v>46290</v>
      </c>
      <c r="B1316" s="1" t="str">
        <f aca="false">Report!E2016</f>
        <v>DURAES DISTRIBUIDORA DE ESTIVAS LTDA</v>
      </c>
      <c r="C1316" s="16" t="n">
        <f aca="false">Report!U2016</f>
        <v>610.19</v>
      </c>
      <c r="D1316" s="1" t="str">
        <f aca="false">Report!X2016</f>
        <v>NF 656817 ELLEN</v>
      </c>
    </row>
    <row r="1317" customFormat="false" ht="12.75" hidden="false" customHeight="true" outlineLevel="0" collapsed="false">
      <c r="A1317" s="15" t="n">
        <f aca="false">Report!C2017</f>
        <v>46290</v>
      </c>
      <c r="B1317" s="1" t="str">
        <f aca="false">Report!E2017</f>
        <v>DISTRIBUIDORA LOPES LTDA</v>
      </c>
      <c r="C1317" s="16" t="n">
        <f aca="false">Report!U2017</f>
        <v>1333.12</v>
      </c>
      <c r="D1317" s="1" t="str">
        <f aca="false">Report!X2017</f>
        <v>NF 1724435 ELLEN</v>
      </c>
    </row>
    <row r="1318" customFormat="false" ht="12.75" hidden="false" customHeight="true" outlineLevel="0" collapsed="false">
      <c r="A1318" s="15" t="n">
        <f aca="false">Report!C2018</f>
        <v>46290</v>
      </c>
      <c r="B1318" s="1" t="str">
        <f aca="false">Report!E2018</f>
        <v>BRAGA TABACARIA EIRELI ME</v>
      </c>
      <c r="C1318" s="16" t="n">
        <f aca="false">Report!U2018</f>
        <v>860.5</v>
      </c>
      <c r="D1318" s="1" t="str">
        <f aca="false">Report!X2018</f>
        <v>NF 20278 ELLEN</v>
      </c>
    </row>
    <row r="1319" customFormat="false" ht="12.75" hidden="false" customHeight="true" outlineLevel="0" collapsed="false">
      <c r="A1319" s="15" t="n">
        <f aca="false">Report!C2020</f>
        <v>46293</v>
      </c>
      <c r="B1319" s="1" t="str">
        <f aca="false">Report!E2020</f>
        <v>VICTORIA COMERCIO INTERNACIONAL DE ALIME</v>
      </c>
      <c r="C1319" s="16" t="n">
        <f aca="false">Report!U2020</f>
        <v>1213.96</v>
      </c>
      <c r="D1319" s="1" t="str">
        <f aca="false">Report!X2020</f>
        <v>NF 13070 ELLEN</v>
      </c>
    </row>
    <row r="1320" customFormat="false" ht="12.75" hidden="false" customHeight="true" outlineLevel="0" collapsed="false">
      <c r="A1320" s="15" t="n">
        <f aca="false">Report!C2021</f>
        <v>46293</v>
      </c>
      <c r="B1320" s="1" t="str">
        <f aca="false">Report!E2021</f>
        <v>ATACADAO S.A.</v>
      </c>
      <c r="C1320" s="16" t="n">
        <f aca="false">Report!U2021</f>
        <v>1348.29</v>
      </c>
      <c r="D1320" s="1" t="str">
        <f aca="false">Report!X2021</f>
        <v>NF 1927745 ELLEN</v>
      </c>
    </row>
    <row r="1321" customFormat="false" ht="12.75" hidden="false" customHeight="true" outlineLevel="0" collapsed="false">
      <c r="A1321" s="15" t="n">
        <f aca="false">Report!C2023</f>
        <v>46293</v>
      </c>
      <c r="B1321" s="1" t="str">
        <f aca="false">Report!E2023</f>
        <v>MARTINS COM SERV DISTR SA</v>
      </c>
      <c r="C1321" s="16" t="n">
        <f aca="false">Report!U2023</f>
        <v>176.57</v>
      </c>
      <c r="D1321" s="1" t="str">
        <f aca="false">Report!X2023</f>
        <v>NF'S 1796899/1796900 ELLEN</v>
      </c>
    </row>
    <row r="1322" customFormat="false" ht="12.75" hidden="false" customHeight="true" outlineLevel="0" collapsed="false">
      <c r="A1322" s="15" t="n">
        <f aca="false">Report!C2024</f>
        <v>46294</v>
      </c>
      <c r="B1322" s="1" t="str">
        <f aca="false">Report!E2024</f>
        <v>SMV COMERCIO DE PRODUTOS ALIMENTICIOS LT</v>
      </c>
      <c r="C1322" s="16" t="n">
        <f aca="false">Report!U2024</f>
        <v>348.18</v>
      </c>
      <c r="D1322" s="1" t="str">
        <f aca="false">Report!X2024</f>
        <v>NF 7287 ELLEN</v>
      </c>
    </row>
    <row r="1323" customFormat="false" ht="12.75" hidden="false" customHeight="true" outlineLevel="0" collapsed="false">
      <c r="A1323" s="15" t="n">
        <f aca="false">Report!C2025</f>
        <v>46294</v>
      </c>
      <c r="B1323" s="1" t="str">
        <f aca="false">Report!E2025</f>
        <v>EDMARA COMERCIO DE HIGIENE PESSOAL LTDA</v>
      </c>
      <c r="C1323" s="16" t="n">
        <f aca="false">Report!U2025</f>
        <v>873.06</v>
      </c>
      <c r="D1323" s="1" t="str">
        <f aca="false">Report!X2025</f>
        <v>NF 8744 ELLEN</v>
      </c>
    </row>
    <row r="1324" customFormat="false" ht="12.75" hidden="false" customHeight="true" outlineLevel="0" collapsed="false">
      <c r="A1324" s="15" t="n">
        <f aca="false">Report!C2026</f>
        <v>46294</v>
      </c>
      <c r="B1324" s="1" t="str">
        <f aca="false">Report!E2026</f>
        <v>FENNIX BRASIL DISTRIBUIDORA DE PRODUTOS</v>
      </c>
      <c r="C1324" s="16" t="n">
        <f aca="false">Report!U2026</f>
        <v>587.44</v>
      </c>
      <c r="D1324" s="1" t="str">
        <f aca="false">Report!X2026</f>
        <v>NF 399726 ELLEN</v>
      </c>
    </row>
    <row r="1325" customFormat="false" ht="12.75" hidden="false" customHeight="true" outlineLevel="0" collapsed="false">
      <c r="A1325" s="15" t="n">
        <f aca="false">Report!C2027</f>
        <v>46294</v>
      </c>
      <c r="B1325" s="1" t="str">
        <f aca="false">Report!E2027</f>
        <v>TAPAJOS COM DE PERFUMARIA COSMETICOS E G</v>
      </c>
      <c r="C1325" s="16" t="n">
        <f aca="false">Report!U2027</f>
        <v>575.27</v>
      </c>
      <c r="D1325" s="1" t="str">
        <f aca="false">Report!X2027</f>
        <v>NF 591052 ELLEN</v>
      </c>
    </row>
    <row r="1326" customFormat="false" ht="12.75" hidden="false" customHeight="true" outlineLevel="0" collapsed="false">
      <c r="A1326" s="15" t="n">
        <f aca="false">Report!C2030</f>
        <v>46295</v>
      </c>
      <c r="B1326" s="1" t="str">
        <f aca="false">Report!E2030</f>
        <v>DISTRIBUIDORA LOPES LTDA</v>
      </c>
      <c r="C1326" s="16" t="n">
        <f aca="false">Report!U2030</f>
        <v>684.67</v>
      </c>
      <c r="D1326" s="1" t="str">
        <f aca="false">Report!X2030</f>
        <v>NF 1726308 ELLEN</v>
      </c>
    </row>
    <row r="1327" customFormat="false" ht="12.75" hidden="false" customHeight="true" outlineLevel="0" collapsed="false">
      <c r="A1327" s="15" t="n">
        <f aca="false">Report!C2031</f>
        <v>46295</v>
      </c>
      <c r="B1327" s="1" t="str">
        <f aca="false">Report!E2031</f>
        <v>RENATO DE O AZEVEDO E CIA LTDA - EPP</v>
      </c>
      <c r="C1327" s="16" t="n">
        <f aca="false">Report!U2031</f>
        <v>781.38</v>
      </c>
      <c r="D1327" s="1" t="str">
        <f aca="false">Report!X2031</f>
        <v>NF 5642 ELLEN</v>
      </c>
    </row>
    <row r="1328" customFormat="false" ht="12.75" hidden="false" customHeight="true" outlineLevel="0" collapsed="false">
      <c r="A1328" s="15" t="n">
        <f aca="false">Report!C2033</f>
        <v>46296</v>
      </c>
      <c r="B1328" s="1" t="str">
        <f aca="false">Report!E2033</f>
        <v>A. CORREA JUNIOR</v>
      </c>
      <c r="C1328" s="16" t="n">
        <f aca="false">Report!U2033</f>
        <v>638.75</v>
      </c>
      <c r="D1328" s="1" t="str">
        <f aca="false">Report!X2033</f>
        <v>NF 1898 CT DIA 1 - PARC 2/2 - ELLEN</v>
      </c>
    </row>
    <row r="1329" customFormat="false" ht="12.75" hidden="false" customHeight="true" outlineLevel="0" collapsed="false">
      <c r="A1329" s="15" t="n">
        <f aca="false">Report!C2034</f>
        <v>46296</v>
      </c>
      <c r="B1329" s="1" t="str">
        <f aca="false">Report!E2034</f>
        <v>SB COMERCIO LTDA</v>
      </c>
      <c r="C1329" s="16" t="n">
        <f aca="false">Report!U2034</f>
        <v>419.38</v>
      </c>
      <c r="D1329" s="1" t="str">
        <f aca="false">Report!X2034</f>
        <v>NF 1968927 ELLEN</v>
      </c>
    </row>
    <row r="1330" customFormat="false" ht="12.75" hidden="false" customHeight="true" outlineLevel="0" collapsed="false">
      <c r="A1330" s="15" t="n">
        <f aca="false">Report!C2036</f>
        <v>46297</v>
      </c>
      <c r="B1330" s="1" t="str">
        <f aca="false">Report!E2036</f>
        <v>DISTRIBUIDORA LOPES LTDA</v>
      </c>
      <c r="C1330" s="16" t="n">
        <f aca="false">Report!U2036</f>
        <v>1333.12</v>
      </c>
      <c r="D1330" s="1" t="str">
        <f aca="false">Report!X2036</f>
        <v>NF 1724435 ELLEN</v>
      </c>
    </row>
    <row r="1331" customFormat="false" ht="12.75" hidden="false" customHeight="true" outlineLevel="0" collapsed="false">
      <c r="A1331" s="15" t="n">
        <f aca="false">Report!C2040</f>
        <v>46300</v>
      </c>
      <c r="B1331" s="1" t="str">
        <f aca="false">Report!E2040</f>
        <v>ATACADAO S.A.</v>
      </c>
      <c r="C1331" s="16" t="n">
        <f aca="false">Report!U2040</f>
        <v>476.24</v>
      </c>
      <c r="D1331" s="1" t="str">
        <f aca="false">Report!X2040</f>
        <v>NF 1930761 ELLEN</v>
      </c>
    </row>
    <row r="1332" customFormat="false" ht="12.75" hidden="false" customHeight="true" outlineLevel="0" collapsed="false">
      <c r="A1332" s="15" t="n">
        <f aca="false">Report!C2041</f>
        <v>46301</v>
      </c>
      <c r="B1332" s="1" t="str">
        <f aca="false">Report!E2041</f>
        <v>TAPAJOS COM DE PERFUMARIA COSMETICOS E G</v>
      </c>
      <c r="C1332" s="16" t="n">
        <f aca="false">Report!U2041</f>
        <v>575.27</v>
      </c>
      <c r="D1332" s="1" t="str">
        <f aca="false">Report!X2041</f>
        <v>NF 591052 ELLEN</v>
      </c>
    </row>
    <row r="1333" customFormat="false" ht="12.75" hidden="false" customHeight="true" outlineLevel="0" collapsed="false">
      <c r="A1333" s="15" t="n">
        <f aca="false">Report!C2043</f>
        <v>46302</v>
      </c>
      <c r="B1333" s="1" t="str">
        <f aca="false">Report!E2043</f>
        <v>DISTRIBUIDORA LOPES LTDA</v>
      </c>
      <c r="C1333" s="16" t="n">
        <f aca="false">Report!U2043</f>
        <v>684.67</v>
      </c>
      <c r="D1333" s="1" t="str">
        <f aca="false">Report!X2043</f>
        <v>NF 1726308 ELLEN</v>
      </c>
    </row>
    <row r="1334" customFormat="false" ht="12.75" hidden="false" customHeight="true" outlineLevel="0" collapsed="false">
      <c r="A1334" s="15" t="n">
        <f aca="false">Report!C2044</f>
        <v>46303</v>
      </c>
      <c r="B1334" s="1" t="str">
        <f aca="false">Report!E2044</f>
        <v>SB COMERCIO LTDA</v>
      </c>
      <c r="C1334" s="16" t="n">
        <f aca="false">Report!U2044</f>
        <v>419.5</v>
      </c>
      <c r="D1334" s="1" t="str">
        <f aca="false">Report!X2044</f>
        <v>NF 1968927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1732</v>
      </c>
      <c r="B1" s="21" t="s">
        <v>1733</v>
      </c>
      <c r="C1" s="21" t="s">
        <v>1734</v>
      </c>
      <c r="D1" s="21" t="s">
        <v>1735</v>
      </c>
    </row>
    <row r="2" customFormat="false" ht="12.75" hidden="false" customHeight="true" outlineLevel="0" collapsed="false">
      <c r="A2" s="22" t="s">
        <v>1736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1737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1738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1739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1740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1741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1742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1743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1744</v>
      </c>
      <c r="B10" s="16" t="n">
        <f aca="false">SUMIFS(Report!$U:$U,Report!$T:$T,"&lt;&gt;"&amp;"MERCADORIAS P/REVENDA",Report!$AA:$AA,"SIM",Report!$C:$C,"&gt;="&amp;DATE(2026,9,1),Report!$C:$C,"&lt;="&amp;DATE(2026,9,30))</f>
        <v>59024.31</v>
      </c>
      <c r="C10" s="16" t="n">
        <f aca="false">SUMIFS(Report!$U:$U,Report!$T:$T,"MERCADORIAS P/REVENDA",Report!$AA:$AA,"SIM",Report!$C:$C,"&gt;="&amp;DATE(2026,9,1),Report!$C:$C,"&lt;="&amp;DATE(2026,9,30))</f>
        <v>222125.16</v>
      </c>
      <c r="D10" s="16" t="n">
        <f aca="false">B10+C10</f>
        <v>281149.47</v>
      </c>
    </row>
    <row r="11" customFormat="false" ht="12.75" hidden="false" customHeight="true" outlineLevel="0" collapsed="false">
      <c r="A11" s="22" t="s">
        <v>1745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4546.93</v>
      </c>
      <c r="D11" s="16" t="n">
        <f aca="false">B11+C11</f>
        <v>31321.63</v>
      </c>
    </row>
    <row r="12" customFormat="false" ht="12.75" hidden="false" customHeight="true" outlineLevel="0" collapsed="false">
      <c r="A12" s="22" t="s">
        <v>1746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12462.94</v>
      </c>
    </row>
    <row r="13" customFormat="false" ht="12.75" hidden="false" customHeight="true" outlineLevel="0" collapsed="false">
      <c r="A13" s="22" t="s">
        <v>1747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2" t="s">
        <v>1748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1749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1750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1751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1752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1753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1754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1755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1756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1757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1758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1759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1760</v>
      </c>
      <c r="B26" s="25" t="n">
        <f aca="false">SUM(B2:B25)</f>
        <v>535293.8</v>
      </c>
      <c r="C26" s="25" t="n">
        <f aca="false">SUM(C2:C25)</f>
        <v>1090987.33</v>
      </c>
      <c r="D26" s="25" t="n">
        <f aca="false">SUM(D2:D25)</f>
        <v>1626281.13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1761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1735</v>
      </c>
      <c r="AA2" s="27"/>
      <c r="AB2" s="28" t="s">
        <v>1762</v>
      </c>
      <c r="AC2" s="28" t="s">
        <v>1763</v>
      </c>
      <c r="AE2" s="28" t="s">
        <v>1764</v>
      </c>
    </row>
    <row r="3" customFormat="false" ht="12.75" hidden="false" customHeight="true" outlineLevel="0" collapsed="false">
      <c r="A3" s="29" t="s">
        <v>1765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281149.47</v>
      </c>
      <c r="K3" s="25" t="n">
        <f aca="false">SUMIFS(Report!$U:$U,Report!$AA:$AA,"SIM",Report!$C:$C,"&gt;="&amp;DATE(2026,10,1),Report!$C:$C,"&lt;="&amp;DATE(2026,10,31))</f>
        <v>31321.63</v>
      </c>
      <c r="L3" s="25" t="n">
        <f aca="false">SUMIFS(Report!$U:$U,Report!$AA:$AA,"SIM",Report!$C:$C,"&gt;="&amp;DATE(2026,11,1),Report!$C:$C,"&lt;="&amp;DATE(2026,11,30))</f>
        <v>12462.94</v>
      </c>
      <c r="M3" s="25" t="n">
        <f aca="false">SUMIFS(Report!$U:$U,Report!$AA:$AA,"SIM",Report!$C:$C,"&gt;="&amp;DATE(2026,12,1),Report!$C:$C,"&lt;="&amp;DATE(2026,12,31))</f>
        <v>12640.19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1626281.13</v>
      </c>
      <c r="AB3" s="1" t="s">
        <v>209</v>
      </c>
      <c r="AC3" s="1" t="s">
        <v>1766</v>
      </c>
      <c r="AE3" s="1" t="s">
        <v>1767</v>
      </c>
    </row>
    <row r="4" customFormat="false" ht="12.75" hidden="false" customHeight="true" outlineLevel="0" collapsed="false">
      <c r="A4" s="1" t="s">
        <v>1766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37455.35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359534.74</v>
      </c>
      <c r="AB4" s="1" t="s">
        <v>150</v>
      </c>
      <c r="AC4" s="1" t="s">
        <v>1766</v>
      </c>
    </row>
    <row r="5" customFormat="false" ht="12.75" hidden="false" customHeight="true" outlineLevel="0" collapsed="false">
      <c r="A5" s="1" t="s">
        <v>1768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1766</v>
      </c>
    </row>
    <row r="6" customFormat="false" ht="12.75" hidden="false" customHeight="true" outlineLevel="0" collapsed="false">
      <c r="A6" s="1" t="s">
        <v>1769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1766</v>
      </c>
    </row>
    <row r="7" customFormat="false" ht="12.75" hidden="false" customHeight="true" outlineLevel="0" collapsed="false">
      <c r="A7" s="1" t="s">
        <v>1770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222125.16</v>
      </c>
      <c r="K7" s="16" t="n">
        <f aca="false">SUMIFS(Report!$U:$U,Report!$Z:$Z,"Mercadoria",Report!$AA:$AA,"SIM",Report!$C:$C,"&gt;="&amp;DATE(2026,10,1),Report!$C:$C,"&lt;="&amp;DATE(2026,10,31))</f>
        <v>4546.93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1090987.33</v>
      </c>
      <c r="AB7" s="1" t="s">
        <v>508</v>
      </c>
      <c r="AC7" s="1" t="s">
        <v>1771</v>
      </c>
    </row>
    <row r="8" customFormat="false" ht="12.75" hidden="false" customHeight="true" outlineLevel="0" collapsed="false">
      <c r="A8" s="1" t="s">
        <v>1772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1766</v>
      </c>
    </row>
    <row r="9" customFormat="false" ht="12.75" hidden="false" customHeight="true" outlineLevel="0" collapsed="false">
      <c r="A9" s="1" t="s">
        <v>1771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13126.03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75846.76</v>
      </c>
      <c r="AB9" s="1" t="s">
        <v>606</v>
      </c>
      <c r="AC9" s="1" t="s">
        <v>1766</v>
      </c>
    </row>
    <row r="10" customFormat="false" ht="12.75" hidden="false" customHeight="true" outlineLevel="0" collapsed="false">
      <c r="A10" s="29" t="s">
        <v>1773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500.32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2277.14</v>
      </c>
      <c r="AB10" s="1" t="s">
        <v>687</v>
      </c>
      <c r="AC10" s="1" t="s">
        <v>1766</v>
      </c>
    </row>
    <row r="11" customFormat="false" ht="12.75" hidden="false" customHeight="true" outlineLevel="0" collapsed="false">
      <c r="A11" s="1" t="s">
        <v>1774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1766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1775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59024.31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535293.8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1766</v>
      </c>
    </row>
    <row r="16" customFormat="false" ht="12.75" hidden="false" customHeight="true" outlineLevel="0" collapsed="false">
      <c r="A16" s="1" t="s">
        <v>1776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1766</v>
      </c>
    </row>
    <row r="17" customFormat="false" ht="12.75" hidden="false" customHeight="true" outlineLevel="0" collapsed="false">
      <c r="A17" s="1" t="s">
        <v>1777</v>
      </c>
      <c r="AB17" s="1" t="s">
        <v>163</v>
      </c>
      <c r="AC17" s="1" t="s">
        <v>1766</v>
      </c>
    </row>
    <row r="18" customFormat="false" ht="12.75" hidden="false" customHeight="true" outlineLevel="0" collapsed="false">
      <c r="AB18" s="1" t="s">
        <v>77</v>
      </c>
      <c r="AC18" s="1" t="s">
        <v>1766</v>
      </c>
    </row>
    <row r="19" customFormat="false" ht="12.75" hidden="false" customHeight="true" outlineLevel="0" collapsed="false">
      <c r="AB19" s="1" t="s">
        <v>123</v>
      </c>
      <c r="AC19" s="1" t="s">
        <v>1771</v>
      </c>
    </row>
    <row r="20" customFormat="false" ht="12.75" hidden="false" customHeight="true" outlineLevel="0" collapsed="false">
      <c r="AB20" s="1" t="s">
        <v>334</v>
      </c>
      <c r="AC20" s="1" t="s">
        <v>1768</v>
      </c>
    </row>
    <row r="21" customFormat="false" ht="12.75" hidden="false" customHeight="true" outlineLevel="0" collapsed="false">
      <c r="AB21" s="1" t="s">
        <v>550</v>
      </c>
      <c r="AC21" s="1" t="s">
        <v>1766</v>
      </c>
    </row>
    <row r="22" customFormat="false" ht="12.75" hidden="false" customHeight="true" outlineLevel="0" collapsed="false">
      <c r="AB22" s="1" t="s">
        <v>847</v>
      </c>
      <c r="AC22" s="1" t="s">
        <v>1771</v>
      </c>
    </row>
    <row r="23" customFormat="false" ht="12.75" hidden="false" customHeight="true" outlineLevel="0" collapsed="false">
      <c r="AB23" s="1" t="s">
        <v>1112</v>
      </c>
      <c r="AC23" s="1" t="s">
        <v>1771</v>
      </c>
    </row>
    <row r="24" customFormat="false" ht="12.75" hidden="false" customHeight="true" outlineLevel="0" collapsed="false">
      <c r="AB24" s="1" t="s">
        <v>483</v>
      </c>
      <c r="AC24" s="1" t="s">
        <v>1769</v>
      </c>
    </row>
    <row r="25" customFormat="false" ht="12.75" hidden="false" customHeight="true" outlineLevel="0" collapsed="false">
      <c r="AB25" s="1" t="s">
        <v>48</v>
      </c>
      <c r="AC25" s="1" t="s">
        <v>1766</v>
      </c>
    </row>
    <row r="26" customFormat="false" ht="12.75" hidden="false" customHeight="true" outlineLevel="0" collapsed="false">
      <c r="AB26" s="1" t="s">
        <v>387</v>
      </c>
      <c r="AC26" s="1" t="s">
        <v>1766</v>
      </c>
    </row>
    <row r="27" customFormat="false" ht="12.75" hidden="false" customHeight="true" outlineLevel="0" collapsed="false">
      <c r="AB27" s="1" t="s">
        <v>750</v>
      </c>
      <c r="AC27" s="1" t="s">
        <v>1766</v>
      </c>
    </row>
    <row r="28" customFormat="false" ht="12.75" hidden="false" customHeight="true" outlineLevel="0" collapsed="false">
      <c r="AB28" s="1" t="s">
        <v>1778</v>
      </c>
      <c r="AC28" s="1" t="s">
        <v>1769</v>
      </c>
    </row>
    <row r="29" customFormat="false" ht="12.75" hidden="false" customHeight="true" outlineLevel="0" collapsed="false">
      <c r="AB29" s="1" t="s">
        <v>770</v>
      </c>
      <c r="AC29" s="1" t="s">
        <v>1766</v>
      </c>
    </row>
    <row r="30" customFormat="false" ht="12.75" hidden="false" customHeight="true" outlineLevel="0" collapsed="false">
      <c r="AB30" s="1" t="s">
        <v>481</v>
      </c>
      <c r="AC30" s="1" t="s">
        <v>1769</v>
      </c>
    </row>
    <row r="31" customFormat="false" ht="12.75" hidden="false" customHeight="true" outlineLevel="0" collapsed="false">
      <c r="AB31" s="1" t="s">
        <v>283</v>
      </c>
      <c r="AC31" s="1" t="s">
        <v>1766</v>
      </c>
    </row>
    <row r="32" customFormat="false" ht="12.75" hidden="false" customHeight="true" outlineLevel="0" collapsed="false">
      <c r="AB32" s="1" t="s">
        <v>159</v>
      </c>
      <c r="AC32" s="1" t="s">
        <v>1766</v>
      </c>
    </row>
    <row r="33" customFormat="false" ht="12.75" hidden="false" customHeight="true" outlineLevel="0" collapsed="false">
      <c r="AB33" s="1" t="s">
        <v>408</v>
      </c>
      <c r="AC33" s="1" t="s">
        <v>1769</v>
      </c>
    </row>
    <row r="34" customFormat="false" ht="12.75" hidden="false" customHeight="true" outlineLevel="0" collapsed="false">
      <c r="AB34" s="1" t="s">
        <v>1084</v>
      </c>
      <c r="AC34" s="1" t="s">
        <v>1766</v>
      </c>
    </row>
    <row r="35" customFormat="false" ht="12.75" hidden="false" customHeight="true" outlineLevel="0" collapsed="false">
      <c r="AB35" s="1" t="s">
        <v>266</v>
      </c>
      <c r="AC35" s="1" t="s">
        <v>1768</v>
      </c>
    </row>
    <row r="36" customFormat="false" ht="12.75" hidden="false" customHeight="true" outlineLevel="0" collapsed="false">
      <c r="AB36" s="1" t="s">
        <v>746</v>
      </c>
      <c r="AC36" s="1" t="s">
        <v>1766</v>
      </c>
    </row>
    <row r="37" customFormat="false" ht="12.75" hidden="false" customHeight="true" outlineLevel="0" collapsed="false">
      <c r="AB37" s="1" t="s">
        <v>324</v>
      </c>
      <c r="AC37" s="1" t="s">
        <v>1766</v>
      </c>
    </row>
    <row r="38" customFormat="false" ht="12.75" hidden="false" customHeight="true" outlineLevel="0" collapsed="false">
      <c r="AB38" s="1" t="s">
        <v>52</v>
      </c>
      <c r="AC38" s="1" t="s">
        <v>1766</v>
      </c>
    </row>
    <row r="39" customFormat="false" ht="12.75" hidden="false" customHeight="true" outlineLevel="0" collapsed="false">
      <c r="AB39" s="1" t="s">
        <v>71</v>
      </c>
      <c r="AC39" s="1" t="s">
        <v>1766</v>
      </c>
    </row>
    <row r="40" customFormat="false" ht="12.75" hidden="false" customHeight="true" outlineLevel="0" collapsed="false">
      <c r="AB40" s="1" t="s">
        <v>609</v>
      </c>
      <c r="AC40" s="1" t="s">
        <v>1766</v>
      </c>
    </row>
    <row r="41" customFormat="false" ht="12.75" hidden="false" customHeight="true" outlineLevel="0" collapsed="false">
      <c r="AB41" s="1" t="s">
        <v>203</v>
      </c>
      <c r="AC41" s="1" t="s">
        <v>1766</v>
      </c>
    </row>
    <row r="42" customFormat="false" ht="12.75" hidden="false" customHeight="true" outlineLevel="0" collapsed="false">
      <c r="AB42" s="1" t="s">
        <v>63</v>
      </c>
      <c r="AC42" s="1" t="s">
        <v>1770</v>
      </c>
    </row>
    <row r="43" customFormat="false" ht="12.75" hidden="false" customHeight="true" outlineLevel="0" collapsed="false">
      <c r="AB43" s="1" t="s">
        <v>488</v>
      </c>
      <c r="AC43" s="1" t="s">
        <v>1766</v>
      </c>
    </row>
    <row r="44" customFormat="false" ht="12.75" hidden="false" customHeight="true" outlineLevel="0" collapsed="false">
      <c r="AB44" s="1" t="s">
        <v>58</v>
      </c>
      <c r="AC44" s="1" t="s">
        <v>1772</v>
      </c>
    </row>
    <row r="45" customFormat="false" ht="12.75" hidden="false" customHeight="true" outlineLevel="0" collapsed="false">
      <c r="AB45" s="1" t="s">
        <v>1086</v>
      </c>
      <c r="AC45" s="1" t="s">
        <v>1766</v>
      </c>
    </row>
    <row r="46" customFormat="false" ht="12.75" hidden="false" customHeight="true" outlineLevel="0" collapsed="false">
      <c r="AB46" s="1" t="s">
        <v>456</v>
      </c>
      <c r="AC46" s="1" t="s">
        <v>1771</v>
      </c>
    </row>
    <row r="47" customFormat="false" ht="12.75" hidden="false" customHeight="true" outlineLevel="0" collapsed="false">
      <c r="AB47" s="1" t="s">
        <v>497</v>
      </c>
      <c r="AC47" s="1" t="s">
        <v>1766</v>
      </c>
    </row>
    <row r="48" customFormat="false" ht="12.75" hidden="false" customHeight="true" outlineLevel="0" collapsed="false">
      <c r="AB48" s="1" t="s">
        <v>248</v>
      </c>
      <c r="AC48" s="1" t="s">
        <v>1771</v>
      </c>
    </row>
    <row r="49" customFormat="false" ht="12.75" hidden="false" customHeight="true" outlineLevel="0" collapsed="false">
      <c r="AB49" s="1" t="s">
        <v>253</v>
      </c>
      <c r="AC49" s="1" t="s">
        <v>1771</v>
      </c>
    </row>
    <row r="50" customFormat="false" ht="12.75" hidden="false" customHeight="true" outlineLevel="0" collapsed="false">
      <c r="AB50" s="1" t="s">
        <v>513</v>
      </c>
      <c r="AC50" s="1" t="s">
        <v>1769</v>
      </c>
    </row>
    <row r="51" customFormat="false" ht="12.75" hidden="false" customHeight="true" outlineLevel="0" collapsed="false">
      <c r="AB51" s="1" t="s">
        <v>121</v>
      </c>
      <c r="AC51" s="1" t="s">
        <v>1766</v>
      </c>
    </row>
    <row r="52" customFormat="false" ht="12.75" hidden="false" customHeight="true" outlineLevel="0" collapsed="false">
      <c r="AB52" s="1" t="s">
        <v>1220</v>
      </c>
      <c r="AC52" s="1" t="s">
        <v>1766</v>
      </c>
    </row>
    <row r="53" customFormat="false" ht="12.75" hidden="false" customHeight="true" outlineLevel="0" collapsed="false">
      <c r="AB53" s="1" t="s">
        <v>113</v>
      </c>
      <c r="AC53" s="1" t="s">
        <v>1771</v>
      </c>
    </row>
    <row r="54" customFormat="false" ht="12.75" hidden="false" customHeight="true" outlineLevel="0" collapsed="false">
      <c r="AB54" s="1" t="s">
        <v>1367</v>
      </c>
      <c r="AC54" s="1" t="s">
        <v>1766</v>
      </c>
    </row>
    <row r="55" customFormat="false" ht="12.75" hidden="false" customHeight="true" outlineLevel="0" collapsed="false">
      <c r="AB55" s="1" t="s">
        <v>40</v>
      </c>
      <c r="AC55" s="1" t="s">
        <v>1766</v>
      </c>
    </row>
    <row r="56" customFormat="false" ht="12.75" hidden="false" customHeight="true" outlineLevel="0" collapsed="false">
      <c r="AB56" s="1" t="s">
        <v>543</v>
      </c>
      <c r="AC56" s="1" t="s">
        <v>1771</v>
      </c>
    </row>
    <row r="57" customFormat="false" ht="12.75" hidden="false" customHeight="true" outlineLevel="0" collapsed="false">
      <c r="AB57" s="1" t="s">
        <v>44</v>
      </c>
      <c r="AC57" s="1" t="s">
        <v>1766</v>
      </c>
    </row>
    <row r="58" customFormat="false" ht="12.75" hidden="false" customHeight="true" outlineLevel="0" collapsed="false">
      <c r="AB58" s="1" t="s">
        <v>55</v>
      </c>
      <c r="AC58" s="1" t="s">
        <v>1773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1779</v>
      </c>
      <c r="B1" s="20" t="s">
        <v>1761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1735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2417.37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21472.56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1080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13059.14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1130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10160</v>
      </c>
    </row>
    <row r="29" customFormat="false" ht="12.75" hidden="false" customHeight="true" outlineLevel="0" collapsed="false">
      <c r="A29" s="1" t="s">
        <v>1778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222125.16</v>
      </c>
      <c r="L43" s="16" t="n">
        <f aca="false">SUMIFS(Report!$U:$U,Report!$T:$T,$A43,Report!$C:$C,"&gt;="&amp;DATE(2026,10,1),Report!$C:$C,"&lt;"&amp;DATE(2026,11,1))</f>
        <v>4546.93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1090987.33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860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3220</v>
      </c>
    </row>
    <row r="55" customFormat="false" ht="12.75" hidden="false" customHeight="true" outlineLevel="0" collapsed="false">
      <c r="A55" s="1" t="s">
        <v>1760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281149.47</v>
      </c>
      <c r="L55" s="16" t="n">
        <f aca="false">SUM(L2:L54)</f>
        <v>31321.63</v>
      </c>
      <c r="M55" s="16" t="n">
        <f aca="false">SUM(M2:M54)</f>
        <v>12462.94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1626281.13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1780</v>
      </c>
      <c r="B1" s="32" t="n">
        <f aca="false">SUMIFS(Report!$U:$U,Report!$T:$T,"&lt;&gt;"&amp;"MERCADORIAS P/REVENDA",Report!$AA:$AA,"SIM",Report!$C:$C,"&gt;="&amp;DATE(2026,1,1),Report!$C:$C,"&lt;="&amp;DATE(2027,12,31))</f>
        <v>535293.8</v>
      </c>
      <c r="C1" s="32" t="n">
        <f aca="false">SUMIFS(Report!$U:$U,Report!$T:$T,"MERCADORIAS P/REVENDA",Report!$AA:$AA,"SIM",Report!$C:$C,"&gt;="&amp;DATE(2026,1,1),Report!$C:$C,"&lt;="&amp;DATE(2027,12,31))</f>
        <v>1090987.33</v>
      </c>
      <c r="D1" s="33" t="s">
        <v>1781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1626281.13</v>
      </c>
      <c r="H1" s="1"/>
      <c r="I1" s="16"/>
    </row>
    <row r="2" customFormat="false" ht="12.75" hidden="false" customHeight="true" outlineLevel="0" collapsed="false">
      <c r="A2" s="19" t="s">
        <v>1782</v>
      </c>
      <c r="B2" s="21" t="s">
        <v>1733</v>
      </c>
      <c r="C2" s="21" t="s">
        <v>1734</v>
      </c>
      <c r="D2" s="33" t="s">
        <v>1783</v>
      </c>
      <c r="E2" s="32" t="n">
        <f aca="false">F1+E1</f>
        <v>1626281.13</v>
      </c>
      <c r="F2" s="21" t="s">
        <v>1784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14961.63</v>
      </c>
      <c r="F290" s="16" t="n">
        <f aca="false">B290+C290</f>
        <v>15671.95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1359.05</v>
      </c>
      <c r="C291" s="16" t="n">
        <f aca="false">SUMIFS(Report!$U:$U,Report!$T:$T,"MERCADORIAS P/REVENDA",Report!$AA:$AA,"SIM",Report!$C:$C,A291)</f>
        <v>14855.28</v>
      </c>
      <c r="F291" s="16" t="n">
        <f aca="false">B291+C291</f>
        <v>16214.33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9803.17</v>
      </c>
      <c r="F292" s="16" t="n">
        <f aca="false">B292+C292</f>
        <v>9803.17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7390.22</v>
      </c>
      <c r="D295" s="36"/>
      <c r="E295" s="36"/>
      <c r="F295" s="35" t="n">
        <f aca="false">B295+C295</f>
        <v>8722.77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7571.75</v>
      </c>
      <c r="C296" s="25" t="n">
        <f aca="false">SUM(C289:C295)</f>
        <v>73611.9</v>
      </c>
      <c r="D296" s="29"/>
      <c r="E296" s="29"/>
      <c r="F296" s="25" t="n">
        <f aca="false">B296+C296</f>
        <v>81183.65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10338.42</v>
      </c>
      <c r="F297" s="16" t="n">
        <f aca="false">B297+C297</f>
        <v>16267.3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9216.57</v>
      </c>
      <c r="F299" s="16" t="n">
        <f aca="false">B299+C299</f>
        <v>9216.57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4512.17</v>
      </c>
      <c r="F300" s="16" t="n">
        <f aca="false">B300+C300</f>
        <v>4759.44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309.71</v>
      </c>
      <c r="D301" s="36"/>
      <c r="E301" s="36"/>
      <c r="F301" s="35" t="n">
        <f aca="false">B301+C301</f>
        <v>309.71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5484.28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46189.25</v>
      </c>
      <c r="D304" s="29"/>
      <c r="E304" s="29"/>
      <c r="F304" s="25" t="n">
        <f aca="false">B304+C304</f>
        <v>54490.15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12544.24</v>
      </c>
      <c r="F306" s="16" t="n">
        <f aca="false">B306+C306</f>
        <v>23075.59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2803.81</v>
      </c>
      <c r="F308" s="16" t="n">
        <f aca="false">B308+C308</f>
        <v>3382.4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2738.82</v>
      </c>
      <c r="D311" s="36"/>
      <c r="E311" s="36"/>
      <c r="F311" s="35" t="n">
        <f aca="false">B311+C311</f>
        <v>8239.78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31242.4</v>
      </c>
      <c r="D312" s="29"/>
      <c r="E312" s="29"/>
      <c r="F312" s="25" t="n">
        <f aca="false">B312+C312</f>
        <v>47853.3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2383.95</v>
      </c>
      <c r="F313" s="16" t="n">
        <f aca="false">B313+C313</f>
        <v>2383.95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1466.05</v>
      </c>
      <c r="F314" s="16" t="n">
        <f aca="false">B314+C314</f>
        <v>2127.87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6717.49</v>
      </c>
      <c r="D320" s="29"/>
      <c r="E320" s="29"/>
      <c r="F320" s="25" t="n">
        <f aca="false">B320+C320</f>
        <v>9774.18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1615.67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1615.67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1735.64</v>
      </c>
      <c r="C328" s="25" t="n">
        <f aca="false">SUM(C321:C327)</f>
        <v>1679.44</v>
      </c>
      <c r="D328" s="29"/>
      <c r="E328" s="29"/>
      <c r="F328" s="25" t="n">
        <f aca="false">B328+C328</f>
        <v>3415.08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0</v>
      </c>
      <c r="D344" s="29"/>
      <c r="E344" s="29"/>
      <c r="F344" s="25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0</v>
      </c>
      <c r="D352" s="29"/>
      <c r="E352" s="29"/>
      <c r="F352" s="25" t="n">
        <f aca="false">B352+C352</f>
        <v>783.14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0</v>
      </c>
      <c r="D368" s="29"/>
      <c r="E368" s="29"/>
      <c r="F368" s="25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0</v>
      </c>
      <c r="D392" s="29"/>
      <c r="E392" s="29"/>
      <c r="F392" s="25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0</v>
      </c>
      <c r="D400" s="29"/>
      <c r="E400" s="29"/>
      <c r="F400" s="25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1785</v>
      </c>
      <c r="B1" s="38"/>
      <c r="C1" s="38"/>
      <c r="D1" s="38"/>
    </row>
    <row r="2" customFormat="false" ht="12.75" hidden="false" customHeight="true" outlineLevel="0" collapsed="false">
      <c r="A2" s="39" t="s">
        <v>1786</v>
      </c>
      <c r="B2" s="39"/>
      <c r="C2" s="39"/>
      <c r="D2" s="39"/>
    </row>
    <row r="4" customFormat="false" ht="24.75" hidden="false" customHeight="true" outlineLevel="0" collapsed="false">
      <c r="A4" s="40" t="s">
        <v>1732</v>
      </c>
      <c r="B4" s="40" t="s">
        <v>1787</v>
      </c>
      <c r="C4" s="40" t="s">
        <v>1788</v>
      </c>
    </row>
    <row r="5" customFormat="false" ht="12.75" hidden="false" customHeight="true" outlineLevel="0" collapsed="false">
      <c r="A5" s="41" t="s">
        <v>1736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1737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1738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1739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1740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1741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1742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1743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1744</v>
      </c>
      <c r="B13" s="41" t="n">
        <v>2026</v>
      </c>
      <c r="C13" s="43" t="n">
        <v>129788.92</v>
      </c>
    </row>
    <row r="14" customFormat="false" ht="13.5" hidden="false" customHeight="true" outlineLevel="0" collapsed="false">
      <c r="A14" s="41" t="s">
        <v>1745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1746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1747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1789</v>
      </c>
      <c r="B18" s="44"/>
      <c r="C18" s="45" t="n">
        <v>46276.3453240741</v>
      </c>
    </row>
    <row r="19" customFormat="false" ht="12.75" hidden="false" customHeight="true" outlineLevel="0" collapsed="false">
      <c r="A19" s="1" t="s">
        <v>1790</v>
      </c>
      <c r="C19" s="46" t="n">
        <f aca="false">IF(ISNUMBER(INDEX($C$5:$C$16,MONTH($C$18))),(INDEX($C$5:$C$16,MONTH($C$18))/DAY($C$18))*DAY(EOMONTH($C$18,0)),"")</f>
        <v>353969.781818182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1791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1792</v>
      </c>
    </row>
    <row r="3" customFormat="false" ht="12.75" hidden="false" customHeight="true" outlineLevel="0" collapsed="false">
      <c r="A3" s="22" t="s">
        <v>1793</v>
      </c>
      <c r="E3" s="50" t="n">
        <v>0.7</v>
      </c>
      <c r="F3" s="51" t="s">
        <v>1794</v>
      </c>
      <c r="G3" s="51" t="s">
        <v>1795</v>
      </c>
      <c r="H3" s="51" t="s">
        <v>1796</v>
      </c>
      <c r="I3" s="51" t="s">
        <v>1797</v>
      </c>
      <c r="J3" s="51" t="s">
        <v>1798</v>
      </c>
      <c r="K3" s="51" t="s">
        <v>1799</v>
      </c>
      <c r="L3" s="51" t="s">
        <v>1800</v>
      </c>
      <c r="M3" s="51" t="s">
        <v>1801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1732</v>
      </c>
      <c r="B6" s="27" t="s">
        <v>1802</v>
      </c>
      <c r="C6" s="27" t="s">
        <v>1803</v>
      </c>
      <c r="D6" s="27" t="s">
        <v>1804</v>
      </c>
      <c r="E6" s="27" t="s">
        <v>1805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1736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1737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1738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1739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1740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1741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1742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1743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301419.67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2" t="s">
        <v>1744</v>
      </c>
      <c r="B15" s="16" t="n">
        <f aca="false">IFERROR(INDEX('Venda Anual (Base)'!$C$5:$C$16,MATCH($A15,'Venda Anual (Base)'!$A$5:$A$16,0)),"")</f>
        <v>129788.92</v>
      </c>
      <c r="C15" s="16" t="n">
        <f aca="false">(B14*$E$3)</f>
        <v>276163.832</v>
      </c>
      <c r="D15" s="16" t="n">
        <f aca="false">IFERROR(INDEX('Resumo Mensal'!$C$2:$C$25,MATCH($A15,'Resumo Mensal'!$A$2:$A$25,0)),0)</f>
        <v>222125.16</v>
      </c>
      <c r="E15" s="16" t="n">
        <f aca="false">IF(AND(ISNUMBER(C15),D15&gt;0),D15-C15,"")</f>
        <v>-54038.672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51.343017570375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42334.16</v>
      </c>
      <c r="K15" s="16" t="n">
        <f aca="false">IF($A15=INDEX('Venda Anual (Base)'!$A$5:$A$16,MONTH('Venda Anual (Base)'!$C$18)),IFERROR(B15/DAY('Venda Anual (Base)'!$C$18)*DAY(EOMONTH('Venda Anual (Base)'!$C$18,0)),""),"")</f>
        <v>353969.781818182</v>
      </c>
      <c r="L15" s="16" t="n">
        <f aca="false">('Resumo Grupos'!J13)</f>
        <v>59024.31</v>
      </c>
      <c r="M15" s="16" t="n">
        <f aca="false">IFERROR(B15-D15-L15,"")</f>
        <v>-151360.55</v>
      </c>
    </row>
    <row r="16" customFormat="false" ht="12.75" hidden="false" customHeight="true" outlineLevel="0" collapsed="false">
      <c r="A16" s="22" t="s">
        <v>1745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90852.244</v>
      </c>
      <c r="D16" s="16" t="n">
        <f aca="false">IFERROR(INDEX('Resumo Mensal'!$C$2:$C$25,MATCH($A16,'Resumo Mensal'!$A$2:$A$25,0)),0)</f>
        <v>4546.93</v>
      </c>
      <c r="E16" s="16" t="n">
        <f aca="false">IF(AND(ISNUMBER(C16),D16&gt;0),D16-C16,"")</f>
        <v>-86305.314</v>
      </c>
      <c r="F16" s="60" t="n">
        <f aca="false">IF(AND(ISNUMBER(B15),ISNUMBER(B14),B14&lt;&gt;0),B15/B14,"")</f>
        <v>0.328979516767424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29888.5273283561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-31321.63</v>
      </c>
    </row>
    <row r="17" customFormat="false" ht="12.75" hidden="false" customHeight="true" outlineLevel="0" collapsed="false">
      <c r="A17" s="22" t="s">
        <v>1746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-12462.94</v>
      </c>
    </row>
    <row r="18" customFormat="false" ht="12.75" hidden="false" customHeight="true" outlineLevel="0" collapsed="false">
      <c r="A18" s="22" t="s">
        <v>1747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</row>
    <row r="19" customFormat="false" ht="12.75" hidden="false" customHeight="true" outlineLevel="0" collapsed="false">
      <c r="A19" s="58" t="s">
        <v>1760</v>
      </c>
      <c r="B19" s="30" t="n">
        <f aca="false">SUM(B7:B18)</f>
        <v>2915227.26</v>
      </c>
      <c r="C19" s="30" t="n">
        <f aca="false">SUM(C7:C18)</f>
        <v>2040659.082</v>
      </c>
      <c r="D19" s="30" t="n">
        <f aca="false">SUM(D7:D18)</f>
        <v>1090987.33</v>
      </c>
      <c r="E19" s="30" t="n">
        <f aca="false">IF(COUNT(E7:E18)=0,"sem dados comparaveis ainda",SUM(E7:E18))</f>
        <v>-51060.241</v>
      </c>
      <c r="F19" s="65" t="n">
        <f aca="false">SUM(F7:F18)</f>
        <v>7.6025627993968</v>
      </c>
      <c r="G19" s="64"/>
      <c r="I19" s="16" t="n">
        <f aca="false">SUM(I7:I18)</f>
        <v>1959528.22791855</v>
      </c>
      <c r="J19" s="16" t="n">
        <f aca="false">SUM(J7:J18)</f>
        <v>960423.28</v>
      </c>
      <c r="K19" s="16" t="n">
        <f aca="false">SUM(K7:K18)</f>
        <v>353969.781818182</v>
      </c>
      <c r="L19" s="16" t="n">
        <f aca="false">SUM(L7:L18)</f>
        <v>535293.8</v>
      </c>
      <c r="M19" s="16" t="n">
        <f aca="false">SUM(M7:M18)</f>
        <v>1288946.13</v>
      </c>
    </row>
    <row r="21" customFormat="false" ht="12.75" hidden="false" customHeight="true" outlineLevel="0" collapsed="false">
      <c r="A21" s="22" t="s">
        <v>1806</v>
      </c>
    </row>
    <row r="23" customFormat="false" ht="12.75" hidden="false" customHeight="true" outlineLevel="0" collapsed="false">
      <c r="A23" s="22" t="s">
        <v>1807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1808</v>
      </c>
      <c r="B1" s="1" t="s">
        <v>1809</v>
      </c>
      <c r="C1" s="1" t="s">
        <v>1810</v>
      </c>
      <c r="D1" s="1" t="s">
        <v>1811</v>
      </c>
      <c r="E1" s="1" t="s">
        <v>1812</v>
      </c>
      <c r="F1" s="1" t="s">
        <v>1813</v>
      </c>
      <c r="G1" s="1" t="s">
        <v>1814</v>
      </c>
      <c r="H1" s="1" t="s">
        <v>1815</v>
      </c>
      <c r="I1" s="1" t="s">
        <v>1816</v>
      </c>
      <c r="J1" s="1" t="s">
        <v>1817</v>
      </c>
      <c r="K1" s="1" t="s">
        <v>1818</v>
      </c>
      <c r="O1" s="1" t="s">
        <v>1819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1820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1821</v>
      </c>
      <c r="K2" s="46" t="n">
        <v>672.85</v>
      </c>
      <c r="O2" s="1" t="s">
        <v>1822</v>
      </c>
      <c r="P2" s="1" t="s">
        <v>1823</v>
      </c>
      <c r="Q2" s="1" t="s">
        <v>1824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1825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1821</v>
      </c>
      <c r="K3" s="46" t="n">
        <v>305.12</v>
      </c>
      <c r="O3" s="1" t="n">
        <v>6</v>
      </c>
      <c r="P3" s="46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1825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1821</v>
      </c>
      <c r="K4" s="46" t="n">
        <v>319.14</v>
      </c>
      <c r="O4" s="1" t="n">
        <v>7</v>
      </c>
      <c r="P4" s="46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1825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1821</v>
      </c>
      <c r="K5" s="46" t="n">
        <v>225.8</v>
      </c>
      <c r="O5" s="1" t="n">
        <v>8</v>
      </c>
      <c r="P5" s="46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1826</v>
      </c>
      <c r="D6" s="1" t="s">
        <v>1827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1821</v>
      </c>
      <c r="K6" s="46" t="n">
        <v>172</v>
      </c>
      <c r="O6" s="1" t="n">
        <v>9</v>
      </c>
      <c r="P6" s="46" t="n">
        <f aca="false">SUMIFS($K:$K,$E:$E,"&gt;="&amp;DATE(2026,O6,1),$E:$E,"&lt;"&amp;DATE(2026,O6+1,1))</f>
        <v>42334.16</v>
      </c>
      <c r="Q6" s="1" t="n">
        <f aca="false">COUNTIFS($E:$E,"&gt;="&amp;DATE(2026,O6,1),$E:$E,"&lt;"&amp;DATE(2026,O6+1,1))</f>
        <v>33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1828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1821</v>
      </c>
      <c r="K7" s="46" t="n">
        <v>3329</v>
      </c>
      <c r="O7" s="1" t="n">
        <v>10</v>
      </c>
      <c r="P7" s="4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1829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1821</v>
      </c>
      <c r="K8" s="46" t="n">
        <v>334.6</v>
      </c>
      <c r="O8" s="1" t="n">
        <v>11</v>
      </c>
      <c r="P8" s="4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1830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1821</v>
      </c>
      <c r="K9" s="46" t="n">
        <v>449.5</v>
      </c>
      <c r="O9" s="1" t="n">
        <v>12</v>
      </c>
      <c r="P9" s="4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1831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1821</v>
      </c>
      <c r="K10" s="46" t="n">
        <v>374.01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1832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1821</v>
      </c>
      <c r="K11" s="46" t="n">
        <v>180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1833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1821</v>
      </c>
      <c r="K12" s="46" t="n">
        <v>570</v>
      </c>
      <c r="O12" s="1" t="s">
        <v>1834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1835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1821</v>
      </c>
      <c r="K13" s="46" t="n">
        <v>337.08</v>
      </c>
      <c r="O13" s="1" t="s">
        <v>1836</v>
      </c>
      <c r="P13" s="1" t="s">
        <v>1823</v>
      </c>
      <c r="Q13" s="1" t="s">
        <v>1824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1837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1821</v>
      </c>
      <c r="K14" s="46" t="n">
        <v>342.59</v>
      </c>
      <c r="O14" s="15" t="n">
        <v>46174</v>
      </c>
      <c r="P14" s="46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1826</v>
      </c>
      <c r="D15" s="1" t="s">
        <v>1827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1821</v>
      </c>
      <c r="K15" s="46" t="n">
        <v>130.5</v>
      </c>
      <c r="O15" s="15" t="n">
        <v>46175</v>
      </c>
      <c r="P15" s="46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1838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1821</v>
      </c>
      <c r="K16" s="46" t="n">
        <v>140</v>
      </c>
      <c r="O16" s="15" t="n">
        <v>46176</v>
      </c>
      <c r="P16" s="46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1839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1821</v>
      </c>
      <c r="K17" s="46" t="n">
        <v>195</v>
      </c>
      <c r="O17" s="15" t="n">
        <v>46177</v>
      </c>
      <c r="P17" s="46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1839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1821</v>
      </c>
      <c r="K18" s="46" t="n">
        <v>1465.86</v>
      </c>
      <c r="O18" s="15" t="n">
        <v>46178</v>
      </c>
      <c r="P18" s="46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1839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1821</v>
      </c>
      <c r="K19" s="46" t="n">
        <v>195</v>
      </c>
      <c r="O19" s="15" t="n">
        <v>46179</v>
      </c>
      <c r="P19" s="46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1839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1821</v>
      </c>
      <c r="K20" s="46" t="n">
        <v>1465.86</v>
      </c>
      <c r="O20" s="15" t="n">
        <v>46180</v>
      </c>
      <c r="P20" s="4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1840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1821</v>
      </c>
      <c r="K21" s="46" t="n">
        <v>209.7</v>
      </c>
      <c r="O21" s="15" t="n">
        <v>46181</v>
      </c>
      <c r="P21" s="46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1841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1821</v>
      </c>
      <c r="K22" s="46" t="n">
        <v>431.22</v>
      </c>
      <c r="O22" s="15" t="n">
        <v>46182</v>
      </c>
      <c r="P22" s="46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1825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1821</v>
      </c>
      <c r="K23" s="46" t="n">
        <v>552.17</v>
      </c>
      <c r="O23" s="15" t="n">
        <v>46183</v>
      </c>
      <c r="P23" s="46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1825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1821</v>
      </c>
      <c r="K24" s="46" t="n">
        <v>182.54</v>
      </c>
      <c r="O24" s="15" t="n">
        <v>46184</v>
      </c>
      <c r="P24" s="46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1825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1821</v>
      </c>
      <c r="K25" s="46" t="n">
        <v>953.47</v>
      </c>
      <c r="O25" s="15" t="n">
        <v>46185</v>
      </c>
      <c r="P25" s="46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1842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1821</v>
      </c>
      <c r="K26" s="46" t="n">
        <v>2264.85</v>
      </c>
      <c r="O26" s="15" t="n">
        <v>46186</v>
      </c>
      <c r="P26" s="46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1843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1821</v>
      </c>
      <c r="K27" s="46" t="n">
        <v>199</v>
      </c>
      <c r="O27" s="15" t="n">
        <v>46187</v>
      </c>
      <c r="P27" s="4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1833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1821</v>
      </c>
      <c r="K28" s="46" t="n">
        <v>950</v>
      </c>
      <c r="O28" s="15" t="n">
        <v>46188</v>
      </c>
      <c r="P28" s="46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1844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1821</v>
      </c>
      <c r="K29" s="46" t="n">
        <v>1600.8</v>
      </c>
      <c r="O29" s="15" t="n">
        <v>46189</v>
      </c>
      <c r="P29" s="46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1845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1821</v>
      </c>
      <c r="K30" s="46" t="n">
        <v>618.56</v>
      </c>
      <c r="O30" s="15" t="n">
        <v>46190</v>
      </c>
      <c r="P30" s="46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1826</v>
      </c>
      <c r="D31" s="1" t="s">
        <v>1827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1821</v>
      </c>
      <c r="K31" s="46" t="n">
        <v>133.5</v>
      </c>
      <c r="O31" s="15" t="n">
        <v>46191</v>
      </c>
      <c r="P31" s="46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1826</v>
      </c>
      <c r="D32" s="1" t="s">
        <v>1827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1821</v>
      </c>
      <c r="K32" s="46" t="n">
        <v>90</v>
      </c>
      <c r="O32" s="15" t="n">
        <v>46192</v>
      </c>
      <c r="P32" s="46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1826</v>
      </c>
      <c r="D33" s="1" t="s">
        <v>1827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1821</v>
      </c>
      <c r="K33" s="46" t="n">
        <v>81.5</v>
      </c>
      <c r="O33" s="15" t="n">
        <v>46193</v>
      </c>
      <c r="P33" s="46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1846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1821</v>
      </c>
      <c r="K34" s="46" t="n">
        <v>1169.23</v>
      </c>
      <c r="O34" s="15" t="n">
        <v>46194</v>
      </c>
      <c r="P34" s="4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1847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1821</v>
      </c>
      <c r="K35" s="46" t="n">
        <v>161</v>
      </c>
      <c r="O35" s="15" t="n">
        <v>46195</v>
      </c>
      <c r="P35" s="46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1838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1821</v>
      </c>
      <c r="K36" s="46" t="n">
        <v>140</v>
      </c>
      <c r="O36" s="15" t="n">
        <v>46196</v>
      </c>
      <c r="P36" s="46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1839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1821</v>
      </c>
      <c r="K37" s="46" t="n">
        <v>1281.95</v>
      </c>
      <c r="O37" s="15" t="n">
        <v>46197</v>
      </c>
      <c r="P37" s="46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1839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1821</v>
      </c>
      <c r="K38" s="46" t="n">
        <v>247</v>
      </c>
      <c r="O38" s="15" t="n">
        <v>46198</v>
      </c>
      <c r="P38" s="46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1839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1821</v>
      </c>
      <c r="K39" s="46" t="n">
        <v>1281.95</v>
      </c>
      <c r="O39" s="15" t="n">
        <v>46199</v>
      </c>
      <c r="P39" s="46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1839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1821</v>
      </c>
      <c r="K40" s="46" t="n">
        <v>247</v>
      </c>
      <c r="O40" s="15" t="n">
        <v>46200</v>
      </c>
      <c r="P40" s="46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1840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1821</v>
      </c>
      <c r="K41" s="46" t="n">
        <v>126.04</v>
      </c>
      <c r="O41" s="15" t="n">
        <v>46201</v>
      </c>
      <c r="P41" s="4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1829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1821</v>
      </c>
      <c r="K42" s="46" t="n">
        <v>282.25</v>
      </c>
      <c r="O42" s="15" t="n">
        <v>46202</v>
      </c>
      <c r="P42" s="46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1832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1821</v>
      </c>
      <c r="K43" s="46" t="n">
        <v>180</v>
      </c>
      <c r="O43" s="15" t="n">
        <v>46203</v>
      </c>
      <c r="P43" s="46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1825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1821</v>
      </c>
      <c r="K44" s="46" t="n">
        <v>219.97</v>
      </c>
      <c r="O44" s="15" t="n">
        <v>46204</v>
      </c>
      <c r="P44" s="46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1825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1821</v>
      </c>
      <c r="K45" s="46" t="n">
        <v>1134.74</v>
      </c>
      <c r="O45" s="15" t="n">
        <v>46205</v>
      </c>
      <c r="P45" s="46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1842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1821</v>
      </c>
      <c r="K46" s="46" t="n">
        <v>1068</v>
      </c>
      <c r="O46" s="15" t="n">
        <v>46206</v>
      </c>
      <c r="P46" s="46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1837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1821</v>
      </c>
      <c r="K47" s="46" t="n">
        <v>333.54</v>
      </c>
      <c r="O47" s="15" t="n">
        <v>46207</v>
      </c>
      <c r="P47" s="46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1826</v>
      </c>
      <c r="D48" s="1" t="s">
        <v>1827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1821</v>
      </c>
      <c r="K48" s="46" t="n">
        <v>232</v>
      </c>
      <c r="O48" s="15" t="n">
        <v>46208</v>
      </c>
      <c r="P48" s="4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1826</v>
      </c>
      <c r="D49" s="1" t="s">
        <v>1827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1821</v>
      </c>
      <c r="K49" s="46" t="n">
        <v>72</v>
      </c>
      <c r="O49" s="15" t="n">
        <v>46209</v>
      </c>
      <c r="P49" s="46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1848</v>
      </c>
      <c r="E50" s="15" t="n">
        <v>46181</v>
      </c>
      <c r="F50" s="15" t="n">
        <v>46180</v>
      </c>
      <c r="G50" s="1" t="s">
        <v>1849</v>
      </c>
      <c r="H50" s="1" t="n">
        <v>1223267</v>
      </c>
      <c r="I50" s="1" t="n">
        <v>1</v>
      </c>
      <c r="J50" s="1" t="s">
        <v>1821</v>
      </c>
      <c r="K50" s="46" t="n">
        <v>688.3</v>
      </c>
      <c r="O50" s="15" t="n">
        <v>46210</v>
      </c>
      <c r="P50" s="46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1850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1821</v>
      </c>
      <c r="K51" s="46" t="n">
        <v>1049.39</v>
      </c>
      <c r="O51" s="15" t="n">
        <v>46211</v>
      </c>
      <c r="P51" s="46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1851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1821</v>
      </c>
      <c r="K52" s="46" t="n">
        <v>5728.5</v>
      </c>
      <c r="O52" s="15" t="n">
        <v>46212</v>
      </c>
      <c r="P52" s="46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1838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1821</v>
      </c>
      <c r="K53" s="46" t="n">
        <v>140</v>
      </c>
      <c r="O53" s="15" t="n">
        <v>46213</v>
      </c>
      <c r="P53" s="46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1839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1821</v>
      </c>
      <c r="K54" s="46" t="n">
        <v>180</v>
      </c>
      <c r="O54" s="15" t="n">
        <v>46214</v>
      </c>
      <c r="P54" s="46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1839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1821</v>
      </c>
      <c r="K55" s="46" t="n">
        <v>195</v>
      </c>
      <c r="O55" s="15" t="n">
        <v>46215</v>
      </c>
      <c r="P55" s="4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1839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1821</v>
      </c>
      <c r="K56" s="46" t="n">
        <v>180</v>
      </c>
      <c r="O56" s="15" t="n">
        <v>46216</v>
      </c>
      <c r="P56" s="46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1839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1821</v>
      </c>
      <c r="K57" s="46" t="n">
        <v>195</v>
      </c>
      <c r="O57" s="15" t="n">
        <v>46217</v>
      </c>
      <c r="P57" s="46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1829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1821</v>
      </c>
      <c r="K58" s="46" t="n">
        <v>307.2</v>
      </c>
      <c r="O58" s="15" t="n">
        <v>46218</v>
      </c>
      <c r="P58" s="46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1830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1821</v>
      </c>
      <c r="K59" s="46" t="n">
        <v>561.5</v>
      </c>
      <c r="O59" s="15" t="n">
        <v>46219</v>
      </c>
      <c r="P59" s="46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1844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1821</v>
      </c>
      <c r="K60" s="46" t="n">
        <v>3840</v>
      </c>
      <c r="O60" s="15" t="n">
        <v>46220</v>
      </c>
      <c r="P60" s="46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1832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1821</v>
      </c>
      <c r="K61" s="46" t="n">
        <v>180</v>
      </c>
      <c r="O61" s="15" t="n">
        <v>46221</v>
      </c>
      <c r="P61" s="46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1852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1821</v>
      </c>
      <c r="K62" s="46" t="n">
        <v>909.57</v>
      </c>
      <c r="O62" s="15" t="n">
        <v>46222</v>
      </c>
      <c r="P62" s="4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1853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1821</v>
      </c>
      <c r="K63" s="46" t="n">
        <v>796.16</v>
      </c>
      <c r="O63" s="15" t="n">
        <v>46223</v>
      </c>
      <c r="P63" s="46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1839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1821</v>
      </c>
      <c r="K64" s="46" t="n">
        <v>1926.18</v>
      </c>
      <c r="O64" s="15" t="n">
        <v>46224</v>
      </c>
      <c r="P64" s="46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1839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1821</v>
      </c>
      <c r="K65" s="46" t="n">
        <v>1926.18</v>
      </c>
      <c r="O65" s="15" t="n">
        <v>46225</v>
      </c>
      <c r="P65" s="46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1854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1821</v>
      </c>
      <c r="K66" s="46" t="n">
        <v>460</v>
      </c>
      <c r="O66" s="15" t="n">
        <v>46226</v>
      </c>
      <c r="P66" s="46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1840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1821</v>
      </c>
      <c r="K67" s="46" t="n">
        <v>186.94</v>
      </c>
      <c r="O67" s="15" t="n">
        <v>46227</v>
      </c>
      <c r="P67" s="46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1855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1821</v>
      </c>
      <c r="K68" s="46" t="n">
        <v>1377</v>
      </c>
      <c r="O68" s="15" t="n">
        <v>46228</v>
      </c>
      <c r="P68" s="46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1856</v>
      </c>
      <c r="E69" s="15" t="n">
        <v>46183</v>
      </c>
      <c r="F69" s="15" t="n">
        <v>46179</v>
      </c>
      <c r="G69" s="1" t="s">
        <v>1857</v>
      </c>
      <c r="H69" s="1" t="n">
        <v>1231085</v>
      </c>
      <c r="I69" s="1" t="n">
        <v>1</v>
      </c>
      <c r="J69" s="1" t="s">
        <v>1821</v>
      </c>
      <c r="K69" s="46" t="n">
        <v>190.5</v>
      </c>
      <c r="O69" s="15" t="n">
        <v>46229</v>
      </c>
      <c r="P69" s="4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1858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1821</v>
      </c>
      <c r="K70" s="46" t="n">
        <v>338</v>
      </c>
      <c r="O70" s="15" t="n">
        <v>46230</v>
      </c>
      <c r="P70" s="46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1841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1821</v>
      </c>
      <c r="K71" s="46" t="n">
        <v>1927.2</v>
      </c>
      <c r="O71" s="15" t="n">
        <v>46231</v>
      </c>
      <c r="P71" s="46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1859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1821</v>
      </c>
      <c r="K72" s="46" t="n">
        <v>715.2</v>
      </c>
      <c r="O72" s="15" t="n">
        <v>46232</v>
      </c>
      <c r="P72" s="46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1826</v>
      </c>
      <c r="D73" s="1" t="s">
        <v>1827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1821</v>
      </c>
      <c r="K73" s="46" t="n">
        <v>171.5</v>
      </c>
      <c r="O73" s="15" t="n">
        <v>46233</v>
      </c>
      <c r="P73" s="46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1860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1821</v>
      </c>
      <c r="K74" s="46" t="n">
        <v>1101.98</v>
      </c>
      <c r="O74" s="15" t="n">
        <v>46234</v>
      </c>
      <c r="P74" s="46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1729</v>
      </c>
      <c r="D75" s="1" t="s">
        <v>1860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1821</v>
      </c>
      <c r="K75" s="46" t="n">
        <v>1844.15</v>
      </c>
      <c r="O75" s="15" t="n">
        <v>46235</v>
      </c>
      <c r="P75" s="46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1850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1821</v>
      </c>
      <c r="K76" s="46" t="n">
        <v>1474.13</v>
      </c>
      <c r="O76" s="15" t="n">
        <v>46236</v>
      </c>
      <c r="P76" s="46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1861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1821</v>
      </c>
      <c r="K77" s="46" t="n">
        <v>250</v>
      </c>
      <c r="O77" s="15" t="n">
        <v>46237</v>
      </c>
      <c r="P77" s="46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1862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1821</v>
      </c>
      <c r="K78" s="46" t="n">
        <v>160.32</v>
      </c>
      <c r="O78" s="15" t="n">
        <v>46238</v>
      </c>
      <c r="P78" s="46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1838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1821</v>
      </c>
      <c r="K79" s="46" t="n">
        <v>200</v>
      </c>
      <c r="O79" s="15" t="n">
        <v>46239</v>
      </c>
      <c r="P79" s="46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1863</v>
      </c>
      <c r="E80" s="15" t="n">
        <v>46183</v>
      </c>
      <c r="F80" s="15" t="n">
        <v>46182</v>
      </c>
      <c r="G80" s="1" t="s">
        <v>1864</v>
      </c>
      <c r="H80" s="1" t="n">
        <v>1232476</v>
      </c>
      <c r="I80" s="1" t="n">
        <v>1</v>
      </c>
      <c r="J80" s="1" t="s">
        <v>1821</v>
      </c>
      <c r="K80" s="46" t="n">
        <v>1837.1</v>
      </c>
      <c r="O80" s="15" t="n">
        <v>46240</v>
      </c>
      <c r="P80" s="46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1828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1821</v>
      </c>
      <c r="K81" s="46" t="n">
        <v>4433</v>
      </c>
      <c r="O81" s="15" t="n">
        <v>46241</v>
      </c>
      <c r="P81" s="46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1839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1821</v>
      </c>
      <c r="K82" s="46" t="n">
        <v>1094</v>
      </c>
      <c r="O82" s="15" t="n">
        <v>46242</v>
      </c>
      <c r="P82" s="46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1839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1821</v>
      </c>
      <c r="K83" s="46" t="n">
        <v>600</v>
      </c>
      <c r="O83" s="15" t="n">
        <v>46243</v>
      </c>
      <c r="P83" s="4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1839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1821</v>
      </c>
      <c r="K84" s="46" t="n">
        <v>1800</v>
      </c>
      <c r="O84" s="15" t="n">
        <v>46244</v>
      </c>
      <c r="P84" s="46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1839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1821</v>
      </c>
      <c r="K85" s="46" t="n">
        <v>195</v>
      </c>
      <c r="O85" s="15" t="n">
        <v>46245</v>
      </c>
      <c r="P85" s="46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1839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1821</v>
      </c>
      <c r="K86" s="46" t="n">
        <v>1094</v>
      </c>
      <c r="O86" s="15" t="n">
        <v>46246</v>
      </c>
      <c r="P86" s="46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1839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1821</v>
      </c>
      <c r="K87" s="46" t="n">
        <v>195</v>
      </c>
      <c r="O87" s="15" t="n">
        <v>46247</v>
      </c>
      <c r="P87" s="46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1839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1821</v>
      </c>
      <c r="K88" s="46" t="n">
        <v>600</v>
      </c>
      <c r="O88" s="15" t="n">
        <v>46248</v>
      </c>
      <c r="P88" s="46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1839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1821</v>
      </c>
      <c r="K89" s="46" t="n">
        <v>1800</v>
      </c>
      <c r="O89" s="15" t="n">
        <v>46249</v>
      </c>
      <c r="P89" s="46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1865</v>
      </c>
      <c r="D90" s="1" t="s">
        <v>1866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1821</v>
      </c>
      <c r="K90" s="46" t="n">
        <v>18322.09</v>
      </c>
      <c r="O90" s="15" t="n">
        <v>46250</v>
      </c>
      <c r="P90" s="4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1867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1821</v>
      </c>
      <c r="K91" s="46" t="n">
        <v>3870.5</v>
      </c>
      <c r="O91" s="15" t="n">
        <v>46251</v>
      </c>
      <c r="P91" s="46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1868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1821</v>
      </c>
      <c r="K92" s="46" t="n">
        <v>2512.45</v>
      </c>
      <c r="O92" s="15" t="n">
        <v>46252</v>
      </c>
      <c r="P92" s="46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1869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1821</v>
      </c>
      <c r="K93" s="46" t="n">
        <v>433.35</v>
      </c>
      <c r="O93" s="15" t="n">
        <v>46253</v>
      </c>
      <c r="P93" s="46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1869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1821</v>
      </c>
      <c r="K94" s="46" t="n">
        <v>1689.49</v>
      </c>
      <c r="O94" s="15" t="n">
        <v>46254</v>
      </c>
      <c r="P94" s="46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1837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1821</v>
      </c>
      <c r="K95" s="46" t="n">
        <v>478.8</v>
      </c>
      <c r="O95" s="15" t="n">
        <v>46255</v>
      </c>
      <c r="P95" s="46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1870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1821</v>
      </c>
      <c r="K96" s="46" t="n">
        <v>3312.16</v>
      </c>
      <c r="O96" s="15" t="n">
        <v>46256</v>
      </c>
      <c r="P96" s="46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1871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1821</v>
      </c>
      <c r="K97" s="46" t="n">
        <v>345.7</v>
      </c>
      <c r="O97" s="15" t="n">
        <v>46257</v>
      </c>
      <c r="P97" s="4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1872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1821</v>
      </c>
      <c r="K98" s="46" t="n">
        <v>278</v>
      </c>
      <c r="O98" s="15" t="n">
        <v>46258</v>
      </c>
      <c r="P98" s="46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1873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1821</v>
      </c>
      <c r="K99" s="46" t="n">
        <v>734.33</v>
      </c>
      <c r="O99" s="15" t="n">
        <v>46259</v>
      </c>
      <c r="P99" s="46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1874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1821</v>
      </c>
      <c r="K100" s="46" t="n">
        <v>1366.12</v>
      </c>
      <c r="O100" s="15" t="n">
        <v>46260</v>
      </c>
      <c r="P100" s="46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1825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1821</v>
      </c>
      <c r="K101" s="46" t="n">
        <v>192.43</v>
      </c>
      <c r="O101" s="15" t="n">
        <v>46261</v>
      </c>
      <c r="P101" s="46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1825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1821</v>
      </c>
      <c r="K102" s="46" t="n">
        <v>544.32</v>
      </c>
      <c r="O102" s="15" t="n">
        <v>46262</v>
      </c>
      <c r="P102" s="46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1825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1821</v>
      </c>
      <c r="K103" s="46" t="n">
        <v>16.61</v>
      </c>
      <c r="O103" s="15" t="n">
        <v>46263</v>
      </c>
      <c r="P103" s="46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1825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1821</v>
      </c>
      <c r="K104" s="46" t="n">
        <v>1081.08</v>
      </c>
      <c r="O104" s="15" t="n">
        <v>46264</v>
      </c>
      <c r="P104" s="4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1875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1821</v>
      </c>
      <c r="K105" s="46" t="n">
        <v>2208.28</v>
      </c>
      <c r="O105" s="15" t="n">
        <v>46265</v>
      </c>
      <c r="P105" s="46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1835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1821</v>
      </c>
      <c r="K106" s="46" t="n">
        <v>440.45</v>
      </c>
      <c r="O106" s="15" t="n">
        <v>46266</v>
      </c>
      <c r="P106" s="46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1837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1821</v>
      </c>
      <c r="K107" s="46" t="n">
        <v>767.16</v>
      </c>
      <c r="O107" s="15" t="n">
        <v>46267</v>
      </c>
      <c r="P107" s="46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1876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1821</v>
      </c>
      <c r="K108" s="46" t="n">
        <v>1150.4</v>
      </c>
      <c r="O108" s="15" t="n">
        <v>46268</v>
      </c>
      <c r="P108" s="46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1877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1821</v>
      </c>
      <c r="K109" s="46" t="n">
        <v>1727.71</v>
      </c>
      <c r="O109" s="15" t="n">
        <v>46269</v>
      </c>
      <c r="P109" s="46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1843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1821</v>
      </c>
      <c r="K110" s="46" t="n">
        <v>231.5</v>
      </c>
      <c r="O110" s="15" t="n">
        <v>46270</v>
      </c>
      <c r="P110" s="46" t="n">
        <f aca="false">SUMIFS($K:$K,$E:$E,O110)</f>
        <v>0</v>
      </c>
      <c r="Q110" s="1" t="n">
        <f aca="false">COUNTIFS($E:$E,O110)</f>
        <v>0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1839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1821</v>
      </c>
      <c r="K111" s="46" t="n">
        <v>260</v>
      </c>
      <c r="O111" s="15" t="n">
        <v>46271</v>
      </c>
      <c r="P111" s="4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1839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1821</v>
      </c>
      <c r="K112" s="46" t="n">
        <v>1323.79</v>
      </c>
      <c r="O112" s="15" t="n">
        <v>46272</v>
      </c>
      <c r="P112" s="46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1839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1821</v>
      </c>
      <c r="K113" s="46" t="n">
        <v>260</v>
      </c>
      <c r="O113" s="15" t="n">
        <v>46273</v>
      </c>
      <c r="P113" s="46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1839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1821</v>
      </c>
      <c r="K114" s="46" t="n">
        <v>1323.79</v>
      </c>
      <c r="O114" s="15" t="n">
        <v>46274</v>
      </c>
      <c r="P114" s="46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1840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1821</v>
      </c>
      <c r="K115" s="46" t="n">
        <v>184.96</v>
      </c>
      <c r="O115" s="15" t="n">
        <v>46275</v>
      </c>
      <c r="P115" s="46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1878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1821</v>
      </c>
      <c r="K116" s="46" t="n">
        <v>1149.74</v>
      </c>
      <c r="O116" s="15" t="n">
        <v>46276</v>
      </c>
      <c r="P116" s="46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1829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1821</v>
      </c>
      <c r="K117" s="46" t="n">
        <v>379.6</v>
      </c>
      <c r="O117" s="15" t="n">
        <v>46277</v>
      </c>
      <c r="P117" s="46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1832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1821</v>
      </c>
      <c r="K118" s="46" t="n">
        <v>180</v>
      </c>
      <c r="O118" s="15" t="n">
        <v>46278</v>
      </c>
      <c r="P118" s="4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1833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1821</v>
      </c>
      <c r="K119" s="46" t="n">
        <v>950</v>
      </c>
      <c r="O119" s="15" t="n">
        <v>46279</v>
      </c>
      <c r="P119" s="4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1870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1821</v>
      </c>
      <c r="K120" s="46" t="n">
        <v>892.08</v>
      </c>
      <c r="O120" s="15" t="n">
        <v>46280</v>
      </c>
      <c r="P120" s="4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1826</v>
      </c>
      <c r="D121" s="1" t="s">
        <v>1827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1821</v>
      </c>
      <c r="K121" s="46" t="n">
        <v>64</v>
      </c>
      <c r="O121" s="15" t="n">
        <v>46281</v>
      </c>
      <c r="P121" s="4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1879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1821</v>
      </c>
      <c r="K122" s="46" t="n">
        <v>246.96</v>
      </c>
      <c r="O122" s="15" t="n">
        <v>46282</v>
      </c>
      <c r="P122" s="4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1880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1821</v>
      </c>
      <c r="K123" s="46" t="n">
        <v>2215.88</v>
      </c>
      <c r="O123" s="15" t="n">
        <v>46283</v>
      </c>
      <c r="P123" s="4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1881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1821</v>
      </c>
      <c r="K124" s="46" t="n">
        <v>1783.9</v>
      </c>
      <c r="O124" s="15" t="n">
        <v>46284</v>
      </c>
      <c r="P124" s="4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1882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1821</v>
      </c>
      <c r="K125" s="46" t="n">
        <v>540.3</v>
      </c>
      <c r="O125" s="15" t="n">
        <v>46285</v>
      </c>
      <c r="P125" s="4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1865</v>
      </c>
      <c r="D126" s="1" t="s">
        <v>1866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1821</v>
      </c>
      <c r="K126" s="46" t="n">
        <v>3138.67</v>
      </c>
      <c r="O126" s="15" t="n">
        <v>46286</v>
      </c>
      <c r="P126" s="4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1883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1821</v>
      </c>
      <c r="K127" s="46" t="n">
        <v>2373.94</v>
      </c>
      <c r="O127" s="15" t="n">
        <v>46287</v>
      </c>
      <c r="P127" s="4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1883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1821</v>
      </c>
      <c r="K128" s="46" t="n">
        <v>1767.24</v>
      </c>
      <c r="O128" s="15" t="n">
        <v>46288</v>
      </c>
      <c r="P128" s="4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1842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1821</v>
      </c>
      <c r="K129" s="46" t="n">
        <v>4757.6</v>
      </c>
      <c r="O129" s="15" t="n">
        <v>46289</v>
      </c>
      <c r="P129" s="4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1884</v>
      </c>
      <c r="D130" s="1" t="s">
        <v>1885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1821</v>
      </c>
      <c r="K130" s="46" t="n">
        <v>4705.7</v>
      </c>
      <c r="O130" s="15" t="n">
        <v>46290</v>
      </c>
      <c r="P130" s="4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1886</v>
      </c>
      <c r="E131" s="15" t="n">
        <v>46188</v>
      </c>
      <c r="F131" s="15" t="n">
        <v>46178</v>
      </c>
      <c r="G131" s="1" t="s">
        <v>1887</v>
      </c>
      <c r="H131" s="1" t="n">
        <v>1255758</v>
      </c>
      <c r="I131" s="1" t="n">
        <v>11</v>
      </c>
      <c r="J131" s="1" t="s">
        <v>1821</v>
      </c>
      <c r="K131" s="46" t="n">
        <v>503</v>
      </c>
      <c r="O131" s="15" t="n">
        <v>46291</v>
      </c>
      <c r="P131" s="4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1826</v>
      </c>
      <c r="D132" s="1" t="s">
        <v>1827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1821</v>
      </c>
      <c r="K132" s="46" t="n">
        <v>161</v>
      </c>
      <c r="O132" s="15" t="n">
        <v>46292</v>
      </c>
      <c r="P132" s="4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1826</v>
      </c>
      <c r="D133" s="1" t="s">
        <v>1827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1821</v>
      </c>
      <c r="K133" s="46" t="n">
        <v>86</v>
      </c>
      <c r="O133" s="15" t="n">
        <v>46293</v>
      </c>
      <c r="P133" s="4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1888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1821</v>
      </c>
      <c r="K134" s="46" t="n">
        <v>1195</v>
      </c>
      <c r="O134" s="15" t="n">
        <v>46294</v>
      </c>
      <c r="P134" s="4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1889</v>
      </c>
      <c r="D135" s="1" t="s">
        <v>1890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1821</v>
      </c>
      <c r="K135" s="46" t="n">
        <v>1839.99</v>
      </c>
      <c r="O135" s="15" t="n">
        <v>46295</v>
      </c>
      <c r="P135" s="4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1880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1821</v>
      </c>
      <c r="K136" s="46" t="n">
        <v>33.84</v>
      </c>
      <c r="O136" s="15" t="n">
        <v>46296</v>
      </c>
      <c r="P136" s="4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1880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1821</v>
      </c>
      <c r="K137" s="46" t="n">
        <v>98.61</v>
      </c>
      <c r="O137" s="15" t="n">
        <v>46297</v>
      </c>
      <c r="P137" s="4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1880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1821</v>
      </c>
      <c r="K138" s="46" t="n">
        <v>4498.56</v>
      </c>
      <c r="O138" s="15" t="n">
        <v>46298</v>
      </c>
      <c r="P138" s="4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1880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1821</v>
      </c>
      <c r="K139" s="46" t="n">
        <v>1537.8</v>
      </c>
      <c r="O139" s="15" t="n">
        <v>46299</v>
      </c>
      <c r="P139" s="4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1880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1821</v>
      </c>
      <c r="K140" s="46" t="n">
        <v>27.07</v>
      </c>
      <c r="O140" s="15" t="n">
        <v>46300</v>
      </c>
      <c r="P140" s="4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1839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1821</v>
      </c>
      <c r="K141" s="46" t="n">
        <v>210</v>
      </c>
      <c r="O141" s="15" t="n">
        <v>46301</v>
      </c>
      <c r="P141" s="4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1839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1821</v>
      </c>
      <c r="K142" s="46" t="n">
        <v>210</v>
      </c>
      <c r="O142" s="15" t="n">
        <v>46302</v>
      </c>
      <c r="P142" s="4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1825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1821</v>
      </c>
      <c r="K143" s="46" t="n">
        <v>1009.81</v>
      </c>
      <c r="O143" s="15" t="n">
        <v>46303</v>
      </c>
      <c r="P143" s="4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1825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1821</v>
      </c>
      <c r="K144" s="46" t="n">
        <v>203.42</v>
      </c>
      <c r="O144" s="15" t="n">
        <v>46304</v>
      </c>
      <c r="P144" s="4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1825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1821</v>
      </c>
      <c r="K145" s="46" t="n">
        <v>639.86</v>
      </c>
      <c r="O145" s="15" t="n">
        <v>46305</v>
      </c>
      <c r="P145" s="4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1825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1821</v>
      </c>
      <c r="K146" s="46" t="n">
        <v>2177.76</v>
      </c>
      <c r="O146" s="15" t="n">
        <v>46306</v>
      </c>
      <c r="P146" s="4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1891</v>
      </c>
      <c r="E147" s="15" t="n">
        <v>46189</v>
      </c>
      <c r="F147" s="15" t="n">
        <v>46136</v>
      </c>
      <c r="G147" s="1" t="s">
        <v>1892</v>
      </c>
      <c r="H147" s="1" t="n">
        <v>1261713</v>
      </c>
      <c r="I147" s="1" t="n">
        <v>11</v>
      </c>
      <c r="J147" s="1" t="s">
        <v>1821</v>
      </c>
      <c r="K147" s="46" t="n">
        <v>390</v>
      </c>
      <c r="O147" s="15" t="n">
        <v>46307</v>
      </c>
      <c r="P147" s="4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1870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1821</v>
      </c>
      <c r="K148" s="46" t="n">
        <v>14.13</v>
      </c>
      <c r="O148" s="15" t="n">
        <v>46308</v>
      </c>
      <c r="P148" s="4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1870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1821</v>
      </c>
      <c r="K149" s="46" t="n">
        <v>1923.44</v>
      </c>
      <c r="O149" s="15" t="n">
        <v>46309</v>
      </c>
      <c r="P149" s="4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1893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1821</v>
      </c>
      <c r="K150" s="46" t="n">
        <v>6357.12</v>
      </c>
      <c r="O150" s="15" t="n">
        <v>46310</v>
      </c>
      <c r="P150" s="4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1894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1821</v>
      </c>
      <c r="K151" s="46" t="n">
        <v>720.48</v>
      </c>
      <c r="O151" s="15" t="n">
        <v>46311</v>
      </c>
      <c r="P151" s="4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1839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1821</v>
      </c>
      <c r="K152" s="46" t="n">
        <v>1513.16</v>
      </c>
      <c r="O152" s="15" t="n">
        <v>46312</v>
      </c>
      <c r="P152" s="4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1839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1821</v>
      </c>
      <c r="K153" s="46" t="n">
        <v>1513.16</v>
      </c>
      <c r="O153" s="15" t="n">
        <v>46313</v>
      </c>
      <c r="P153" s="4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1840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1821</v>
      </c>
      <c r="K154" s="46" t="n">
        <v>185.2</v>
      </c>
      <c r="O154" s="15" t="n">
        <v>46314</v>
      </c>
      <c r="P154" s="4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1895</v>
      </c>
      <c r="E155" s="15" t="n">
        <v>46189</v>
      </c>
      <c r="F155" s="15" t="n">
        <v>46139</v>
      </c>
      <c r="G155" s="1" t="s">
        <v>1896</v>
      </c>
      <c r="H155" s="1" t="n">
        <v>1261588</v>
      </c>
      <c r="I155" s="1" t="n">
        <v>39</v>
      </c>
      <c r="J155" s="1" t="s">
        <v>1821</v>
      </c>
      <c r="K155" s="46" t="n">
        <v>545</v>
      </c>
      <c r="O155" s="15" t="n">
        <v>46315</v>
      </c>
      <c r="P155" s="4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1897</v>
      </c>
      <c r="E156" s="15" t="n">
        <v>46189</v>
      </c>
      <c r="F156" s="15" t="n">
        <v>46142</v>
      </c>
      <c r="G156" s="1" t="s">
        <v>1898</v>
      </c>
      <c r="H156" s="1" t="n">
        <v>1261842</v>
      </c>
      <c r="I156" s="1" t="n">
        <v>39</v>
      </c>
      <c r="J156" s="1" t="s">
        <v>1821</v>
      </c>
      <c r="K156" s="46" t="n">
        <v>13.1</v>
      </c>
      <c r="O156" s="15" t="n">
        <v>46316</v>
      </c>
      <c r="P156" s="4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1899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1821</v>
      </c>
      <c r="K157" s="46" t="n">
        <v>2201.6</v>
      </c>
      <c r="O157" s="15" t="n">
        <v>46317</v>
      </c>
      <c r="P157" s="4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1900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1821</v>
      </c>
      <c r="K158" s="46" t="n">
        <v>482.36</v>
      </c>
      <c r="O158" s="15" t="n">
        <v>46318</v>
      </c>
      <c r="P158" s="4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1833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1821</v>
      </c>
      <c r="K159" s="46" t="n">
        <v>925</v>
      </c>
      <c r="O159" s="15" t="n">
        <v>46319</v>
      </c>
      <c r="P159" s="4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1841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1821</v>
      </c>
      <c r="K160" s="46" t="n">
        <v>684</v>
      </c>
      <c r="O160" s="15" t="n">
        <v>46320</v>
      </c>
      <c r="P160" s="4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1884</v>
      </c>
      <c r="D161" s="1" t="s">
        <v>1885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1821</v>
      </c>
      <c r="K161" s="46" t="n">
        <v>614.97</v>
      </c>
      <c r="O161" s="15" t="n">
        <v>46321</v>
      </c>
      <c r="P161" s="4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1826</v>
      </c>
      <c r="D162" s="1" t="s">
        <v>1827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1821</v>
      </c>
      <c r="K162" s="46" t="n">
        <v>190.5</v>
      </c>
      <c r="O162" s="15" t="n">
        <v>46322</v>
      </c>
      <c r="P162" s="4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1860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1821</v>
      </c>
      <c r="K163" s="46" t="n">
        <v>1103.76</v>
      </c>
      <c r="O163" s="15" t="n">
        <v>46323</v>
      </c>
      <c r="P163" s="4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1901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1821</v>
      </c>
      <c r="K164" s="46" t="n">
        <v>194.4</v>
      </c>
      <c r="O164" s="15" t="n">
        <v>46324</v>
      </c>
      <c r="P164" s="4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1902</v>
      </c>
      <c r="D165" s="1" t="s">
        <v>1903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1821</v>
      </c>
      <c r="K165" s="46" t="n">
        <v>212.4</v>
      </c>
      <c r="O165" s="15" t="n">
        <v>46325</v>
      </c>
      <c r="P165" s="4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1839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1821</v>
      </c>
      <c r="K166" s="46" t="n">
        <v>210</v>
      </c>
      <c r="O166" s="15" t="n">
        <v>46326</v>
      </c>
      <c r="P166" s="4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1839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1821</v>
      </c>
      <c r="K167" s="46" t="n">
        <v>210</v>
      </c>
      <c r="O167" s="15" t="n">
        <v>46327</v>
      </c>
      <c r="P167" s="4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1904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1821</v>
      </c>
      <c r="K168" s="46" t="n">
        <v>184.73</v>
      </c>
      <c r="O168" s="15" t="n">
        <v>46328</v>
      </c>
      <c r="P168" s="4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1881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1821</v>
      </c>
      <c r="K169" s="46" t="n">
        <v>1834</v>
      </c>
      <c r="O169" s="15" t="n">
        <v>46329</v>
      </c>
      <c r="P169" s="4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1829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1821</v>
      </c>
      <c r="K170" s="46" t="n">
        <v>304.75</v>
      </c>
      <c r="O170" s="15" t="n">
        <v>46330</v>
      </c>
      <c r="P170" s="4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1830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1821</v>
      </c>
      <c r="K171" s="46" t="n">
        <v>274.85</v>
      </c>
      <c r="O171" s="15" t="n">
        <v>46331</v>
      </c>
      <c r="P171" s="4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1905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1821</v>
      </c>
      <c r="K172" s="46" t="n">
        <v>2631.81</v>
      </c>
      <c r="O172" s="15" t="n">
        <v>46332</v>
      </c>
      <c r="P172" s="4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1906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1821</v>
      </c>
      <c r="K173" s="46" t="n">
        <v>1222.04</v>
      </c>
      <c r="O173" s="15" t="n">
        <v>46333</v>
      </c>
      <c r="P173" s="4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1907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1821</v>
      </c>
      <c r="K174" s="46" t="n">
        <v>1840</v>
      </c>
      <c r="O174" s="15" t="n">
        <v>46334</v>
      </c>
      <c r="P174" s="4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1825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1821</v>
      </c>
      <c r="K175" s="46" t="n">
        <v>101.71</v>
      </c>
      <c r="O175" s="15" t="n">
        <v>46335</v>
      </c>
      <c r="P175" s="4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1825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1821</v>
      </c>
      <c r="K176" s="46" t="n">
        <v>1579.97</v>
      </c>
      <c r="O176" s="15" t="n">
        <v>46336</v>
      </c>
      <c r="P176" s="4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1908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1821</v>
      </c>
      <c r="K177" s="46" t="n">
        <v>324.43</v>
      </c>
      <c r="O177" s="15" t="n">
        <v>46337</v>
      </c>
      <c r="P177" s="4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1859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1821</v>
      </c>
      <c r="K178" s="46" t="n">
        <v>3166.01</v>
      </c>
      <c r="O178" s="15" t="n">
        <v>46338</v>
      </c>
      <c r="P178" s="4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1859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1821</v>
      </c>
      <c r="K179" s="46" t="n">
        <v>658.25</v>
      </c>
      <c r="O179" s="15" t="n">
        <v>46339</v>
      </c>
      <c r="P179" s="4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1909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1821</v>
      </c>
      <c r="K180" s="46" t="n">
        <v>992.4</v>
      </c>
      <c r="O180" s="15" t="n">
        <v>46340</v>
      </c>
      <c r="P180" s="4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1910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1821</v>
      </c>
      <c r="K181" s="46" t="n">
        <v>660</v>
      </c>
      <c r="O181" s="15" t="n">
        <v>46341</v>
      </c>
      <c r="P181" s="4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1893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1821</v>
      </c>
      <c r="K182" s="46" t="n">
        <v>128.85</v>
      </c>
      <c r="O182" s="15" t="n">
        <v>46342</v>
      </c>
      <c r="P182" s="4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1850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1821</v>
      </c>
      <c r="K183" s="46" t="n">
        <v>7993.6</v>
      </c>
      <c r="O183" s="15" t="n">
        <v>46343</v>
      </c>
      <c r="P183" s="4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1843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1821</v>
      </c>
      <c r="K184" s="46" t="n">
        <v>199</v>
      </c>
      <c r="O184" s="15" t="n">
        <v>46344</v>
      </c>
      <c r="P184" s="4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1828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1821</v>
      </c>
      <c r="K185" s="46" t="n">
        <v>5018.15</v>
      </c>
      <c r="O185" s="15" t="n">
        <v>46345</v>
      </c>
      <c r="P185" s="4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1889</v>
      </c>
      <c r="D186" s="1" t="s">
        <v>1911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1821</v>
      </c>
      <c r="K186" s="46" t="n">
        <v>980.5</v>
      </c>
      <c r="O186" s="15" t="n">
        <v>46346</v>
      </c>
      <c r="P186" s="4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1889</v>
      </c>
      <c r="D187" s="1" t="s">
        <v>1911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1821</v>
      </c>
      <c r="K187" s="46" t="n">
        <v>381.51</v>
      </c>
      <c r="O187" s="15" t="n">
        <v>46347</v>
      </c>
      <c r="P187" s="4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1912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1821</v>
      </c>
      <c r="K188" s="46" t="n">
        <v>1104.75</v>
      </c>
      <c r="O188" s="15" t="n">
        <v>46348</v>
      </c>
      <c r="P188" s="4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1856</v>
      </c>
      <c r="E189" s="15" t="n">
        <v>46195</v>
      </c>
      <c r="F189" s="15" t="n">
        <v>46192</v>
      </c>
      <c r="G189" s="1" t="s">
        <v>1857</v>
      </c>
      <c r="H189" s="1" t="n">
        <v>1289205</v>
      </c>
      <c r="I189" s="1" t="n">
        <v>1</v>
      </c>
      <c r="J189" s="1" t="s">
        <v>1821</v>
      </c>
      <c r="K189" s="46" t="n">
        <v>264</v>
      </c>
      <c r="O189" s="15" t="n">
        <v>46349</v>
      </c>
      <c r="P189" s="4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1832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1821</v>
      </c>
      <c r="K190" s="46" t="n">
        <v>156</v>
      </c>
      <c r="O190" s="15" t="n">
        <v>46350</v>
      </c>
      <c r="P190" s="4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1833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1821</v>
      </c>
      <c r="K191" s="46" t="n">
        <v>260</v>
      </c>
      <c r="O191" s="15" t="n">
        <v>46351</v>
      </c>
      <c r="P191" s="4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1913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1821</v>
      </c>
      <c r="K192" s="46" t="n">
        <v>592.5</v>
      </c>
      <c r="O192" s="15" t="n">
        <v>46352</v>
      </c>
      <c r="P192" s="4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1914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1821</v>
      </c>
      <c r="K193" s="46" t="n">
        <v>603.5</v>
      </c>
      <c r="O193" s="15" t="n">
        <v>46353</v>
      </c>
      <c r="P193" s="4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1915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1821</v>
      </c>
      <c r="K194" s="46" t="n">
        <v>671.67</v>
      </c>
      <c r="O194" s="15" t="n">
        <v>46354</v>
      </c>
      <c r="P194" s="4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1868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1821</v>
      </c>
      <c r="K195" s="46" t="n">
        <v>4300.92</v>
      </c>
      <c r="O195" s="15" t="n">
        <v>46355</v>
      </c>
      <c r="P195" s="4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1825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1821</v>
      </c>
      <c r="K196" s="46" t="n">
        <v>50.85</v>
      </c>
      <c r="O196" s="15" t="n">
        <v>46356</v>
      </c>
      <c r="P196" s="4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1825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1821</v>
      </c>
      <c r="K197" s="46" t="n">
        <v>22.95</v>
      </c>
      <c r="O197" s="15" t="n">
        <v>46357</v>
      </c>
      <c r="P197" s="4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1825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1821</v>
      </c>
      <c r="K198" s="46" t="n">
        <v>2287.85</v>
      </c>
      <c r="O198" s="15" t="n">
        <v>46358</v>
      </c>
      <c r="P198" s="4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1825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1821</v>
      </c>
      <c r="K199" s="46" t="n">
        <v>463.56</v>
      </c>
      <c r="O199" s="15" t="n">
        <v>46359</v>
      </c>
      <c r="P199" s="4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1825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1821</v>
      </c>
      <c r="K200" s="46" t="n">
        <v>93.77</v>
      </c>
      <c r="O200" s="15" t="n">
        <v>46360</v>
      </c>
      <c r="P200" s="4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1825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1821</v>
      </c>
      <c r="K201" s="46" t="n">
        <v>840.06</v>
      </c>
      <c r="O201" s="15" t="n">
        <v>46361</v>
      </c>
      <c r="P201" s="4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1875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1821</v>
      </c>
      <c r="K202" s="46" t="n">
        <v>1342.31</v>
      </c>
      <c r="O202" s="15" t="n">
        <v>46362</v>
      </c>
      <c r="P202" s="4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1835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1821</v>
      </c>
      <c r="K203" s="46" t="n">
        <v>370.84</v>
      </c>
      <c r="O203" s="15" t="n">
        <v>46363</v>
      </c>
      <c r="P203" s="4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1837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1821</v>
      </c>
      <c r="K204" s="46" t="n">
        <v>3464.65</v>
      </c>
      <c r="O204" s="15" t="n">
        <v>46364</v>
      </c>
      <c r="P204" s="4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1837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1821</v>
      </c>
      <c r="K205" s="46" t="n">
        <v>334.45</v>
      </c>
      <c r="O205" s="15" t="n">
        <v>46365</v>
      </c>
      <c r="P205" s="4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1837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1821</v>
      </c>
      <c r="K206" s="46" t="n">
        <v>724</v>
      </c>
      <c r="O206" s="15" t="n">
        <v>46366</v>
      </c>
      <c r="P206" s="4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1846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1821</v>
      </c>
      <c r="K207" s="46" t="n">
        <v>2018.54</v>
      </c>
      <c r="O207" s="15" t="n">
        <v>46367</v>
      </c>
      <c r="P207" s="4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1848</v>
      </c>
      <c r="E208" s="15" t="n">
        <v>46195</v>
      </c>
      <c r="F208" s="15" t="n">
        <v>46192</v>
      </c>
      <c r="G208" s="1" t="s">
        <v>1849</v>
      </c>
      <c r="H208" s="1" t="n">
        <v>1289146</v>
      </c>
      <c r="I208" s="1" t="n">
        <v>1</v>
      </c>
      <c r="J208" s="1" t="s">
        <v>1821</v>
      </c>
      <c r="K208" s="46" t="n">
        <v>306</v>
      </c>
      <c r="O208" s="15" t="n">
        <v>46368</v>
      </c>
      <c r="P208" s="4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1847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1821</v>
      </c>
      <c r="K209" s="46" t="n">
        <v>110</v>
      </c>
      <c r="O209" s="15" t="n">
        <v>46369</v>
      </c>
      <c r="P209" s="4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1839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1821</v>
      </c>
      <c r="K210" s="46" t="n">
        <v>210</v>
      </c>
      <c r="O210" s="15" t="n">
        <v>46370</v>
      </c>
      <c r="P210" s="4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1839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1821</v>
      </c>
      <c r="K211" s="46" t="n">
        <v>1454</v>
      </c>
      <c r="O211" s="15" t="n">
        <v>46371</v>
      </c>
      <c r="P211" s="4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1839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1821</v>
      </c>
      <c r="K212" s="46" t="n">
        <v>210</v>
      </c>
      <c r="O212" s="15" t="n">
        <v>46372</v>
      </c>
      <c r="P212" s="4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1839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1821</v>
      </c>
      <c r="K213" s="46" t="n">
        <v>1454</v>
      </c>
      <c r="O213" s="15" t="n">
        <v>46373</v>
      </c>
      <c r="P213" s="4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1904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1821</v>
      </c>
      <c r="K214" s="46" t="n">
        <v>1859.99</v>
      </c>
      <c r="O214" s="15" t="n">
        <v>46374</v>
      </c>
      <c r="P214" s="4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1916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1821</v>
      </c>
      <c r="K215" s="46" t="n">
        <v>480.78</v>
      </c>
      <c r="O215" s="15" t="n">
        <v>46375</v>
      </c>
      <c r="P215" s="4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1917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1821</v>
      </c>
      <c r="K216" s="46" t="n">
        <v>1774.55</v>
      </c>
      <c r="O216" s="15" t="n">
        <v>46376</v>
      </c>
      <c r="P216" s="4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1830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1821</v>
      </c>
      <c r="K217" s="46" t="n">
        <v>454.65</v>
      </c>
      <c r="O217" s="15" t="n">
        <v>46377</v>
      </c>
      <c r="P217" s="4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1918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1821</v>
      </c>
      <c r="K218" s="46" t="n">
        <v>1961.16</v>
      </c>
      <c r="O218" s="15" t="n">
        <v>46378</v>
      </c>
      <c r="P218" s="4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1844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1821</v>
      </c>
      <c r="K219" s="46" t="n">
        <v>920</v>
      </c>
      <c r="O219" s="15" t="n">
        <v>46379</v>
      </c>
      <c r="P219" s="4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1844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1821</v>
      </c>
      <c r="K220" s="46" t="n">
        <v>1538.7</v>
      </c>
      <c r="O220" s="15" t="n">
        <v>46380</v>
      </c>
      <c r="P220" s="4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1919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1821</v>
      </c>
      <c r="K221" s="46" t="n">
        <v>228</v>
      </c>
      <c r="O221" s="15" t="n">
        <v>46381</v>
      </c>
      <c r="P221" s="4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1831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1821</v>
      </c>
      <c r="K222" s="46" t="n">
        <v>298.83</v>
      </c>
      <c r="O222" s="15" t="n">
        <v>46382</v>
      </c>
      <c r="P222" s="4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1832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1821</v>
      </c>
      <c r="K223" s="46" t="n">
        <v>180</v>
      </c>
      <c r="O223" s="15" t="n">
        <v>46383</v>
      </c>
      <c r="P223" s="4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1884</v>
      </c>
      <c r="D224" s="1" t="s">
        <v>1885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1821</v>
      </c>
      <c r="K224" s="46" t="n">
        <v>1062.39</v>
      </c>
      <c r="O224" s="15" t="n">
        <v>46384</v>
      </c>
      <c r="P224" s="4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1876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1821</v>
      </c>
      <c r="K225" s="46" t="n">
        <v>694.35</v>
      </c>
      <c r="O225" s="15" t="n">
        <v>46385</v>
      </c>
      <c r="P225" s="4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1920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1821</v>
      </c>
      <c r="K226" s="46" t="n">
        <v>2212.3</v>
      </c>
      <c r="O226" s="15" t="n">
        <v>46386</v>
      </c>
      <c r="P226" s="4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1826</v>
      </c>
      <c r="D227" s="1" t="s">
        <v>1827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1821</v>
      </c>
      <c r="K227" s="46" t="n">
        <v>97</v>
      </c>
      <c r="O227" s="15" t="n">
        <v>46387</v>
      </c>
      <c r="P227" s="4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1826</v>
      </c>
      <c r="D228" s="1" t="s">
        <v>1827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1821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1826</v>
      </c>
      <c r="D229" s="1" t="s">
        <v>1827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1821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1839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1821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1839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1821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1840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1821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1921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1821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1922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1821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1922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1821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1922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1821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1922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1821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1841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1821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1923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1821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1850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1821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1863</v>
      </c>
      <c r="E241" s="15" t="n">
        <v>46197</v>
      </c>
      <c r="F241" s="15" t="n">
        <v>46196</v>
      </c>
      <c r="G241" s="1" t="s">
        <v>1864</v>
      </c>
      <c r="H241" s="1" t="n">
        <v>1299327</v>
      </c>
      <c r="I241" s="1" t="n">
        <v>1</v>
      </c>
      <c r="J241" s="1" t="s">
        <v>1821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1924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1821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1925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1821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1829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1821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1829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1821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1926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1821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1922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1821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1825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1821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1825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1821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1842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1821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1837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1821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1927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1821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1826</v>
      </c>
      <c r="D253" s="1" t="s">
        <v>1827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1821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1928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1821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1929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1821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1881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1821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1872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1821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1875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1821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1835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1821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1851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1821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1843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1821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1880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1821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1880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1821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1839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1821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1839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1821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1839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1821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1839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1821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1829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1821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1856</v>
      </c>
      <c r="E269" s="15" t="n">
        <v>46200</v>
      </c>
      <c r="F269" s="15" t="n">
        <v>46185</v>
      </c>
      <c r="G269" s="1" t="s">
        <v>1857</v>
      </c>
      <c r="H269" s="1" t="n">
        <v>1312808</v>
      </c>
      <c r="I269" s="1" t="n">
        <v>1</v>
      </c>
      <c r="J269" s="1" t="s">
        <v>1821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1856</v>
      </c>
      <c r="E270" s="15" t="n">
        <v>46200</v>
      </c>
      <c r="F270" s="15" t="n">
        <v>46199</v>
      </c>
      <c r="G270" s="1" t="s">
        <v>1857</v>
      </c>
      <c r="H270" s="1" t="n">
        <v>1312818</v>
      </c>
      <c r="I270" s="1" t="n">
        <v>1</v>
      </c>
      <c r="J270" s="1" t="s">
        <v>1821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1833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1821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1930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1821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1868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1821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1826</v>
      </c>
      <c r="D274" s="1" t="s">
        <v>1827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1821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1848</v>
      </c>
      <c r="E275" s="15" t="n">
        <v>46200</v>
      </c>
      <c r="F275" s="15" t="n">
        <v>46200</v>
      </c>
      <c r="G275" s="1" t="s">
        <v>1849</v>
      </c>
      <c r="H275" s="1" t="n">
        <v>1312583</v>
      </c>
      <c r="I275" s="1" t="n">
        <v>1</v>
      </c>
      <c r="J275" s="1" t="s">
        <v>1821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1828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1821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1865</v>
      </c>
      <c r="D277" s="1" t="s">
        <v>1866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1821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1832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1821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1825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1821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1825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1821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1825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1821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1884</v>
      </c>
      <c r="D282" s="1" t="s">
        <v>1885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1821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1826</v>
      </c>
      <c r="D283" s="1" t="s">
        <v>1827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1821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1850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1821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1828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1821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1839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1821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1839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1821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1832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1821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1826</v>
      </c>
      <c r="D289" s="1" t="s">
        <v>1827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1821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1847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1821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1839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1821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1839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1821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1889</v>
      </c>
      <c r="D293" s="1" t="s">
        <v>1890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1821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1839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1821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1839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1821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1840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1821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1829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1821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1830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1821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1844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1821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1931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1821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1845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1821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1826</v>
      </c>
      <c r="D302" s="1" t="s">
        <v>1827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1821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1932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1821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1850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1821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1873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1821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1856</v>
      </c>
      <c r="E306" s="15" t="n">
        <v>46206</v>
      </c>
      <c r="F306" s="15" t="n">
        <v>46206</v>
      </c>
      <c r="G306" s="1" t="s">
        <v>1857</v>
      </c>
      <c r="H306" s="1" t="n">
        <v>1344684</v>
      </c>
      <c r="I306" s="1" t="n">
        <v>1</v>
      </c>
      <c r="J306" s="1" t="s">
        <v>1821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1833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1821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1868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1821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1835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1821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1884</v>
      </c>
      <c r="D310" s="1" t="s">
        <v>1885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1821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1837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1821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1826</v>
      </c>
      <c r="D312" s="1" t="s">
        <v>1827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1821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1853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1821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1933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1821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1848</v>
      </c>
      <c r="E315" s="15" t="n">
        <v>46206</v>
      </c>
      <c r="F315" s="15" t="n">
        <v>46206</v>
      </c>
      <c r="G315" s="1" t="s">
        <v>1849</v>
      </c>
      <c r="H315" s="1" t="n">
        <v>1344581</v>
      </c>
      <c r="I315" s="1" t="n">
        <v>1</v>
      </c>
      <c r="J315" s="1" t="s">
        <v>1821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1863</v>
      </c>
      <c r="E316" s="15" t="n">
        <v>46206</v>
      </c>
      <c r="F316" s="15" t="n">
        <v>46205</v>
      </c>
      <c r="G316" s="1" t="s">
        <v>1864</v>
      </c>
      <c r="H316" s="1" t="n">
        <v>1344368</v>
      </c>
      <c r="I316" s="1" t="n">
        <v>1</v>
      </c>
      <c r="J316" s="1" t="s">
        <v>1821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1839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1821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1839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1821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1839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1821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1839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1821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1854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1821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1832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1821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1828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1821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1829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1821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1825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1821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1825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1821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1825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1821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1825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1821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1842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1821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1826</v>
      </c>
      <c r="D330" s="1" t="s">
        <v>1827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1821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1847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1821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1862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1821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1839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1821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1839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1821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1934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1821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1875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1821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1835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1821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1826</v>
      </c>
      <c r="D338" s="1" t="s">
        <v>1827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1821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1935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1821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1839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1821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1839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1821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1840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1821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1832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1821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1852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1821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1825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1821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1825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1821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1825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1821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1825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1821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1825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1821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1825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1821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1826</v>
      </c>
      <c r="D351" s="1" t="s">
        <v>1827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1821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1936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1821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1839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1821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1839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1821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1829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1821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1830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1821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1844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1821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1833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1821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1825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1821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1825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1821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1825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1821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1869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1821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1859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1821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1837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1821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1937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1821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1937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1821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1879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1821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1843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1821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1839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1821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1839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1821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1871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1821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1844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1821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1856</v>
      </c>
      <c r="E373" s="15" t="n">
        <v>46213</v>
      </c>
      <c r="F373" s="15" t="n">
        <v>46213</v>
      </c>
      <c r="G373" s="1" t="s">
        <v>1857</v>
      </c>
      <c r="H373" s="1" t="n">
        <v>1377076</v>
      </c>
      <c r="I373" s="1" t="n">
        <v>1</v>
      </c>
      <c r="J373" s="1" t="s">
        <v>1821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1938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1821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1833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1821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1875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1821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1835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1821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1939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1821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1884</v>
      </c>
      <c r="D379" s="1" t="s">
        <v>1885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1821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1877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1821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1848</v>
      </c>
      <c r="E381" s="15" t="n">
        <v>46213</v>
      </c>
      <c r="F381" s="15" t="n">
        <v>46213</v>
      </c>
      <c r="G381" s="1" t="s">
        <v>1849</v>
      </c>
      <c r="H381" s="1" t="n">
        <v>1376630</v>
      </c>
      <c r="I381" s="1" t="n">
        <v>1</v>
      </c>
      <c r="J381" s="1" t="s">
        <v>1821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1940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1821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1839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1821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1904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1821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1872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1821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1900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1821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1873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1821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1832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1821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1826</v>
      </c>
      <c r="D389" s="1" t="s">
        <v>1827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1821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1941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1821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1878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1821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1829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1821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1865</v>
      </c>
      <c r="D393" s="1" t="s">
        <v>1866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1821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1825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1821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1825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1821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1825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1821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1870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1821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1826</v>
      </c>
      <c r="D398" s="1" t="s">
        <v>1827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1821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1846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1821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1861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1821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1942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1821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1839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1821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1829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1821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1918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1821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1858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1821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1835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1821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1826</v>
      </c>
      <c r="D407" s="1" t="s">
        <v>1827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1821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1937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1821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1889</v>
      </c>
      <c r="D409" s="1" t="s">
        <v>1890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1821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1889</v>
      </c>
      <c r="D410" s="1" t="s">
        <v>1890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1821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1828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1821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1839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1821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1839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1821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1840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1821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1831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1821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1943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1821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1915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1821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1915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1821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1915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1821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1837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1821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1870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1821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1870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1821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1826</v>
      </c>
      <c r="D423" s="1" t="s">
        <v>1827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1821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1850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1821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1944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1821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1945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1821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1906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1821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1825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1821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1825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1821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1859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1821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1870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1821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1876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1821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1877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1821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1851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1821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1828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1821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1880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1821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1871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1821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1881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1821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1830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1821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1856</v>
      </c>
      <c r="E440" s="15" t="n">
        <v>46220</v>
      </c>
      <c r="F440" s="15" t="n">
        <v>46220</v>
      </c>
      <c r="G440" s="1" t="s">
        <v>1857</v>
      </c>
      <c r="H440" s="1" t="n">
        <v>1411966</v>
      </c>
      <c r="I440" s="1" t="n">
        <v>11</v>
      </c>
      <c r="J440" s="1" t="s">
        <v>1821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1833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1821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1875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1821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1835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1821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1837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1821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1946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1821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1946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1821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1946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1821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1946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1821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1946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1821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1946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1821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1946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1821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1946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1821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1847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1821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1942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1821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1828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1821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1839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1821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1839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1821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1829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1821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1872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1821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1912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1821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1931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1821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1931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1821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1931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1821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1832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1821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1870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1821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1826</v>
      </c>
      <c r="D466" s="1" t="s">
        <v>1827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1821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1946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1821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1931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1821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1947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1821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1825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1821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1825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1821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1825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1821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1869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1821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1826</v>
      </c>
      <c r="D474" s="1" t="s">
        <v>1827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1821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1946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1821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1946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1821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1843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1821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1828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1821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1839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1821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1839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1821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1926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1821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1899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1821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1918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1821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1948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1821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1826</v>
      </c>
      <c r="D485" s="1" t="s">
        <v>1827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1821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1847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1821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1839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1821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1839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1821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1839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1821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1840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1821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1829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1821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1841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1821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1825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1821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1825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1821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1923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1821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1837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1821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1946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1821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1848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1821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1850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1821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1863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1821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1889</v>
      </c>
      <c r="D501" s="1" t="s">
        <v>1911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1821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1839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1821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1883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1821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1842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1821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1837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1821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1876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1821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1826</v>
      </c>
      <c r="D507" s="1" t="s">
        <v>1827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1821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1893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1821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1949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1821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1925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1821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1829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1821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1872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1821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1852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1821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1875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1821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1835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1821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1837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1821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1837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1821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1826</v>
      </c>
      <c r="D518" s="1" t="s">
        <v>1827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1821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1941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1821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1856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1821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1950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1821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1839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1821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1839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1821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1865</v>
      </c>
      <c r="D524" s="1" t="s">
        <v>1866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1821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1832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1821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1841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1821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1839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1821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1829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1821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1919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1821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1833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1821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1825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1821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1825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1821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1884</v>
      </c>
      <c r="D533" s="1" t="s">
        <v>1885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1821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1951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1821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1826</v>
      </c>
      <c r="D535" s="1" t="s">
        <v>1827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1821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1946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1821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1847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1821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1828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1821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1839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1821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1844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1821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1831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1821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1835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1821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1842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1821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1826</v>
      </c>
      <c r="D544" s="1" t="s">
        <v>1827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1821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1839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1821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1840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1821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1830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1821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1841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1821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1826</v>
      </c>
      <c r="D549" s="1" t="s">
        <v>1827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1821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1952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1821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1953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1821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1832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1821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1833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1821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1845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1821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1848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1821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1862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1821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1828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1821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1839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1821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1839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1821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1871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1821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1829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1821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1873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1821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1825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1821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1825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1821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1825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1821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1825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1821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1825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1821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1875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1821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1835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1821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1884</v>
      </c>
      <c r="D570" s="1" t="s">
        <v>1885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1821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1837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1821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1826</v>
      </c>
      <c r="D572" s="1" t="s">
        <v>1827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1821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1946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1821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1856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1821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1843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1821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1839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1821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1832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1821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1842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1821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1881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1821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1829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1821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1868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1821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1826</v>
      </c>
      <c r="D582" s="1" t="s">
        <v>1827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1821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1846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1821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1850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1821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1839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1821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1839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1821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1844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1821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1832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1821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1826</v>
      </c>
      <c r="D589" s="1" t="s">
        <v>1827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1821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1839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1821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1840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1821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1915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1821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1915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1821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1915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1821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1842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1821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1884</v>
      </c>
      <c r="D596" s="1" t="s">
        <v>1885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1821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1853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1821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1946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1821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1847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1821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1954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1821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1839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1821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1829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1821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1841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1821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1826</v>
      </c>
      <c r="D604" s="1" t="s">
        <v>1827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1821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1850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1821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1936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1821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1839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1821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1854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1821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1872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1821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1830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1821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1833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1821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1825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1821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1825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1821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1825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1821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1825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1821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1825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1821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1825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1821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1875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1821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1835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1821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1920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1821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1920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1821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1860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1821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1856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1821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1861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1821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1828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1821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1839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1821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1839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1821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1839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1821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1839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1821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1829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1821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1946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1821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1832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1821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1883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1821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1884</v>
      </c>
      <c r="D634" s="1" t="s">
        <v>1885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1821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1826</v>
      </c>
      <c r="D635" s="1" t="s">
        <v>1827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1821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1826</v>
      </c>
      <c r="D636" s="1" t="s">
        <v>1827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1821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1843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1821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1828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1821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1839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1821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1871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1821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1844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1821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1865</v>
      </c>
      <c r="D642" s="1" t="s">
        <v>1866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1821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1831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1821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1867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1821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1879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1821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1863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1821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1839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1821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1839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1821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1840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1821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1955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1821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1832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1821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1837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1821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1909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1821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1946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1821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1889</v>
      </c>
      <c r="D655" s="1" t="s">
        <v>1911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1821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1955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1821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1906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1821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1841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1821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1869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1821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1842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1821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1837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1821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1877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1821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1946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1821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1871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1821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1829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1821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1872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1821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1899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1821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1931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1821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1873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1821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1945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1821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1913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1821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1914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1821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1825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1821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1825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1821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1825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1821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1875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1821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1884</v>
      </c>
      <c r="D677" s="1" t="s">
        <v>1885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1821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1923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1821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1859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1821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1837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1821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1826</v>
      </c>
      <c r="D681" s="1" t="s">
        <v>1827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1821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1826</v>
      </c>
      <c r="D682" s="1" t="s">
        <v>1827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1821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1853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1821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1848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1821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1856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1821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1843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1821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1839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1821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1839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1821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1839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1821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1854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1821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1925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1821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1833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1821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1859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1821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1870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1821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1946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1821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1850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1821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1839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1821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1915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1821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1852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1821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1870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1821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1826</v>
      </c>
      <c r="D701" s="1" t="s">
        <v>1827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1821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1946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1821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1956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1821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1847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1821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1851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1821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1828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1821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1839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1821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1882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1821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1832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1821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1825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1821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1835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1821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1826</v>
      </c>
      <c r="D712" s="1" t="s">
        <v>1827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1821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1937</v>
      </c>
      <c r="E713" s="15" t="n">
        <v>46252</v>
      </c>
      <c r="F713" s="15" t="n">
        <v>46252</v>
      </c>
      <c r="G713" s="1" t="s">
        <v>90</v>
      </c>
      <c r="H713" s="1" t="n">
        <v>1581542</v>
      </c>
      <c r="I713" s="1" t="n">
        <v>11</v>
      </c>
      <c r="J713" s="1" t="s">
        <v>1821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1957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1821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1851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1821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1942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1821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1839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1821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1839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1821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1840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1821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1829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1821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1917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1821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1931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1821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1958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1821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1841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1821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1842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1821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1876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1821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1876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1821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1924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1821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1924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1821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1839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1821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1900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1821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368</v>
      </c>
      <c r="C732" s="1" t="s">
        <v>36</v>
      </c>
      <c r="D732" s="1" t="s">
        <v>1833</v>
      </c>
      <c r="E732" s="15" t="n">
        <v>46254</v>
      </c>
      <c r="F732" s="15" t="n">
        <v>46254</v>
      </c>
      <c r="G732" s="1" t="s">
        <v>243</v>
      </c>
      <c r="H732" s="1" t="n">
        <v>1577556</v>
      </c>
      <c r="I732" s="1" t="n">
        <v>11</v>
      </c>
      <c r="J732" s="1" t="s">
        <v>1821</v>
      </c>
      <c r="K732" s="46" t="n">
        <v>1734.8</v>
      </c>
    </row>
    <row r="733" customFormat="false" ht="15" hidden="false" customHeight="true" outlineLevel="0" collapsed="false">
      <c r="A733" s="1" t="n">
        <v>2</v>
      </c>
      <c r="B733" s="1" t="n">
        <v>1666696</v>
      </c>
      <c r="C733" s="1" t="s">
        <v>1826</v>
      </c>
      <c r="D733" s="1" t="s">
        <v>1827</v>
      </c>
      <c r="E733" s="15" t="n">
        <v>46254</v>
      </c>
      <c r="F733" s="15" t="n">
        <v>46253</v>
      </c>
      <c r="G733" s="1" t="s">
        <v>416</v>
      </c>
      <c r="H733" s="1" t="n">
        <v>1576171</v>
      </c>
      <c r="I733" s="1" t="n">
        <v>11</v>
      </c>
      <c r="J733" s="1" t="s">
        <v>1821</v>
      </c>
      <c r="K733" s="46" t="n">
        <v>156</v>
      </c>
    </row>
    <row r="734" customFormat="false" ht="15" hidden="false" customHeight="true" outlineLevel="0" collapsed="false">
      <c r="A734" s="1" t="n">
        <v>2</v>
      </c>
      <c r="B734" s="1" t="n">
        <v>37213</v>
      </c>
      <c r="C734" s="1" t="s">
        <v>36</v>
      </c>
      <c r="D734" s="1" t="s">
        <v>1959</v>
      </c>
      <c r="E734" s="15" t="n">
        <v>46254</v>
      </c>
      <c r="F734" s="15" t="n">
        <v>46252</v>
      </c>
      <c r="G734" s="1" t="s">
        <v>1495</v>
      </c>
      <c r="H734" s="1" t="n">
        <v>1576139</v>
      </c>
      <c r="I734" s="1" t="n">
        <v>11</v>
      </c>
      <c r="J734" s="1" t="s">
        <v>1821</v>
      </c>
      <c r="K734" s="46" t="n">
        <v>842</v>
      </c>
    </row>
    <row r="735" customFormat="false" ht="15" hidden="false" customHeight="true" outlineLevel="0" collapsed="false">
      <c r="A735" s="1" t="n">
        <v>2</v>
      </c>
      <c r="B735" s="1" t="n">
        <v>2617</v>
      </c>
      <c r="C735" s="1" t="s">
        <v>36</v>
      </c>
      <c r="D735" s="1" t="s">
        <v>1839</v>
      </c>
      <c r="E735" s="15" t="n">
        <v>46254</v>
      </c>
      <c r="F735" s="15" t="n">
        <v>46254</v>
      </c>
      <c r="G735" s="1" t="s">
        <v>146</v>
      </c>
      <c r="H735" s="1" t="n">
        <v>1576425</v>
      </c>
      <c r="I735" s="1" t="n">
        <v>6</v>
      </c>
      <c r="J735" s="1" t="s">
        <v>1821</v>
      </c>
      <c r="K735" s="46" t="n">
        <v>300</v>
      </c>
    </row>
    <row r="736" customFormat="false" ht="15" hidden="false" customHeight="true" outlineLevel="0" collapsed="false">
      <c r="A736" s="1" t="n">
        <v>2</v>
      </c>
      <c r="B736" s="1" t="n">
        <v>1966312</v>
      </c>
      <c r="C736" s="1" t="s">
        <v>36</v>
      </c>
      <c r="D736" s="1" t="s">
        <v>1918</v>
      </c>
      <c r="E736" s="15" t="n">
        <v>46254</v>
      </c>
      <c r="F736" s="15" t="n">
        <v>46251</v>
      </c>
      <c r="G736" s="1" t="s">
        <v>176</v>
      </c>
      <c r="H736" s="1" t="n">
        <v>1577200</v>
      </c>
      <c r="I736" s="1" t="n">
        <v>11</v>
      </c>
      <c r="J736" s="1" t="s">
        <v>1821</v>
      </c>
      <c r="K736" s="46" t="n">
        <v>1564.9</v>
      </c>
    </row>
    <row r="737" customFormat="false" ht="15" hidden="false" customHeight="true" outlineLevel="0" collapsed="false">
      <c r="A737" s="1" t="n">
        <v>2</v>
      </c>
      <c r="B737" s="1" t="n">
        <v>32564</v>
      </c>
      <c r="C737" s="1" t="s">
        <v>36</v>
      </c>
      <c r="D737" s="1" t="s">
        <v>1844</v>
      </c>
      <c r="E737" s="15" t="n">
        <v>46254</v>
      </c>
      <c r="F737" s="15" t="n">
        <v>46253</v>
      </c>
      <c r="G737" s="1" t="s">
        <v>142</v>
      </c>
      <c r="H737" s="1" t="n">
        <v>1576222</v>
      </c>
      <c r="I737" s="1" t="n">
        <v>11</v>
      </c>
      <c r="J737" s="1" t="s">
        <v>1821</v>
      </c>
      <c r="K737" s="46" t="n">
        <v>1293.6</v>
      </c>
    </row>
    <row r="738" customFormat="false" ht="15" hidden="false" customHeight="true" outlineLevel="0" collapsed="false">
      <c r="A738" s="1" t="n">
        <v>2</v>
      </c>
      <c r="B738" s="1" t="n">
        <v>175169</v>
      </c>
      <c r="C738" s="1" t="s">
        <v>36</v>
      </c>
      <c r="D738" s="1" t="s">
        <v>1842</v>
      </c>
      <c r="E738" s="15" t="n">
        <v>46255</v>
      </c>
      <c r="F738" s="15" t="n">
        <v>46254</v>
      </c>
      <c r="G738" s="1" t="s">
        <v>373</v>
      </c>
      <c r="H738" s="1" t="n">
        <v>1581785</v>
      </c>
      <c r="I738" s="1" t="n">
        <v>11</v>
      </c>
      <c r="J738" s="1" t="s">
        <v>1821</v>
      </c>
      <c r="K738" s="46" t="n">
        <v>3809.5</v>
      </c>
    </row>
    <row r="739" customFormat="false" ht="15" hidden="false" customHeight="true" outlineLevel="0" collapsed="false">
      <c r="A739" s="1" t="n">
        <v>2</v>
      </c>
      <c r="B739" s="1" t="n">
        <v>1668090</v>
      </c>
      <c r="C739" s="1" t="s">
        <v>1826</v>
      </c>
      <c r="D739" s="1" t="s">
        <v>1827</v>
      </c>
      <c r="E739" s="15" t="n">
        <v>46255</v>
      </c>
      <c r="F739" s="15" t="n">
        <v>46255</v>
      </c>
      <c r="G739" s="1" t="s">
        <v>416</v>
      </c>
      <c r="H739" s="1" t="n">
        <v>1581998</v>
      </c>
      <c r="I739" s="1" t="n">
        <v>11</v>
      </c>
      <c r="J739" s="1" t="s">
        <v>1821</v>
      </c>
      <c r="K739" s="46" t="n">
        <v>100.5</v>
      </c>
    </row>
    <row r="740" customFormat="false" ht="15" hidden="false" customHeight="true" outlineLevel="0" collapsed="false">
      <c r="A740" s="1" t="n">
        <v>2</v>
      </c>
      <c r="B740" s="1" t="n">
        <v>39521</v>
      </c>
      <c r="C740" s="1" t="s">
        <v>1960</v>
      </c>
      <c r="D740" s="1" t="s">
        <v>1961</v>
      </c>
      <c r="E740" s="15" t="n">
        <v>46255</v>
      </c>
      <c r="F740" s="15" t="n">
        <v>46254</v>
      </c>
      <c r="G740" s="1" t="s">
        <v>1533</v>
      </c>
      <c r="H740" s="1" t="n">
        <v>1581136</v>
      </c>
      <c r="I740" s="1" t="n">
        <v>11</v>
      </c>
      <c r="J740" s="1" t="s">
        <v>1821</v>
      </c>
      <c r="K740" s="46" t="n">
        <v>2055.66</v>
      </c>
    </row>
    <row r="741" customFormat="false" ht="15" hidden="false" customHeight="true" outlineLevel="0" collapsed="false">
      <c r="A741" s="1" t="n">
        <v>2</v>
      </c>
      <c r="B741" s="1" t="n">
        <v>189</v>
      </c>
      <c r="C741" s="1" t="s">
        <v>36</v>
      </c>
      <c r="D741" s="1" t="s">
        <v>1946</v>
      </c>
      <c r="E741" s="15" t="n">
        <v>46255</v>
      </c>
      <c r="F741" s="15" t="n">
        <v>46253</v>
      </c>
      <c r="G741" s="1" t="s">
        <v>624</v>
      </c>
      <c r="H741" s="1" t="n">
        <v>1585107</v>
      </c>
      <c r="I741" s="1" t="n">
        <v>11</v>
      </c>
      <c r="J741" s="1" t="s">
        <v>1821</v>
      </c>
      <c r="K741" s="46" t="n">
        <v>200</v>
      </c>
    </row>
    <row r="742" customFormat="false" ht="15" hidden="false" customHeight="true" outlineLevel="0" collapsed="false">
      <c r="A742" s="1" t="n">
        <v>2</v>
      </c>
      <c r="B742" s="1" t="n">
        <v>398</v>
      </c>
      <c r="C742" s="1" t="s">
        <v>36</v>
      </c>
      <c r="D742" s="1" t="s">
        <v>1856</v>
      </c>
      <c r="E742" s="15" t="n">
        <v>46255</v>
      </c>
      <c r="F742" s="15" t="n">
        <v>46246</v>
      </c>
      <c r="G742" s="1" t="s">
        <v>109</v>
      </c>
      <c r="H742" s="1" t="n">
        <v>1580962</v>
      </c>
      <c r="I742" s="1" t="n">
        <v>11</v>
      </c>
      <c r="J742" s="1" t="s">
        <v>1821</v>
      </c>
      <c r="K742" s="46" t="n">
        <v>183</v>
      </c>
    </row>
    <row r="743" customFormat="false" ht="15" hidden="false" customHeight="true" outlineLevel="0" collapsed="false">
      <c r="A743" s="1" t="n">
        <v>2</v>
      </c>
      <c r="B743" s="1" t="n">
        <v>408</v>
      </c>
      <c r="C743" s="1" t="s">
        <v>36</v>
      </c>
      <c r="D743" s="1" t="s">
        <v>1856</v>
      </c>
      <c r="E743" s="15" t="n">
        <v>46255</v>
      </c>
      <c r="F743" s="15" t="n">
        <v>46255</v>
      </c>
      <c r="G743" s="1" t="s">
        <v>109</v>
      </c>
      <c r="H743" s="1" t="n">
        <v>1580972</v>
      </c>
      <c r="I743" s="1" t="n">
        <v>11</v>
      </c>
      <c r="J743" s="1" t="s">
        <v>1821</v>
      </c>
      <c r="K743" s="46" t="n">
        <v>183</v>
      </c>
    </row>
    <row r="744" customFormat="false" ht="15" hidden="false" customHeight="true" outlineLevel="0" collapsed="false">
      <c r="A744" s="1" t="n">
        <v>2</v>
      </c>
      <c r="B744" s="1" t="n">
        <v>2619</v>
      </c>
      <c r="C744" s="1" t="s">
        <v>36</v>
      </c>
      <c r="D744" s="1" t="s">
        <v>1839</v>
      </c>
      <c r="E744" s="15" t="n">
        <v>46255</v>
      </c>
      <c r="F744" s="15" t="n">
        <v>46255</v>
      </c>
      <c r="G744" s="1" t="s">
        <v>146</v>
      </c>
      <c r="H744" s="1" t="n">
        <v>1581741</v>
      </c>
      <c r="I744" s="1" t="n">
        <v>6</v>
      </c>
      <c r="J744" s="1" t="s">
        <v>1821</v>
      </c>
      <c r="K744" s="46" t="n">
        <v>300</v>
      </c>
    </row>
    <row r="745" customFormat="false" ht="15" hidden="false" customHeight="true" outlineLevel="0" collapsed="false">
      <c r="A745" s="1" t="n">
        <v>2</v>
      </c>
      <c r="B745" s="1" t="n">
        <v>2622</v>
      </c>
      <c r="C745" s="1" t="s">
        <v>36</v>
      </c>
      <c r="D745" s="1" t="s">
        <v>1839</v>
      </c>
      <c r="E745" s="15" t="n">
        <v>46255</v>
      </c>
      <c r="F745" s="15" t="n">
        <v>46255</v>
      </c>
      <c r="G745" s="1" t="s">
        <v>146</v>
      </c>
      <c r="H745" s="1" t="n">
        <v>1581902</v>
      </c>
      <c r="I745" s="1" t="n">
        <v>6</v>
      </c>
      <c r="J745" s="1" t="s">
        <v>1821</v>
      </c>
      <c r="K745" s="46" t="n">
        <v>200</v>
      </c>
    </row>
    <row r="746" customFormat="false" ht="15" hidden="false" customHeight="true" outlineLevel="0" collapsed="false">
      <c r="A746" s="1" t="n">
        <v>2</v>
      </c>
      <c r="B746" s="1" t="n">
        <v>2623</v>
      </c>
      <c r="C746" s="1" t="s">
        <v>36</v>
      </c>
      <c r="D746" s="1" t="s">
        <v>1839</v>
      </c>
      <c r="E746" s="15" t="n">
        <v>46255</v>
      </c>
      <c r="F746" s="15" t="n">
        <v>46255</v>
      </c>
      <c r="G746" s="1" t="s">
        <v>146</v>
      </c>
      <c r="H746" s="1" t="n">
        <v>1581941</v>
      </c>
      <c r="I746" s="1" t="n">
        <v>6</v>
      </c>
      <c r="J746" s="1" t="s">
        <v>1821</v>
      </c>
      <c r="K746" s="46" t="n">
        <v>1863.5</v>
      </c>
    </row>
    <row r="747" customFormat="false" ht="15" hidden="false" customHeight="true" outlineLevel="0" collapsed="false">
      <c r="A747" s="1" t="n">
        <v>2</v>
      </c>
      <c r="B747" s="1" t="n">
        <v>2624</v>
      </c>
      <c r="C747" s="1" t="s">
        <v>36</v>
      </c>
      <c r="D747" s="1" t="s">
        <v>1839</v>
      </c>
      <c r="E747" s="15" t="n">
        <v>46255</v>
      </c>
      <c r="F747" s="15" t="n">
        <v>46255</v>
      </c>
      <c r="G747" s="1" t="s">
        <v>146</v>
      </c>
      <c r="H747" s="1" t="n">
        <v>1582083</v>
      </c>
      <c r="I747" s="1" t="n">
        <v>6</v>
      </c>
      <c r="J747" s="1" t="s">
        <v>1821</v>
      </c>
      <c r="K747" s="46" t="n">
        <v>1383</v>
      </c>
    </row>
    <row r="748" customFormat="false" ht="15" hidden="false" customHeight="true" outlineLevel="0" collapsed="false">
      <c r="A748" s="1" t="n">
        <v>2</v>
      </c>
      <c r="B748" s="1" t="n">
        <v>3877</v>
      </c>
      <c r="C748" s="1" t="s">
        <v>36</v>
      </c>
      <c r="D748" s="1" t="s">
        <v>1830</v>
      </c>
      <c r="E748" s="15" t="n">
        <v>46255</v>
      </c>
      <c r="F748" s="15" t="n">
        <v>46255</v>
      </c>
      <c r="G748" s="1" t="s">
        <v>205</v>
      </c>
      <c r="H748" s="1" t="n">
        <v>1580948</v>
      </c>
      <c r="I748" s="1" t="n">
        <v>11</v>
      </c>
      <c r="J748" s="1" t="s">
        <v>1821</v>
      </c>
      <c r="K748" s="46" t="n">
        <v>814.25</v>
      </c>
    </row>
    <row r="749" customFormat="false" ht="15" hidden="false" customHeight="true" outlineLevel="0" collapsed="false">
      <c r="A749" s="1" t="n">
        <v>2</v>
      </c>
      <c r="B749" s="1" t="n">
        <v>613</v>
      </c>
      <c r="C749" s="1" t="s">
        <v>36</v>
      </c>
      <c r="D749" s="1" t="s">
        <v>1832</v>
      </c>
      <c r="E749" s="15" t="n">
        <v>46256</v>
      </c>
      <c r="F749" s="15" t="n">
        <v>46255</v>
      </c>
      <c r="G749" s="1" t="s">
        <v>144</v>
      </c>
      <c r="H749" s="1" t="n">
        <v>1585334</v>
      </c>
      <c r="I749" s="1" t="n">
        <v>11</v>
      </c>
      <c r="J749" s="1" t="s">
        <v>1821</v>
      </c>
      <c r="K749" s="46" t="n">
        <v>240</v>
      </c>
    </row>
    <row r="750" customFormat="false" ht="15" hidden="false" customHeight="true" outlineLevel="0" collapsed="false">
      <c r="A750" s="1" t="n">
        <v>2</v>
      </c>
      <c r="B750" s="1" t="n">
        <v>13976</v>
      </c>
      <c r="C750" s="1" t="s">
        <v>36</v>
      </c>
      <c r="D750" s="1" t="s">
        <v>1962</v>
      </c>
      <c r="E750" s="15" t="n">
        <v>46256</v>
      </c>
      <c r="F750" s="15" t="n">
        <v>46251</v>
      </c>
      <c r="G750" s="1" t="s">
        <v>75</v>
      </c>
      <c r="H750" s="1" t="n">
        <v>1585379</v>
      </c>
      <c r="I750" s="1" t="n">
        <v>39</v>
      </c>
      <c r="J750" s="1" t="s">
        <v>1821</v>
      </c>
      <c r="K750" s="46" t="n">
        <v>79.8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1865</v>
      </c>
      <c r="D751" s="1" t="s">
        <v>1866</v>
      </c>
      <c r="E751" s="15" t="n">
        <v>46256</v>
      </c>
      <c r="F751" s="15" t="n">
        <v>46253</v>
      </c>
      <c r="G751" s="1" t="s">
        <v>229</v>
      </c>
      <c r="H751" s="1" t="n">
        <v>1585257</v>
      </c>
      <c r="I751" s="1" t="n">
        <v>11</v>
      </c>
      <c r="J751" s="1" t="s">
        <v>1821</v>
      </c>
      <c r="K751" s="46" t="n">
        <v>21495.36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1905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1821</v>
      </c>
      <c r="K752" s="46" t="n">
        <v>548.42</v>
      </c>
    </row>
    <row r="753" customFormat="false" ht="15" hidden="false" customHeight="true" outlineLevel="0" collapsed="false">
      <c r="A753" s="1" t="n">
        <v>2</v>
      </c>
      <c r="B753" s="1" t="n">
        <v>91661</v>
      </c>
      <c r="C753" s="1" t="s">
        <v>88</v>
      </c>
      <c r="D753" s="1" t="s">
        <v>1820</v>
      </c>
      <c r="E753" s="15" t="n">
        <v>46258</v>
      </c>
      <c r="F753" s="15" t="n">
        <v>46255</v>
      </c>
      <c r="G753" s="1" t="s">
        <v>239</v>
      </c>
      <c r="H753" s="1" t="n">
        <v>1594340</v>
      </c>
      <c r="I753" s="1" t="n">
        <v>11</v>
      </c>
      <c r="J753" s="1" t="s">
        <v>1821</v>
      </c>
      <c r="K753" s="46" t="n">
        <v>618.65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1826</v>
      </c>
      <c r="D754" s="1" t="s">
        <v>1827</v>
      </c>
      <c r="E754" s="15" t="n">
        <v>46258</v>
      </c>
      <c r="F754" s="15" t="n">
        <v>46256</v>
      </c>
      <c r="G754" s="1" t="s">
        <v>416</v>
      </c>
      <c r="H754" s="1" t="n">
        <v>1594273</v>
      </c>
      <c r="I754" s="1" t="n">
        <v>11</v>
      </c>
      <c r="J754" s="1" t="s">
        <v>1821</v>
      </c>
      <c r="K754" s="46" t="n">
        <v>140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36</v>
      </c>
      <c r="D755" s="1" t="s">
        <v>1946</v>
      </c>
      <c r="E755" s="15" t="n">
        <v>46258</v>
      </c>
      <c r="F755" s="15" t="n">
        <v>46256</v>
      </c>
      <c r="G755" s="1" t="s">
        <v>624</v>
      </c>
      <c r="H755" s="1" t="n">
        <v>1609741</v>
      </c>
      <c r="I755" s="1" t="n">
        <v>11</v>
      </c>
      <c r="J755" s="1" t="s">
        <v>1821</v>
      </c>
      <c r="K755" s="46" t="n">
        <v>140</v>
      </c>
    </row>
    <row r="756" customFormat="false" ht="15" hidden="false" customHeight="true" outlineLevel="0" collapsed="false">
      <c r="A756" s="1" t="n">
        <v>2</v>
      </c>
      <c r="B756" s="1" t="n">
        <v>15127</v>
      </c>
      <c r="C756" s="1" t="s">
        <v>36</v>
      </c>
      <c r="D756" s="1" t="s">
        <v>1828</v>
      </c>
      <c r="E756" s="15" t="n">
        <v>46258</v>
      </c>
      <c r="F756" s="15" t="n">
        <v>46256</v>
      </c>
      <c r="G756" s="1" t="s">
        <v>272</v>
      </c>
      <c r="H756" s="1" t="n">
        <v>1595549</v>
      </c>
      <c r="I756" s="1" t="n">
        <v>11</v>
      </c>
      <c r="J756" s="1" t="s">
        <v>1821</v>
      </c>
      <c r="K756" s="46" t="n">
        <v>4164.18</v>
      </c>
    </row>
    <row r="757" customFormat="false" ht="15" hidden="false" customHeight="true" outlineLevel="0" collapsed="false">
      <c r="A757" s="1" t="n">
        <v>2</v>
      </c>
      <c r="B757" s="1" t="n">
        <v>2625</v>
      </c>
      <c r="C757" s="1" t="s">
        <v>36</v>
      </c>
      <c r="D757" s="1" t="s">
        <v>1839</v>
      </c>
      <c r="E757" s="15" t="n">
        <v>46258</v>
      </c>
      <c r="F757" s="15" t="n">
        <v>46258</v>
      </c>
      <c r="G757" s="1" t="s">
        <v>146</v>
      </c>
      <c r="H757" s="1" t="n">
        <v>1595265</v>
      </c>
      <c r="I757" s="1" t="n">
        <v>6</v>
      </c>
      <c r="J757" s="1" t="s">
        <v>1821</v>
      </c>
      <c r="K757" s="46" t="n">
        <v>225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1854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1821</v>
      </c>
      <c r="K758" s="46" t="n">
        <v>460</v>
      </c>
    </row>
    <row r="759" customFormat="false" ht="15" hidden="false" customHeight="true" outlineLevel="0" collapsed="false">
      <c r="A759" s="1" t="n">
        <v>2</v>
      </c>
      <c r="B759" s="1" t="n">
        <v>772</v>
      </c>
      <c r="C759" s="1" t="s">
        <v>88</v>
      </c>
      <c r="D759" s="1" t="s">
        <v>1829</v>
      </c>
      <c r="E759" s="15" t="n">
        <v>46258</v>
      </c>
      <c r="F759" s="15" t="n">
        <v>46256</v>
      </c>
      <c r="G759" s="1" t="s">
        <v>211</v>
      </c>
      <c r="H759" s="1" t="n">
        <v>1594447</v>
      </c>
      <c r="I759" s="1" t="n">
        <v>11</v>
      </c>
      <c r="J759" s="1" t="s">
        <v>1821</v>
      </c>
      <c r="K759" s="46" t="n">
        <v>265.81</v>
      </c>
    </row>
    <row r="760" customFormat="false" ht="15" hidden="false" customHeight="true" outlineLevel="0" collapsed="false">
      <c r="A760" s="1" t="n">
        <v>2</v>
      </c>
      <c r="B760" s="1" t="n">
        <v>621</v>
      </c>
      <c r="C760" s="1" t="s">
        <v>36</v>
      </c>
      <c r="D760" s="1" t="s">
        <v>1832</v>
      </c>
      <c r="E760" s="15" t="n">
        <v>46259</v>
      </c>
      <c r="F760" s="15" t="n">
        <v>46258</v>
      </c>
      <c r="G760" s="1" t="s">
        <v>144</v>
      </c>
      <c r="H760" s="1" t="n">
        <v>1599470</v>
      </c>
      <c r="I760" s="1" t="n">
        <v>11</v>
      </c>
      <c r="J760" s="1" t="s">
        <v>1821</v>
      </c>
      <c r="K760" s="46" t="n">
        <v>240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49</v>
      </c>
      <c r="D761" s="1" t="s">
        <v>1825</v>
      </c>
      <c r="E761" s="15" t="n">
        <v>46259</v>
      </c>
      <c r="F761" s="15" t="n">
        <v>46255</v>
      </c>
      <c r="G761" s="1" t="s">
        <v>131</v>
      </c>
      <c r="H761" s="1" t="n">
        <v>1600062</v>
      </c>
      <c r="I761" s="1" t="n">
        <v>11</v>
      </c>
      <c r="J761" s="1" t="s">
        <v>1821</v>
      </c>
      <c r="K761" s="46" t="n">
        <v>639.05</v>
      </c>
    </row>
    <row r="762" customFormat="false" ht="15" hidden="false" customHeight="true" outlineLevel="0" collapsed="false">
      <c r="A762" s="1" t="n">
        <v>2</v>
      </c>
      <c r="B762" s="1" t="n">
        <v>2004983</v>
      </c>
      <c r="C762" s="1" t="s">
        <v>67</v>
      </c>
      <c r="D762" s="1" t="s">
        <v>1825</v>
      </c>
      <c r="E762" s="15" t="n">
        <v>46259</v>
      </c>
      <c r="F762" s="15" t="n">
        <v>46255</v>
      </c>
      <c r="G762" s="1" t="s">
        <v>131</v>
      </c>
      <c r="H762" s="1" t="n">
        <v>1600073</v>
      </c>
      <c r="I762" s="1" t="n">
        <v>11</v>
      </c>
      <c r="J762" s="1" t="s">
        <v>1821</v>
      </c>
      <c r="K762" s="46" t="n">
        <v>3064.41</v>
      </c>
    </row>
    <row r="763" customFormat="false" ht="15" hidden="false" customHeight="true" outlineLevel="0" collapsed="false">
      <c r="A763" s="1" t="n">
        <v>2</v>
      </c>
      <c r="B763" s="1" t="n">
        <v>1038558</v>
      </c>
      <c r="C763" s="1" t="s">
        <v>36</v>
      </c>
      <c r="D763" s="1" t="s">
        <v>1835</v>
      </c>
      <c r="E763" s="15" t="n">
        <v>46259</v>
      </c>
      <c r="F763" s="15" t="n">
        <v>46258</v>
      </c>
      <c r="G763" s="1" t="s">
        <v>233</v>
      </c>
      <c r="H763" s="1" t="n">
        <v>1598912</v>
      </c>
      <c r="I763" s="1" t="n">
        <v>11</v>
      </c>
      <c r="J763" s="1" t="s">
        <v>1821</v>
      </c>
      <c r="K763" s="46" t="n">
        <v>437.2</v>
      </c>
    </row>
    <row r="764" customFormat="false" ht="15" hidden="false" customHeight="true" outlineLevel="0" collapsed="false">
      <c r="A764" s="1" t="n">
        <v>2</v>
      </c>
      <c r="B764" s="1" t="n">
        <v>1668884</v>
      </c>
      <c r="C764" s="1" t="s">
        <v>1826</v>
      </c>
      <c r="D764" s="1" t="s">
        <v>1827</v>
      </c>
      <c r="E764" s="15" t="n">
        <v>46259</v>
      </c>
      <c r="F764" s="15" t="n">
        <v>46258</v>
      </c>
      <c r="G764" s="1" t="s">
        <v>416</v>
      </c>
      <c r="H764" s="1" t="n">
        <v>1598935</v>
      </c>
      <c r="I764" s="1" t="n">
        <v>11</v>
      </c>
      <c r="J764" s="1" t="s">
        <v>1821</v>
      </c>
      <c r="K764" s="46" t="n">
        <v>126</v>
      </c>
    </row>
    <row r="765" customFormat="false" ht="15" hidden="false" customHeight="true" outlineLevel="0" collapsed="false">
      <c r="A765" s="1" t="n">
        <v>2</v>
      </c>
      <c r="B765" s="1" t="n">
        <v>229698</v>
      </c>
      <c r="C765" s="1" t="s">
        <v>88</v>
      </c>
      <c r="D765" s="1" t="s">
        <v>1853</v>
      </c>
      <c r="E765" s="15" t="n">
        <v>46259</v>
      </c>
      <c r="F765" s="15" t="n">
        <v>46259</v>
      </c>
      <c r="G765" s="1" t="s">
        <v>439</v>
      </c>
      <c r="H765" s="1" t="n">
        <v>1600435</v>
      </c>
      <c r="I765" s="1" t="n">
        <v>11</v>
      </c>
      <c r="J765" s="1" t="s">
        <v>1821</v>
      </c>
      <c r="K765" s="46" t="n">
        <v>363.97</v>
      </c>
    </row>
    <row r="766" customFormat="false" ht="15" hidden="false" customHeight="true" outlineLevel="0" collapsed="false">
      <c r="A766" s="1" t="n">
        <v>2</v>
      </c>
      <c r="B766" s="1" t="n">
        <v>1441731</v>
      </c>
      <c r="C766" s="1" t="s">
        <v>36</v>
      </c>
      <c r="D766" s="1" t="s">
        <v>1880</v>
      </c>
      <c r="E766" s="15" t="n">
        <v>46259</v>
      </c>
      <c r="F766" s="15" t="n">
        <v>46258</v>
      </c>
      <c r="G766" s="1" t="s">
        <v>469</v>
      </c>
      <c r="H766" s="1" t="n">
        <v>1600294</v>
      </c>
      <c r="I766" s="1" t="n">
        <v>11</v>
      </c>
      <c r="J766" s="1" t="s">
        <v>1821</v>
      </c>
      <c r="K766" s="46" t="n">
        <v>1255.7</v>
      </c>
    </row>
    <row r="767" customFormat="false" ht="15" hidden="false" customHeight="true" outlineLevel="0" collapsed="false">
      <c r="A767" s="1" t="n">
        <v>2</v>
      </c>
      <c r="B767" s="1" t="n">
        <v>1441732</v>
      </c>
      <c r="C767" s="1" t="s">
        <v>36</v>
      </c>
      <c r="D767" s="1" t="s">
        <v>1880</v>
      </c>
      <c r="E767" s="15" t="n">
        <v>46259</v>
      </c>
      <c r="F767" s="15" t="n">
        <v>46258</v>
      </c>
      <c r="G767" s="1" t="s">
        <v>469</v>
      </c>
      <c r="H767" s="1" t="n">
        <v>1600162</v>
      </c>
      <c r="I767" s="1" t="n">
        <v>11</v>
      </c>
      <c r="J767" s="1" t="s">
        <v>1821</v>
      </c>
      <c r="K767" s="46" t="n">
        <v>202.95</v>
      </c>
    </row>
    <row r="768" customFormat="false" ht="15" hidden="false" customHeight="true" outlineLevel="0" collapsed="false">
      <c r="A768" s="1" t="n">
        <v>2</v>
      </c>
      <c r="B768" s="1" t="n">
        <v>1442200</v>
      </c>
      <c r="C768" s="1" t="s">
        <v>36</v>
      </c>
      <c r="D768" s="1" t="s">
        <v>1880</v>
      </c>
      <c r="E768" s="15" t="n">
        <v>46259</v>
      </c>
      <c r="F768" s="15" t="n">
        <v>46258</v>
      </c>
      <c r="G768" s="1" t="s">
        <v>469</v>
      </c>
      <c r="H768" s="1" t="n">
        <v>1600188</v>
      </c>
      <c r="I768" s="1" t="n">
        <v>11</v>
      </c>
      <c r="J768" s="1" t="s">
        <v>1821</v>
      </c>
      <c r="K768" s="46" t="n">
        <v>1268.78</v>
      </c>
    </row>
    <row r="769" customFormat="false" ht="15" hidden="false" customHeight="true" outlineLevel="0" collapsed="false">
      <c r="A769" s="1" t="n">
        <v>2</v>
      </c>
      <c r="B769" s="1" t="n">
        <v>1442202</v>
      </c>
      <c r="C769" s="1" t="s">
        <v>36</v>
      </c>
      <c r="D769" s="1" t="s">
        <v>1880</v>
      </c>
      <c r="E769" s="15" t="n">
        <v>46259</v>
      </c>
      <c r="F769" s="15" t="n">
        <v>46258</v>
      </c>
      <c r="G769" s="1" t="s">
        <v>469</v>
      </c>
      <c r="H769" s="1" t="n">
        <v>1600136</v>
      </c>
      <c r="I769" s="1" t="n">
        <v>11</v>
      </c>
      <c r="J769" s="1" t="s">
        <v>1821</v>
      </c>
      <c r="K769" s="46" t="n">
        <v>1509.12</v>
      </c>
    </row>
    <row r="770" customFormat="false" ht="15" hidden="false" customHeight="true" outlineLevel="0" collapsed="false">
      <c r="A770" s="1" t="n">
        <v>2</v>
      </c>
      <c r="B770" s="1" t="n">
        <v>1442668</v>
      </c>
      <c r="C770" s="1" t="s">
        <v>36</v>
      </c>
      <c r="D770" s="1" t="s">
        <v>1880</v>
      </c>
      <c r="E770" s="15" t="n">
        <v>46259</v>
      </c>
      <c r="F770" s="15" t="n">
        <v>46258</v>
      </c>
      <c r="G770" s="1" t="s">
        <v>469</v>
      </c>
      <c r="H770" s="1" t="n">
        <v>1600343</v>
      </c>
      <c r="I770" s="1" t="n">
        <v>11</v>
      </c>
      <c r="J770" s="1" t="s">
        <v>1821</v>
      </c>
      <c r="K770" s="46" t="n">
        <v>2477.62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36</v>
      </c>
      <c r="D771" s="1" t="s">
        <v>1839</v>
      </c>
      <c r="E771" s="15" t="n">
        <v>46259</v>
      </c>
      <c r="F771" s="15" t="n">
        <v>46259</v>
      </c>
      <c r="G771" s="1" t="s">
        <v>146</v>
      </c>
      <c r="H771" s="1" t="n">
        <v>1599496</v>
      </c>
      <c r="I771" s="1" t="n">
        <v>6</v>
      </c>
      <c r="J771" s="1" t="s">
        <v>1821</v>
      </c>
      <c r="K771" s="46" t="n">
        <v>200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36</v>
      </c>
      <c r="D772" s="1" t="s">
        <v>1839</v>
      </c>
      <c r="E772" s="15" t="n">
        <v>46259</v>
      </c>
      <c r="F772" s="15" t="n">
        <v>46259</v>
      </c>
      <c r="G772" s="1" t="s">
        <v>146</v>
      </c>
      <c r="H772" s="1" t="n">
        <v>1600582</v>
      </c>
      <c r="I772" s="1" t="n">
        <v>6</v>
      </c>
      <c r="J772" s="1" t="s">
        <v>1821</v>
      </c>
      <c r="K772" s="46" t="n">
        <v>1352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36</v>
      </c>
      <c r="D773" s="1" t="s">
        <v>1840</v>
      </c>
      <c r="E773" s="15" t="n">
        <v>46259</v>
      </c>
      <c r="F773" s="15" t="n">
        <v>46258</v>
      </c>
      <c r="G773" s="1" t="s">
        <v>105</v>
      </c>
      <c r="H773" s="1" t="n">
        <v>1598926</v>
      </c>
      <c r="I773" s="1" t="n">
        <v>11</v>
      </c>
      <c r="J773" s="1" t="s">
        <v>1821</v>
      </c>
      <c r="K773" s="46" t="n">
        <v>215.9</v>
      </c>
    </row>
    <row r="774" customFormat="false" ht="15" hidden="false" customHeight="true" outlineLevel="0" collapsed="false">
      <c r="A774" s="1" t="n">
        <v>2</v>
      </c>
      <c r="B774" s="1" t="n">
        <v>1262474</v>
      </c>
      <c r="C774" s="1" t="s">
        <v>36</v>
      </c>
      <c r="D774" s="1" t="s">
        <v>1871</v>
      </c>
      <c r="E774" s="15" t="n">
        <v>46259</v>
      </c>
      <c r="F774" s="15" t="n">
        <v>46259</v>
      </c>
      <c r="G774" s="1" t="s">
        <v>462</v>
      </c>
      <c r="H774" s="1" t="n">
        <v>1599314</v>
      </c>
      <c r="I774" s="1" t="n">
        <v>11</v>
      </c>
      <c r="J774" s="1" t="s">
        <v>1821</v>
      </c>
      <c r="K774" s="46" t="n">
        <v>2372.5</v>
      </c>
    </row>
    <row r="775" customFormat="false" ht="15" hidden="false" customHeight="true" outlineLevel="0" collapsed="false">
      <c r="A775" s="1" t="n">
        <v>2</v>
      </c>
      <c r="B775" s="1" t="n">
        <v>1263938</v>
      </c>
      <c r="C775" s="1" t="s">
        <v>49</v>
      </c>
      <c r="D775" s="1" t="s">
        <v>1825</v>
      </c>
      <c r="E775" s="15" t="n">
        <v>46260</v>
      </c>
      <c r="F775" s="15" t="n">
        <v>46258</v>
      </c>
      <c r="G775" s="1" t="s">
        <v>131</v>
      </c>
      <c r="H775" s="1" t="n">
        <v>1603816</v>
      </c>
      <c r="I775" s="1" t="n">
        <v>11</v>
      </c>
      <c r="J775" s="1" t="s">
        <v>1821</v>
      </c>
      <c r="K775" s="46" t="n">
        <v>259.86</v>
      </c>
    </row>
    <row r="776" customFormat="false" ht="15" hidden="false" customHeight="true" outlineLevel="0" collapsed="false">
      <c r="A776" s="1" t="n">
        <v>2</v>
      </c>
      <c r="B776" s="1" t="n">
        <v>2007955</v>
      </c>
      <c r="C776" s="1" t="s">
        <v>67</v>
      </c>
      <c r="D776" s="1" t="s">
        <v>1825</v>
      </c>
      <c r="E776" s="15" t="n">
        <v>46260</v>
      </c>
      <c r="F776" s="15" t="n">
        <v>46258</v>
      </c>
      <c r="G776" s="1" t="s">
        <v>131</v>
      </c>
      <c r="H776" s="1" t="n">
        <v>1603837</v>
      </c>
      <c r="I776" s="1" t="n">
        <v>11</v>
      </c>
      <c r="J776" s="1" t="s">
        <v>1821</v>
      </c>
      <c r="K776" s="46" t="n">
        <v>3257.14</v>
      </c>
    </row>
    <row r="777" customFormat="false" ht="15" hidden="false" customHeight="true" outlineLevel="0" collapsed="false">
      <c r="A777" s="1" t="n">
        <v>2</v>
      </c>
      <c r="B777" s="1" t="n">
        <v>866347</v>
      </c>
      <c r="C777" s="1" t="s">
        <v>36</v>
      </c>
      <c r="D777" s="1" t="s">
        <v>1869</v>
      </c>
      <c r="E777" s="15" t="n">
        <v>46260</v>
      </c>
      <c r="F777" s="15" t="n">
        <v>46258</v>
      </c>
      <c r="G777" s="1" t="s">
        <v>192</v>
      </c>
      <c r="H777" s="1" t="n">
        <v>1603982</v>
      </c>
      <c r="I777" s="1" t="n">
        <v>11</v>
      </c>
      <c r="J777" s="1" t="s">
        <v>1821</v>
      </c>
      <c r="K777" s="46" t="n">
        <v>2530.95</v>
      </c>
    </row>
    <row r="778" customFormat="false" ht="15" hidden="false" customHeight="true" outlineLevel="0" collapsed="false">
      <c r="A778" s="1" t="n">
        <v>2</v>
      </c>
      <c r="B778" s="1" t="n">
        <v>8744</v>
      </c>
      <c r="C778" s="1" t="s">
        <v>36</v>
      </c>
      <c r="D778" s="1" t="s">
        <v>1920</v>
      </c>
      <c r="E778" s="15" t="n">
        <v>46260</v>
      </c>
      <c r="F778" s="15" t="n">
        <v>46259</v>
      </c>
      <c r="G778" s="1" t="s">
        <v>343</v>
      </c>
      <c r="H778" s="1" t="n">
        <v>1604138</v>
      </c>
      <c r="I778" s="1" t="n">
        <v>11</v>
      </c>
      <c r="J778" s="1" t="s">
        <v>1821</v>
      </c>
      <c r="K778" s="46" t="n">
        <v>3492.3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1826</v>
      </c>
      <c r="D779" s="1" t="s">
        <v>1827</v>
      </c>
      <c r="E779" s="15" t="n">
        <v>46260</v>
      </c>
      <c r="F779" s="15" t="n">
        <v>46260</v>
      </c>
      <c r="G779" s="1" t="s">
        <v>416</v>
      </c>
      <c r="H779" s="1" t="n">
        <v>1605240</v>
      </c>
      <c r="I779" s="1" t="n">
        <v>11</v>
      </c>
      <c r="J779" s="1" t="s">
        <v>1821</v>
      </c>
      <c r="K779" s="46" t="n">
        <v>137</v>
      </c>
    </row>
    <row r="780" customFormat="false" ht="15" hidden="false" customHeight="true" outlineLevel="0" collapsed="false">
      <c r="A780" s="1" t="n">
        <v>2</v>
      </c>
      <c r="B780" s="1" t="n">
        <v>33028</v>
      </c>
      <c r="C780" s="1" t="s">
        <v>61</v>
      </c>
      <c r="D780" s="1" t="s">
        <v>1860</v>
      </c>
      <c r="E780" s="15" t="n">
        <v>46260</v>
      </c>
      <c r="F780" s="15" t="n">
        <v>46260</v>
      </c>
      <c r="G780" s="1" t="s">
        <v>274</v>
      </c>
      <c r="H780" s="1" t="n">
        <v>1605116</v>
      </c>
      <c r="I780" s="1" t="n">
        <v>11</v>
      </c>
      <c r="J780" s="1" t="s">
        <v>1821</v>
      </c>
      <c r="K780" s="46" t="n">
        <v>5504.3</v>
      </c>
    </row>
    <row r="781" customFormat="false" ht="15" hidden="false" customHeight="true" outlineLevel="0" collapsed="false">
      <c r="A781" s="1" t="n">
        <v>2</v>
      </c>
      <c r="B781" s="1" t="n">
        <v>319020</v>
      </c>
      <c r="C781" s="1" t="s">
        <v>36</v>
      </c>
      <c r="D781" s="1" t="s">
        <v>1846</v>
      </c>
      <c r="E781" s="15" t="n">
        <v>46260</v>
      </c>
      <c r="F781" s="15" t="n">
        <v>46259</v>
      </c>
      <c r="G781" s="1" t="s">
        <v>96</v>
      </c>
      <c r="H781" s="1" t="n">
        <v>1605209</v>
      </c>
      <c r="I781" s="1" t="n">
        <v>11</v>
      </c>
      <c r="J781" s="1" t="s">
        <v>1821</v>
      </c>
      <c r="K781" s="46" t="n">
        <v>2029.99</v>
      </c>
    </row>
    <row r="782" customFormat="false" ht="15" hidden="false" customHeight="true" outlineLevel="0" collapsed="false">
      <c r="A782" s="1" t="n">
        <v>2</v>
      </c>
      <c r="B782" s="1" t="n">
        <v>110228</v>
      </c>
      <c r="C782" s="1" t="s">
        <v>76</v>
      </c>
      <c r="D782" s="1" t="s">
        <v>1963</v>
      </c>
      <c r="E782" s="15" t="n">
        <v>46260</v>
      </c>
      <c r="F782" s="15" t="n">
        <v>46260</v>
      </c>
      <c r="G782" s="1" t="s">
        <v>1697</v>
      </c>
      <c r="H782" s="1" t="n">
        <v>1605254</v>
      </c>
      <c r="I782" s="1" t="n">
        <v>39</v>
      </c>
      <c r="J782" s="1" t="s">
        <v>1821</v>
      </c>
      <c r="K782" s="46" t="n">
        <v>353.63</v>
      </c>
    </row>
    <row r="783" customFormat="false" ht="15" hidden="false" customHeight="true" outlineLevel="0" collapsed="false">
      <c r="A783" s="1" t="n">
        <v>2</v>
      </c>
      <c r="B783" s="1" t="n">
        <v>1430146</v>
      </c>
      <c r="C783" s="1" t="s">
        <v>36</v>
      </c>
      <c r="D783" s="1" t="s">
        <v>1863</v>
      </c>
      <c r="E783" s="15" t="n">
        <v>46260</v>
      </c>
      <c r="F783" s="15" t="n">
        <v>46254</v>
      </c>
      <c r="G783" s="1" t="s">
        <v>340</v>
      </c>
      <c r="H783" s="1" t="n">
        <v>1605098</v>
      </c>
      <c r="I783" s="1" t="n">
        <v>11</v>
      </c>
      <c r="J783" s="1" t="s">
        <v>1821</v>
      </c>
      <c r="K783" s="46" t="n">
        <v>1515.2</v>
      </c>
    </row>
    <row r="784" customFormat="false" ht="15" hidden="false" customHeight="true" outlineLevel="0" collapsed="false">
      <c r="A784" s="1" t="n">
        <v>2</v>
      </c>
      <c r="B784" s="1" t="n">
        <v>15150</v>
      </c>
      <c r="C784" s="1" t="s">
        <v>36</v>
      </c>
      <c r="D784" s="1" t="s">
        <v>1828</v>
      </c>
      <c r="E784" s="15" t="n">
        <v>46260</v>
      </c>
      <c r="F784" s="15" t="n">
        <v>46259</v>
      </c>
      <c r="G784" s="1" t="s">
        <v>272</v>
      </c>
      <c r="H784" s="1" t="n">
        <v>1604506</v>
      </c>
      <c r="I784" s="1" t="n">
        <v>11</v>
      </c>
      <c r="J784" s="1" t="s">
        <v>1821</v>
      </c>
      <c r="K784" s="46" t="n">
        <v>3363.75</v>
      </c>
    </row>
    <row r="785" customFormat="false" ht="15" hidden="false" customHeight="true" outlineLevel="0" collapsed="false">
      <c r="A785" s="1" t="n">
        <v>2</v>
      </c>
      <c r="B785" s="1" t="n">
        <v>2630</v>
      </c>
      <c r="C785" s="1" t="s">
        <v>36</v>
      </c>
      <c r="D785" s="1" t="s">
        <v>1839</v>
      </c>
      <c r="E785" s="15" t="n">
        <v>46260</v>
      </c>
      <c r="F785" s="15" t="n">
        <v>46260</v>
      </c>
      <c r="G785" s="1" t="s">
        <v>146</v>
      </c>
      <c r="H785" s="1" t="n">
        <v>1604345</v>
      </c>
      <c r="I785" s="1" t="n">
        <v>6</v>
      </c>
      <c r="J785" s="1" t="s">
        <v>1821</v>
      </c>
      <c r="K785" s="46" t="n">
        <v>225</v>
      </c>
    </row>
    <row r="786" customFormat="false" ht="15" hidden="false" customHeight="true" outlineLevel="0" collapsed="false">
      <c r="A786" s="1" t="n">
        <v>2</v>
      </c>
      <c r="B786" s="1" t="n">
        <v>447609</v>
      </c>
      <c r="C786" s="1" t="s">
        <v>76</v>
      </c>
      <c r="D786" s="1" t="s">
        <v>1904</v>
      </c>
      <c r="E786" s="15" t="n">
        <v>46260</v>
      </c>
      <c r="F786" s="15" t="n">
        <v>46259</v>
      </c>
      <c r="G786" s="1" t="s">
        <v>227</v>
      </c>
      <c r="H786" s="1" t="n">
        <v>1605152</v>
      </c>
      <c r="I786" s="1" t="n">
        <v>11</v>
      </c>
      <c r="J786" s="1" t="s">
        <v>1821</v>
      </c>
      <c r="K786" s="46" t="n">
        <v>4531.01</v>
      </c>
    </row>
    <row r="787" customFormat="false" ht="15" hidden="false" customHeight="true" outlineLevel="0" collapsed="false">
      <c r="A787" s="1" t="n">
        <v>2</v>
      </c>
      <c r="B787" s="1" t="n">
        <v>7287</v>
      </c>
      <c r="C787" s="1" t="s">
        <v>88</v>
      </c>
      <c r="D787" s="1" t="s">
        <v>1964</v>
      </c>
      <c r="E787" s="15" t="n">
        <v>46260</v>
      </c>
      <c r="F787" s="15" t="n">
        <v>46258</v>
      </c>
      <c r="G787" s="1" t="s">
        <v>1695</v>
      </c>
      <c r="H787" s="1" t="n">
        <v>1603777</v>
      </c>
      <c r="I787" s="1" t="n">
        <v>11</v>
      </c>
      <c r="J787" s="1" t="s">
        <v>1821</v>
      </c>
      <c r="K787" s="46" t="n">
        <v>348.18</v>
      </c>
    </row>
    <row r="788" customFormat="false" ht="15" hidden="false" customHeight="true" outlineLevel="0" collapsed="false">
      <c r="A788" s="1" t="n">
        <v>2</v>
      </c>
      <c r="B788" s="1" t="n">
        <v>374</v>
      </c>
      <c r="C788" s="1" t="s">
        <v>36</v>
      </c>
      <c r="D788" s="1" t="s">
        <v>1833</v>
      </c>
      <c r="E788" s="15" t="n">
        <v>46261</v>
      </c>
      <c r="F788" s="15" t="n">
        <v>46261</v>
      </c>
      <c r="G788" s="1" t="s">
        <v>243</v>
      </c>
      <c r="H788" s="1" t="n">
        <v>1610075</v>
      </c>
      <c r="I788" s="1" t="n">
        <v>11</v>
      </c>
      <c r="J788" s="1" t="s">
        <v>1821</v>
      </c>
      <c r="K788" s="46" t="n">
        <v>895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1965</v>
      </c>
      <c r="E789" s="15" t="n">
        <v>46261</v>
      </c>
      <c r="F789" s="15" t="n">
        <v>46258</v>
      </c>
      <c r="G789" s="1" t="s">
        <v>1622</v>
      </c>
      <c r="H789" s="1" t="n">
        <v>1608544</v>
      </c>
      <c r="I789" s="1" t="n">
        <v>11</v>
      </c>
      <c r="J789" s="1" t="s">
        <v>1821</v>
      </c>
      <c r="K789" s="46" t="n">
        <v>2416.2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36</v>
      </c>
      <c r="D790" s="1" t="s">
        <v>1915</v>
      </c>
      <c r="E790" s="15" t="n">
        <v>46261</v>
      </c>
      <c r="F790" s="15" t="n">
        <v>46259</v>
      </c>
      <c r="G790" s="1" t="s">
        <v>870</v>
      </c>
      <c r="H790" s="1" t="n">
        <v>1608949</v>
      </c>
      <c r="I790" s="1" t="n">
        <v>11</v>
      </c>
      <c r="J790" s="1" t="s">
        <v>1821</v>
      </c>
      <c r="K790" s="46" t="n">
        <v>942.69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36</v>
      </c>
      <c r="D791" s="1" t="s">
        <v>1915</v>
      </c>
      <c r="E791" s="15" t="n">
        <v>46261</v>
      </c>
      <c r="F791" s="15" t="n">
        <v>46259</v>
      </c>
      <c r="G791" s="1" t="s">
        <v>870</v>
      </c>
      <c r="H791" s="1" t="n">
        <v>1608917</v>
      </c>
      <c r="I791" s="1" t="n">
        <v>11</v>
      </c>
      <c r="J791" s="1" t="s">
        <v>1821</v>
      </c>
      <c r="K791" s="46" t="n">
        <v>974.55</v>
      </c>
    </row>
    <row r="792" customFormat="false" ht="15" hidden="false" customHeight="true" outlineLevel="0" collapsed="false">
      <c r="A792" s="1" t="n">
        <v>2</v>
      </c>
      <c r="B792" s="1" t="n">
        <v>1719576</v>
      </c>
      <c r="C792" s="1" t="s">
        <v>36</v>
      </c>
      <c r="D792" s="1" t="s">
        <v>1837</v>
      </c>
      <c r="E792" s="15" t="n">
        <v>46261</v>
      </c>
      <c r="F792" s="15" t="n">
        <v>46260</v>
      </c>
      <c r="G792" s="1" t="s">
        <v>224</v>
      </c>
      <c r="H792" s="1" t="n">
        <v>1608374</v>
      </c>
      <c r="I792" s="1" t="n">
        <v>11</v>
      </c>
      <c r="J792" s="1" t="s">
        <v>1821</v>
      </c>
      <c r="K792" s="46" t="n">
        <v>774.74</v>
      </c>
    </row>
    <row r="793" customFormat="false" ht="15" hidden="false" customHeight="true" outlineLevel="0" collapsed="false">
      <c r="A793" s="1" t="n">
        <v>2</v>
      </c>
      <c r="B793" s="1" t="n">
        <v>3242273</v>
      </c>
      <c r="C793" s="1" t="s">
        <v>36</v>
      </c>
      <c r="D793" s="1" t="s">
        <v>1870</v>
      </c>
      <c r="E793" s="15" t="n">
        <v>46261</v>
      </c>
      <c r="F793" s="15" t="n">
        <v>46259</v>
      </c>
      <c r="G793" s="1" t="s">
        <v>98</v>
      </c>
      <c r="H793" s="1" t="n">
        <v>1609043</v>
      </c>
      <c r="I793" s="1" t="n">
        <v>11</v>
      </c>
      <c r="J793" s="1" t="s">
        <v>1821</v>
      </c>
      <c r="K793" s="46" t="n">
        <v>2195.6</v>
      </c>
    </row>
    <row r="794" customFormat="false" ht="15" hidden="false" customHeight="true" outlineLevel="0" collapsed="false">
      <c r="A794" s="1" t="n">
        <v>2</v>
      </c>
      <c r="B794" s="1" t="n">
        <v>213</v>
      </c>
      <c r="C794" s="1" t="s">
        <v>36</v>
      </c>
      <c r="D794" s="1" t="s">
        <v>1946</v>
      </c>
      <c r="E794" s="15" t="n">
        <v>46261</v>
      </c>
      <c r="F794" s="15" t="n">
        <v>46258</v>
      </c>
      <c r="G794" s="1" t="s">
        <v>624</v>
      </c>
      <c r="H794" s="1" t="n">
        <v>1613643</v>
      </c>
      <c r="I794" s="1" t="n">
        <v>11</v>
      </c>
      <c r="J794" s="1" t="s">
        <v>1821</v>
      </c>
      <c r="K794" s="46" t="n">
        <v>140</v>
      </c>
    </row>
    <row r="795" customFormat="false" ht="15" hidden="false" customHeight="true" outlineLevel="0" collapsed="false">
      <c r="A795" s="1" t="n">
        <v>2</v>
      </c>
      <c r="B795" s="1" t="n">
        <v>6042</v>
      </c>
      <c r="C795" s="1" t="s">
        <v>36</v>
      </c>
      <c r="D795" s="1" t="s">
        <v>1848</v>
      </c>
      <c r="E795" s="15" t="n">
        <v>46261</v>
      </c>
      <c r="F795" s="15" t="n">
        <v>46260</v>
      </c>
      <c r="G795" s="1" t="s">
        <v>103</v>
      </c>
      <c r="H795" s="1" t="n">
        <v>1609106</v>
      </c>
      <c r="I795" s="1" t="n">
        <v>11</v>
      </c>
      <c r="J795" s="1" t="s">
        <v>1821</v>
      </c>
      <c r="K795" s="46" t="n">
        <v>741.3</v>
      </c>
    </row>
    <row r="796" customFormat="false" ht="15" hidden="false" customHeight="true" outlineLevel="0" collapsed="false">
      <c r="A796" s="1" t="n">
        <v>2</v>
      </c>
      <c r="B796" s="1" t="n">
        <v>2859</v>
      </c>
      <c r="C796" s="1" t="s">
        <v>36</v>
      </c>
      <c r="D796" s="1" t="s">
        <v>1940</v>
      </c>
      <c r="E796" s="15" t="n">
        <v>46261</v>
      </c>
      <c r="F796" s="15" t="n">
        <v>46261</v>
      </c>
      <c r="G796" s="1" t="s">
        <v>925</v>
      </c>
      <c r="H796" s="1" t="n">
        <v>1609971</v>
      </c>
      <c r="I796" s="1" t="n">
        <v>11</v>
      </c>
      <c r="J796" s="1" t="s">
        <v>1821</v>
      </c>
      <c r="K796" s="46" t="n">
        <v>190</v>
      </c>
    </row>
    <row r="797" customFormat="false" ht="15" hidden="false" customHeight="true" outlineLevel="0" collapsed="false">
      <c r="A797" s="1" t="n">
        <v>2</v>
      </c>
      <c r="B797" s="1" t="n">
        <v>2635</v>
      </c>
      <c r="C797" s="1" t="s">
        <v>36</v>
      </c>
      <c r="D797" s="1" t="s">
        <v>1839</v>
      </c>
      <c r="E797" s="15" t="n">
        <v>46261</v>
      </c>
      <c r="F797" s="15" t="n">
        <v>46261</v>
      </c>
      <c r="G797" s="1" t="s">
        <v>146</v>
      </c>
      <c r="H797" s="1" t="n">
        <v>1609212</v>
      </c>
      <c r="I797" s="1" t="n">
        <v>6</v>
      </c>
      <c r="J797" s="1" t="s">
        <v>1821</v>
      </c>
      <c r="K797" s="46" t="n">
        <v>225</v>
      </c>
    </row>
    <row r="798" customFormat="false" ht="15" hidden="false" customHeight="true" outlineLevel="0" collapsed="false">
      <c r="A798" s="1" t="n">
        <v>2</v>
      </c>
      <c r="B798" s="1" t="n">
        <v>32719</v>
      </c>
      <c r="C798" s="1" t="s">
        <v>36</v>
      </c>
      <c r="D798" s="1" t="s">
        <v>1844</v>
      </c>
      <c r="E798" s="15" t="n">
        <v>46261</v>
      </c>
      <c r="F798" s="15" t="n">
        <v>46260</v>
      </c>
      <c r="G798" s="1" t="s">
        <v>142</v>
      </c>
      <c r="H798" s="1" t="n">
        <v>1608603</v>
      </c>
      <c r="I798" s="1" t="n">
        <v>11</v>
      </c>
      <c r="J798" s="1" t="s">
        <v>1821</v>
      </c>
      <c r="K798" s="46" t="n">
        <v>1069.2</v>
      </c>
    </row>
    <row r="799" customFormat="false" ht="15" hidden="false" customHeight="true" outlineLevel="0" collapsed="false">
      <c r="A799" s="1" t="n">
        <v>2</v>
      </c>
      <c r="B799" s="1" t="n">
        <v>10951</v>
      </c>
      <c r="C799" s="1" t="s">
        <v>36</v>
      </c>
      <c r="D799" s="1" t="s">
        <v>1919</v>
      </c>
      <c r="E799" s="15" t="n">
        <v>46261</v>
      </c>
      <c r="F799" s="15" t="n">
        <v>46261</v>
      </c>
      <c r="G799" s="1" t="s">
        <v>198</v>
      </c>
      <c r="H799" s="1" t="n">
        <v>1608886</v>
      </c>
      <c r="I799" s="1" t="n">
        <v>11</v>
      </c>
      <c r="J799" s="1" t="s">
        <v>1821</v>
      </c>
      <c r="K799" s="46" t="n">
        <v>228</v>
      </c>
    </row>
    <row r="800" customFormat="false" ht="15" hidden="false" customHeight="true" outlineLevel="0" collapsed="false">
      <c r="A800" s="1" t="n">
        <v>2</v>
      </c>
      <c r="B800" s="1" t="n">
        <v>588254</v>
      </c>
      <c r="C800" s="1" t="s">
        <v>36</v>
      </c>
      <c r="D800" s="1" t="s">
        <v>1931</v>
      </c>
      <c r="E800" s="15" t="n">
        <v>46261</v>
      </c>
      <c r="F800" s="15" t="n">
        <v>46258</v>
      </c>
      <c r="G800" s="1" t="s">
        <v>101</v>
      </c>
      <c r="H800" s="1" t="n">
        <v>1610044</v>
      </c>
      <c r="I800" s="1" t="n">
        <v>11</v>
      </c>
      <c r="J800" s="1" t="s">
        <v>1821</v>
      </c>
      <c r="K800" s="46" t="n">
        <v>271.46</v>
      </c>
    </row>
    <row r="801" customFormat="false" ht="15" hidden="false" customHeight="true" outlineLevel="0" collapsed="false">
      <c r="A801" s="1" t="n">
        <v>2</v>
      </c>
      <c r="B801" s="1" t="n">
        <v>20104</v>
      </c>
      <c r="C801" s="1" t="s">
        <v>85</v>
      </c>
      <c r="D801" s="1" t="s">
        <v>1868</v>
      </c>
      <c r="E801" s="15" t="n">
        <v>46262</v>
      </c>
      <c r="F801" s="15" t="n">
        <v>46261</v>
      </c>
      <c r="G801" s="1" t="s">
        <v>392</v>
      </c>
      <c r="H801" s="1" t="n">
        <v>1613781</v>
      </c>
      <c r="I801" s="1" t="n">
        <v>11</v>
      </c>
      <c r="J801" s="1" t="s">
        <v>1821</v>
      </c>
      <c r="K801" s="46" t="n">
        <v>3191.52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1845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1821</v>
      </c>
      <c r="K802" s="46" t="n">
        <v>624.41</v>
      </c>
    </row>
    <row r="803" customFormat="false" ht="15" hidden="false" customHeight="true" outlineLevel="0" collapsed="false">
      <c r="A803" s="1" t="n">
        <v>2</v>
      </c>
      <c r="B803" s="1" t="n">
        <v>1671612</v>
      </c>
      <c r="C803" s="1" t="s">
        <v>1826</v>
      </c>
      <c r="D803" s="1" t="s">
        <v>1827</v>
      </c>
      <c r="E803" s="15" t="n">
        <v>46262</v>
      </c>
      <c r="F803" s="15" t="n">
        <v>46262</v>
      </c>
      <c r="G803" s="1" t="s">
        <v>416</v>
      </c>
      <c r="H803" s="1" t="n">
        <v>1614836</v>
      </c>
      <c r="I803" s="1" t="n">
        <v>11</v>
      </c>
      <c r="J803" s="1" t="s">
        <v>1821</v>
      </c>
      <c r="K803" s="46" t="n">
        <v>192</v>
      </c>
    </row>
    <row r="804" customFormat="false" ht="15" hidden="false" customHeight="true" outlineLevel="0" collapsed="false">
      <c r="A804" s="1" t="n">
        <v>2</v>
      </c>
      <c r="B804" s="1" t="n">
        <v>421</v>
      </c>
      <c r="C804" s="1" t="s">
        <v>36</v>
      </c>
      <c r="D804" s="1" t="s">
        <v>1856</v>
      </c>
      <c r="E804" s="15" t="n">
        <v>46262</v>
      </c>
      <c r="F804" s="15" t="n">
        <v>46262</v>
      </c>
      <c r="G804" s="1" t="s">
        <v>109</v>
      </c>
      <c r="H804" s="1" t="n">
        <v>1614658</v>
      </c>
      <c r="I804" s="1" t="n">
        <v>11</v>
      </c>
      <c r="J804" s="1" t="s">
        <v>1821</v>
      </c>
      <c r="K804" s="46" t="n">
        <v>214.5</v>
      </c>
    </row>
    <row r="805" customFormat="false" ht="15" hidden="false" customHeight="true" outlineLevel="0" collapsed="false">
      <c r="A805" s="1" t="n">
        <v>2</v>
      </c>
      <c r="B805" s="1" t="n">
        <v>532</v>
      </c>
      <c r="C805" s="1" t="s">
        <v>36</v>
      </c>
      <c r="D805" s="1" t="s">
        <v>1862</v>
      </c>
      <c r="E805" s="15" t="n">
        <v>46262</v>
      </c>
      <c r="F805" s="15" t="n">
        <v>46262</v>
      </c>
      <c r="G805" s="1" t="s">
        <v>356</v>
      </c>
      <c r="H805" s="1" t="n">
        <v>1614696</v>
      </c>
      <c r="I805" s="1" t="n">
        <v>11</v>
      </c>
      <c r="J805" s="1" t="s">
        <v>1821</v>
      </c>
      <c r="K805" s="46" t="n">
        <v>160.32</v>
      </c>
    </row>
    <row r="806" customFormat="false" ht="15" hidden="false" customHeight="true" outlineLevel="0" collapsed="false">
      <c r="A806" s="1" t="n">
        <v>2</v>
      </c>
      <c r="B806" s="1" t="n">
        <v>2636</v>
      </c>
      <c r="C806" s="1" t="s">
        <v>36</v>
      </c>
      <c r="D806" s="1" t="s">
        <v>1839</v>
      </c>
      <c r="E806" s="15" t="n">
        <v>46262</v>
      </c>
      <c r="F806" s="15" t="n">
        <v>46262</v>
      </c>
      <c r="G806" s="1" t="s">
        <v>146</v>
      </c>
      <c r="H806" s="1" t="n">
        <v>1614644</v>
      </c>
      <c r="I806" s="1" t="n">
        <v>6</v>
      </c>
      <c r="J806" s="1" t="s">
        <v>1821</v>
      </c>
      <c r="K806" s="46" t="n">
        <v>200</v>
      </c>
    </row>
    <row r="807" customFormat="false" ht="15" hidden="false" customHeight="true" outlineLevel="0" collapsed="false">
      <c r="A807" s="1" t="n">
        <v>2</v>
      </c>
      <c r="B807" s="1" t="n">
        <v>2637</v>
      </c>
      <c r="C807" s="1" t="s">
        <v>36</v>
      </c>
      <c r="D807" s="1" t="s">
        <v>1839</v>
      </c>
      <c r="E807" s="15" t="n">
        <v>46262</v>
      </c>
      <c r="F807" s="15" t="n">
        <v>46262</v>
      </c>
      <c r="G807" s="1" t="s">
        <v>146</v>
      </c>
      <c r="H807" s="1" t="n">
        <v>1614784</v>
      </c>
      <c r="I807" s="1" t="n">
        <v>6</v>
      </c>
      <c r="J807" s="1" t="s">
        <v>1821</v>
      </c>
      <c r="K807" s="46" t="n">
        <v>1457.5</v>
      </c>
    </row>
    <row r="808" customFormat="false" ht="15" hidden="false" customHeight="true" outlineLevel="0" collapsed="false">
      <c r="A808" s="1" t="n">
        <v>2</v>
      </c>
      <c r="B808" s="1" t="n">
        <v>13070</v>
      </c>
      <c r="C808" s="1" t="s">
        <v>76</v>
      </c>
      <c r="D808" s="1" t="s">
        <v>1958</v>
      </c>
      <c r="E808" s="15" t="n">
        <v>46262</v>
      </c>
      <c r="F808" s="15" t="n">
        <v>46261</v>
      </c>
      <c r="G808" s="1" t="s">
        <v>1423</v>
      </c>
      <c r="H808" s="1" t="n">
        <v>1614508</v>
      </c>
      <c r="I808" s="1" t="n">
        <v>11</v>
      </c>
      <c r="J808" s="1" t="s">
        <v>1821</v>
      </c>
      <c r="K808" s="46" t="n">
        <v>3641.86</v>
      </c>
    </row>
    <row r="809" customFormat="false" ht="15" hidden="false" customHeight="true" outlineLevel="0" collapsed="false">
      <c r="A809" s="1" t="n">
        <v>2</v>
      </c>
      <c r="B809" s="1" t="n">
        <v>627</v>
      </c>
      <c r="C809" s="1" t="s">
        <v>36</v>
      </c>
      <c r="D809" s="1" t="s">
        <v>1832</v>
      </c>
      <c r="E809" s="15" t="n">
        <v>46263</v>
      </c>
      <c r="F809" s="15" t="n">
        <v>46262</v>
      </c>
      <c r="G809" s="1" t="s">
        <v>144</v>
      </c>
      <c r="H809" s="1" t="n">
        <v>1618509</v>
      </c>
      <c r="I809" s="1" t="n">
        <v>11</v>
      </c>
      <c r="J809" s="1" t="s">
        <v>1821</v>
      </c>
      <c r="K809" s="46" t="n">
        <v>240</v>
      </c>
    </row>
    <row r="810" customFormat="false" ht="15" hidden="false" customHeight="true" outlineLevel="0" collapsed="false">
      <c r="A810" s="1" t="n">
        <v>2</v>
      </c>
      <c r="B810" s="1" t="n">
        <v>299</v>
      </c>
      <c r="C810" s="1" t="s">
        <v>36</v>
      </c>
      <c r="D810" s="1" t="s">
        <v>1934</v>
      </c>
      <c r="E810" s="15" t="n">
        <v>46263</v>
      </c>
      <c r="F810" s="15" t="n">
        <v>46262</v>
      </c>
      <c r="G810" s="1" t="s">
        <v>1539</v>
      </c>
      <c r="H810" s="1" t="n">
        <v>1618569</v>
      </c>
      <c r="I810" s="1" t="n">
        <v>11</v>
      </c>
      <c r="J810" s="1" t="s">
        <v>1821</v>
      </c>
      <c r="K810" s="46" t="n">
        <v>2024.87</v>
      </c>
    </row>
    <row r="811" customFormat="false" ht="15" hidden="false" customHeight="true" outlineLevel="0" collapsed="false">
      <c r="A811" s="1" t="n">
        <v>2</v>
      </c>
      <c r="B811" s="1" t="n">
        <v>218</v>
      </c>
      <c r="C811" s="1" t="s">
        <v>36</v>
      </c>
      <c r="D811" s="1" t="s">
        <v>1946</v>
      </c>
      <c r="E811" s="15" t="n">
        <v>46263</v>
      </c>
      <c r="F811" s="15" t="n">
        <v>46260</v>
      </c>
      <c r="G811" s="1" t="s">
        <v>624</v>
      </c>
      <c r="H811" s="1" t="n">
        <v>1628832</v>
      </c>
      <c r="I811" s="1" t="n">
        <v>11</v>
      </c>
      <c r="J811" s="1" t="s">
        <v>1821</v>
      </c>
      <c r="K811" s="46" t="n">
        <v>140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1843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1821</v>
      </c>
      <c r="K812" s="46" t="n">
        <v>264</v>
      </c>
    </row>
    <row r="813" customFormat="false" ht="15" hidden="false" customHeight="true" outlineLevel="0" collapsed="false">
      <c r="A813" s="1" t="n">
        <v>2</v>
      </c>
      <c r="B813" s="1" t="n">
        <v>15192</v>
      </c>
      <c r="C813" s="1" t="s">
        <v>36</v>
      </c>
      <c r="D813" s="1" t="s">
        <v>1828</v>
      </c>
      <c r="E813" s="15" t="n">
        <v>46263</v>
      </c>
      <c r="F813" s="15" t="n">
        <v>46262</v>
      </c>
      <c r="G813" s="1" t="s">
        <v>272</v>
      </c>
      <c r="H813" s="1" t="n">
        <v>1618689</v>
      </c>
      <c r="I813" s="1" t="n">
        <v>11</v>
      </c>
      <c r="J813" s="1" t="s">
        <v>1821</v>
      </c>
      <c r="K813" s="46" t="n">
        <v>2771.2</v>
      </c>
    </row>
    <row r="814" customFormat="false" ht="15" hidden="false" customHeight="true" outlineLevel="0" collapsed="false">
      <c r="A814" s="1" t="n">
        <v>2</v>
      </c>
      <c r="B814" s="1" t="n">
        <v>2640</v>
      </c>
      <c r="C814" s="1" t="s">
        <v>36</v>
      </c>
      <c r="D814" s="1" t="s">
        <v>1839</v>
      </c>
      <c r="E814" s="15" t="n">
        <v>46263</v>
      </c>
      <c r="F814" s="15" t="n">
        <v>46263</v>
      </c>
      <c r="G814" s="1" t="s">
        <v>146</v>
      </c>
      <c r="H814" s="1" t="n">
        <v>1619409</v>
      </c>
      <c r="I814" s="1" t="n">
        <v>6</v>
      </c>
      <c r="J814" s="1" t="s">
        <v>1821</v>
      </c>
      <c r="K814" s="46" t="n">
        <v>300</v>
      </c>
    </row>
    <row r="815" customFormat="false" ht="15" hidden="false" customHeight="true" outlineLevel="0" collapsed="false">
      <c r="A815" s="1" t="n">
        <v>2</v>
      </c>
      <c r="B815" s="1" t="n">
        <v>1927745</v>
      </c>
      <c r="C815" s="1" t="s">
        <v>36</v>
      </c>
      <c r="D815" s="1" t="s">
        <v>1915</v>
      </c>
      <c r="E815" s="15" t="n">
        <v>46265</v>
      </c>
      <c r="F815" s="15" t="n">
        <v>46263</v>
      </c>
      <c r="G815" s="1" t="s">
        <v>870</v>
      </c>
      <c r="H815" s="1" t="n">
        <v>1629183</v>
      </c>
      <c r="I815" s="1" t="n">
        <v>11</v>
      </c>
      <c r="J815" s="1" t="s">
        <v>1821</v>
      </c>
      <c r="K815" s="46" t="n">
        <v>1348.29</v>
      </c>
    </row>
    <row r="816" customFormat="false" ht="15" hidden="false" customHeight="true" outlineLevel="0" collapsed="false">
      <c r="A816" s="1" t="n">
        <v>2</v>
      </c>
      <c r="B816" s="1" t="n">
        <v>4363</v>
      </c>
      <c r="C816" s="1" t="s">
        <v>76</v>
      </c>
      <c r="D816" s="1" t="s">
        <v>1841</v>
      </c>
      <c r="E816" s="15" t="n">
        <v>46265</v>
      </c>
      <c r="F816" s="15" t="n">
        <v>46260</v>
      </c>
      <c r="G816" s="1" t="s">
        <v>129</v>
      </c>
      <c r="H816" s="1" t="n">
        <v>1628847</v>
      </c>
      <c r="I816" s="1" t="n">
        <v>11</v>
      </c>
      <c r="J816" s="1" t="s">
        <v>1821</v>
      </c>
      <c r="K816" s="46" t="n">
        <v>938.06</v>
      </c>
    </row>
    <row r="817" customFormat="false" ht="15" hidden="false" customHeight="true" outlineLevel="0" collapsed="false">
      <c r="A817" s="1" t="n">
        <v>2</v>
      </c>
      <c r="B817" s="1" t="n">
        <v>1272321</v>
      </c>
      <c r="C817" s="1" t="s">
        <v>49</v>
      </c>
      <c r="D817" s="1" t="s">
        <v>1825</v>
      </c>
      <c r="E817" s="15" t="n">
        <v>46265</v>
      </c>
      <c r="F817" s="15" t="n">
        <v>46262</v>
      </c>
      <c r="G817" s="1" t="s">
        <v>131</v>
      </c>
      <c r="H817" s="1" t="n">
        <v>1630542</v>
      </c>
      <c r="I817" s="1" t="n">
        <v>11</v>
      </c>
      <c r="J817" s="1" t="s">
        <v>1821</v>
      </c>
      <c r="K817" s="46" t="n">
        <v>1134.85</v>
      </c>
    </row>
    <row r="818" customFormat="false" ht="15" hidden="false" customHeight="true" outlineLevel="0" collapsed="false">
      <c r="A818" s="1" t="n">
        <v>2</v>
      </c>
      <c r="B818" s="1" t="n">
        <v>982558</v>
      </c>
      <c r="C818" s="1" t="s">
        <v>1884</v>
      </c>
      <c r="D818" s="1" t="s">
        <v>1885</v>
      </c>
      <c r="E818" s="15" t="n">
        <v>46265</v>
      </c>
      <c r="F818" s="15" t="n">
        <v>46261</v>
      </c>
      <c r="G818" s="1" t="s">
        <v>235</v>
      </c>
      <c r="H818" s="1" t="n">
        <v>1630677</v>
      </c>
      <c r="I818" s="1" t="n">
        <v>11</v>
      </c>
      <c r="J818" s="1" t="s">
        <v>1821</v>
      </c>
      <c r="K818" s="46" t="n">
        <v>1823.82</v>
      </c>
    </row>
    <row r="819" customFormat="false" ht="15" hidden="false" customHeight="true" outlineLevel="0" collapsed="false">
      <c r="A819" s="1" t="n">
        <v>2</v>
      </c>
      <c r="B819" s="1" t="n">
        <v>656817</v>
      </c>
      <c r="C819" s="1" t="s">
        <v>36</v>
      </c>
      <c r="D819" s="1" t="s">
        <v>1876</v>
      </c>
      <c r="E819" s="15" t="n">
        <v>46265</v>
      </c>
      <c r="F819" s="15" t="n">
        <v>46262</v>
      </c>
      <c r="G819" s="1" t="s">
        <v>94</v>
      </c>
      <c r="H819" s="1" t="n">
        <v>1629497</v>
      </c>
      <c r="I819" s="1" t="n">
        <v>11</v>
      </c>
      <c r="J819" s="1" t="s">
        <v>1821</v>
      </c>
      <c r="K819" s="46" t="n">
        <v>1830.58</v>
      </c>
    </row>
    <row r="820" customFormat="false" ht="15" hidden="false" customHeight="true" outlineLevel="0" collapsed="false">
      <c r="A820" s="1" t="n">
        <v>2</v>
      </c>
      <c r="B820" s="1" t="n">
        <v>1672073</v>
      </c>
      <c r="C820" s="1" t="s">
        <v>1826</v>
      </c>
      <c r="D820" s="1" t="s">
        <v>1827</v>
      </c>
      <c r="E820" s="15" t="n">
        <v>46265</v>
      </c>
      <c r="F820" s="15" t="n">
        <v>46263</v>
      </c>
      <c r="G820" s="1" t="s">
        <v>416</v>
      </c>
      <c r="H820" s="1" t="n">
        <v>1628734</v>
      </c>
      <c r="I820" s="1" t="n">
        <v>11</v>
      </c>
      <c r="J820" s="1" t="s">
        <v>1821</v>
      </c>
      <c r="K820" s="46" t="n">
        <v>150</v>
      </c>
    </row>
    <row r="821" customFormat="false" ht="15" hidden="false" customHeight="true" outlineLevel="0" collapsed="false">
      <c r="A821" s="1" t="n">
        <v>2</v>
      </c>
      <c r="B821" s="1" t="n">
        <v>1672484</v>
      </c>
      <c r="C821" s="1" t="s">
        <v>1826</v>
      </c>
      <c r="D821" s="1" t="s">
        <v>1827</v>
      </c>
      <c r="E821" s="15" t="n">
        <v>46265</v>
      </c>
      <c r="F821" s="15" t="n">
        <v>46265</v>
      </c>
      <c r="G821" s="1" t="s">
        <v>416</v>
      </c>
      <c r="H821" s="1" t="n">
        <v>1630577</v>
      </c>
      <c r="I821" s="1" t="n">
        <v>11</v>
      </c>
      <c r="J821" s="1" t="s">
        <v>1821</v>
      </c>
      <c r="K821" s="46" t="n">
        <v>148.5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36</v>
      </c>
      <c r="D822" s="1" t="s">
        <v>1847</v>
      </c>
      <c r="E822" s="15" t="n">
        <v>46265</v>
      </c>
      <c r="F822" s="15" t="n">
        <v>46263</v>
      </c>
      <c r="G822" s="1" t="s">
        <v>187</v>
      </c>
      <c r="H822" s="1" t="n">
        <v>1628784</v>
      </c>
      <c r="I822" s="1" t="n">
        <v>11</v>
      </c>
      <c r="J822" s="1" t="s">
        <v>1821</v>
      </c>
      <c r="K822" s="46" t="n">
        <v>125</v>
      </c>
    </row>
    <row r="823" customFormat="false" ht="15" hidden="false" customHeight="true" outlineLevel="0" collapsed="false">
      <c r="A823" s="1" t="n">
        <v>2</v>
      </c>
      <c r="B823" s="1" t="n">
        <v>15213</v>
      </c>
      <c r="C823" s="1" t="s">
        <v>36</v>
      </c>
      <c r="D823" s="1" t="s">
        <v>1828</v>
      </c>
      <c r="E823" s="15" t="n">
        <v>46265</v>
      </c>
      <c r="F823" s="15" t="n">
        <v>46263</v>
      </c>
      <c r="G823" s="1" t="s">
        <v>272</v>
      </c>
      <c r="H823" s="1" t="n">
        <v>1629072</v>
      </c>
      <c r="I823" s="1" t="n">
        <v>11</v>
      </c>
      <c r="J823" s="1" t="s">
        <v>1821</v>
      </c>
      <c r="K823" s="46" t="n">
        <v>1557.6</v>
      </c>
    </row>
    <row r="824" customFormat="false" ht="15" hidden="false" customHeight="true" outlineLevel="0" collapsed="false">
      <c r="A824" s="1" t="n">
        <v>2</v>
      </c>
      <c r="B824" s="1" t="n">
        <v>2643</v>
      </c>
      <c r="C824" s="1" t="s">
        <v>36</v>
      </c>
      <c r="D824" s="1" t="s">
        <v>1839</v>
      </c>
      <c r="E824" s="15" t="n">
        <v>46265</v>
      </c>
      <c r="F824" s="15" t="n">
        <v>46265</v>
      </c>
      <c r="G824" s="1" t="s">
        <v>146</v>
      </c>
      <c r="H824" s="1" t="n">
        <v>1630071</v>
      </c>
      <c r="I824" s="1" t="n">
        <v>6</v>
      </c>
      <c r="J824" s="1" t="s">
        <v>1821</v>
      </c>
      <c r="K824" s="46" t="n">
        <v>300</v>
      </c>
    </row>
    <row r="825" customFormat="false" ht="15" hidden="false" customHeight="true" outlineLevel="0" collapsed="false">
      <c r="A825" s="1" t="n">
        <v>2</v>
      </c>
      <c r="B825" s="1" t="n">
        <v>4492</v>
      </c>
      <c r="C825" s="1" t="s">
        <v>36</v>
      </c>
      <c r="D825" s="1" t="s">
        <v>1840</v>
      </c>
      <c r="E825" s="15" t="n">
        <v>46265</v>
      </c>
      <c r="F825" s="15" t="n">
        <v>46262</v>
      </c>
      <c r="G825" s="1" t="s">
        <v>105</v>
      </c>
      <c r="H825" s="1" t="n">
        <v>1628793</v>
      </c>
      <c r="I825" s="1" t="n">
        <v>11</v>
      </c>
      <c r="J825" s="1" t="s">
        <v>1821</v>
      </c>
      <c r="K825" s="46" t="n">
        <v>300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88</v>
      </c>
      <c r="D826" s="1" t="s">
        <v>1829</v>
      </c>
      <c r="E826" s="15" t="n">
        <v>46265</v>
      </c>
      <c r="F826" s="15" t="n">
        <v>46263</v>
      </c>
      <c r="G826" s="1" t="s">
        <v>211</v>
      </c>
      <c r="H826" s="1" t="n">
        <v>1628810</v>
      </c>
      <c r="I826" s="1" t="n">
        <v>11</v>
      </c>
      <c r="J826" s="1" t="s">
        <v>1821</v>
      </c>
      <c r="K826" s="46" t="n">
        <v>180.22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88</v>
      </c>
      <c r="D827" s="1" t="s">
        <v>1829</v>
      </c>
      <c r="E827" s="15" t="n">
        <v>46265</v>
      </c>
      <c r="F827" s="15" t="n">
        <v>46265</v>
      </c>
      <c r="G827" s="1" t="s">
        <v>211</v>
      </c>
      <c r="H827" s="1" t="n">
        <v>1630506</v>
      </c>
      <c r="I827" s="1" t="n">
        <v>11</v>
      </c>
      <c r="J827" s="1" t="s">
        <v>1821</v>
      </c>
      <c r="K827" s="46" t="n">
        <v>90</v>
      </c>
    </row>
    <row r="828" customFormat="false" ht="15" hidden="false" customHeight="true" outlineLevel="0" collapsed="false">
      <c r="A828" s="1" t="n">
        <v>2</v>
      </c>
      <c r="B828" s="1" t="n">
        <v>13095</v>
      </c>
      <c r="C828" s="1" t="s">
        <v>76</v>
      </c>
      <c r="D828" s="1" t="s">
        <v>1958</v>
      </c>
      <c r="E828" s="15" t="n">
        <v>46265</v>
      </c>
      <c r="F828" s="15" t="n">
        <v>46262</v>
      </c>
      <c r="G828" s="1" t="s">
        <v>1423</v>
      </c>
      <c r="H828" s="1" t="n">
        <v>1629251</v>
      </c>
      <c r="I828" s="1" t="n">
        <v>11</v>
      </c>
      <c r="J828" s="1" t="s">
        <v>1821</v>
      </c>
      <c r="K828" s="46" t="n">
        <v>820</v>
      </c>
    </row>
    <row r="829" customFormat="false" ht="15" hidden="false" customHeight="true" outlineLevel="0" collapsed="false">
      <c r="A829" s="1" t="n">
        <v>2</v>
      </c>
      <c r="B829" s="1" t="n">
        <v>633</v>
      </c>
      <c r="C829" s="1" t="s">
        <v>36</v>
      </c>
      <c r="D829" s="1" t="s">
        <v>1832</v>
      </c>
      <c r="E829" s="15" t="n">
        <v>46266</v>
      </c>
      <c r="F829" s="15" t="n">
        <v>46265</v>
      </c>
      <c r="G829" s="1" t="s">
        <v>144</v>
      </c>
      <c r="H829" s="1" t="n">
        <v>1635004</v>
      </c>
      <c r="I829" s="1" t="n">
        <v>11</v>
      </c>
      <c r="J829" s="1" t="s">
        <v>1821</v>
      </c>
      <c r="K829" s="46" t="n">
        <v>180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36</v>
      </c>
      <c r="D830" s="1" t="s">
        <v>1852</v>
      </c>
      <c r="E830" s="15" t="n">
        <v>46266</v>
      </c>
      <c r="F830" s="15" t="n">
        <v>46265</v>
      </c>
      <c r="G830" s="1" t="s">
        <v>182</v>
      </c>
      <c r="H830" s="1" t="n">
        <v>1633942</v>
      </c>
      <c r="I830" s="1" t="n">
        <v>11</v>
      </c>
      <c r="J830" s="1" t="s">
        <v>1821</v>
      </c>
      <c r="K830" s="46" t="n">
        <v>540.99</v>
      </c>
    </row>
    <row r="831" customFormat="false" ht="15" hidden="false" customHeight="true" outlineLevel="0" collapsed="false">
      <c r="A831" s="1" t="n">
        <v>2</v>
      </c>
      <c r="B831" s="1" t="n">
        <v>1039683</v>
      </c>
      <c r="C831" s="1" t="s">
        <v>36</v>
      </c>
      <c r="D831" s="1" t="s">
        <v>1835</v>
      </c>
      <c r="E831" s="15" t="n">
        <v>46266</v>
      </c>
      <c r="F831" s="15" t="n">
        <v>46265</v>
      </c>
      <c r="G831" s="1" t="s">
        <v>233</v>
      </c>
      <c r="H831" s="1" t="n">
        <v>1633900</v>
      </c>
      <c r="I831" s="1" t="n">
        <v>11</v>
      </c>
      <c r="J831" s="1" t="s">
        <v>1821</v>
      </c>
      <c r="K831" s="46" t="n">
        <v>492.29</v>
      </c>
    </row>
    <row r="832" customFormat="false" ht="15" hidden="false" customHeight="true" outlineLevel="0" collapsed="false">
      <c r="A832" s="1" t="n">
        <v>2</v>
      </c>
      <c r="B832" s="1" t="n">
        <v>8802</v>
      </c>
      <c r="C832" s="1" t="s">
        <v>36</v>
      </c>
      <c r="D832" s="1" t="s">
        <v>1920</v>
      </c>
      <c r="E832" s="15" t="n">
        <v>46266</v>
      </c>
      <c r="F832" s="15" t="n">
        <v>46265</v>
      </c>
      <c r="G832" s="1" t="s">
        <v>343</v>
      </c>
      <c r="H832" s="1" t="n">
        <v>1633924</v>
      </c>
      <c r="I832" s="1" t="n">
        <v>39</v>
      </c>
      <c r="J832" s="1" t="s">
        <v>1821</v>
      </c>
      <c r="K832" s="46" t="n">
        <v>5330.2</v>
      </c>
    </row>
    <row r="833" customFormat="false" ht="15" hidden="false" customHeight="true" outlineLevel="0" collapsed="false">
      <c r="A833" s="1" t="n">
        <v>2</v>
      </c>
      <c r="B833" s="1" t="n">
        <v>2142</v>
      </c>
      <c r="C833" s="1" t="s">
        <v>36</v>
      </c>
      <c r="D833" s="1" t="s">
        <v>1861</v>
      </c>
      <c r="E833" s="15" t="n">
        <v>46266</v>
      </c>
      <c r="F833" s="15" t="n">
        <v>46266</v>
      </c>
      <c r="G833" s="1" t="s">
        <v>451</v>
      </c>
      <c r="H833" s="1" t="n">
        <v>1635021</v>
      </c>
      <c r="I833" s="1" t="n">
        <v>11</v>
      </c>
      <c r="J833" s="1" t="s">
        <v>1821</v>
      </c>
      <c r="K833" s="46" t="n">
        <v>250</v>
      </c>
    </row>
    <row r="834" customFormat="false" ht="15" hidden="false" customHeight="true" outlineLevel="0" collapsed="false">
      <c r="A834" s="1" t="n">
        <v>2</v>
      </c>
      <c r="B834" s="1" t="n">
        <v>2649</v>
      </c>
      <c r="C834" s="1" t="s">
        <v>36</v>
      </c>
      <c r="D834" s="1" t="s">
        <v>1839</v>
      </c>
      <c r="E834" s="15" t="n">
        <v>46266</v>
      </c>
      <c r="F834" s="15" t="n">
        <v>46266</v>
      </c>
      <c r="G834" s="1" t="s">
        <v>146</v>
      </c>
      <c r="H834" s="1" t="n">
        <v>1635063</v>
      </c>
      <c r="I834" s="1" t="n">
        <v>6</v>
      </c>
      <c r="J834" s="1" t="s">
        <v>1821</v>
      </c>
      <c r="K834" s="46" t="n">
        <v>315</v>
      </c>
    </row>
    <row r="835" customFormat="false" ht="15" hidden="false" customHeight="true" outlineLevel="0" collapsed="false">
      <c r="A835" s="1" t="n">
        <v>2</v>
      </c>
      <c r="B835" s="1" t="n">
        <v>2650</v>
      </c>
      <c r="C835" s="1" t="s">
        <v>36</v>
      </c>
      <c r="D835" s="1" t="s">
        <v>1839</v>
      </c>
      <c r="E835" s="15" t="n">
        <v>46266</v>
      </c>
      <c r="F835" s="15" t="n">
        <v>46266</v>
      </c>
      <c r="G835" s="1" t="s">
        <v>146</v>
      </c>
      <c r="H835" s="1" t="n">
        <v>1635174</v>
      </c>
      <c r="I835" s="1" t="n">
        <v>6</v>
      </c>
      <c r="J835" s="1" t="s">
        <v>1821</v>
      </c>
      <c r="K835" s="46" t="n">
        <v>1440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1826</v>
      </c>
      <c r="D836" s="1" t="s">
        <v>1827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1821</v>
      </c>
      <c r="K836" s="46" t="n">
        <v>96</v>
      </c>
    </row>
    <row r="837" customFormat="false" ht="15" hidden="false" customHeight="true" outlineLevel="0" collapsed="false">
      <c r="A837" s="1" t="n">
        <v>2</v>
      </c>
      <c r="B837" s="1" t="n">
        <v>1796899</v>
      </c>
      <c r="C837" s="1" t="s">
        <v>1889</v>
      </c>
      <c r="D837" s="1" t="s">
        <v>1890</v>
      </c>
      <c r="E837" s="15" t="n">
        <v>46267</v>
      </c>
      <c r="F837" s="15" t="n">
        <v>46265</v>
      </c>
      <c r="G837" s="1" t="s">
        <v>172</v>
      </c>
      <c r="H837" s="1" t="n">
        <v>1643036</v>
      </c>
      <c r="I837" s="1" t="n">
        <v>11</v>
      </c>
      <c r="J837" s="1" t="s">
        <v>1821</v>
      </c>
      <c r="K837" s="46" t="n">
        <v>57.82</v>
      </c>
    </row>
    <row r="838" customFormat="false" ht="15" hidden="false" customHeight="true" outlineLevel="0" collapsed="false">
      <c r="A838" s="1" t="n">
        <v>2</v>
      </c>
      <c r="B838" s="1" t="n">
        <v>15237</v>
      </c>
      <c r="C838" s="1" t="s">
        <v>36</v>
      </c>
      <c r="D838" s="1" t="s">
        <v>1828</v>
      </c>
      <c r="E838" s="15" t="n">
        <v>46267</v>
      </c>
      <c r="F838" s="15" t="n">
        <v>46266</v>
      </c>
      <c r="G838" s="1" t="s">
        <v>272</v>
      </c>
      <c r="H838" s="1" t="n">
        <v>1638572</v>
      </c>
      <c r="I838" s="1" t="n">
        <v>11</v>
      </c>
      <c r="J838" s="1" t="s">
        <v>1821</v>
      </c>
      <c r="K838" s="46" t="n">
        <v>4886.4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36</v>
      </c>
      <c r="D839" s="1" t="s">
        <v>1839</v>
      </c>
      <c r="E839" s="15" t="n">
        <v>46267</v>
      </c>
      <c r="F839" s="15" t="n">
        <v>46267</v>
      </c>
      <c r="G839" s="1" t="s">
        <v>146</v>
      </c>
      <c r="H839" s="1" t="n">
        <v>1641414</v>
      </c>
      <c r="I839" s="1" t="n">
        <v>6</v>
      </c>
      <c r="J839" s="1" t="s">
        <v>1821</v>
      </c>
      <c r="K839" s="46" t="n">
        <v>300</v>
      </c>
    </row>
    <row r="840" customFormat="false" ht="15" hidden="false" customHeight="true" outlineLevel="0" collapsed="false">
      <c r="A840" s="1" t="n">
        <v>2</v>
      </c>
      <c r="B840" s="1" t="n">
        <v>491629</v>
      </c>
      <c r="C840" s="1" t="s">
        <v>36</v>
      </c>
      <c r="D840" s="1" t="s">
        <v>1858</v>
      </c>
      <c r="E840" s="15" t="n">
        <v>46268</v>
      </c>
      <c r="F840" s="15" t="n">
        <v>46263</v>
      </c>
      <c r="G840" s="1" t="s">
        <v>400</v>
      </c>
      <c r="H840" s="1" t="n">
        <v>1646714</v>
      </c>
      <c r="I840" s="1" t="n">
        <v>11</v>
      </c>
      <c r="J840" s="1" t="s">
        <v>1821</v>
      </c>
      <c r="K840" s="46" t="n">
        <v>229.85</v>
      </c>
    </row>
    <row r="841" customFormat="false" ht="15" hidden="false" customHeight="true" outlineLevel="0" collapsed="false">
      <c r="A841" s="1" t="n">
        <v>2</v>
      </c>
      <c r="B841" s="1" t="n">
        <v>4884</v>
      </c>
      <c r="C841" s="1" t="s">
        <v>76</v>
      </c>
      <c r="D841" s="1" t="s">
        <v>1841</v>
      </c>
      <c r="E841" s="15" t="n">
        <v>46268</v>
      </c>
      <c r="F841" s="15" t="n">
        <v>46267</v>
      </c>
      <c r="G841" s="1" t="s">
        <v>129</v>
      </c>
      <c r="H841" s="1" t="n">
        <v>1647278</v>
      </c>
      <c r="I841" s="1" t="n">
        <v>11</v>
      </c>
      <c r="J841" s="1" t="s">
        <v>1821</v>
      </c>
      <c r="K841" s="46" t="n">
        <v>278.1</v>
      </c>
    </row>
    <row r="842" customFormat="false" ht="15" hidden="false" customHeight="true" outlineLevel="0" collapsed="false">
      <c r="A842" s="1" t="n">
        <v>2</v>
      </c>
      <c r="B842" s="1" t="n">
        <v>993555</v>
      </c>
      <c r="C842" s="1" t="s">
        <v>1884</v>
      </c>
      <c r="D842" s="1" t="s">
        <v>1885</v>
      </c>
      <c r="E842" s="15" t="n">
        <v>46268</v>
      </c>
      <c r="F842" s="15" t="n">
        <v>46267</v>
      </c>
      <c r="G842" s="1" t="s">
        <v>235</v>
      </c>
      <c r="H842" s="1" t="n">
        <v>1646642</v>
      </c>
      <c r="I842" s="1" t="n">
        <v>11</v>
      </c>
      <c r="J842" s="1" t="s">
        <v>1821</v>
      </c>
      <c r="K842" s="46" t="n">
        <v>488.19</v>
      </c>
    </row>
    <row r="843" customFormat="false" ht="15" hidden="false" customHeight="true" outlineLevel="0" collapsed="false">
      <c r="A843" s="1" t="n">
        <v>2</v>
      </c>
      <c r="B843" s="1" t="n">
        <v>3867</v>
      </c>
      <c r="C843" s="1" t="s">
        <v>36</v>
      </c>
      <c r="D843" s="1" t="s">
        <v>1847</v>
      </c>
      <c r="E843" s="15" t="n">
        <v>46268</v>
      </c>
      <c r="F843" s="15" t="n">
        <v>46268</v>
      </c>
      <c r="G843" s="1" t="s">
        <v>187</v>
      </c>
      <c r="H843" s="1" t="n">
        <v>1647835</v>
      </c>
      <c r="I843" s="1" t="n">
        <v>11</v>
      </c>
      <c r="J843" s="1" t="s">
        <v>1821</v>
      </c>
      <c r="K843" s="46" t="n">
        <v>125</v>
      </c>
    </row>
    <row r="844" customFormat="false" ht="15" hidden="false" customHeight="true" outlineLevel="0" collapsed="false">
      <c r="A844" s="1" t="n">
        <v>2</v>
      </c>
      <c r="B844" s="1" t="n">
        <v>1796900</v>
      </c>
      <c r="C844" s="1" t="s">
        <v>1889</v>
      </c>
      <c r="D844" s="1" t="s">
        <v>1890</v>
      </c>
      <c r="E844" s="15" t="n">
        <v>46268</v>
      </c>
      <c r="F844" s="15" t="n">
        <v>46265</v>
      </c>
      <c r="G844" s="1" t="s">
        <v>172</v>
      </c>
      <c r="H844" s="1" t="n">
        <v>1646233</v>
      </c>
      <c r="I844" s="1" t="n">
        <v>11</v>
      </c>
      <c r="J844" s="1" t="s">
        <v>1821</v>
      </c>
      <c r="K844" s="46" t="n">
        <v>471.9</v>
      </c>
    </row>
    <row r="845" customFormat="false" ht="15" hidden="false" customHeight="true" outlineLevel="0" collapsed="false">
      <c r="A845" s="1" t="n">
        <v>2</v>
      </c>
      <c r="B845" s="1" t="n">
        <v>4523</v>
      </c>
      <c r="C845" s="1" t="s">
        <v>36</v>
      </c>
      <c r="D845" s="1" t="s">
        <v>1840</v>
      </c>
      <c r="E845" s="15" t="n">
        <v>46268</v>
      </c>
      <c r="F845" s="15" t="n">
        <v>46266</v>
      </c>
      <c r="G845" s="1" t="s">
        <v>105</v>
      </c>
      <c r="H845" s="1" t="n">
        <v>1646205</v>
      </c>
      <c r="I845" s="1" t="n">
        <v>11</v>
      </c>
      <c r="J845" s="1" t="s">
        <v>1821</v>
      </c>
      <c r="K845" s="46" t="n">
        <v>133.5</v>
      </c>
    </row>
    <row r="846" customFormat="false" ht="15" hidden="false" customHeight="true" outlineLevel="0" collapsed="false">
      <c r="A846" s="1" t="n">
        <v>2</v>
      </c>
      <c r="B846" s="1" t="n">
        <v>8180</v>
      </c>
      <c r="C846" s="1" t="s">
        <v>36</v>
      </c>
      <c r="D846" s="1" t="s">
        <v>1878</v>
      </c>
      <c r="E846" s="15" t="n">
        <v>46268</v>
      </c>
      <c r="F846" s="15" t="n">
        <v>46266</v>
      </c>
      <c r="G846" s="1" t="s">
        <v>428</v>
      </c>
      <c r="H846" s="1" t="n">
        <v>1646673</v>
      </c>
      <c r="I846" s="1" t="n">
        <v>11</v>
      </c>
      <c r="J846" s="1" t="s">
        <v>1821</v>
      </c>
      <c r="K846" s="46" t="n">
        <v>314</v>
      </c>
    </row>
    <row r="847" customFormat="false" ht="15" hidden="false" customHeight="true" outlineLevel="0" collapsed="false">
      <c r="A847" s="1" t="n">
        <v>2</v>
      </c>
      <c r="B847" s="1" t="n">
        <v>790</v>
      </c>
      <c r="C847" s="1" t="s">
        <v>88</v>
      </c>
      <c r="D847" s="1" t="s">
        <v>1829</v>
      </c>
      <c r="E847" s="15" t="n">
        <v>46268</v>
      </c>
      <c r="F847" s="15" t="n">
        <v>46268</v>
      </c>
      <c r="G847" s="1" t="s">
        <v>211</v>
      </c>
      <c r="H847" s="1" t="n">
        <v>1647875</v>
      </c>
      <c r="I847" s="1" t="n">
        <v>11</v>
      </c>
      <c r="J847" s="1" t="s">
        <v>1821</v>
      </c>
      <c r="K847" s="46" t="n">
        <v>204.77</v>
      </c>
    </row>
    <row r="848" customFormat="false" ht="15" hidden="false" customHeight="true" outlineLevel="0" collapsed="false">
      <c r="A848" s="1" t="n">
        <v>2</v>
      </c>
      <c r="B848" s="1" t="n">
        <v>572518</v>
      </c>
      <c r="C848" s="1" t="s">
        <v>1865</v>
      </c>
      <c r="D848" s="1" t="s">
        <v>1866</v>
      </c>
      <c r="E848" s="15" t="n">
        <v>46268</v>
      </c>
      <c r="F848" s="15" t="n">
        <v>46266</v>
      </c>
      <c r="G848" s="1" t="s">
        <v>229</v>
      </c>
      <c r="H848" s="1" t="n">
        <v>1647431</v>
      </c>
      <c r="I848" s="1" t="n">
        <v>11</v>
      </c>
      <c r="J848" s="1" t="s">
        <v>1821</v>
      </c>
      <c r="K848" s="46" t="n">
        <v>9523.55</v>
      </c>
    </row>
    <row r="849" customFormat="false" ht="15" hidden="false" customHeight="true" outlineLevel="0" collapsed="false">
      <c r="A849" s="1" t="n">
        <v>2</v>
      </c>
      <c r="B849" s="1" t="n">
        <v>894544</v>
      </c>
      <c r="C849" s="1" t="s">
        <v>36</v>
      </c>
      <c r="D849" s="1" t="s">
        <v>1883</v>
      </c>
      <c r="E849" s="15" t="n">
        <v>46269</v>
      </c>
      <c r="F849" s="15" t="n">
        <v>46268</v>
      </c>
      <c r="G849" s="1" t="s">
        <v>220</v>
      </c>
      <c r="H849" s="1" t="n">
        <v>1652069</v>
      </c>
      <c r="I849" s="1" t="n">
        <v>11</v>
      </c>
      <c r="J849" s="1" t="s">
        <v>1821</v>
      </c>
      <c r="K849" s="46" t="n">
        <v>365</v>
      </c>
    </row>
    <row r="850" customFormat="false" ht="15" hidden="false" customHeight="true" outlineLevel="0" collapsed="false">
      <c r="A850" s="1" t="n">
        <v>2</v>
      </c>
      <c r="B850" s="1" t="n">
        <v>378</v>
      </c>
      <c r="C850" s="1" t="s">
        <v>36</v>
      </c>
      <c r="D850" s="1" t="s">
        <v>1833</v>
      </c>
      <c r="E850" s="15" t="n">
        <v>46269</v>
      </c>
      <c r="F850" s="15" t="n">
        <v>46268</v>
      </c>
      <c r="G850" s="1" t="s">
        <v>243</v>
      </c>
      <c r="H850" s="1" t="n">
        <v>1653363</v>
      </c>
      <c r="I850" s="1" t="n">
        <v>11</v>
      </c>
      <c r="J850" s="1" t="s">
        <v>1821</v>
      </c>
      <c r="K850" s="46" t="n">
        <v>1045</v>
      </c>
    </row>
    <row r="851" customFormat="false" ht="15" hidden="false" customHeight="true" outlineLevel="0" collapsed="false">
      <c r="A851" s="1" t="n">
        <v>2</v>
      </c>
      <c r="B851" s="1" t="n">
        <v>1627324</v>
      </c>
      <c r="C851" s="1" t="s">
        <v>36</v>
      </c>
      <c r="D851" s="1" t="s">
        <v>1875</v>
      </c>
      <c r="E851" s="15" t="n">
        <v>46269</v>
      </c>
      <c r="F851" s="15" t="n">
        <v>46269</v>
      </c>
      <c r="G851" s="1" t="s">
        <v>107</v>
      </c>
      <c r="H851" s="1" t="n">
        <v>1653042</v>
      </c>
      <c r="I851" s="1" t="n">
        <v>11</v>
      </c>
      <c r="J851" s="1" t="s">
        <v>1821</v>
      </c>
      <c r="K851" s="46" t="n">
        <v>4591.99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36</v>
      </c>
      <c r="D852" s="1" t="s">
        <v>1837</v>
      </c>
      <c r="E852" s="15" t="n">
        <v>46269</v>
      </c>
      <c r="F852" s="15" t="n">
        <v>46268</v>
      </c>
      <c r="G852" s="1" t="s">
        <v>224</v>
      </c>
      <c r="H852" s="1" t="n">
        <v>1652919</v>
      </c>
      <c r="I852" s="1" t="n">
        <v>11</v>
      </c>
      <c r="J852" s="1" t="s">
        <v>1821</v>
      </c>
      <c r="K852" s="46" t="n">
        <v>3999.35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36</v>
      </c>
      <c r="D853" s="1" t="s">
        <v>1837</v>
      </c>
      <c r="E853" s="15" t="n">
        <v>46269</v>
      </c>
      <c r="F853" s="15" t="n">
        <v>46268</v>
      </c>
      <c r="G853" s="1" t="s">
        <v>224</v>
      </c>
      <c r="H853" s="1" t="n">
        <v>1652216</v>
      </c>
      <c r="I853" s="1" t="n">
        <v>11</v>
      </c>
      <c r="J853" s="1" t="s">
        <v>1821</v>
      </c>
      <c r="K853" s="46" t="n">
        <v>832.2</v>
      </c>
    </row>
    <row r="854" customFormat="false" ht="15" hidden="false" customHeight="true" outlineLevel="0" collapsed="false">
      <c r="A854" s="1" t="n">
        <v>2</v>
      </c>
      <c r="B854" s="1" t="n">
        <v>1675430</v>
      </c>
      <c r="C854" s="1" t="s">
        <v>1826</v>
      </c>
      <c r="D854" s="1" t="s">
        <v>1827</v>
      </c>
      <c r="E854" s="15" t="n">
        <v>46269</v>
      </c>
      <c r="F854" s="15" t="n">
        <v>46269</v>
      </c>
      <c r="G854" s="1" t="s">
        <v>416</v>
      </c>
      <c r="H854" s="1" t="n">
        <v>1652472</v>
      </c>
      <c r="I854" s="1" t="n">
        <v>11</v>
      </c>
      <c r="J854" s="1" t="s">
        <v>1821</v>
      </c>
      <c r="K854" s="46" t="n">
        <v>166.5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1879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1821</v>
      </c>
      <c r="K855" s="46" t="n">
        <v>495.11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1850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1821</v>
      </c>
      <c r="K856" s="46" t="n">
        <v>474.45</v>
      </c>
    </row>
    <row r="857" customFormat="false" ht="15" hidden="false" customHeight="true" outlineLevel="0" collapsed="false">
      <c r="A857" s="1" t="n">
        <v>2</v>
      </c>
      <c r="B857" s="1" t="n">
        <v>427</v>
      </c>
      <c r="C857" s="1" t="s">
        <v>36</v>
      </c>
      <c r="D857" s="1" t="s">
        <v>1856</v>
      </c>
      <c r="E857" s="15" t="n">
        <v>46269</v>
      </c>
      <c r="F857" s="15" t="n">
        <v>46269</v>
      </c>
      <c r="G857" s="1" t="s">
        <v>109</v>
      </c>
      <c r="H857" s="1" t="n">
        <v>1651831</v>
      </c>
      <c r="I857" s="1" t="n">
        <v>11</v>
      </c>
      <c r="J857" s="1" t="s">
        <v>1821</v>
      </c>
      <c r="K857" s="46" t="n">
        <v>177.5</v>
      </c>
    </row>
    <row r="858" customFormat="false" ht="15" hidden="false" customHeight="true" outlineLevel="0" collapsed="false">
      <c r="A858" s="1" t="n">
        <v>2</v>
      </c>
      <c r="B858" s="1" t="n">
        <v>1440541</v>
      </c>
      <c r="C858" s="1" t="s">
        <v>36</v>
      </c>
      <c r="D858" s="1" t="s">
        <v>1863</v>
      </c>
      <c r="E858" s="15" t="n">
        <v>46269</v>
      </c>
      <c r="F858" s="15" t="n">
        <v>46266</v>
      </c>
      <c r="G858" s="1" t="s">
        <v>340</v>
      </c>
      <c r="H858" s="1" t="n">
        <v>1651521</v>
      </c>
      <c r="I858" s="1" t="n">
        <v>11</v>
      </c>
      <c r="J858" s="1" t="s">
        <v>1821</v>
      </c>
      <c r="K858" s="46" t="n">
        <v>1917.5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1839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1821</v>
      </c>
      <c r="K859" s="46" t="n">
        <v>300</v>
      </c>
    </row>
    <row r="860" customFormat="false" ht="15" hidden="false" customHeight="true" outlineLevel="0" collapsed="false">
      <c r="A860" s="1" t="n">
        <v>2</v>
      </c>
      <c r="B860" s="1" t="n">
        <v>2656</v>
      </c>
      <c r="C860" s="1" t="s">
        <v>36</v>
      </c>
      <c r="D860" s="1" t="s">
        <v>1839</v>
      </c>
      <c r="E860" s="15" t="n">
        <v>46269</v>
      </c>
      <c r="F860" s="15" t="n">
        <v>46269</v>
      </c>
      <c r="G860" s="1" t="s">
        <v>146</v>
      </c>
      <c r="H860" s="1" t="n">
        <v>1652758</v>
      </c>
      <c r="I860" s="1" t="n">
        <v>6</v>
      </c>
      <c r="J860" s="1" t="s">
        <v>1821</v>
      </c>
      <c r="K860" s="46" t="n">
        <v>340</v>
      </c>
    </row>
    <row r="861" customFormat="false" ht="15" hidden="false" customHeight="true" outlineLevel="0" collapsed="false">
      <c r="A861" s="1" t="n">
        <v>2</v>
      </c>
      <c r="B861" s="1" t="n">
        <v>2657</v>
      </c>
      <c r="C861" s="1" t="s">
        <v>36</v>
      </c>
      <c r="D861" s="1" t="s">
        <v>1839</v>
      </c>
      <c r="E861" s="15" t="n">
        <v>46269</v>
      </c>
      <c r="F861" s="15" t="n">
        <v>46269</v>
      </c>
      <c r="G861" s="1" t="s">
        <v>146</v>
      </c>
      <c r="H861" s="1" t="n">
        <v>1653148</v>
      </c>
      <c r="I861" s="1" t="n">
        <v>6</v>
      </c>
      <c r="J861" s="1" t="s">
        <v>1821</v>
      </c>
      <c r="K861" s="46" t="n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3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1782</v>
      </c>
      <c r="C1" s="1" t="s">
        <v>1966</v>
      </c>
      <c r="D1" s="1" t="s">
        <v>1967</v>
      </c>
      <c r="E1" s="1" t="s">
        <v>1968</v>
      </c>
      <c r="F1" s="1" t="s">
        <v>13</v>
      </c>
      <c r="I1" s="1" t="s">
        <v>1969</v>
      </c>
      <c r="J1" s="1" t="s">
        <v>1970</v>
      </c>
      <c r="K1" s="1" t="s">
        <v>1971</v>
      </c>
      <c r="L1" s="1" t="s">
        <v>1972</v>
      </c>
      <c r="N1" s="1" t="s">
        <v>1973</v>
      </c>
      <c r="O1" s="1" t="s">
        <v>1974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1975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1976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1975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1977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1975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1978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1975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1979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1975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1980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1975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1981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1975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1982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1975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1983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1975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1984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1975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1985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1975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1986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1975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1987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1975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1988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1975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1989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1975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1990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1975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1991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1975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1992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1975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1993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1975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1994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1975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1995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1975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1996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1975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1997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1975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1998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1975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1999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1975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2000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1975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2001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1975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2002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2003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2004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2003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2005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2003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2006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2003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2007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2003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2008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2003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2009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2003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2010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2011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2012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2011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2012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2011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2013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2011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2014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2011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2015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2011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2016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2011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2017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2011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2018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2011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2018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2011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2019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2011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2020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2011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2021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2011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2022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2011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2023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2011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2024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2011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2025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2011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2026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2011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2027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2011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2028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2011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2028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2011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2029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2011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2029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2011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2030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2011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2030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2031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2012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2031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2017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2031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2018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2031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2019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2031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2020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2031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2021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2031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2022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2031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2023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2031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2024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2031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2025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2031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2026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2031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2027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2031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2028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2031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2029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2031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2030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2031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2012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2031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2013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2031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2014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2031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2015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2031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2016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2031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2018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2031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2028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2031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2029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2031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2030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1975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2032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1975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2033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1975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2034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1975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2035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1975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2036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1975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2037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1975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2038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1975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2039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1975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1978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1975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2040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1975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2041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1975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2042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1975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2043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1975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2044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1975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2045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1975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2046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1975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2047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1975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2048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1975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2049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1975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1997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1975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1999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1975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2050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1975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2051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1975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2052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1975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2053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1975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2054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1975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2055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1975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2056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1975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2057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1975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2058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1975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2059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1975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2060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1975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2061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1975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2062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1975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2063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1975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2064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2065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2066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2065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2067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2065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2068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2065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2069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2065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2070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2065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2071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2065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2072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2065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2073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2065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2074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2065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2075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2065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2076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2065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2077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2065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2078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2065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2079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2065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2080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2065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2081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2065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2082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2065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2083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2065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2084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2085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2066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2085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2067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2085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2068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2085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2069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2085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2070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2085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2071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2085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2072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2085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2073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2085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2074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2085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2075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2085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2076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2085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2077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2085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2078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2085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2079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2085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2080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2085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2081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2085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2082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2085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2083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2085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2084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1975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1981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1975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2086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1975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2087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1975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2088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1975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2089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1975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2090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1975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2091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1975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2092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1975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2093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1975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1995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1975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2094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1975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2095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1975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2096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1975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2097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1975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2098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1975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2099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1975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2100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1975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2101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1975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2102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1975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2103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1975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2104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1975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2105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1975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2002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1975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2106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1975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2107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1975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2108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1975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2109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1975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2110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2003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2111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2003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2112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2003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2107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2011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2012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2011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2017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2011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2018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2011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2019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2011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2020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2011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2021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2011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2022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2011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2023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2011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2024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2011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2025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2011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2026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2011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2027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2011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2028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2011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2029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2011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2030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2031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2012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2031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2017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2031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2018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2031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2019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2031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2020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2031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2021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2031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2022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2031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2023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2031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2024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2031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2025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2031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2026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2031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2027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2031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2028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2031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2029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2031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2030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2003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2032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2003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1982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2011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2012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2011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2013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2011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2014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2011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2015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2011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2016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2011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2113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2011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2018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2011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2114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2011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2028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2011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2029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2011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2030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2031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2012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2031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2013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2031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2014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2031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2015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2031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2016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2031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2113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2031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2018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2031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2114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2031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2028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2031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2029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2031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2030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1975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1976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1975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1977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1975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2115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1975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1979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1975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2116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1975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2117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1975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2118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1975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2119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1975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2120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1975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2034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1975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2036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1975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2037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1975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2121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1975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2038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1975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1978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1975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2040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1975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2041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1975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2042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1975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2122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1975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2123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1975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2124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1975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2125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1975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2126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1975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2127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1975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1997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1975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1998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1975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1999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1975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1999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1975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1997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1975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1998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1975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1999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2065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2068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2065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2071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2065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2073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2065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2074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2065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2075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2065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2076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2065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2128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2065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2129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2065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2079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2065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2130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2065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2131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2065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2082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2065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2066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2085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2068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2085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2071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2085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2073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2085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2074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2085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2075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2085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2076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2085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2128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2085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2129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2085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2079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2085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2130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2085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2131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2085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2082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2085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2066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2003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2132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2003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2133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2003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2134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2003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2135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2003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2136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2003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2137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1975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2033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1975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1976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1975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1977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1975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1978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1975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2115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1975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1979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1975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2138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1975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1980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1975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2139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1975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2140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1975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2141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1975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2142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1975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2143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1975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2144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1975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2145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1975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2146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1975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2147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1975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2148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1975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2149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1975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2150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1975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2151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1975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2152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1975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2153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1975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2154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1975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2041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1975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2042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1975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1981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1975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1982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1975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2155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1975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2156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1975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2157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1975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2158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1975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2159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1975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2160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1975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2161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1975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2162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1975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2163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1975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2164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1975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2165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1975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2166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1975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2167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1975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2168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1975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2169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1975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1997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1975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1998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1975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1999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1975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1999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1975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2170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1975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2171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1975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2172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1975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2173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1975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2174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1975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2175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1975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2176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1975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2177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1975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2178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1975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2179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1975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2180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1975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2181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1975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2182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1975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2183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1975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2184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1975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2185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1975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2186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1975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2187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1975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2101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1975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2188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1975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2104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1975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2000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1975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2189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1975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2010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2065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2190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2065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2066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2085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2190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2085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2066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2003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2002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2003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2191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2003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2192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2011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2019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2011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2027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2011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2030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2011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2012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2011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2012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2011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2013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2011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2014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2011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2015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2011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2016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2011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2016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2011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2113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2011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2017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2011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2018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2011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2018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2011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2019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2011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2020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2011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2021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2011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2022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2011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2023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2011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2024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2011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2025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2011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2026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2011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2193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2011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2114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2011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2027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2011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2028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2011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2028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2011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2029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2011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2029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2011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2030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2011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2030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2011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2194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2031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2019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2031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2027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2031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2030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2031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2012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2031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2013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2031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2014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2031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2015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2031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2016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2031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2113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2031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2018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2031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2114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2031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2028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2031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2029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2031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2030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2031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2012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2031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2016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2031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2017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2031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2018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2031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2019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2031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2020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2031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2021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2031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2022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2031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2023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2031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2024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2031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2025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2031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2026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2031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2193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2031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2027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2031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2028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2031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2029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2031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2030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2031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2194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1975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2033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1975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2034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1975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2035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1975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2036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1975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2037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1975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2121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1975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2038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1975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2039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1975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1978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1975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2195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1975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2196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1975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2197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1975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2198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1975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2199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1975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2200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1975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2201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1975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2202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1975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2203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1975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2204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1975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2205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1975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2206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1975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2207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1975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2208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1975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2209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1975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2210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1975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2211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1975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2212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1975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2213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1975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2214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1975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2215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1975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2216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1975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2217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1975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2218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1975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2219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1975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2220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1975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2221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1975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2222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1975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2223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2065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2067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2065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2224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2065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2068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2065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2069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2065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2071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2065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2225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2065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2074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2065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2075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2065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2226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2065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2129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2065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2078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2065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2079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2065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2131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2065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2080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2065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2081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2065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2227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2065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2082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2065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2083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2085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2067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2085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2224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2085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2068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2085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2069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2085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2071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2085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2225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2085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2074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2085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2075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2085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2226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2085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2129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2085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2078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2085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2079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2085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2131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2085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2080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2085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2081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2085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2227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2085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2082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2085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2083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2003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2228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2003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2229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2003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2230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2003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2231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2003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2232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2003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2233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2003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2234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2003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2235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2003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2236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2003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2237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2003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2238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2003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2239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2003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2240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2003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2241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1975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2242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1975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2243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1975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2244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1975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2245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1975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2041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1975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2042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1975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1981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1975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1982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1975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2155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1975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2246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1975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2021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1975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2022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1975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2247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1975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2248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1975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2249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1975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2250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1975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2251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1975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2252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1975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2253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1975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2254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1975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2255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1975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2256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1975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2257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1975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2258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1975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2259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1975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2260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1975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2261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1975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2262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1975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2263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1975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2264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1975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2265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1975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1997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1975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1998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1975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1999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2065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2266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2065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2267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2065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2268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2065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2066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2065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2269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2065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2270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2065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2271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2085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2266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2085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2267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2085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2268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2085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2269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2085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2270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2085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2271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2085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2066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2003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2272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2003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2273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2003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2274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2003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2275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2003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2276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2003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2277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2003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2278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2003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2279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2003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2280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2003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2281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2003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2282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2003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2283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2003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2284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2003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2285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2003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2286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2003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2287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2003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2288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2003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2289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2003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2290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2003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2291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2003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2292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2003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2293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2003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2294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2011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2012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2011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2012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2011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2013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2011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2014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2011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2015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2011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2016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2011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2113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2011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2017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2011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2018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2011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2018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2011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2019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2011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2019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2011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2020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2011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2021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2011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2022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2011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2023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2011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2024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2011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2025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2011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2025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2011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2026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2011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2027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2011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2027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2011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2028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2011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2028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2011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2029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2011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2029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2011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2030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2011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2030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2011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2030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2031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2012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2031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2017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2031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2018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2031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2019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2031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2020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2031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2021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2031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2022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2031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2023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2031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2024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2031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2025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2031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2026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2031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2027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2031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2028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2031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2029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2031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2030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2031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2019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2031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2025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2031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2027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2031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2030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2031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2012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2031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2013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2031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2014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2031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2015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2031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2016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2031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2113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2031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2018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2031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2028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2031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2029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2031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2030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1975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2295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1975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2296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1975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2297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1975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2298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1975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2299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1975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2300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1975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2301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1975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2302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1975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2303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1975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2304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1975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2305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1975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2306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1975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2306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1975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2307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1975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2308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1975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2309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1975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2310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1975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2311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1975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2312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1975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2313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1975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2314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1975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2315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1975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2316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1975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2317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1975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2318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1975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2319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1975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2320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1975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2321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1975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2322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1975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2323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1975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2324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1975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2325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1975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2326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1975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2327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1975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2328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1975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2329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1975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2330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1975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2331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1975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2332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1975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2333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1975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2334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1975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2335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1975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2336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1975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2337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1975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2338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1975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2339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1975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2340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1975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2341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1975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2342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1975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2343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1975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2344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1975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2345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1975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2346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1975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2347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1975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2348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1975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2349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1975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2350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1975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2351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1975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2352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1975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2353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1975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2354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1975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2355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1975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2356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1975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2357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1975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2358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1975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2359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1975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2360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1975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2361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1975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2362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1975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2363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1975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2364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1975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2365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1975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2366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2003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2367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2003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2368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2003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2369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2003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2370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2003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2371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2003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2372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2003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2373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2003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2374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2003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2375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2003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2376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2003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2377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2003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2378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2003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2379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2003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2380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2003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2381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2003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2382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2003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2383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2003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2384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2003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2385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2003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2386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2003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2387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2003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2388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2003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2389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2003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2390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2003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2391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2003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2392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2003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2393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2003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2394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2003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2395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2003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2396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2003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2397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2003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2398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2003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2399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2003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2400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2003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2401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2003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2402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2003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2403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2003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2404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2003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2405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2003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2406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2003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2407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2003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2408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2003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2409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2003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2410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2003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2411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2003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2412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2003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2413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2003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2414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2003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2415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2003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2416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2003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2417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2003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2418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2003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2419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2003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2420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2003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2421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2003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2422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2003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2423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2003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2424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2003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2425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2003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2426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2003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2427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2003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2428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2003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2429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2003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2430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2003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2431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2003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2432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2003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2433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2003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2434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2003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2435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2003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2436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2003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2437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2003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2438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2003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2439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2003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2440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2003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2441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2003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2442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2003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2443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2003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2444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2003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2445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2003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2446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2003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2447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2003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2448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2003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2449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2003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2450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2003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2451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2003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2452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2003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2453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2003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2454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2003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2455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2003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2456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2003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2457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2003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2458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2003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2459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2003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2460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2003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2461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2003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2462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2003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2463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2003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2464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2003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2465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2003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2466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2003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2467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2003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2468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2003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2469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2003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2470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2003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2471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2003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2472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2003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2473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2003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2474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2003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2475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1975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1976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1975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1977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1975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1978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1975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2476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1975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2115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1975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1979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1975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2034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1975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2035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1975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2036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1975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2037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1975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2121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1975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2038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1975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2039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1975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1978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1975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2040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1975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2111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1975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2112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1975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2477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1975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2478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1975</v>
      </c>
      <c r="E866" s="1" t="n">
        <v>1616</v>
      </c>
      <c r="F866" s="1" t="s">
        <v>94</v>
      </c>
      <c r="I866" s="1" t="n">
        <v>645628</v>
      </c>
      <c r="J866" s="1" t="n">
        <v>16423</v>
      </c>
      <c r="K866" s="1" t="n">
        <v>7891331010508</v>
      </c>
      <c r="L866" s="1" t="s">
        <v>2479</v>
      </c>
      <c r="N866" s="1" t="n">
        <v>24</v>
      </c>
      <c r="O866" s="1" t="n">
        <v>39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1975</v>
      </c>
      <c r="E867" s="1" t="n">
        <v>1616</v>
      </c>
      <c r="F867" s="1" t="s">
        <v>94</v>
      </c>
      <c r="I867" s="1" t="n">
        <v>645628</v>
      </c>
      <c r="J867" s="1" t="n">
        <v>13604</v>
      </c>
      <c r="K867" s="1" t="n">
        <v>7896001016712</v>
      </c>
      <c r="L867" s="1" t="s">
        <v>2480</v>
      </c>
      <c r="N867" s="1" t="n">
        <v>15</v>
      </c>
      <c r="O867" s="1" t="n">
        <v>171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1975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2481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1975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2482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1975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2483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1975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2484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1975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2485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1975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2486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1975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2487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1975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2488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1975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2489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1975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2490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1975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2491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1975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2492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1975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2493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1975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2043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1975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2044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1975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2045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1975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2046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1975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2047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1975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2048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1975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2494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1975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2089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1975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2495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1975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2496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1975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2497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1975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2498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1975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2499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1975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2500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1975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2501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1975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2502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1975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2503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1975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2504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1975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2505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1975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2506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1975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2507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1975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2507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1975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2508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1975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2509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1975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2509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1975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2510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1975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2510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1975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2511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1975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2511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1975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2512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1975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2170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1975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2513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1975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2173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1975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2514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1975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2176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1975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2515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1975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2516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1975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2050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1975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2052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1975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2517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1975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2518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1975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2519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1975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2054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1975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2055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1975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2520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1975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2056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1975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2521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1975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2522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1975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2057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1975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2523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1975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2524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1975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2525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1975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2100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1975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2185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1975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2107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1975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2526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1975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2091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1975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2187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1975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2100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1975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2101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1975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2102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1975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2104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1975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2105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1975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2002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1975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2527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1975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2096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1975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2110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2065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2066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2065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2528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2065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2070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2065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2071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2065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2073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2065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2074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2065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2075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2065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2076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2065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2077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2065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2078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2065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2079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2065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2130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2065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2081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2065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2082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2065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2083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2085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2066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2085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2528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2085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2070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2085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2071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2085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2073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2085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2074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2085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2075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2085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2076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2085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2077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2085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2078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2085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2079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2085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2130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2085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2081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2085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2082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2085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2083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2003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2529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2003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2530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2003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2531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2003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2532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2003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2533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2003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2534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2003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2535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2003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2536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2003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2537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2003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2538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2003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2539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2003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2540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2003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2541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2003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2542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2003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2543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2003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2544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2003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2545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2003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2546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2003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2547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2548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2549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1975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2032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1975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2033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1975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2550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1975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2551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1975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2552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1975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2553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1975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2554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1975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2555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1975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2556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1975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2557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1975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2558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1975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2559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1975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2560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1975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2560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1975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2561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1975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2562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1975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2563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1975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2564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1975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2565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1975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2566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1975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2567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1975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2568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1975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2281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1975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2282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1975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2283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1975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2284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1975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2286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1975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2289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1975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2290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1975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2291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1975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2292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1975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2569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1975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2570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1975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2571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1975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2572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1975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2573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1975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2574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1975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2575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1975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2576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1975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2577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1975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2578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1975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2579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1975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2580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1975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2581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1975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2582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1975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2583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1975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2583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1975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2584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1975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2585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1975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1998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1975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1999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1975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2586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1975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2587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1975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2588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1975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2589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1975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2590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1975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2591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1975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2592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1975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2593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1975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1981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1975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1982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1975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2155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1975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2594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1975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2595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1975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2596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1975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2597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1975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2598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1975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2599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1975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2600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1975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2601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1975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2602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1975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2602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1975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2603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1975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2604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1975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2605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1975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2605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1975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2606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1975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2606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1975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2607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1975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2607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1975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2608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1975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2609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1975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2609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1975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2610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1975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2611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1975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2611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1975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2612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1975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2613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1975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2614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1975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2615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1975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2616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1975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2617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1975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2618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1975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2619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1975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2620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1975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2621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1975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2622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1975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2623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1975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2624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1975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2624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1975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2625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1975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2626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1975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2627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1975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2628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1975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2629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1975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2629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1975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2630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1975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2631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1975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2632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1975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2633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1975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2634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1975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2635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1975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2636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1975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2637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1975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2638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1975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2639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1975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2640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1975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2641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1975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2642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1975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2642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1975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2642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1975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2643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1975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2644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1975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2645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1975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2646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1975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2647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1975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2648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1975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2301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1975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2649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1975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2650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1975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2651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1975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2652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1975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2653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1975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2654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1975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2655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1975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2656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1975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2657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1975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2658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1975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2659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1975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2660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1975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2661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1975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2662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1975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2663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1975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2664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1975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2665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1975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2666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1975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2667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1975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2668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1975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2669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1975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2670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1975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2671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1975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2672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1975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2673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1975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2674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1975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2675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1975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2676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1975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2677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1975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2678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1975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2679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1975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2680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1975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2681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1975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2682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1975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2683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1975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2684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1975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2685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1975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2686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1975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2687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1975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2305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1975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2688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1975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2689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1975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2690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1975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2691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1975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2692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1975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2693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1975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2694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1975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2695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1975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2696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1975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2697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1975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2698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1975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2699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1975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2700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1975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2701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1975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2702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1975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2703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1975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2704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1975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2705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1975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2706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1975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2707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1975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2708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1975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2709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1975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2710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1975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2711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1975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1997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1975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1998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1975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1999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1975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1998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1975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1999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1975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2712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2065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2066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2085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2066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2003</v>
      </c>
      <c r="E1198" s="1" t="n">
        <v>10081</v>
      </c>
      <c r="F1198" s="1" t="s">
        <v>1887</v>
      </c>
      <c r="I1198" s="1" t="n">
        <v>10</v>
      </c>
      <c r="J1198" s="1" t="n">
        <v>10470</v>
      </c>
      <c r="K1198" s="1" t="n">
        <v>7898392930059</v>
      </c>
      <c r="L1198" s="1" t="s">
        <v>2713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2003</v>
      </c>
      <c r="E1199" s="1" t="n">
        <v>10081</v>
      </c>
      <c r="F1199" s="1" t="s">
        <v>1887</v>
      </c>
      <c r="I1199" s="1" t="n">
        <v>10</v>
      </c>
      <c r="J1199" s="1" t="n">
        <v>30511</v>
      </c>
      <c r="K1199" s="1" t="n">
        <v>7891751000042</v>
      </c>
      <c r="L1199" s="1" t="s">
        <v>2714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2003</v>
      </c>
      <c r="E1200" s="1" t="n">
        <v>10081</v>
      </c>
      <c r="F1200" s="1" t="s">
        <v>1887</v>
      </c>
      <c r="I1200" s="1" t="n">
        <v>10</v>
      </c>
      <c r="J1200" s="1" t="n">
        <v>30828</v>
      </c>
      <c r="K1200" s="1" t="n">
        <v>7896818211867</v>
      </c>
      <c r="L1200" s="1" t="s">
        <v>2715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2003</v>
      </c>
      <c r="E1201" s="1" t="n">
        <v>10081</v>
      </c>
      <c r="F1201" s="1" t="s">
        <v>1887</v>
      </c>
      <c r="I1201" s="1" t="n">
        <v>10</v>
      </c>
      <c r="J1201" s="1" t="n">
        <v>30829</v>
      </c>
      <c r="K1201" s="1" t="n">
        <v>7896818218873</v>
      </c>
      <c r="L1201" s="1" t="s">
        <v>2716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2003</v>
      </c>
      <c r="E1202" s="1" t="n">
        <v>10081</v>
      </c>
      <c r="F1202" s="1" t="s">
        <v>1887</v>
      </c>
      <c r="I1202" s="1" t="n">
        <v>10</v>
      </c>
      <c r="J1202" s="1" t="n">
        <v>61698</v>
      </c>
      <c r="K1202" s="1" t="n">
        <v>7890785492434</v>
      </c>
      <c r="L1202" s="1" t="s">
        <v>2717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2003</v>
      </c>
      <c r="E1203" s="1" t="n">
        <v>10081</v>
      </c>
      <c r="F1203" s="1" t="s">
        <v>1887</v>
      </c>
      <c r="I1203" s="1" t="n">
        <v>10</v>
      </c>
      <c r="J1203" s="1" t="n">
        <v>81141</v>
      </c>
      <c r="K1203" s="1" t="n">
        <v>7899958261846</v>
      </c>
      <c r="L1203" s="1" t="s">
        <v>2718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2003</v>
      </c>
      <c r="E1204" s="1" t="n">
        <v>10081</v>
      </c>
      <c r="F1204" s="1" t="s">
        <v>1887</v>
      </c>
      <c r="I1204" s="1" t="n">
        <v>10</v>
      </c>
      <c r="J1204" s="1" t="n">
        <v>81285</v>
      </c>
      <c r="K1204" s="1" t="n">
        <v>7898611091042</v>
      </c>
      <c r="L1204" s="1" t="s">
        <v>2719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2003</v>
      </c>
      <c r="E1205" s="1" t="n">
        <v>10081</v>
      </c>
      <c r="F1205" s="1" t="s">
        <v>1887</v>
      </c>
      <c r="I1205" s="1" t="n">
        <v>10</v>
      </c>
      <c r="J1205" s="1" t="n">
        <v>81286</v>
      </c>
      <c r="K1205" s="1" t="n">
        <v>812870</v>
      </c>
      <c r="L1205" s="1" t="s">
        <v>2720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2003</v>
      </c>
      <c r="E1206" s="1" t="n">
        <v>10081</v>
      </c>
      <c r="F1206" s="1" t="s">
        <v>1887</v>
      </c>
      <c r="I1206" s="1" t="n">
        <v>10</v>
      </c>
      <c r="J1206" s="1" t="n">
        <v>81288</v>
      </c>
      <c r="K1206" s="1" t="n">
        <v>7908629713741</v>
      </c>
      <c r="L1206" s="1" t="s">
        <v>2721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2003</v>
      </c>
      <c r="E1207" s="1" t="n">
        <v>10081</v>
      </c>
      <c r="F1207" s="1" t="s">
        <v>1887</v>
      </c>
      <c r="I1207" s="1" t="n">
        <v>10</v>
      </c>
      <c r="J1207" s="1" t="n">
        <v>81289</v>
      </c>
      <c r="K1207" s="1" t="n">
        <v>7899958261884</v>
      </c>
      <c r="L1207" s="1" t="s">
        <v>2722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2003</v>
      </c>
      <c r="E1208" s="1" t="n">
        <v>10081</v>
      </c>
      <c r="F1208" s="1" t="s">
        <v>1887</v>
      </c>
      <c r="I1208" s="1" t="n">
        <v>10</v>
      </c>
      <c r="J1208" s="1" t="n">
        <v>81290</v>
      </c>
      <c r="K1208" s="1" t="n">
        <v>7898505850137</v>
      </c>
      <c r="L1208" s="1" t="s">
        <v>2723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2003</v>
      </c>
      <c r="E1209" s="1" t="n">
        <v>10081</v>
      </c>
      <c r="F1209" s="1" t="s">
        <v>1887</v>
      </c>
      <c r="I1209" s="1" t="n">
        <v>10</v>
      </c>
      <c r="J1209" s="1" t="n">
        <v>81291</v>
      </c>
      <c r="K1209" s="1" t="n">
        <v>7899958255685</v>
      </c>
      <c r="L1209" s="1" t="s">
        <v>2724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2003</v>
      </c>
      <c r="E1210" s="1" t="n">
        <v>10081</v>
      </c>
      <c r="F1210" s="1" t="s">
        <v>1887</v>
      </c>
      <c r="I1210" s="1" t="n">
        <v>10</v>
      </c>
      <c r="J1210" s="1" t="n">
        <v>81292</v>
      </c>
      <c r="K1210" s="1" t="n">
        <v>7908629714236</v>
      </c>
      <c r="L1210" s="1" t="s">
        <v>2725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2003</v>
      </c>
      <c r="E1211" s="1" t="n">
        <v>10081</v>
      </c>
      <c r="F1211" s="1" t="s">
        <v>1887</v>
      </c>
      <c r="I1211" s="1" t="n">
        <v>10</v>
      </c>
      <c r="J1211" s="1" t="n">
        <v>81293</v>
      </c>
      <c r="K1211" s="1" t="n">
        <v>7899110643312</v>
      </c>
      <c r="L1211" s="1" t="s">
        <v>2726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2003</v>
      </c>
      <c r="E1212" s="1" t="n">
        <v>10081</v>
      </c>
      <c r="F1212" s="1" t="s">
        <v>1887</v>
      </c>
      <c r="I1212" s="1" t="n">
        <v>10</v>
      </c>
      <c r="J1212" s="1" t="n">
        <v>81294</v>
      </c>
      <c r="K1212" s="1" t="n">
        <v>7898505884392</v>
      </c>
      <c r="L1212" s="1" t="s">
        <v>2727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2003</v>
      </c>
      <c r="E1213" s="1" t="n">
        <v>10081</v>
      </c>
      <c r="F1213" s="1" t="s">
        <v>1887</v>
      </c>
      <c r="I1213" s="1" t="n">
        <v>10</v>
      </c>
      <c r="J1213" s="1" t="n">
        <v>81295</v>
      </c>
      <c r="K1213" s="1" t="n">
        <v>7908629710382</v>
      </c>
      <c r="L1213" s="1" t="s">
        <v>2728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2003</v>
      </c>
      <c r="E1214" s="1" t="n">
        <v>10081</v>
      </c>
      <c r="F1214" s="1" t="s">
        <v>1887</v>
      </c>
      <c r="I1214" s="1" t="n">
        <v>10</v>
      </c>
      <c r="J1214" s="1" t="n">
        <v>81296</v>
      </c>
      <c r="K1214" s="1" t="n">
        <v>7898740980651</v>
      </c>
      <c r="L1214" s="1" t="s">
        <v>2729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2003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2730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2003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2731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2003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2732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2003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2733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2003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2734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2003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2735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2003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2736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2003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2737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2003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2738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2003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2739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2003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2740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2003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2741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2003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2742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2003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2743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2003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2744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2003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2745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2003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2746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2003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2747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2003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2748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2003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2749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2003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2750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2003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2751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2003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2752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2003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2751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2011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2012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2011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2012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2011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2013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2011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2014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2011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2015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2011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2016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2011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2113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2011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2017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2011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2018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2011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2018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2011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2019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2011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2019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2011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2020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2011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2021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2011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2022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2011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2023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2011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2024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2011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2025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2011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2026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2011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2027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2011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2027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2011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2028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2011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2028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2011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2029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2011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2029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2011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2030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2011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2030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2031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2019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2031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2027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2031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2012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2031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2013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2031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2014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2031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2015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2031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2016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2031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2113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2031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2018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2031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2028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2031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2029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2031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2030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2031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2012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2031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2017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2031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2018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2031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2019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2031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2020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2031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2021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2031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2022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2031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2023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2031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2024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2031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2025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2031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2026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2031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2027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2031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2028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2031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2029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2031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2030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1975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2034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1975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2035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1975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2036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1975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2037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1975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2121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1975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2038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1975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1978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1975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2040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1975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2753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1975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2754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1975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2755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1975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2756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1975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2757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1975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2758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1975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2759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1975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2760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1975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2761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1975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2762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1975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2763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1975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2763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1975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2764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1975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2765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1975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2766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1975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2767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1975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2768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1975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2769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1975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2770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1975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2771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1975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2772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1975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2773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1975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2774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1975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2775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1975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2776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1975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2777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1975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2778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1975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2779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1975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2780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1975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2781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1975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2782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1975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2783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1975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2784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1975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1994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1975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2785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1975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2090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1975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2786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1975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2095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1975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2787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1975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2107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1975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2101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1975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2102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1975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2104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1975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2105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1975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2000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1975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2001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1975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2002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1975</v>
      </c>
      <c r="E1348" s="1" t="n">
        <v>1705</v>
      </c>
      <c r="F1348" s="1" t="s">
        <v>131</v>
      </c>
      <c r="I1348" s="1" t="n">
        <v>1880950</v>
      </c>
      <c r="J1348" s="1" t="n">
        <v>32339</v>
      </c>
      <c r="K1348" s="1" t="n">
        <v>7894900681000</v>
      </c>
      <c r="L1348" s="1" t="s">
        <v>2527</v>
      </c>
      <c r="N1348" s="1" t="n">
        <v>6</v>
      </c>
      <c r="O1348" s="1" t="n">
        <v>44.99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1975</v>
      </c>
      <c r="E1349" s="1" t="n">
        <v>1705</v>
      </c>
      <c r="F1349" s="1" t="s">
        <v>131</v>
      </c>
      <c r="I1349" s="1" t="n">
        <v>1880950</v>
      </c>
      <c r="J1349" s="1" t="n">
        <v>27673</v>
      </c>
      <c r="K1349" s="1" t="n">
        <v>7894900701715</v>
      </c>
      <c r="L1349" s="1" t="s">
        <v>2191</v>
      </c>
      <c r="N1349" s="1" t="n">
        <v>30</v>
      </c>
      <c r="O1349" s="1" t="n">
        <v>164.53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1975</v>
      </c>
      <c r="E1350" s="1" t="n">
        <v>1705</v>
      </c>
      <c r="F1350" s="1" t="s">
        <v>131</v>
      </c>
      <c r="I1350" s="1" t="n">
        <v>1880950</v>
      </c>
      <c r="J1350" s="1" t="n">
        <v>29509</v>
      </c>
      <c r="K1350" s="1" t="n">
        <v>78933873</v>
      </c>
      <c r="L1350" s="1" t="s">
        <v>2788</v>
      </c>
      <c r="N1350" s="1" t="n">
        <v>12</v>
      </c>
      <c r="O1350" s="1" t="n">
        <v>22.59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1975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2107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1975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2108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2065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2067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2065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2068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2065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2789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2065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2069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2065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2225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2065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2073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2065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2074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2065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2075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2065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2076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2065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2226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2065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2077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2065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2078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2065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2079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2065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2790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2065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2081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2065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2227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2065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2082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2065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2083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2065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2084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2085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2067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2085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2068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2085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2789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2085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2069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2085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2225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2085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2073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2085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2074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2085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2075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2085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2076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2085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2226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2085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2077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2085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2078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2085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2079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2085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2790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2085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2081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2085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2227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2085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2082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2085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2083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2085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2084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2003</v>
      </c>
      <c r="E1391" s="1" t="n">
        <v>1391</v>
      </c>
      <c r="F1391" s="1" t="s">
        <v>1892</v>
      </c>
      <c r="I1391" s="1" t="n">
        <v>394</v>
      </c>
      <c r="J1391" s="1" t="n">
        <v>25750</v>
      </c>
      <c r="K1391" s="1" t="n">
        <v>78937529</v>
      </c>
      <c r="L1391" s="1" t="s">
        <v>2791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2003</v>
      </c>
      <c r="E1392" s="1" t="n">
        <v>1391</v>
      </c>
      <c r="F1392" s="1" t="s">
        <v>1892</v>
      </c>
      <c r="I1392" s="1" t="n">
        <v>394</v>
      </c>
      <c r="J1392" s="1" t="n">
        <v>36733</v>
      </c>
      <c r="K1392" s="1" t="n">
        <v>78939035</v>
      </c>
      <c r="L1392" s="1" t="s">
        <v>2792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2003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2793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2003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2794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2003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2795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2003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2796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2003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2797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2003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2798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2003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2799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2003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2800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2003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2801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2003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2802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2003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2803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2003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2804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2003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2805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2003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2806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2003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2807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2003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2808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2003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2809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2003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2810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2003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2811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2003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2812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2003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2813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2003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2814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2003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2815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2003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2816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2003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2817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2003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2818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2003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2819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2003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2820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2003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2821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2003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2822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2003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2823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2003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2824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2003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2825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2003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2826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2003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2827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2828</v>
      </c>
      <c r="E1428" s="1" t="n">
        <v>1203</v>
      </c>
      <c r="F1428" s="1" t="s">
        <v>1896</v>
      </c>
      <c r="I1428" s="1" t="n">
        <v>18964</v>
      </c>
      <c r="J1428" s="1" t="n">
        <v>80007</v>
      </c>
      <c r="K1428" s="1" t="n">
        <v>800082</v>
      </c>
      <c r="L1428" s="1" t="s">
        <v>2829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2828</v>
      </c>
      <c r="E1429" s="1" t="n">
        <v>1203</v>
      </c>
      <c r="F1429" s="1" t="s">
        <v>1896</v>
      </c>
      <c r="I1429" s="1" t="n">
        <v>18964</v>
      </c>
      <c r="J1429" s="1" t="n">
        <v>80009</v>
      </c>
      <c r="K1429" s="1" t="n">
        <v>800105</v>
      </c>
      <c r="L1429" s="1" t="s">
        <v>2830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2828</v>
      </c>
      <c r="E1430" s="1" t="n">
        <v>1203</v>
      </c>
      <c r="F1430" s="1" t="s">
        <v>1896</v>
      </c>
      <c r="I1430" s="1" t="n">
        <v>18964</v>
      </c>
      <c r="J1430" s="1" t="n">
        <v>80011</v>
      </c>
      <c r="K1430" s="1" t="n">
        <v>800129</v>
      </c>
      <c r="L1430" s="1" t="s">
        <v>2831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2828</v>
      </c>
      <c r="E1431" s="1" t="n">
        <v>1203</v>
      </c>
      <c r="F1431" s="1" t="s">
        <v>1896</v>
      </c>
      <c r="I1431" s="1" t="n">
        <v>18964</v>
      </c>
      <c r="J1431" s="1" t="n">
        <v>81423</v>
      </c>
      <c r="K1431" s="1" t="n">
        <v>814249</v>
      </c>
      <c r="L1431" s="1" t="s">
        <v>2832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2828</v>
      </c>
      <c r="E1432" s="1" t="n">
        <v>1203</v>
      </c>
      <c r="F1432" s="1" t="s">
        <v>1896</v>
      </c>
      <c r="I1432" s="1" t="n">
        <v>18964</v>
      </c>
      <c r="J1432" s="1" t="n">
        <v>81425</v>
      </c>
      <c r="K1432" s="1" t="n">
        <v>814263</v>
      </c>
      <c r="L1432" s="1" t="s">
        <v>2833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2828</v>
      </c>
      <c r="E1433" s="1" t="n">
        <v>1203</v>
      </c>
      <c r="F1433" s="1" t="s">
        <v>1896</v>
      </c>
      <c r="I1433" s="1" t="n">
        <v>18964</v>
      </c>
      <c r="J1433" s="1" t="n">
        <v>81427</v>
      </c>
      <c r="K1433" s="1" t="n">
        <v>814287</v>
      </c>
      <c r="L1433" s="1" t="s">
        <v>2834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2828</v>
      </c>
      <c r="E1434" s="1" t="n">
        <v>645</v>
      </c>
      <c r="F1434" s="1" t="s">
        <v>1898</v>
      </c>
      <c r="I1434" s="1" t="n">
        <v>35695</v>
      </c>
      <c r="J1434" s="1" t="n">
        <v>81429</v>
      </c>
      <c r="K1434" s="1" t="n">
        <v>814300</v>
      </c>
      <c r="L1434" s="1" t="s">
        <v>2835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2548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2730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1975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2032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1975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1976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1975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1977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1975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2476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1975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2115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1975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1979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1975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2836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1975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2837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1975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2138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1975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1980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1975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2838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1975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2839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1975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2839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1975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2840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1975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2841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1975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2842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1975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2843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1975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2844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1975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2845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1975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2839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1975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2839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1975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2846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1975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2847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1975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2848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1975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2849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1975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2850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1975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2851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1975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2852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1975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2853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1975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2854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1975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2855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1975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2856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1975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2857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1975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2858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1975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2859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1975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2860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1975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2861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1975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2862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1975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2863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1975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2864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1975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2865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1975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2866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1975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2867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1975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2798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1975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2868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1975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2869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1975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2870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1975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2871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1975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2872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1975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2873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1975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2607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1975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2874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1975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1997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1975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1998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1975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1999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2065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2066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2085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2066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2003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2875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2548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2876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2548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2877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1975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2878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1975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2879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1975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2880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1975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2881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1975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2882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1975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2883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1975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2884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1975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2885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1975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2886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1975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2887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1975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2888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1975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2889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1975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2890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1975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2891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1975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2892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1975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2893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1975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2894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1975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2895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1975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2896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1975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2897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1975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2898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1975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2899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1975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2900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1975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2901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1975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2902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1975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2903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1975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2904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1975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2905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1975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2906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1975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2907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1975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2908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1975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1981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1975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1982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1975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2155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1975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2909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1975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2909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1975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2910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1975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2911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1975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2912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1975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2913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1975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2914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1975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2915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1975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2916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1975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2111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1975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2112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1975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2917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1975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2918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1975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2919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1975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2920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1975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2921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1975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2922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1975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2923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1975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2924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1975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2021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1975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2022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1975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2023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1975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2925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1975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2169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1975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2926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1975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2927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1975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2928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1975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2929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1975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2930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1975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2931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1975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2932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1975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2933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1975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2934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1975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2933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1975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2935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1975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2936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1975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2937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1975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2938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1975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2939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1975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2940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1975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2941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1975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2942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1975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2943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1975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2944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1975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2945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1975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2946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1975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2947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1975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2948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1975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2949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1975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2950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1975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2951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1975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2952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1975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2953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1975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2954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1975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2955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1975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2956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1975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2957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1975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2958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1975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2959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1975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2960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1975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2631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1975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2961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1975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2962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1975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2963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1975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2964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1975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2965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1975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2966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1975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2967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1975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2968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1975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2969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1975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2970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1975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2526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1975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2100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1975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2101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1975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2104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1975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2971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1975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2189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1975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2010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2003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2972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2011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2012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2011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2012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2011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2013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2011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2014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2011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2015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2011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2016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2011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2113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2011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2017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2011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2018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2011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2018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2011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2019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2011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2019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2011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2020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2011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2021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2011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2022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2011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2023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2011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2024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2011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2025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2011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2025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2011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2026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2011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2027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2011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2027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2011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2028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2011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2028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2011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2029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2011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2029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2011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2030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2011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2030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2011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2030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2828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2973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2828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2974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2031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2012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2031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2017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2031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2018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2031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2019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2031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2020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2031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2021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2031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2022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2031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2023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2031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2024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2031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2025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2031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2026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2031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2027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2031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2028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2031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2029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2031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2030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2031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2019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2031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2025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2031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2027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2031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2030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2031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2012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2031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2013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2031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2014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2031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2015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2031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2016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2031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2113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2031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2018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2031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2028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2031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2029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2031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2030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1975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2975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1975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2242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1975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2243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1975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2033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1975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2976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1975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2977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1975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2978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1975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2979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1975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2980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1975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2981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1975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2116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1975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2118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1975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2119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1975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2120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1975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2138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1975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1980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1975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2982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1975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2983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1975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2139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1975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2140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1975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2145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1975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2984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1975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2985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1975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2985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1975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1983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1975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1984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1975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1985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1975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1986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1975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1987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1975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1988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1975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1990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1975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1992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1975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1993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1975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2986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1975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2987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1975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2300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1975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2988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1975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2989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1975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2990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1975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2303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1975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2991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1975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2992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1975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2993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1975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2994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1975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2995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1975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2996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1975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2997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1975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1982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1975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2998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1975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2999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1975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3000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1975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3001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1975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3002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1975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3003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1975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3004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1975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3005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1975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3006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1975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3007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1975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3008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1975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3009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1975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3010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1975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3011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1975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3012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1975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3013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1975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2990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1975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3014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1975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3015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1975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3016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1975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3017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1975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3018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1975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3019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1975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3020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1975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3021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1975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3022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1975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3023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1975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3022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1975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3024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1975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3025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1975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3026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1975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3027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1975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3028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1975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3029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1975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3030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1975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3031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1975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3032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1975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2043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1975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2044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1975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2045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1975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2046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1975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2048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1975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2494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1975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2094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1975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3033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1975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2093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1975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1994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1975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3034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1975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1995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1975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2495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1975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3035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1975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2500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1975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2505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1975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3036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1975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3037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1975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3038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1975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2510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1975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3039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1975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3040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1975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2512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1975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3041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1975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3042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1975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3043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1975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3044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1975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3045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1975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3046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1975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3047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1975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3048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1975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3049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1975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3050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1975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3051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1975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3052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1975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3053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1975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3054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1975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3055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1975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3056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1975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3057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1975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3058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1975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3059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1975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3060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1975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3061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1975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3062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1975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3063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1975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3064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1975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3065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1975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3066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1975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3067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1975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3068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1975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3069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1975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3070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1975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3071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1975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3055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1975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2366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1975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3072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1975</v>
      </c>
      <c r="E1811" s="1" t="n">
        <v>1608</v>
      </c>
      <c r="F1811" s="1" t="s">
        <v>224</v>
      </c>
      <c r="I1811" s="1" t="n">
        <v>1676804</v>
      </c>
      <c r="J1811" s="1" t="n">
        <v>80195</v>
      </c>
      <c r="K1811" s="1" t="n">
        <v>7892840824976</v>
      </c>
      <c r="L1811" s="1" t="s">
        <v>3073</v>
      </c>
      <c r="N1811" s="1" t="n">
        <v>28</v>
      </c>
      <c r="O1811" s="1" t="n">
        <v>90.44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1975</v>
      </c>
      <c r="E1812" s="1" t="n">
        <v>1608</v>
      </c>
      <c r="F1812" s="1" t="s">
        <v>224</v>
      </c>
      <c r="I1812" s="1" t="n">
        <v>1676804</v>
      </c>
      <c r="J1812" s="1" t="n">
        <v>68927</v>
      </c>
      <c r="K1812" s="1" t="n">
        <v>7892840823030</v>
      </c>
      <c r="L1812" s="1" t="s">
        <v>3074</v>
      </c>
      <c r="N1812" s="1" t="n">
        <v>16</v>
      </c>
      <c r="O1812" s="1" t="n">
        <v>99.36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1975</v>
      </c>
      <c r="E1813" s="1" t="n">
        <v>1608</v>
      </c>
      <c r="F1813" s="1" t="s">
        <v>224</v>
      </c>
      <c r="I1813" s="1" t="n">
        <v>1676804</v>
      </c>
      <c r="J1813" s="1" t="n">
        <v>69688</v>
      </c>
      <c r="K1813" s="1" t="n">
        <v>7892840822514</v>
      </c>
      <c r="L1813" s="1" t="s">
        <v>3075</v>
      </c>
      <c r="N1813" s="1" t="n">
        <v>7</v>
      </c>
      <c r="O1813" s="1" t="n">
        <v>56.49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1975</v>
      </c>
      <c r="E1814" s="1" t="n">
        <v>1608</v>
      </c>
      <c r="F1814" s="1" t="s">
        <v>224</v>
      </c>
      <c r="I1814" s="1" t="n">
        <v>1676804</v>
      </c>
      <c r="J1814" s="1" t="n">
        <v>80041</v>
      </c>
      <c r="K1814" s="1" t="n">
        <v>7892840824884</v>
      </c>
      <c r="L1814" s="1" t="s">
        <v>3076</v>
      </c>
      <c r="N1814" s="1" t="n">
        <v>8</v>
      </c>
      <c r="O1814" s="1" t="n">
        <v>60.48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1975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3077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1975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3078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1975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3079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1975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3080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1975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2173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1975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2514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1975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2176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1975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2177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1975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2178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1975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2181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1975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2182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1975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2519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1975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2055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1975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2183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1975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2057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1975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3081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1975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2060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1975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2064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1975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3073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1975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3082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1975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2187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1975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2188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1975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2000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1975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3083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1975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2107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1975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3084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1975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3085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1975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3086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1975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3087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1975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3088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1975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3089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1975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3090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1975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3091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1975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3092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1975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3093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1975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3094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1975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3095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1975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3096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1975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3097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1975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3098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1975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3099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1975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3100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1975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3101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1975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3102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1975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3103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1975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3104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1975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3105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1975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3105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1975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3106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1975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3107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1975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3108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1975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3109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2065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2066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2065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2069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2065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2072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2065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2074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2065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2075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2065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2226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2065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2128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2065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2078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2065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2079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2065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2080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2065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2081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2065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2082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2065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2269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2065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2083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2085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2066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2085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2069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2085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2072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2085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2074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2085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2075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2085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2226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2085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2128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2085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2078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2085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2079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2085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2080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2085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2081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2085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2082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2085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2269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2085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2083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2003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3110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2003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3111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2003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2132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2003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2134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2003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3112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2003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3113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2003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3114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2003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2135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2003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3115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2003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3116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2003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3117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2003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2001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2003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2002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2003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3118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2003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2099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2003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2091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2003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3119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2011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2012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2011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2013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2011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2014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2011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2015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2011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2016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2011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2113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2011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2018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2011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2114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2011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2028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2011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2029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2011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2030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2031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2012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2031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2013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2031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2014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2031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2015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2031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2016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2031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2113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2031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2018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2031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2114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2031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2028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2031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2029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2031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2030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1975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2033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1975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2034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1975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2035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1975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2036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1975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2037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1975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2121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1975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2038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1975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2039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1975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1978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1975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2040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1975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3120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1975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3121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1975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3122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1975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3123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1975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3124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1975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3125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1975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3126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1975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3127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1975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3128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1975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3128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1975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3129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1975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3129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1975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3130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1975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3130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1975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1997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1975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1998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1975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1999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1975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1997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1975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1999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1975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1997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1975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1998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1975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1999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2065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2067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2065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2068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2065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2069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2065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2528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2065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2071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2065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2072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2065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2073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2065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2074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2065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2075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2065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2076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2065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2128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2065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2077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2065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2078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2065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2079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2065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2130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2065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2131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2065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2081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2065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2082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2065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2083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2085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2067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2085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2068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2085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2069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2085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2528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2085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2071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2085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2072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2085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2073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2085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2074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2085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2075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2085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2076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2085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2128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2085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2077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2085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2078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2085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2079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2085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2130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2085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2131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2085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2081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2085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2082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2085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2083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3131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3132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2828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3133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2828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3134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2828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3135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2828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3136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2828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3137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2828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3138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1975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2041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1975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2042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1975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2041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1975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2042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1975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2041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1975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2042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1975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2041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1975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3139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1975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3140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1975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1976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1975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1977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1975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2476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1975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2115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1975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1979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1975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1976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1975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1977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1975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1978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1975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2476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1975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1979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1975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3141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1975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3142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1975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3143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1975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3144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1975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3145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1975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3146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1975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3147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1975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3148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1975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3149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1975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3150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1975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3151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1975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3152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1975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3153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1975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3154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1975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3155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1975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3156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1975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3157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1975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3158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1975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3159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1975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3160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1975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3161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1975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3162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1975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3163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1975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3164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1975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3165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1975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3166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1975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3167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1975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3168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1975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3169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1975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3170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1975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3171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1975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3172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1975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3173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1975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3174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1975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3175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1975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3176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1975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3177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1975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3178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1975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3179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1975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3180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1975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3181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1975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2926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1975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3182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1975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3183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1975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3184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1975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3185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1975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3186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1975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2251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1975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2252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1975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2253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1975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2255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1975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3187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1975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3188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1975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3189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1975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3190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1975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2258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1975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2259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1975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3191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1975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2260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1975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3192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1975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2262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1975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2264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1975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2265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1975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2041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1975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3193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1975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3194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1975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3195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1975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2162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1975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3196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1975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3197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1975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3198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1975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3199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1975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2650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1975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3200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1975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3201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1975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3202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1975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3203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1975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3204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1975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3205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1975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3206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1975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3207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1975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3208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1975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3209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1975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3210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1975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3211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1975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3212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1975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3213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1975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3214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1975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3215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1975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3216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1975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3217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1975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3218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1975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3219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1975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3220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1975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3221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1975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3222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1975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3223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1975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3224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1975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3225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1975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3226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1975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3227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1975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3228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1975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1981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1975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1982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1975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2155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1975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3229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1975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2321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1975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2322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1975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3230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1975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3231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1975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1997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1975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1999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1975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3232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1975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3233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1975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3234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1975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3235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1975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3236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1975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3237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1975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3238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1975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3239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1975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3240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1975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3241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1975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3242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1975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3243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1975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3244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1975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3245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1975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3246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1975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3247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1975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3248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1975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3249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1975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3250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1975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3251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1975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3252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1975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2186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1975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2107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1975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2099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1975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2102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1975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2105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1975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2002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1975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2527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1975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2107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1975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2108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2003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3253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2003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3254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2003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3255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2003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3256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2003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3257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2003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3258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2003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3259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2003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3260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2003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3261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2003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3262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2003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3263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2003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3264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2003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3265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2003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3266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2003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3267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2003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3268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2003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2089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2011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2012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2011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2012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2011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2013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2011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2014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2011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2015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2011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2016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2011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2113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2011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2017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2011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2018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2011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2018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2011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2019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2011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2019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2011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2020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2011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2021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2011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2022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2011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2023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2011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2024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2011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2025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2011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2026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2011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2027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2011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2027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2011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2028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2011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2028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2011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2029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2011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2029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2011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2030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2011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2030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2011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2194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2031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2019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2031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2027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2031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2012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2031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2013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2031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2014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2031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2015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2031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2016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2031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2113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2031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2018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2031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2028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2031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2029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2031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2030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2031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2012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2031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2017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2031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2018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2031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2019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2031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2020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2031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2021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2031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2022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2031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2023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2031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2024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2031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2025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2031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2026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2031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2027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2031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2028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2031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2029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2031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2030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2031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2194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1975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1976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1975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1977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1975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1978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1975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2476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1975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2115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1975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1979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1975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2111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1975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2112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1975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2157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1975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3269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1975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3270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1975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3271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1975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3272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1975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3273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1975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3274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1975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3275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1975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3276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1975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3277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1975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3278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1975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3279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1975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3280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1975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3281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1975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3282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1975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3283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1975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3284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1975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2043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1975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2044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1975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2045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1975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2047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1975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2048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1975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3285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1975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3286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1975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3287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1975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2156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1975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2157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1975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3288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1975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2503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1975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3289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1975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3290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1975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3291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1975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2509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1975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3292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1975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3293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2065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2066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2065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2224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2065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2789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2065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2071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2065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2225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2065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2073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2065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2074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2065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2075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2065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2129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2065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2077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2065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2078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2065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2079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2065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2131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2065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2080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2065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2081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2065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2082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2065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2083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2085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2066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2085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2224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2085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2789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2085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2071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2085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2225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2085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2073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2085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2074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2085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2075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2085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2129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2085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2077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2085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2078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2085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2079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2085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2131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2085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2080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2085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2081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2085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2082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2085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2083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2003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2751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1975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2242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1975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2243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1975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2032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1975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2242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1975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2243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1975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2140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1975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2143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1975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2144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1975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2147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1975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2153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1975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2155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1975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2155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1975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2155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1975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2302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1975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2991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1975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3294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1975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3295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1975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3296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1975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3297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1975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3298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1975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3299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1975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3300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1975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1999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2003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2277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2003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2281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2003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2282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2003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2283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2003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2284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2003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2286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2003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2287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2003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2288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2003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2289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2003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2290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2003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2291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2003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2292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2003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2294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2011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2019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2011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2025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2011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2027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2011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2030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2031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2019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2031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2025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2031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2027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2031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2030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2031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2019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2031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2025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2031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2027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2031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2030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2031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2019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2031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2025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2031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2027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2031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2030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1975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2033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1975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1981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1975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3301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1975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2595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1975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2596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1975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2598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1975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2599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1975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2600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1975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3129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1975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2603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1975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3302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1975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2611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1975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3303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1975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2612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1975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2613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1975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3304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1975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3304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1975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3305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1975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3306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1975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2622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1975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2629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1975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2630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1975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3307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1975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3308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1975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1997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1975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1999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1975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2000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1975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2189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1975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2107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1975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2108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1975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2185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1975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2186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2065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2066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2085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2066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2003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2498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2011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2012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2011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2017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2011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2018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2011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2019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2011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2020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2011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2021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2011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2022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2011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2023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2011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2024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2011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2025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2011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2026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2011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3309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2011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2027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2011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2028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2011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3310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2011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2030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2031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2012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2031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2017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2031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2018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2031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2019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2031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2020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2031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2021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2031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2022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2031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2023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2031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2024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2031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2025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2031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2026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2031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3309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2031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2027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2031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2028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2031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3310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2031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2030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1975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2033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1975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2116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1975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2118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1975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2119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1975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2120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1975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1997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1975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1998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1975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1999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2065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2067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2065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2068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2065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2069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2065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2073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2065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2074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2065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2075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2065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2076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2065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2226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2065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2128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2065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2077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2065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2078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2065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2079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2065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2190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2065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2227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2065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2082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2065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2083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2085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2067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2085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2068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2085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2069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2085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2073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2085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2074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2085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2075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2085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2076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2085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2226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2085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2128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2085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2077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2085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2078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2085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2079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2085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2190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2085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2227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2085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2082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2085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2083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1975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1977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1975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1978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1975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2476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1975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2115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1975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1979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1975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2138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1975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1980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1975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2034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1975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2035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1975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2036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1975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2037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1975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2039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1975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1978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1975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2040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1975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1981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1975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1982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1975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3311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1975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3312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1975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3313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1975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3314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1975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3315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1975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3316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1975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3317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1975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3318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1975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3319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1975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3320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1975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3321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1975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3322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1975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3323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1975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3324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1975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3325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1975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3326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1975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3327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1975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3328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1975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3329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1975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2712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2065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2066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2085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2066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2011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2012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2011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2012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2011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2013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2011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2014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2011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2015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2011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2016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2011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2016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2011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2017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2011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2018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2011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2018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2011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2019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2011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2020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2011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2021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2011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2022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2011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2023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2011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2025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2011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2026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2011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2193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2011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2114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2011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2027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2011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2028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2011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3310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2011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3310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2011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2030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2011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2194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2031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2012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2031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2013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2031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2014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2031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2015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2031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2016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2031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2018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2031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2114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2031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3310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2031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2012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2031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2016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2031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2017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2031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2018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2031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2019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2031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2020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2031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2021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2031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2022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2031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2023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2031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2025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2031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2026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2031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2193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2031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2027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2031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2028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2031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3310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2031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2030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2031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2194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2548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3330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1975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3331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1975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3332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1975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3333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1975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3334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1975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3335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1975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3336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1975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3337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1975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3338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1975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3339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1975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3340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1975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3341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1975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3342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1975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3343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1975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3344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1975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3345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1975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3346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1975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3347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1975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3348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1975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3349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1975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3350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1975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3351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1975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3351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1975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3352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1975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3353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1975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3354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1975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3355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1975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3356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1975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3357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1975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3357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1975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3358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1975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3359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1975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3360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1975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3361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1975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3362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1975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3363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1975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3364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1975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3365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1975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3366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1975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3367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1975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3368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1975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3369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1975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3370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1975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3371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1975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3372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1975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3373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1975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3374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1975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3375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1975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3376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1975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2122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1975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2123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1975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3377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1975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2124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1975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2126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1975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2123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1975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3378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1975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2306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1975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3379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1975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3380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1975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2306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1975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2307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1975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3381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1975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2308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1975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2306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1975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3382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1975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3383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1975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3384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1975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3385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1975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2312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1975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2313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1975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2317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1975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2318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1975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3386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1975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3387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1975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2020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1975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2021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1975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2022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1975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2023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1975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2875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1975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2247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1975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1997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1975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1999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1975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3388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1975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3389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1975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3390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1975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3391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1975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2165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1975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2305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1975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3392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1975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3393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1975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2242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1975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2243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1975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3394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1975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3395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1975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3396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1975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3397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1975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2142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1975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2143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1975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2144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1975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2145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1975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2146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1975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2148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1975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2149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1975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2150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1975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2151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1975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2152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1975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2153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1975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2154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1975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2299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1975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2499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1975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3398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1975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2164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1975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2215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1975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2216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1975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2217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1975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3399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1975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3400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1975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2222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1975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3401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1975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3301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1975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3402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1975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2597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1975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2600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1975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3129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1975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2601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1975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3403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1975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2602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1975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2604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1975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3404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1975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2606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1975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2608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1975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2610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1975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2613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1975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3304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1975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2874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1975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2616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1975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2622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1975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2626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1975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2627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1975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3405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1975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2629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1975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3130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1975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3307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1975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2043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1975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2044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1975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2045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1975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2046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1975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2047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1975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2048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1975</v>
      </c>
      <c r="E2719" s="1" t="n">
        <v>1672</v>
      </c>
      <c r="F2719" s="1" t="s">
        <v>340</v>
      </c>
      <c r="I2719" s="1" t="n">
        <v>1385251</v>
      </c>
      <c r="J2719" s="1" t="n">
        <v>103940</v>
      </c>
      <c r="K2719" s="1" t="n">
        <v>7896579330081</v>
      </c>
      <c r="L2719" s="1" t="s">
        <v>2250</v>
      </c>
      <c r="N2719" s="1" t="n">
        <v>84</v>
      </c>
      <c r="O2719" s="1" t="n">
        <v>75.6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1975</v>
      </c>
      <c r="E2720" s="1" t="n">
        <v>1672</v>
      </c>
      <c r="F2720" s="1" t="s">
        <v>340</v>
      </c>
      <c r="I2720" s="1" t="n">
        <v>1385251</v>
      </c>
      <c r="J2720" s="1" t="n">
        <v>103916</v>
      </c>
      <c r="K2720" s="1" t="n">
        <v>7896579330067</v>
      </c>
      <c r="L2720" s="1" t="s">
        <v>3406</v>
      </c>
      <c r="N2720" s="1" t="n">
        <v>54</v>
      </c>
      <c r="O2720" s="1" t="n">
        <v>135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1975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3186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1975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2252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1975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3407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1975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3408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1975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2257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1975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2258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1975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2259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1975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3409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1975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2261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1975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3192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1975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2262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1975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1998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1975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1999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1975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2170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1975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2513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1975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2173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1975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2174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1975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2176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1975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2177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1975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2178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1975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2516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1975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2179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1975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2050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1975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3410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1975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2181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1975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2182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1975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2519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1975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2054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1975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2183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1975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2520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1975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2056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1975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3411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1975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2522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1975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3412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1975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2057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1975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2058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1975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2059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1975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3081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1975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2523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1975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2064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1975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2525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2065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2066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2065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2067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2065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2069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2065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2071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2065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2225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2065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2072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2065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2073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2065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2074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2065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2075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2065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2077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2065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2079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2065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2131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2065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2081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2065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2082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2065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2083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2085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2066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2085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2067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2085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2069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2085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2071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2085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2225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2085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2072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2085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2073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2085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2074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2085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2075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2085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2077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2085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2079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2085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2131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2085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2081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2085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2082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2085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2083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1975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2033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1975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1976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1975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1977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1975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1978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1975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2476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1975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2115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1975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1979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1975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1981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1975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1982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1975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2155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1975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2155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1975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2155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2011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2012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2011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2012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2011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2013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2011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2014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2011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2015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2011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2016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2011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2017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2011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2018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2011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2018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2011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2018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2011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2019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2011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2019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2011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2020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2011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2021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2011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2022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2011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2023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2011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2024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2011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2025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2011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2025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2011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2026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2011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3413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2011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2027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2011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2027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2011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2028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2011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2028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2011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2028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2011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2029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2011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3310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2011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3310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2011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2030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2031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2012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2031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2017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2031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2018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2031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2019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2031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2020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2031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2021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2031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2022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2031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2023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2031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2024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2031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2025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2031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2026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2031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2027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2031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2028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2031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3310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2031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2030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2031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2012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2031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2013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2031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2014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2031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2015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2031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2016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2031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2018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2031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2028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2031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3310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2031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2018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2031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2019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2031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2025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2031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3413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2031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2027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2031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2028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2031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2029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2031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2018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2031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2019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2031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2025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2031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3413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2031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2027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2031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2028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2031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2029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2031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2018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2031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2019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2031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2025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2031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2027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2031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2028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2031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2029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1975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2244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1975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2117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1975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2118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1975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2119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1975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2120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1975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1981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1975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1994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1975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1996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1975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2972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1975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3414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1975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2496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1975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1997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1975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1998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1975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1999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1975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2105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2065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2066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2085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2066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2003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2186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2003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2107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2003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2526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2003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2099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2003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2188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2003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2102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2003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2105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2003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2000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2003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2001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2003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2002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2003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3415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2003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3416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2003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3417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2003</v>
      </c>
      <c r="E2907" s="1" t="n">
        <v>1705</v>
      </c>
      <c r="F2907" s="1" t="s">
        <v>131</v>
      </c>
      <c r="I2907" s="1" t="n">
        <v>1917854</v>
      </c>
      <c r="J2907" s="1" t="n">
        <v>32339</v>
      </c>
      <c r="K2907" s="1" t="n">
        <v>7894900681000</v>
      </c>
      <c r="L2907" s="1" t="s">
        <v>2527</v>
      </c>
      <c r="N2907" s="1" t="n">
        <v>12</v>
      </c>
      <c r="O2907" s="1" t="n">
        <v>89.99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2003</v>
      </c>
      <c r="E2908" s="1" t="n">
        <v>1705</v>
      </c>
      <c r="F2908" s="1" t="s">
        <v>131</v>
      </c>
      <c r="I2908" s="1" t="n">
        <v>1917854</v>
      </c>
      <c r="J2908" s="1" t="n">
        <v>28739</v>
      </c>
      <c r="K2908" s="1" t="n">
        <v>7894900027044</v>
      </c>
      <c r="L2908" s="1" t="s">
        <v>2189</v>
      </c>
      <c r="N2908" s="1" t="n">
        <v>60</v>
      </c>
      <c r="O2908" s="1" t="n">
        <v>339.44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2003</v>
      </c>
      <c r="E2909" s="1" t="n">
        <v>1705</v>
      </c>
      <c r="F2909" s="1" t="s">
        <v>131</v>
      </c>
      <c r="I2909" s="1" t="n">
        <v>1917854</v>
      </c>
      <c r="J2909" s="1" t="n">
        <v>30017</v>
      </c>
      <c r="K2909" s="1" t="n">
        <v>7894900680508</v>
      </c>
      <c r="L2909" s="1" t="s">
        <v>3119</v>
      </c>
      <c r="N2909" s="1" t="n">
        <v>12</v>
      </c>
      <c r="O2909" s="1" t="n">
        <v>39.07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2003</v>
      </c>
      <c r="E2910" s="1" t="n">
        <v>1705</v>
      </c>
      <c r="F2910" s="1" t="s">
        <v>131</v>
      </c>
      <c r="I2910" s="1" t="n">
        <v>1917854</v>
      </c>
      <c r="J2910" s="1" t="n">
        <v>30085</v>
      </c>
      <c r="K2910" s="1" t="n">
        <v>7894900054217</v>
      </c>
      <c r="L2910" s="1" t="s">
        <v>3118</v>
      </c>
      <c r="N2910" s="1" t="n">
        <v>9</v>
      </c>
      <c r="O2910" s="1" t="n">
        <v>75.09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2003</v>
      </c>
      <c r="E2911" s="1" t="n">
        <v>1705</v>
      </c>
      <c r="F2911" s="1" t="s">
        <v>131</v>
      </c>
      <c r="I2911" s="1" t="n">
        <v>1917854</v>
      </c>
      <c r="J2911" s="1" t="n">
        <v>31767</v>
      </c>
      <c r="K2911" s="1" t="n">
        <v>7897105250095</v>
      </c>
      <c r="L2911" s="1" t="s">
        <v>3418</v>
      </c>
      <c r="N2911" s="1" t="n">
        <v>9</v>
      </c>
      <c r="O2911" s="1" t="n">
        <v>56.04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2003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2107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2003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2108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2003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3419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2003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3419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2003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3419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2003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3420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2003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3084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2003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2109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2011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2012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2011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2017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2011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2018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2011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2019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2011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2020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2011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2021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2011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2022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2011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2023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2011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2024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2011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2025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2011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2026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2011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2027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2011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2028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2011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3310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2011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2030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2031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2012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2031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2017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2031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2018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2031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2019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2031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2020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2031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2021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2031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2022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2031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2023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2031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2024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2031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2025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2031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2026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2031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2027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2031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2028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2031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3310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2031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2030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1975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2034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1975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2035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1975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2036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1975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2037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1975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2121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1975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2038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1975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1978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1975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2040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1975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3421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1975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3422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1975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3423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1975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3424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1975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3425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1975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3426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1975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3425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1975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3427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1975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2493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1975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2043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1975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2044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1975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2045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1975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2046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1975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2048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1975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3428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1975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2498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1975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2500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1975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2502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1975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3429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1975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2510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1975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3430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1975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2512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1975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1997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1975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1998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1975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1999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2065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2067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2065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2068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2065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2789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2065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2069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2065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2528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2065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2071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2065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2225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2065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2072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2065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2073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2065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2074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2065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2075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2065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2076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2065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2226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2065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2128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2065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2129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2065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2077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2065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2078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2065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2079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2065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2130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2065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2081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2065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2227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2065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2082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2065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2084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2085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2067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2085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2068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2085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2789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2085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2069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2085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2528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2085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2071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2085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2225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2085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2072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2085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2073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2085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2074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2085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2075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2085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2076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2085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2226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2085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2128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2085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2129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2085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2077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2085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2078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2085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2079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2085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2130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2085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2081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2085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2227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2085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2082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2085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2084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2003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3431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1975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3432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1975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3433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1975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3434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1975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3435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1975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3436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1975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3437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1975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2033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1975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1977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1975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1978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1975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2476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1975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2115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1975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1979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1975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2138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1975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1980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1975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2195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1975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2196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1975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3438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1975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3439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1975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2197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1975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2198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1975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2200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1975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2205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1975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3440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1975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3441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1975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2206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1975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3442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1975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3443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1975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2209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1975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3444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1975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3445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1975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2211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1975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3446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1975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3447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1975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3448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1975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3449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1975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3450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1975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3451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1975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3452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1975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1982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1975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2089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1975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3453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1975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2785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1975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2090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1975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1994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1975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2187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1975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2100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1975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2787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1975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3033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1975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2089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1975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3453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1975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2785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1975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2090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1975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1994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1975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1997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1975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1998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1975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1999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1975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2103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1975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2103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1975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2101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2085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2266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2085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2267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2085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2268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2085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3454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2011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2012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2011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2013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2011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2014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2011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2015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2011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2113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2011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2018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2011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3309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2011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2028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2011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3310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2011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2030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2031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2012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2031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2013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2031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2014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2031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2015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2031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2113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2031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2018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2031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3309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2031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2028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2031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3310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2031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2030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1975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2032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1975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2111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1975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2112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1975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2477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1975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1981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1975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1982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1975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3455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1975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2560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1975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3456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1975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3457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1975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3458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1975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3459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1975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2938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1975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2947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1975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3460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1975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3461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1975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3462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1975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2300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1975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3463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1975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2786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1975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2351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1975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2352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1975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2355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1975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2356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1975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3464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1975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2358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1975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2359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1975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3465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1975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2360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1975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3466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1975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2362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1975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2363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1975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2365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1975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3467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1975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2177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1975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2180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1975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2182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1975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2054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1975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2183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1975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2520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1975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2058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1975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2523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1975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2101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1975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2986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1975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3468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1975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3469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1975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3470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1975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3471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1975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3472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1975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3473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1975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3474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1975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3475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1975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3476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1975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3477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1975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3478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1975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3479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1975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3480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1975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3481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1975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3482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1975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3483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1975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3484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1975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3485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1975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3486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1975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3487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1975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3488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1975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3489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1975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3490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1975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3491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2085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2018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2085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2875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2085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3492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2085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3493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2085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3494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2085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3495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2085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2028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2085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3496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2085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2066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2003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3497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2003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3498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2003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3499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2003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3499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2011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2012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2011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2012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2011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2013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2011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2014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2011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2015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2011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2016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2011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2016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2011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2113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2011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2017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2011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2018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2011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2018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2011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2019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2011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2020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2011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2021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2011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2022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2011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2023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2011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2024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2011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2025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2011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2026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2011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3309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2011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2193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2011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2114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2011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2027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2011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2028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2011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3310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2011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3310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2011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2030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2011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2194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2031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2012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2031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2013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2031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2014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2031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2015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2031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2016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2031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2113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2031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2018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2031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3309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2031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2114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2031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3310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2031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2030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2031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2012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2031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2016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2031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2017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2031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2018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2031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2019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2031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2020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2031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2021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2031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2022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2031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2023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2031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2024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2031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2025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2031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2026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2031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2193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2031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2027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2031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2028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2031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3310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2031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2194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2548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3500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2548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3485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2548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3487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1975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3501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1975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3502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1975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3503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1975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3504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1975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3505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1975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3506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1975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3507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1975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2988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1975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3508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1975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3509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1975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2989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1975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3510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1975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3511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1975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3512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1975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3513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1975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3514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1975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3513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1975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2242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1975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3515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1975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3516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1975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3517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1975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2983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1975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2139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1975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2140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1975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2141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1975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2144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1975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2145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1975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2147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1975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3518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1975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3519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1975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3520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1975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3521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1975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3522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1975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3523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1975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2311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1975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3524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1975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3525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1975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3526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1975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3527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1975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3528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1975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3529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1975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2772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1975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2773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1975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3530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1975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3531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1975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3532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1975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3533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1975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3534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1975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3535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1975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3536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1975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3537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1975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3538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1975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3539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1975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3539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1975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3540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1975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3541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1975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3542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1975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3543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1975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3544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1975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2535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1975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3545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1975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3546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1975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3547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1975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3548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1975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3549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1975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3550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1975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3551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1975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3552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1975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3553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1975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3554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1975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3555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1975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3556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1975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3019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1975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3557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1975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3020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1975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3558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1975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3559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1975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3560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1975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3561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1975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3021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1975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3022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1975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3023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1975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3022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1975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3024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1975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3562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1975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3563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1975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3564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1975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3565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1975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3566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1975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3026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1975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3567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1975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3568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1975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3030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1975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3569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1975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3031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1975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3570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1975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2319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1975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2320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1975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2322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1975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3571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1975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2323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1975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3572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1975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2044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1975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2045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1975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2046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1975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2047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1975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2048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1975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2168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1975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2156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1975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2503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1975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3289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1975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2504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1975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3573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1975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2509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1975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3574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2085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2068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2085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2069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2085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2071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2085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2225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2085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2072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2085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2074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2085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2075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2085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2076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2085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2226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2085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2077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2085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2078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2085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2079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2085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2080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2085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2081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2085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2082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2085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2083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2085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3575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1975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2033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1975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1976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1975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1977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1975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1978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1975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2115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1975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1979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1975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2529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1975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3576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1975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2531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1975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3577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1975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3578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1975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3579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1975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2277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1975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3580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1975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3581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1975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2280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1975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2281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1975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2282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1975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3582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1975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2283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1975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2284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1975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2286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1975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2288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1975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2289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1975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2290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1975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2292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1975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3583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1975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1997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1975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1999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2828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3584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2828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3585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1975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1977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1975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2245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1975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3586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1975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3587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1975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3588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1975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2135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1975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3115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1975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3589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1975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2136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1975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3590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1975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3591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1975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3592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1975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3593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1975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3594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1975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3595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1975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3596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1975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3597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1975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3598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1975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3599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1975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3600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1975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3601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1975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3602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1975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3603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1975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3604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1975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3605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1975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3606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1975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3607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1975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3608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1975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3609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1975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3610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1975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3611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1975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3612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1975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3613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1975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3614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1975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3615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1975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3616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1975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3617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1975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3618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1975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3619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1975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3620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1975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3621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1975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3622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1975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3623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1975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3624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1975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3625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1975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3626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1975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3627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1975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3628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1975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3629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1975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3630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1975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3631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1975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3632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1975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3633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1975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3634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1975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3635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1975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3635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1975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3635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1975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3635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1975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3636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1975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3637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1975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3638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1975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3639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1975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3639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1975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3640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1975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3641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1975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3642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1975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3643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1975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3644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1975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3645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1975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3646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1975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3647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1975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3648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1975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3649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1975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3650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1975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2094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1975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1995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1975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3651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1975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2095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1975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1997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1975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1998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1975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1999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1975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2001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1975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2002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1975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2189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1975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2788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1975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3652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1975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3653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1975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3654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1975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3655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1975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3656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1975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3657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1975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3658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1975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3088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1975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3659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1975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3660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1975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3661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1975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3662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1975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3663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1975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3664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1975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3665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1975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3666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1975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3667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1975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3668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1975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3669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1975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3670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1975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3671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1975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3672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1975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3673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1975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3674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1975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3675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1975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3676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1975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3677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1975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3678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1975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3679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1975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3680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1975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3681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1975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3682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1975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3683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1975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3684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1975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3685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1975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3686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1975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3687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1975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3688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1975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3689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1975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3690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1975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3691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1975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3692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1975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3693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1975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3694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1975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3695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1975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3696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1975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3697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1975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3698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1975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3699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1975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3699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1975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3700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1975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3701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1975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3702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1975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3703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1975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3704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1975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3705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1975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3706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1975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3707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1975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3708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1975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3709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1975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3710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1975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3711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1975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3712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1975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3713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1975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3714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1975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3715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1975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3716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1975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3717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1975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3718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1975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3719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1975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3720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1975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3721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1975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3722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1975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3723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1975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3724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1975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3725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1975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3726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1975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3727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1975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3727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1975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3728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1975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3728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1975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3729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1975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3730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1975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3727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1975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3731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1975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3732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1975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3733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1975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3734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1975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3735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1975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3736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1975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3737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1975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3738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1975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3739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2085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2066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2828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3740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2828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3741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2828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3742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1975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1981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1975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1982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1975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3743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1975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2043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1975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2044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1975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2048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1975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1999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2085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2067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2085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2224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2085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2068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2085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2789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2085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2069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2085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2071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2085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2225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2085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2072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2085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2073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2085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2074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2085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2075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2085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2076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2085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2128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2085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2129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2085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2077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2085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2078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2085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2079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2085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2790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2085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2131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2085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2081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2085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3744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2085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2227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2085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2082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2085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2083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2085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3745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2085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2066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2003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2034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2003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2035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2003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2036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2003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2037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2003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2121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2003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2038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2003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2039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2003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1978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2003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2040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2003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1983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2003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1984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2003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1985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2003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1986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2003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1987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2003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1988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2003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1989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2003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1990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2003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1991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2003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1992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2003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1993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2003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3600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2003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3746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2003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3747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2003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3748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2003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3749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2003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3750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2003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2273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2003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3751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2003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3752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2003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3753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2003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3754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2003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3755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2003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3756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2003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3757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2003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3758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2003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3759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2003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3760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2003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3761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2003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3762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2003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3763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2003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3764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2011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2012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2011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2012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2011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2013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2011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2014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2011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2015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2011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2113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2011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2017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2011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2018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2011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2018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2011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2019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2011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2020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2011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2021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2011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2022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2011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2023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2011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2024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2011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2025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2011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2026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2011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3309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2011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3309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2011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2027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2011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2028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2011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2028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2011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3310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2011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3310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2011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2030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2011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2030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2031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2012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2031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2017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2031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2018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2031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2019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2031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2020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2031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2021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2031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2022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2031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2023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2031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2024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2031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2025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2031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2026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2031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3309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2031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2027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2031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2028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2031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3310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2031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2030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2031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2012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2031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2013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2031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2014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2031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2015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2031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2113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2031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2018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2031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3309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2031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2028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2031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3310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2031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2030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1975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1997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1975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1999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2003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3765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2003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3766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2003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3767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2003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3768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2003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2839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2003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2840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2003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2843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2003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2844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2003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3769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2003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2839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2003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2839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2003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3770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2003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3771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2003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3772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2003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3773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2003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3774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2003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3775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2003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3776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2003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2020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2003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2021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2003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2022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2003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2023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2003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2875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2003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3777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2003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3778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2003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3044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2003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3779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2003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3045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2003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3046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2003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3780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2003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3781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2003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3048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2003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3050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2003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3051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2003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3052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2003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3782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2003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3783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2003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3053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2003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3054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2003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3055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2003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3056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2003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3057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2003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3058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2003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3059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2003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3060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2003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3061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2003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3062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2003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3063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2003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3064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2003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3065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2003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3067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2003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3068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2003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3069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2003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3070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2003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3784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2003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3055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2003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2366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2003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3072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2003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3074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2003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3075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2003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3785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2003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3077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2003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3078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2003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3079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2003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3786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2003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3787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2003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3787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2003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3787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2003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3788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2003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3789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2003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3790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2003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3791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2003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3792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2003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3793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2003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3794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2003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3795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2003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3796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2003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3797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2003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3798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2003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3799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2003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3800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2003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3801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2003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3802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2003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3803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2003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3804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2003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3805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2003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3806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2003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3807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2003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3808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2003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3809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2003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3296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2003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3810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2003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3811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2003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3297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2003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3298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2003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3812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2003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3812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2003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3298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2003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3813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2003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3814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2003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3815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2003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3816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2003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3817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2003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3818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2003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3819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2003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3820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2003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3821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2003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3822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2003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2802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2003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2803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2003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3823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2003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3824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2003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3825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2003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2278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2003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3826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2003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2279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2003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3827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2003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3828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2003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3829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2003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3828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2003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3828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2003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3830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2003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3830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2003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3830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2003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3831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2003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3830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2003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3832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2003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3833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2003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3834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2003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3835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2003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3836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2003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3837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2003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3838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2003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3839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2003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3840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2003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3841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2003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3842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2003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2550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2003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3197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2003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2554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2003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3843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2003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3844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2003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2557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2003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2138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2003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1980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2003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1981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2003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1982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2003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2158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2003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2159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2003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3845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2003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3846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2003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2163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2003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3847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2003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3848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2003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3849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2003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3850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2003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3851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2003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3852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2003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2654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2003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3853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2003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3854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2003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2645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2003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2544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2003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2479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2003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3855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2003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3856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2003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3857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2003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2482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2003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2483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2003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3858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2003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3859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2003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3860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2003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3861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2003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2484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2003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2485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2003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3862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2003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3863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2003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3864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2003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3865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2003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3866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2003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3867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2003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3868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2003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3869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2003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2793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2003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2795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2003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2796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2003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2797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2003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2928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2003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2930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2003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2939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2003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2940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2003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2942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2003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2944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2003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2946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2003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3870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2003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3871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2003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2949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2003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3872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2003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2799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2003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3873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2003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2800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2003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3874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2003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3875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2003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2186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2003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2786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2003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2093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2003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3876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2003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3877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2003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1994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2003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3878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2003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2095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2003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3879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2003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3880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2003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3880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2003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3881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2003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3882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2003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3883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2003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2572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2003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2699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2003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2700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2003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3884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2003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2663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2003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2666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2003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2671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2003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2673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2003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2675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2003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3885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2003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3886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2003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3887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2003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3285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2003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3286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2003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3287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2003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2687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2003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2703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2003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2706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2003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3888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2003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3889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2003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2695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2003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3890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2003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2710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2003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2185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2003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2107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2003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2099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2003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2101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2003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2105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2003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2000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2003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3891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2003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2002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2003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3415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2003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2189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2003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2107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2003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3892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2003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3595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2003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3893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2003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3894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2003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3895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2003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3896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2003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3897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2003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3898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2003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3899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2003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3900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2003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3901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2003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3902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2003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2446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2003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3277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2003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3278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2003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3279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2003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3903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2003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3904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2003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3905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2003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3906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2003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2448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2003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2449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2003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2450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2003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3907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2003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2453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2003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2455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2003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2456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2003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2457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2003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3908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2003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3909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2003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2458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2003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3910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2003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3911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2003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2459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2003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2460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2003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2461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2003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2462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2003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2463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2003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2465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2003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2467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2003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3912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2003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2468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2003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2469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2003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3913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2003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3914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2003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3915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2003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3916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2011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2012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2011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2012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2011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2013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2011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2014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2011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2015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2011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2016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2011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2113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2011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2017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2011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2018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2011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2018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2011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2019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2011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2020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2011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2021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2011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2022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2011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2023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2011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2024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2011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2025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2011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2026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2011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3309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2011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3309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2011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2027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2011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2028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2011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2028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2011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3310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2011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3310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2011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2030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2011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2030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2031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2012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2031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2017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2031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2018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2031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2019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2031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2020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2031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2021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2031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2022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2031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2023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2031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2024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2031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2026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2031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3309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2031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2027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2031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2028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2031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3310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2031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2030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2031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2012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2031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2013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2031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2014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2031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2015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2031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2016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2031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2113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2031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2018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2031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2025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2031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3309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2031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2028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2031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3310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2031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2030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2085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2066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2085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2067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2085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2068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2085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2069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2085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2070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2085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2071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2085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2072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2085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2075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2085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2226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2085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2129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2085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2078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2085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2079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2085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2130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2085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2081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2085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2082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2085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2083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2003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2041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2003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2041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2003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2042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2003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2041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2003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2041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2003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2041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2003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2041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2003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2042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2003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2041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2003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2042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2003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2041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2003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2042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2003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2032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2003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2242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2003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2243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2003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1976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2003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1977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2003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2117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2003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2118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2003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2119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2003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2120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2003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2890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2003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3917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2003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3918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2003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2895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2003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3919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2003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3920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2003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3921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2003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3922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2003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2908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2003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3923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2003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3924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2003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3925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2003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3926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2003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3927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2003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2155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2003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2155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2003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3928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2003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3929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2003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3930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2003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3931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2003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3932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2003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3933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2003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3934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2003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3935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2003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3936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2003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3937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2003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3938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2003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3939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2003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3940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2003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3941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2003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3942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2003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3943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2003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3944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2003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3945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2003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3946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2003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3947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2003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3948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2003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3949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2003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3950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2003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3951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2003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3952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2003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3953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2003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3954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2003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3955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2003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3956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2003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3957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2003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3958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2003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3959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2003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3960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2003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3961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2003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3962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2003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3963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2003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3964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2003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3965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2003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3966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2003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3967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2003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3968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2003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3969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2003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3970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2003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3971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2003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3972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2003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3973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2003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3974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2003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3975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2003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3976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2003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3977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2003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3978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2003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3979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2003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3980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2003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3981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2003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3982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2003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3983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2003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3984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2003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3985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2003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3986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2003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3987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2003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3988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2003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3989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2003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3990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2003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3991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2003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3992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2003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3993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2003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3994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2003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3995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2003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3996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2003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3997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2003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3993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2003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3998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2003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3999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2003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4000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2003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4001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2003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4002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2003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2324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2003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2043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2003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2044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2003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2045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2003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2047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2003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2048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2003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2494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2003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2503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2003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3289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2003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3289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2003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3036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2003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4003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2003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3039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2003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2512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2003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3042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2003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2170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2003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2513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2003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2172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2003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2173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2003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2175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2003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2178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2003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2052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2003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2182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2003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2518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2003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2519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2003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2055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2003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2183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2003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2520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2003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2521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2003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2064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2011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2018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2011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2019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2011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2025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2011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3309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2011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2027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2011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2028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2011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2029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2011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2030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2031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2018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2031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2019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2031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2025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2031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3309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2031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2027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2031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2028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2031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2029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2031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2030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2031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2018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2031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2019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2031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2025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2031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3309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2031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2027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2031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2028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2031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2029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2031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2030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2003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2041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2003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2033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2003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4004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2003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3311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2003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4005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2003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3312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2003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3313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2003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4006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2003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4007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2003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4008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2003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3314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2003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4009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2003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3315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2003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4010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2003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4011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2003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4012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2003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3316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2003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4013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2003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3317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2003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4014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2003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4015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2003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4016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2003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4017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2003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4018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2003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3318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2003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4019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2003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4020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2003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4021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2003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4022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2003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4023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2003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3320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2003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4024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2003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3321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2003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4025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2003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4026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2003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4027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2003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4028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2003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3322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2003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3323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2003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3324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2003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4029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2003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4030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2003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4031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2003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4032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2003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4033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2003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4034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2003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4035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2003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3326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2003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4036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2003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4037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2003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4038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2003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4039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2003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4040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2003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3328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2003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4041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2003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4042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2003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4043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2003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4044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2003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1997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2003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1999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2003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4045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2003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4046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2003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4047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2003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4048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2828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4049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2828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4050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2548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4051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2085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2266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2085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2267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2085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2066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2003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2041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2003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2042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2003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2041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2003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2042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2003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3141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2003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4052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2003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4053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2003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4053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2003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4054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2003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4055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2003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4056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2003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1981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2003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1982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2003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2111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2003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2112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2003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4057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2003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4058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2003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4059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2003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2330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2003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4060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2003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4061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2003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4062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2003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4063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2003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4064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2003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2331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2003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4065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2003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2334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2003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2335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2003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4066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2003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2337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2003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2338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2003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4067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2003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4068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2003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4069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2003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4070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2003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4071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2003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4072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2003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2344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2003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2345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2003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2347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2003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2349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2003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4073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2003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2187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2003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2787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2003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4074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2003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1997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2003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1998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2003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1999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2003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2101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2003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2103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2003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2104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2003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2788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2003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4075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2003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4076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2003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4077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2003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4078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2003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4079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2003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4080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2003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4081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2003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4082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2011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2012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2011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2012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2011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2013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2011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2014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2011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2015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2011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2016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2011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2017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2011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2018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2011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2018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2011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2019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2011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2020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2011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2021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2011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2022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2011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2023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2011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2024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2011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2025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2011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2026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2011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3309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2011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3309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2011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2027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2011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2028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2011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2028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2011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2029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2011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2029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2011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2030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2011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2030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2031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2012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2031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2017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2031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2018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2031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2019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2031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2020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2031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2021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2031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2022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2031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2023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2031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2024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2031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2025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2031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2026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2031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3309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2031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2027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2031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2028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2031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2029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2031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2030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2031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2012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2031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2013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2031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2014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2031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2015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2031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2016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2031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2018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2031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3309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2031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2028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2031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2029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2031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2030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2085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2068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2085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2069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2085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2528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2085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2070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2085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2225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2085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2072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2085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2073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2085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2075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2085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2226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2085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2128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2085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2078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2085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2079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2085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2081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2085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2227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2085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2082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2085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2083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2085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2071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2085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2066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2003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1976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2003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1977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2003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2115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2003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1979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2003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2116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2003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2117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2003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2118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2003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2119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2003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2120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2003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2034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2003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2035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2003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2036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2003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2037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2003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2121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2003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2038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2003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2039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2003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1978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2003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2040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2003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1997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2003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1998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2003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1999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2828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4083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2085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2066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2003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2041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2003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3140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2003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4084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2003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4085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2003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4086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2003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2139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2003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2140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2003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2141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2003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2144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2003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2145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2003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2153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2003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2247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2003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2925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2003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2169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2003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2926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2003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2185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2003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2186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2003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2971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2003</v>
      </c>
      <c r="E4502" s="1" t="n">
        <v>1672</v>
      </c>
      <c r="F4502" s="1" t="s">
        <v>340</v>
      </c>
      <c r="I4502" s="1" t="n">
        <v>1401844</v>
      </c>
      <c r="J4502" s="1" t="n">
        <v>103940</v>
      </c>
      <c r="K4502" s="1" t="n">
        <v>7896579330081</v>
      </c>
      <c r="L4502" s="1" t="s">
        <v>2250</v>
      </c>
      <c r="N4502" s="1" t="n">
        <v>60</v>
      </c>
      <c r="O4502" s="1" t="n">
        <v>54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2003</v>
      </c>
      <c r="E4503" s="1" t="n">
        <v>1672</v>
      </c>
      <c r="F4503" s="1" t="s">
        <v>340</v>
      </c>
      <c r="I4503" s="1" t="n">
        <v>1401844</v>
      </c>
      <c r="J4503" s="1" t="n">
        <v>103165</v>
      </c>
      <c r="K4503" s="1" t="n">
        <v>7896579310106</v>
      </c>
      <c r="L4503" s="1" t="s">
        <v>3184</v>
      </c>
      <c r="N4503" s="1" t="n">
        <v>45</v>
      </c>
      <c r="O4503" s="1" t="n">
        <v>184.5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2003</v>
      </c>
      <c r="E4504" s="1" t="n">
        <v>1672</v>
      </c>
      <c r="F4504" s="1" t="s">
        <v>340</v>
      </c>
      <c r="I4504" s="1" t="n">
        <v>1401844</v>
      </c>
      <c r="J4504" s="1" t="n">
        <v>103916</v>
      </c>
      <c r="K4504" s="1" t="n">
        <v>7896579330067</v>
      </c>
      <c r="L4504" s="1" t="s">
        <v>3406</v>
      </c>
      <c r="N4504" s="1" t="n">
        <v>27</v>
      </c>
      <c r="O4504" s="1" t="n">
        <v>67.5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2003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3186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2003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2251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2003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4087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2003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2253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2003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4088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2003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2255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2003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4089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2003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3188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2003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3190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2003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4090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2003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2258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2003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2259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2003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3409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2003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2260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2003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2261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2003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2262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2003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4091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2003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4092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2003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2263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2003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2265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2003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4093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2003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4094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2003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3073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2003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2107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2003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2099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2003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2102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2003</v>
      </c>
      <c r="E4531" s="1" t="n">
        <v>1705</v>
      </c>
      <c r="F4531" s="1" t="s">
        <v>131</v>
      </c>
      <c r="I4531" s="1" t="n">
        <v>1949480</v>
      </c>
      <c r="J4531" s="1" t="n">
        <v>32339</v>
      </c>
      <c r="K4531" s="1" t="n">
        <v>7894900681000</v>
      </c>
      <c r="L4531" s="1" t="s">
        <v>2527</v>
      </c>
      <c r="N4531" s="1" t="n">
        <v>12</v>
      </c>
      <c r="O4531" s="1" t="n">
        <v>89.99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2003</v>
      </c>
      <c r="E4532" s="1" t="n">
        <v>1705</v>
      </c>
      <c r="F4532" s="1" t="s">
        <v>131</v>
      </c>
      <c r="I4532" s="1" t="n">
        <v>1949480</v>
      </c>
      <c r="J4532" s="1" t="n">
        <v>28739</v>
      </c>
      <c r="K4532" s="1" t="n">
        <v>7894900027044</v>
      </c>
      <c r="L4532" s="1" t="s">
        <v>2189</v>
      </c>
      <c r="N4532" s="1" t="n">
        <v>24</v>
      </c>
      <c r="O4532" s="1" t="n">
        <v>135.78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2003</v>
      </c>
      <c r="E4533" s="1" t="n">
        <v>1705</v>
      </c>
      <c r="F4533" s="1" t="s">
        <v>131</v>
      </c>
      <c r="I4533" s="1" t="n">
        <v>1949480</v>
      </c>
      <c r="J4533" s="1" t="n">
        <v>29509</v>
      </c>
      <c r="K4533" s="1" t="n">
        <v>78933873</v>
      </c>
      <c r="L4533" s="1" t="s">
        <v>2788</v>
      </c>
      <c r="N4533" s="1" t="n">
        <v>6</v>
      </c>
      <c r="O4533" s="1" t="n">
        <v>11.29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2003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2107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2003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2108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2828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4095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2828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4096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2003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1977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2003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1978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2003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2476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2003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2115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2003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1979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2003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4097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2003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4098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2003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4099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2003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4100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2003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4101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2003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4102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2003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4103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2003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4104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2003</v>
      </c>
      <c r="E4551" s="1" t="n">
        <v>10014</v>
      </c>
      <c r="F4551" s="1" t="s">
        <v>178</v>
      </c>
      <c r="I4551" s="1" t="n">
        <v>3551</v>
      </c>
      <c r="J4551" s="1" t="n">
        <v>81826</v>
      </c>
      <c r="K4551" s="1" t="n">
        <v>7898420000143</v>
      </c>
      <c r="L4551" s="1" t="s">
        <v>4105</v>
      </c>
      <c r="N4551" s="1" t="n">
        <v>6</v>
      </c>
      <c r="O4551" s="1" t="n">
        <v>148.8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2003</v>
      </c>
      <c r="E4552" s="1" t="n">
        <v>10014</v>
      </c>
      <c r="F4552" s="1" t="s">
        <v>178</v>
      </c>
      <c r="I4552" s="1" t="n">
        <v>3551</v>
      </c>
      <c r="J4552" s="1" t="n">
        <v>81760</v>
      </c>
      <c r="K4552" s="1" t="n">
        <v>7898948712863</v>
      </c>
      <c r="L4552" s="1" t="s">
        <v>4106</v>
      </c>
      <c r="N4552" s="1" t="n">
        <v>10</v>
      </c>
      <c r="O4552" s="1" t="n">
        <v>39.5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2003</v>
      </c>
      <c r="E4553" s="1" t="n">
        <v>10014</v>
      </c>
      <c r="F4553" s="1" t="s">
        <v>178</v>
      </c>
      <c r="I4553" s="1" t="n">
        <v>3551</v>
      </c>
      <c r="J4553" s="1" t="n">
        <v>81822</v>
      </c>
      <c r="K4553" s="1" t="n">
        <v>7898420000921</v>
      </c>
      <c r="L4553" s="1" t="s">
        <v>4107</v>
      </c>
      <c r="N4553" s="1" t="n">
        <v>6</v>
      </c>
      <c r="O4553" s="1" t="n">
        <v>112.26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2003</v>
      </c>
      <c r="E4554" s="1" t="n">
        <v>10014</v>
      </c>
      <c r="F4554" s="1" t="s">
        <v>178</v>
      </c>
      <c r="I4554" s="1" t="n">
        <v>3551</v>
      </c>
      <c r="J4554" s="1" t="n">
        <v>81823</v>
      </c>
      <c r="K4554" s="1" t="n">
        <v>7898420000945</v>
      </c>
      <c r="L4554" s="1" t="s">
        <v>4108</v>
      </c>
      <c r="N4554" s="1" t="n">
        <v>6</v>
      </c>
      <c r="O4554" s="1" t="n">
        <v>126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2003</v>
      </c>
      <c r="E4555" s="1" t="n">
        <v>10014</v>
      </c>
      <c r="F4555" s="1" t="s">
        <v>178</v>
      </c>
      <c r="I4555" s="1" t="n">
        <v>3551</v>
      </c>
      <c r="J4555" s="1" t="n">
        <v>81824</v>
      </c>
      <c r="K4555" s="1" t="n">
        <v>7898420000464</v>
      </c>
      <c r="L4555" s="1" t="s">
        <v>4109</v>
      </c>
      <c r="N4555" s="1" t="n">
        <v>6</v>
      </c>
      <c r="O4555" s="1" t="n">
        <v>119.4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2003</v>
      </c>
      <c r="E4556" s="1" t="n">
        <v>10014</v>
      </c>
      <c r="F4556" s="1" t="s">
        <v>178</v>
      </c>
      <c r="I4556" s="1" t="n">
        <v>3551</v>
      </c>
      <c r="J4556" s="1" t="n">
        <v>81825</v>
      </c>
      <c r="K4556" s="1" t="n">
        <v>7898420000587</v>
      </c>
      <c r="L4556" s="1" t="s">
        <v>4110</v>
      </c>
      <c r="N4556" s="1" t="n">
        <v>6</v>
      </c>
      <c r="O4556" s="1" t="n">
        <v>126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2003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4111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2003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4112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2003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4113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2003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4114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2003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4115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2003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4116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2003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4117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2003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4118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2003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1981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2003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1982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2003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3229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2003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4119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2003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4120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2003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4121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2003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3230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2003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4122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2003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4122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2003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4123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2003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4124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2003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4125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2003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4126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2003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4127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2003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4128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2003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4129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2003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4130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2003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4131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2003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4132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2003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2648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2003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2301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2003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4133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2003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2637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2003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2635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2003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4134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2003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2649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2003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1997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2003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1999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2003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3069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2011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2012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2011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2012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2011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2013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2011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2014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2011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2015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2011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2016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2011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2113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2011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2017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2011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2018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2011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2018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2011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2019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2011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2020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2011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2021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2011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2022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2011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2023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2011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2024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2011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2025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2011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2026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2011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3309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2011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2027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2011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2028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2011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2028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2011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3310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2011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3310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2011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2030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2011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2030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2031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2012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2031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2013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2031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2014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2031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2015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2031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2016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2031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2113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2031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2018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2031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3309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2031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2028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2031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3310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2031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2030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2031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2012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2031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2017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2031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2018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2031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2019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2031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2020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2031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2021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2031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2022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2031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2023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2031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2024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2031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2025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2031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2026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2031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2027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2031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2028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2031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3310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2031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2030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2085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2067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2085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2068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2085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2069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2085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2528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2085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2071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2085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2225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2085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2072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2085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2074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2085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2075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2085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2076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2085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2226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2085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2128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2085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2077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2085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2078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2085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2079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2085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2081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2085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2082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2085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2083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2085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3575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2085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4135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2085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2066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2003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2242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2003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2196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2003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2198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2003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2199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2003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2202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2003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2208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2003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2210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2003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2211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2003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4136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2003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4137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2003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4138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2003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4139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2003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4140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2003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4141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2003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4142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2003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2836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2003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3579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2003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2277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2003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2281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2003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2282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2003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2283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2003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2284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2003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2285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2003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2286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2003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2288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2003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2289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2003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2290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2003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2291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2003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2292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2003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2293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2003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2294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2003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3583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2003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2043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2003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2044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2003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2045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2003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2048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2003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3290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2003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2507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2003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4143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2003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3573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2003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2509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2003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2509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2003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2510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2003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2512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2003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1998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2003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1999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2003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4144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2003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3233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2003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3234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2003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3235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2003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3236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2003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4145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2003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3237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2003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3239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2003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3240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2003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3241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2003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3242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2003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3248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2003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3249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2003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4146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2003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4147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2003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4148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2003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4149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2003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2170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2003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2513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2003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2174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2003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2175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2003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2177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2003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4150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2003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2051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2003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2052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2003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2053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2003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2181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2003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2182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2003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2518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2003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2520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2003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2521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2003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2057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2003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2058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2003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2059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2003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2060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2003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2523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2003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2064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2828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4151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2828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4152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2085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2190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2003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2033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2003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1976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2003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1977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2003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1978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2003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2248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2003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2984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2003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2985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2003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2985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2085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2066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2003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2041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2003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2042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2003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2032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2003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4153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2003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4154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2003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4155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2003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4156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2003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2116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2003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2117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2003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2118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2003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2119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2003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2120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2003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1981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2003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1982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2003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2155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2003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2155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2003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1983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2003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1985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2003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1986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2003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1987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2003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1988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2003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1989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2003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1991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2003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1993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2003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2997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2003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2595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2003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2596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2003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2599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2003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4157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2003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2613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2003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4158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2003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3305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2003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2091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2003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4159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2003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1994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2003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3878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2003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2191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2003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3651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2003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2094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2003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2096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2003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2192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2003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1996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2003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1997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2003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1998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2003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1999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2003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2009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2003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2100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2003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2101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2003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2104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2003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2001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2003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2002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2003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2971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2003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2788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2003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3119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2003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3118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2003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2788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2011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2012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2011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2012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2011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2013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2011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2014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2011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2015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2011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2016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2011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2113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2011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2113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2011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2017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2011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2018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2011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2018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2011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2019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2011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2019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2011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2020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2011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2021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2011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2022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2011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2023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2011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2024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2011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2025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2011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2025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2011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2026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2011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2114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2011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2027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2011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2027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2011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2028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2011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2028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2011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2029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2011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2029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2011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2030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2011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2030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2031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2012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2031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2113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2031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2017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2031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2018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2031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2019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2031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2020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2031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2021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2031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2022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2031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2023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2031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2024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2031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2025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2031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2026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2031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2027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2031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2028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2031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2029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2031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2030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2031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2012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2031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2013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2031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2014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2031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2015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2031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2016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2031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2113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2031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2018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2031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2114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2031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2028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2031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2029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2031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2030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2031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2019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2031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2025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2031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2027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2031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2019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2031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2025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2031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2027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2085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2067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2085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2068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2085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2069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2085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2070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2085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2225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2085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2073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2085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2074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2085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2075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2085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2129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2085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2078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2085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2079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2085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2130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2085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2131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2085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2227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2085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2082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2085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2083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2085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2084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2003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2138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2003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1980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2003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2035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2003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2036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2003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2037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2003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2121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2003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2038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2003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2039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2003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1978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2003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2040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2003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1982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2003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2043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2003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2044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2003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2045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2003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2046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2003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2047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2003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2048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2003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1999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2011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2012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2011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2013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2011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2014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2011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2015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2011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2016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2011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2113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2011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2018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2011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2028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2011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2029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2011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2030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2031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2012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2031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2013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2031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2014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2031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2015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2031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2016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2031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2113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2031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2018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2031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2028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2031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2029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2031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2030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2003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4160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2003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2875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2003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4161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2003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4162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2003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4163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2003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1997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2003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1998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2003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1999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2085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2066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2085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2066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2003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2550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2003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3388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2003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3389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2003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2499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2003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4164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2003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2244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2003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2033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2003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1976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2003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1977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2003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1978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2003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2476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2003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2115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2003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1979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2003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2983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2003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2139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2003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2140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2003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2142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2003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2143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2003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2145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2003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2146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2003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2147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2003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2148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2003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2149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2003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2150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2003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2151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2003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2152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2003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2154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2003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1981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2003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2155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2003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2155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2003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2122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2003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2123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2003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4165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2003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2125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2003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2126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2003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2127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2003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2123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2003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2306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2003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3379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2003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4166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2003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3380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2003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2306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2003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2307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2003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3381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2003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3382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2003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2309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2003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3383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2003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2311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2003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3385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2003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4167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2003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4168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2003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2313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2003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4169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2003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2315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2003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2318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2003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2350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2003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2351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2003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4170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2003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2352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2003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4171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2003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3464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2003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2359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2003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2360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2003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2362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2003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2363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2003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4172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2003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4173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2003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4174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2003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4175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2003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2353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2003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3467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2003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4176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2011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2012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2011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2017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2011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2018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2011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2019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2011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2019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2011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2020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2011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2021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2011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2022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2011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2023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2011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2024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2011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2025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2011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2025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2011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2026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2011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2027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2011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2027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2011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2028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2011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2029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2011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2030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2031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2012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2031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2017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2031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2018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2031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2019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2031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2020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2031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2021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2031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2022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2031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2023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2031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2024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2031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2025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2031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2026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2031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2027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2031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2028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2031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2029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2031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2030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2031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2019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2031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2025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2031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2027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2031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2019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2031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2025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2031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2027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2548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2356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2548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4177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2548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4174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2548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2365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2548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3467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2085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2789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2085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2069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2085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2071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2085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2072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2085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2073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2085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2074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2085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2075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2085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2076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2085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2077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2085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2078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2085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2079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2085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2790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2085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2131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2085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2080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2085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2081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2085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2082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2003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2041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2003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2042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2003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2242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2003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2243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2003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2111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2003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2112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2003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3301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2003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4178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2003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2615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2003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4179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2003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4180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2003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4181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2003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2043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2003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2044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2003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2046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2003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2047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2003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2048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2003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2494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2003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2185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2003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2186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2003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3876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2003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4182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2003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3878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2003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2191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2003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2787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2003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4183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2003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4184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2003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3414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2003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2168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2003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2156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2003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2500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2003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2501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2003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2502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2003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2503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2003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3289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2003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3037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2003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4185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2003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3039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2003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2512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2003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4186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2003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1998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2003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1999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2003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2171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2003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4187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2003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2176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2003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2177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2003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2178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2003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2517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2003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2181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2003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2519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2003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2054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2003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2183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2003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2520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2003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2058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2003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2105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2003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2107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2003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2107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2003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2099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2003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2100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2003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4188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2003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2188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2003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2102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2003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2105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2003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3891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2003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2001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2003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2002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2003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3415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2003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2971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2003</v>
      </c>
      <c r="E5146" s="1" t="n">
        <v>1705</v>
      </c>
      <c r="F5146" s="1" t="s">
        <v>131</v>
      </c>
      <c r="I5146" s="1" t="n">
        <v>1964129</v>
      </c>
      <c r="J5146" s="1" t="n">
        <v>32339</v>
      </c>
      <c r="K5146" s="1" t="n">
        <v>7894900681000</v>
      </c>
      <c r="L5146" s="1" t="s">
        <v>2527</v>
      </c>
      <c r="N5146" s="1" t="n">
        <v>12</v>
      </c>
      <c r="O5146" s="1" t="n">
        <v>89.99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2003</v>
      </c>
      <c r="E5147" s="1" t="n">
        <v>1705</v>
      </c>
      <c r="F5147" s="1" t="s">
        <v>131</v>
      </c>
      <c r="I5147" s="1" t="n">
        <v>1964129</v>
      </c>
      <c r="J5147" s="1" t="n">
        <v>28739</v>
      </c>
      <c r="K5147" s="1" t="n">
        <v>7894900027044</v>
      </c>
      <c r="L5147" s="1" t="s">
        <v>2189</v>
      </c>
      <c r="N5147" s="1" t="n">
        <v>18</v>
      </c>
      <c r="O5147" s="1" t="n">
        <v>101.83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2003</v>
      </c>
      <c r="E5148" s="1" t="n">
        <v>1705</v>
      </c>
      <c r="F5148" s="1" t="s">
        <v>131</v>
      </c>
      <c r="I5148" s="1" t="n">
        <v>1964129</v>
      </c>
      <c r="J5148" s="1" t="n">
        <v>29614</v>
      </c>
      <c r="K5148" s="1" t="n">
        <v>7894900550030</v>
      </c>
      <c r="L5148" s="1" t="s">
        <v>3083</v>
      </c>
      <c r="N5148" s="1" t="n">
        <v>6</v>
      </c>
      <c r="O5148" s="1" t="n">
        <v>36.45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2003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2010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2003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2107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2003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2108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2003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2788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2003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2033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2003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1976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2003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1977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2003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1978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2003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2115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2003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1979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2003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2162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2003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2551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2003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2552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2003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4189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2003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2553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2003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2837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2003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1982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2011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2012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2011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2013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2011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2014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2011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2015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2011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2016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2011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2113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2011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2018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2011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3309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2011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2028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2011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3310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2011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2030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2031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2012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2031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2013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2031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2014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2031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2015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2031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2016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2031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2113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2031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2018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2031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3309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2031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2028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2031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3310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2031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2030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2085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2066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2085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2066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2003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2156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2003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4190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2003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2299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2003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2299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2003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2850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2003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4191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2003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4192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2003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2809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2003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2993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2003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2994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2003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2165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2003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2304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2003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4193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2003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1981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2003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1982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2003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2132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2003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2133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2003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3112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2003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2135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2003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3115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2003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3116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2003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2169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2003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2926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2003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1997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2003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1999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2011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2012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2011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2012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2011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2013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2011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2014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2011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2015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2011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2016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2011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2016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2011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2113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2011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2017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2011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2018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2011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2018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2011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2019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2011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2020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2011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2021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2011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2022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2011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2023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2011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2024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2011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2026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2011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2193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2011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2114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2011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2027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2011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2028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2011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3310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2011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3310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2011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2030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2011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2194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2031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2012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2031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2013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2031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2014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2031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2015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2031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2016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2031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2113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2031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2018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2031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2114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2031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3310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2031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2012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2031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2016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2031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2017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2031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2018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2031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2019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2031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2020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2031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2021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2031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2022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2031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2023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2031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2024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2031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2026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2031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2193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2031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2027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2031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2028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2031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3310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2031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2030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2031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2194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2085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2068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2085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2069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2085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2071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2085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2225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2085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2072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2085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2074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2085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2075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2085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2226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2085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2128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2085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2129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2085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2077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2085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2078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2085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2079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2085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2081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2085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2082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2085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2083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2085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2084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2003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2033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2003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2034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2003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2035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2003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2036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2003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2037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2003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2121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2003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2038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2003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2039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2003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1978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2003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2040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2003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1997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2003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1998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2003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1999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2548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3605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2548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3606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2548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3607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2548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4194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2548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3612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2548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4195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2548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4196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2548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3637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2548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3638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2548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4197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2548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4198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2548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4199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2548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4200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2548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4201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2548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3642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2548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4202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2548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4203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2085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2066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2003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2041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2003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2042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2003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4204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2003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4205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2003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1976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2003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1977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2003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1978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2003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2476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2003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1979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2003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2116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2003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2118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2003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2119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2003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2120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2003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4206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2003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1981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2003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2216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2003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2217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2003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2218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2003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3399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2003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2221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2003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2222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2003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4207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2003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2598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2003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2599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2003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2600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2003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2601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2003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2874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2003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3305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2003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2622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2003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3307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2003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2303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2003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2303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2003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2303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2011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2012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2011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2017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2011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2018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2011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2019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2011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2020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2011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2021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2011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2022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2011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2023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2011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2024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2011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2025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2011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2026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2011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2027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2011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2028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2011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2029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2011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2030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2031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2012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2031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2017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2031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2018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2031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2019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2031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2020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2031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2021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2031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2022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2031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2023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2031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2024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2031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2025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2031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2026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2031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2027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2031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2028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2031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2029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2031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2030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2085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2066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2003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3432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2003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3433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2003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3434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2003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3435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2003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3436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2003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3437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2003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2087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2003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2512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2003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1980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2003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4208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2003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2215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2003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2020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2003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2023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2003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3229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2003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2324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2003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1997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2003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1998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2003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1999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2085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2269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2085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2270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2085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2271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2085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2071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2085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2081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2085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2067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2085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2068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2085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2069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2085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2072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2085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2073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2085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2075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2085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2076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2085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2129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2085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2077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2085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2078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2085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2079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2085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2130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2085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4209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2085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2227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2085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2082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2085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2083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2085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2084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2085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4210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2003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2032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2003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2242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2003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2243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2003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1976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2003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1977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2003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1978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2003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2476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2003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2115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2003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1979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2003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2245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2003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4211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2003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4212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2003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4213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2003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4214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2003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3136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2003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3137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2003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4215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2003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1981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2003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1982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2003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2022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2003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2493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2003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2043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2003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2044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2003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4216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2003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2045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2003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2046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2003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2047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2003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2048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2003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2186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2003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2092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2003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4159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2003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2787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2003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4217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2003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3497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2003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3498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2003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4183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2003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2787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2003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4218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2003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4219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2003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2089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2003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3497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2003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3498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2003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3499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2003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3499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2003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2168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2003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2156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2003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2157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2003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2503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2003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3289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2003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2507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2003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3038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2003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2511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2003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4220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2003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2010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2003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2009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2003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2107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2003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2526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2003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2099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2003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2187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2003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2101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2003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2102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2003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2103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2003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4221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2003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2104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2003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3891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2003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2001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2003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2002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2003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3415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2003</v>
      </c>
      <c r="E5488" s="1" t="n">
        <v>1705</v>
      </c>
      <c r="F5488" s="1" t="s">
        <v>131</v>
      </c>
      <c r="I5488" s="1" t="n">
        <v>1973888</v>
      </c>
      <c r="J5488" s="1" t="n">
        <v>32339</v>
      </c>
      <c r="K5488" s="1" t="n">
        <v>7894900681000</v>
      </c>
      <c r="L5488" s="1" t="s">
        <v>2527</v>
      </c>
      <c r="N5488" s="1" t="n">
        <v>12</v>
      </c>
      <c r="O5488" s="1" t="n">
        <v>89.99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2003</v>
      </c>
      <c r="E5489" s="1" t="n">
        <v>1705</v>
      </c>
      <c r="F5489" s="1" t="s">
        <v>131</v>
      </c>
      <c r="I5489" s="1" t="n">
        <v>1973888</v>
      </c>
      <c r="J5489" s="1" t="n">
        <v>27643</v>
      </c>
      <c r="K5489" s="1" t="n">
        <v>7894900031713</v>
      </c>
      <c r="L5489" s="1" t="s">
        <v>3878</v>
      </c>
      <c r="N5489" s="1" t="n">
        <v>24</v>
      </c>
      <c r="O5489" s="1" t="n">
        <v>114.77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2003</v>
      </c>
      <c r="E5490" s="1" t="n">
        <v>1705</v>
      </c>
      <c r="F5490" s="1" t="s">
        <v>131</v>
      </c>
      <c r="I5490" s="1" t="n">
        <v>1973888</v>
      </c>
      <c r="J5490" s="1" t="n">
        <v>28739</v>
      </c>
      <c r="K5490" s="1" t="n">
        <v>7894900027044</v>
      </c>
      <c r="L5490" s="1" t="s">
        <v>2189</v>
      </c>
      <c r="N5490" s="1" t="n">
        <v>30</v>
      </c>
      <c r="O5490" s="1" t="n">
        <v>169.72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2003</v>
      </c>
      <c r="E5491" s="1" t="n">
        <v>1705</v>
      </c>
      <c r="F5491" s="1" t="s">
        <v>131</v>
      </c>
      <c r="I5491" s="1" t="n">
        <v>1973888</v>
      </c>
      <c r="J5491" s="1" t="n">
        <v>29509</v>
      </c>
      <c r="K5491" s="1" t="n">
        <v>78933873</v>
      </c>
      <c r="L5491" s="1" t="s">
        <v>2788</v>
      </c>
      <c r="N5491" s="1" t="n">
        <v>12</v>
      </c>
      <c r="O5491" s="1" t="n">
        <v>22.59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2003</v>
      </c>
      <c r="E5492" s="1" t="n">
        <v>1705</v>
      </c>
      <c r="F5492" s="1" t="s">
        <v>131</v>
      </c>
      <c r="I5492" s="1" t="n">
        <v>1973888</v>
      </c>
      <c r="J5492" s="1" t="n">
        <v>29826</v>
      </c>
      <c r="K5492" s="1" t="n">
        <v>7894900556032</v>
      </c>
      <c r="L5492" s="1" t="s">
        <v>2106</v>
      </c>
      <c r="N5492" s="1" t="n">
        <v>6</v>
      </c>
      <c r="O5492" s="1" t="n">
        <v>36.45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2003</v>
      </c>
      <c r="E5493" s="1" t="n">
        <v>1705</v>
      </c>
      <c r="F5493" s="1" t="s">
        <v>131</v>
      </c>
      <c r="I5493" s="1" t="n">
        <v>1973888</v>
      </c>
      <c r="J5493" s="1" t="n">
        <v>30017</v>
      </c>
      <c r="K5493" s="1" t="n">
        <v>7894900680508</v>
      </c>
      <c r="L5493" s="1" t="s">
        <v>3119</v>
      </c>
      <c r="N5493" s="1" t="n">
        <v>24</v>
      </c>
      <c r="O5493" s="1" t="n">
        <v>84.25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2003</v>
      </c>
      <c r="E5494" s="1" t="n">
        <v>1705</v>
      </c>
      <c r="F5494" s="1" t="s">
        <v>131</v>
      </c>
      <c r="I5494" s="1" t="n">
        <v>1973888</v>
      </c>
      <c r="J5494" s="1" t="n">
        <v>30085</v>
      </c>
      <c r="K5494" s="1" t="n">
        <v>7894900054217</v>
      </c>
      <c r="L5494" s="1" t="s">
        <v>3118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2003</v>
      </c>
      <c r="E5495" s="1" t="n">
        <v>1705</v>
      </c>
      <c r="F5495" s="1" t="s">
        <v>131</v>
      </c>
      <c r="I5495" s="1" t="n">
        <v>1973888</v>
      </c>
      <c r="J5495" s="1" t="n">
        <v>31367</v>
      </c>
      <c r="K5495" s="1" t="n">
        <v>7894900704211</v>
      </c>
      <c r="L5495" s="1" t="s">
        <v>2788</v>
      </c>
      <c r="N5495" s="1" t="n">
        <v>9</v>
      </c>
      <c r="O5495" s="1" t="n">
        <v>52.56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2003</v>
      </c>
      <c r="E5496" s="1" t="n">
        <v>1705</v>
      </c>
      <c r="F5496" s="1" t="s">
        <v>131</v>
      </c>
      <c r="I5496" s="1" t="n">
        <v>1973888</v>
      </c>
      <c r="J5496" s="1" t="n">
        <v>31767</v>
      </c>
      <c r="K5496" s="1" t="n">
        <v>7897105250095</v>
      </c>
      <c r="L5496" s="1" t="s">
        <v>3418</v>
      </c>
      <c r="N5496" s="1" t="n">
        <v>9</v>
      </c>
      <c r="O5496" s="1" t="n">
        <v>33.52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2003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2010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2003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2096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2003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2108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2003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3084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2003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2192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2003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2109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2011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2012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2011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2012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2011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2013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2011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2014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2011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2015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2011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2016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2011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2113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2011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2017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2011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2018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2011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2018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2011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2019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2011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2020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2011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2021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2011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2022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2011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2023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2011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2024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2011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2025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2011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2026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2011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2027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2011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2028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2011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2028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2011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2029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2011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2029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2011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2030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2011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2030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4222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3135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4222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3137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4222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4223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4222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4224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2031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2012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2031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2017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2031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2018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2031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2019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2031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2020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2031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2021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2031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2022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2031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2023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2031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2024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2031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2025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2031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2026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2031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2027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2031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2028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2031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2029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2031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2030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2031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2012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2031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2013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2031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2014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2031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2015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2031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2016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2031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2113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2031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2018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2031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2028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2031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2029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2031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2030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2003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2041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2003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2042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2085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2066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2003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2033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2003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1981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2003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1982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2003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2155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2003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2155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2003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1983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2003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1985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2003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1987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2003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1988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2003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1990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2003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1991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2003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1992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2003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2112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2003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2021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2003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2997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2003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2277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2003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2279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2003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2280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2003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2281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2003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2282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2003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2284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2003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2286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2003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2288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2003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2289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2003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4225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2003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2290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2003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2291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2003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2292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2003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4226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2003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2610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2003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3572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2003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4227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2003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4228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2003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4229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2003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4230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2003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1997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2003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1998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2003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1999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2003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1998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2003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1999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2011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2012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2011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2012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2011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2013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2011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2014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2011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2015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2011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2016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2011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2113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2011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2113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2011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2017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2011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2018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2011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2018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2011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2018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2011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2019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2011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2019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2011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4231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2011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2020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2011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2021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2011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2022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2011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2023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2011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2024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2011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2025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2011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2025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2011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3413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2011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3309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2011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2027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2011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2027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2011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2028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2011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2028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2011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2028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2011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2029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2011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3310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2011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3310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2011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2030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2031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2012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2031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2017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2031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2018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2031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2019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2031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2020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2031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2021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2031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2022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2031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2023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2031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2024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2031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2025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2031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3309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2031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2027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2031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2028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2031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3310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2031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2030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2031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2012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2031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2013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2031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2014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2031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2015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2031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2016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2031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2113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2031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2018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2031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4231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2031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2028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2031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3310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2031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2113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2031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2018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2031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2019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2031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2025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2031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3413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2031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2027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2031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2028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2031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2029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2031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2018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2031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2019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2031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2025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2031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3413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2031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2027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2031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2029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2085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2071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2085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2081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2085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2224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2085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2789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2085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2069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2085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2528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2085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2225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2085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2074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2085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2075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2085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2226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2085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2128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2085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2077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2085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2078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2085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2079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2085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2131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2085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2082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2085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2083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2085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4210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2085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3575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2003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2808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2003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2164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2003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4232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2003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2396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2003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2397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2003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4233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2003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4234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2003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2405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2003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4235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2003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4236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2003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4237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2003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4238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2003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4239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2003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4240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2003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4241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2003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2034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2003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2035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2003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2036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2003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2037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2003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2121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2003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2038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2003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2039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2003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1978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2003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2040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2003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3455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2003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2558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2003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2559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2003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2560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2003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2560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2003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3456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2003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2561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2003</v>
      </c>
      <c r="E5722" s="1" t="n">
        <v>1672</v>
      </c>
      <c r="F5722" s="1" t="s">
        <v>340</v>
      </c>
      <c r="I5722" s="1" t="n">
        <v>1414620</v>
      </c>
      <c r="J5722" s="1" t="n">
        <v>103940</v>
      </c>
      <c r="K5722" s="1" t="n">
        <v>7896579330081</v>
      </c>
      <c r="L5722" s="1" t="s">
        <v>2250</v>
      </c>
      <c r="N5722" s="1" t="n">
        <v>60</v>
      </c>
      <c r="O5722" s="1" t="n">
        <v>54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2003</v>
      </c>
      <c r="E5723" s="1" t="n">
        <v>1672</v>
      </c>
      <c r="F5723" s="1" t="s">
        <v>340</v>
      </c>
      <c r="I5723" s="1" t="n">
        <v>1414620</v>
      </c>
      <c r="J5723" s="1" t="n">
        <v>101308</v>
      </c>
      <c r="K5723" s="1" t="n">
        <v>7896579330098</v>
      </c>
      <c r="L5723" s="1" t="s">
        <v>4242</v>
      </c>
      <c r="N5723" s="1" t="n">
        <v>10</v>
      </c>
      <c r="O5723" s="1" t="n">
        <v>89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2003</v>
      </c>
      <c r="E5724" s="1" t="n">
        <v>1672</v>
      </c>
      <c r="F5724" s="1" t="s">
        <v>340</v>
      </c>
      <c r="I5724" s="1" t="n">
        <v>1414620</v>
      </c>
      <c r="J5724" s="1" t="n">
        <v>103165</v>
      </c>
      <c r="K5724" s="1" t="n">
        <v>7896579310106</v>
      </c>
      <c r="L5724" s="1" t="s">
        <v>3184</v>
      </c>
      <c r="N5724" s="1" t="n">
        <v>18</v>
      </c>
      <c r="O5724" s="1" t="n">
        <v>73.8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2003</v>
      </c>
      <c r="E5725" s="1" t="n">
        <v>1672</v>
      </c>
      <c r="F5725" s="1" t="s">
        <v>340</v>
      </c>
      <c r="I5725" s="1" t="n">
        <v>1414620</v>
      </c>
      <c r="J5725" s="1" t="n">
        <v>103916</v>
      </c>
      <c r="K5725" s="1" t="n">
        <v>7896579330067</v>
      </c>
      <c r="L5725" s="1" t="s">
        <v>3406</v>
      </c>
      <c r="N5725" s="1" t="n">
        <v>45</v>
      </c>
      <c r="O5725" s="1" t="n">
        <v>112.5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2003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3185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2003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3186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2003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2254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2003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2255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2003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3187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2003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4089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2003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3408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2003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2256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2003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3190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2003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2257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2003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2258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2003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2259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2003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4243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2003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3409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2003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3191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2003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2260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2003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4244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2003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3192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2003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2262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2003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4091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2003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2263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2003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2264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2003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2265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2003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4093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2003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4094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2003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2041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2003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2042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2003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2302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2003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3431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2003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2033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2003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2839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2003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2843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2003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2845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2003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2839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2003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4245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2003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4246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2003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4247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2003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4248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2003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4249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2003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4250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2003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4251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2003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4252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2003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4253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2003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3398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2003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4254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2003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4255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2003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4256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2003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4257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2003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2970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2003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3043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2003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3778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2003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3044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2003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3045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2003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3046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2003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3780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2003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3781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2003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3050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2003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3051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2003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3782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2003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3783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2003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3053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2003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3054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2003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3055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2003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3056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2003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3057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2003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3058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2003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3059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2003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3060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2003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3061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2003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3062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2003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3063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2003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3064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2003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3065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2003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3067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2003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3068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2003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3070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2003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3784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2003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3055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2003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3072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2003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3074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2003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3785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2003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3077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2003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3078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2003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3079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2003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3786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2003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2041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2003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1976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2003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1977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2003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1978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2003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2476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2003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2115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2003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1979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2003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2875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2003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3770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2003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3771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2003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4258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2003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3773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2003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4259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2003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4260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2003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3774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2003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4261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2003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4262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2003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3775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2003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3776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2003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1981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2003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1982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2003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3519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2003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4263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2003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3521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2003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3522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2003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3523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2003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2311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2003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4264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2003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3524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2003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2314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2003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2315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2003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2533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2003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2534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2003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2535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2003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2537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2003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2538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2003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4265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2003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4266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2003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3547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2003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4267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2003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2541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2003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2543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2003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3549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2003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3550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2003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3551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2003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3085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2003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3949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2003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3951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2003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4268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2003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3230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2003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4269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2003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4270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2003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4271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2003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2783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2003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4058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2003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4059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2003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2784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2003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2987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2003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3463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2003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4272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2003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2350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2003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2351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2003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2352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2003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4171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2003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2354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2003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2355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2003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4273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2003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3464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2003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2359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2003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2362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2003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2363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2003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4175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2003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3467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2003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4274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2003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4176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2003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4275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2003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4276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2003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4277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2003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4278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2003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4279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2003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4280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2003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4281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2003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4282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2003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4283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2003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4284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2003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4285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2003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4286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2003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4287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2003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4288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2003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4289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2003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4290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2003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4291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2003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4292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2003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4293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2003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4294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2003</v>
      </c>
      <c r="E5906" s="1" t="n">
        <v>1608</v>
      </c>
      <c r="F5906" s="1" t="s">
        <v>224</v>
      </c>
      <c r="I5906" s="1" t="n">
        <v>1710665</v>
      </c>
      <c r="J5906" s="1" t="n">
        <v>43048</v>
      </c>
      <c r="K5906" s="1" t="n">
        <v>7891132110193</v>
      </c>
      <c r="L5906" s="1" t="s">
        <v>4295</v>
      </c>
      <c r="N5906" s="1" t="n">
        <v>6</v>
      </c>
      <c r="O5906" s="1" t="n">
        <v>10.86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2003</v>
      </c>
      <c r="E5907" s="1" t="n">
        <v>1608</v>
      </c>
      <c r="F5907" s="1" t="s">
        <v>224</v>
      </c>
      <c r="I5907" s="1" t="n">
        <v>1710665</v>
      </c>
      <c r="J5907" s="1" t="n">
        <v>35875</v>
      </c>
      <c r="K5907" s="1" t="n">
        <v>7891132082384</v>
      </c>
      <c r="L5907" s="1" t="s">
        <v>4296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2003</v>
      </c>
      <c r="E5908" s="1" t="n">
        <v>1608</v>
      </c>
      <c r="F5908" s="1" t="s">
        <v>224</v>
      </c>
      <c r="I5908" s="1" t="n">
        <v>1710665</v>
      </c>
      <c r="J5908" s="1" t="n">
        <v>35877</v>
      </c>
      <c r="K5908" s="1" t="n">
        <v>7891132082445</v>
      </c>
      <c r="L5908" s="1" t="s">
        <v>4297</v>
      </c>
      <c r="N5908" s="1" t="n">
        <v>60</v>
      </c>
      <c r="O5908" s="1" t="n">
        <v>40.32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2003</v>
      </c>
      <c r="E5909" s="1" t="n">
        <v>1608</v>
      </c>
      <c r="F5909" s="1" t="s">
        <v>224</v>
      </c>
      <c r="I5909" s="1" t="n">
        <v>1710665</v>
      </c>
      <c r="J5909" s="1" t="n">
        <v>35878</v>
      </c>
      <c r="K5909" s="1" t="n">
        <v>7891132082223</v>
      </c>
      <c r="L5909" s="1" t="s">
        <v>4298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2003</v>
      </c>
      <c r="E5910" s="1" t="n">
        <v>1608</v>
      </c>
      <c r="F5910" s="1" t="s">
        <v>224</v>
      </c>
      <c r="I5910" s="1" t="n">
        <v>1710665</v>
      </c>
      <c r="J5910" s="1" t="n">
        <v>36696</v>
      </c>
      <c r="K5910" s="1" t="n">
        <v>7891132082261</v>
      </c>
      <c r="L5910" s="1" t="s">
        <v>4299</v>
      </c>
      <c r="N5910" s="1" t="n">
        <v>30</v>
      </c>
      <c r="O5910" s="1" t="n">
        <v>20.16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2003</v>
      </c>
      <c r="E5911" s="1" t="n">
        <v>1608</v>
      </c>
      <c r="F5911" s="1" t="s">
        <v>224</v>
      </c>
      <c r="I5911" s="1" t="n">
        <v>1710665</v>
      </c>
      <c r="J5911" s="1" t="n">
        <v>36697</v>
      </c>
      <c r="K5911" s="1" t="n">
        <v>7891132082360</v>
      </c>
      <c r="L5911" s="1" t="s">
        <v>4300</v>
      </c>
      <c r="N5911" s="1" t="n">
        <v>60</v>
      </c>
      <c r="O5911" s="1" t="n">
        <v>40.32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2003</v>
      </c>
      <c r="E5912" s="1" t="n">
        <v>1608</v>
      </c>
      <c r="F5912" s="1" t="s">
        <v>224</v>
      </c>
      <c r="I5912" s="1" t="n">
        <v>1710665</v>
      </c>
      <c r="J5912" s="1" t="n">
        <v>36699</v>
      </c>
      <c r="K5912" s="1" t="n">
        <v>7891132082483</v>
      </c>
      <c r="L5912" s="1" t="s">
        <v>4301</v>
      </c>
      <c r="N5912" s="1" t="n">
        <v>30</v>
      </c>
      <c r="O5912" s="1" t="n">
        <v>20.16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2003</v>
      </c>
      <c r="E5913" s="1" t="n">
        <v>1608</v>
      </c>
      <c r="F5913" s="1" t="s">
        <v>224</v>
      </c>
      <c r="I5913" s="1" t="n">
        <v>1710665</v>
      </c>
      <c r="J5913" s="1" t="n">
        <v>40449</v>
      </c>
      <c r="K5913" s="1" t="n">
        <v>7891132110186</v>
      </c>
      <c r="L5913" s="1" t="s">
        <v>4302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2003</v>
      </c>
      <c r="E5914" s="1" t="n">
        <v>1608</v>
      </c>
      <c r="F5914" s="1" t="s">
        <v>224</v>
      </c>
      <c r="I5914" s="1" t="n">
        <v>1710665</v>
      </c>
      <c r="J5914" s="1" t="n">
        <v>41038</v>
      </c>
      <c r="K5914" s="1" t="n">
        <v>7891132110223</v>
      </c>
      <c r="L5914" s="1" t="s">
        <v>4303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2003</v>
      </c>
      <c r="E5915" s="1" t="n">
        <v>1608</v>
      </c>
      <c r="F5915" s="1" t="s">
        <v>224</v>
      </c>
      <c r="I5915" s="1" t="n">
        <v>1710665</v>
      </c>
      <c r="J5915" s="1" t="n">
        <v>41039</v>
      </c>
      <c r="K5915" s="1" t="n">
        <v>7891132110261</v>
      </c>
      <c r="L5915" s="1" t="s">
        <v>4304</v>
      </c>
      <c r="N5915" s="1" t="n">
        <v>24</v>
      </c>
      <c r="O5915" s="1" t="n">
        <v>43.44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2003</v>
      </c>
      <c r="E5916" s="1" t="n">
        <v>1608</v>
      </c>
      <c r="F5916" s="1" t="s">
        <v>224</v>
      </c>
      <c r="I5916" s="1" t="n">
        <v>1710665</v>
      </c>
      <c r="J5916" s="1" t="n">
        <v>41449</v>
      </c>
      <c r="K5916" s="1" t="n">
        <v>7891132110247</v>
      </c>
      <c r="L5916" s="1" t="s">
        <v>4305</v>
      </c>
      <c r="N5916" s="1" t="n">
        <v>6</v>
      </c>
      <c r="O5916" s="1" t="n">
        <v>10.86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2003</v>
      </c>
      <c r="E5917" s="1" t="n">
        <v>1608</v>
      </c>
      <c r="F5917" s="1" t="s">
        <v>224</v>
      </c>
      <c r="I5917" s="1" t="n">
        <v>1710665</v>
      </c>
      <c r="J5917" s="1" t="n">
        <v>42793</v>
      </c>
      <c r="K5917" s="1" t="n">
        <v>7891132110230</v>
      </c>
      <c r="L5917" s="1" t="s">
        <v>4306</v>
      </c>
      <c r="N5917" s="1" t="n">
        <v>24</v>
      </c>
      <c r="O5917" s="1" t="n">
        <v>43.44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2003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4307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2003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4308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2003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4309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2011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2012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2011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2012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2011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2013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2011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2014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2011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2015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2011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2016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2011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2113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2011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2017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2011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2018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2011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2018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2011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2019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2011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2020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2011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2021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2011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2022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2011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2023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2011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2024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2011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2025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2011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2026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2011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2027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2011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2028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2011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2028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2011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2029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2011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2029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2011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2030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2011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2030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2031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2012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2031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2013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2031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2014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2031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2015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2031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2016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2031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2113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2031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2018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2031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2028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2031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2029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2031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2030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2031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2012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2031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2017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2031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2018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2031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2019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2031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2020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2031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2021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2031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2022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2031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2023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2031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2024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2031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2025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2031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2026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2031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2027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2031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2028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2031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2029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2031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2030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2548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2356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2548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2358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2085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2066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2085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2081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2085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2068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2085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2070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2085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2071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2085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2225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2085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2072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2085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2128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2085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2129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2085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2077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2085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2078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2085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2079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2085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2130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2085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4209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2085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2227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2085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2082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2085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2083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2085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3745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2085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2084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2085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4210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2003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3139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2003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3140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2003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2242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2003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2243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2003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2139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2003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2140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2003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2141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2003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2143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2003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2144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2003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2145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2003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2146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2003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2147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2003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2148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2003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2153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2003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2154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2003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2111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2003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2477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2003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4310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2003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2215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2003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2998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2003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4311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2003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4312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2003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4313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2003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3000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2003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3001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2003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4314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2003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4315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2003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4316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2003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4317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2003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3004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2003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3005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2003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4318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2003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4319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2003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3006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2003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3007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2003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4320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2003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4321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2003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4322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2003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3009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2003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3010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2003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4323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2003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4324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2003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4325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2003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4326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2003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4327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2003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4328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2003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4329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2003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4330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2003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3012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2003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4331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2003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2220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2003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3401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2003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2223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2003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4332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2003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3577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2003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2275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2003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2957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2003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4333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2003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4334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2003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4335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2003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3301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2003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3128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2003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2595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2003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2596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2003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4336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2003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2597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2003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4337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2003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3129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2003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2602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2003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2604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2003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3302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2003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3404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2003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2605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2003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4178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2003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2606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2003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2607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2003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2609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2003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3303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2003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2612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2003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2612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2003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3304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2003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4338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2003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2874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2003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4179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2003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2618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2003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2626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2003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2629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2003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2630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2003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3130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2003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4339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2003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2093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2003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1994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2003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1995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2003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3651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2003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2095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2003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2972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2003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3414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2003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2247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2003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2157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2003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3288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2003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2502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2003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4340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2003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3289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2003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2504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2003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3290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2003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4003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2003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4341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2003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2509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2003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2510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2003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1997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2003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1999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2003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1997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2003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1998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2003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1999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2003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2170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2003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2171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2003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2513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2003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2172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2003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2173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2003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2514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2003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2174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2003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2175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2003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2176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2003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2177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2003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2516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2003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2179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2003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4150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2003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3410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2003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2051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2003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2052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2003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2053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2003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2517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2003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2182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2003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2518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2003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2519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2003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2054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2003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2055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2003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4342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2003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2183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2003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2520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2003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3411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2003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2521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2003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2057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2003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2059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2003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2523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2003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2063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2003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2064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2003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2525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2003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4343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2003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2526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2003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2099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2003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2187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2003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2100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2003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2188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2003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2102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2003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2103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2003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4159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2003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2002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2003</v>
      </c>
      <c r="E6151" s="1" t="n">
        <v>1705</v>
      </c>
      <c r="F6151" s="1" t="s">
        <v>131</v>
      </c>
      <c r="I6151" s="1" t="n">
        <v>1986776</v>
      </c>
      <c r="J6151" s="1" t="n">
        <v>32339</v>
      </c>
      <c r="K6151" s="1" t="n">
        <v>7894900681000</v>
      </c>
      <c r="L6151" s="1" t="s">
        <v>2527</v>
      </c>
      <c r="N6151" s="1" t="n">
        <v>12</v>
      </c>
      <c r="O6151" s="1" t="n">
        <v>89.99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2003</v>
      </c>
      <c r="E6152" s="1" t="n">
        <v>1705</v>
      </c>
      <c r="F6152" s="1" t="s">
        <v>131</v>
      </c>
      <c r="I6152" s="1" t="n">
        <v>1986776</v>
      </c>
      <c r="J6152" s="1" t="n">
        <v>27673</v>
      </c>
      <c r="K6152" s="1" t="n">
        <v>7894900701715</v>
      </c>
      <c r="L6152" s="1" t="s">
        <v>2191</v>
      </c>
      <c r="N6152" s="1" t="n">
        <v>12</v>
      </c>
      <c r="O6152" s="1" t="n">
        <v>65.81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2003</v>
      </c>
      <c r="E6153" s="1" t="n">
        <v>1705</v>
      </c>
      <c r="F6153" s="1" t="s">
        <v>131</v>
      </c>
      <c r="I6153" s="1" t="n">
        <v>1986776</v>
      </c>
      <c r="J6153" s="1" t="n">
        <v>28739</v>
      </c>
      <c r="K6153" s="1" t="n">
        <v>7894900027044</v>
      </c>
      <c r="L6153" s="1" t="s">
        <v>2189</v>
      </c>
      <c r="N6153" s="1" t="n">
        <v>18</v>
      </c>
      <c r="O6153" s="1" t="n">
        <v>101.83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2003</v>
      </c>
      <c r="E6154" s="1" t="n">
        <v>1705</v>
      </c>
      <c r="F6154" s="1" t="s">
        <v>131</v>
      </c>
      <c r="I6154" s="1" t="n">
        <v>1986776</v>
      </c>
      <c r="J6154" s="1" t="n">
        <v>29509</v>
      </c>
      <c r="K6154" s="1" t="n">
        <v>78933873</v>
      </c>
      <c r="L6154" s="1" t="s">
        <v>2788</v>
      </c>
      <c r="N6154" s="1" t="n">
        <v>6</v>
      </c>
      <c r="O6154" s="1" t="n">
        <v>11.29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2003</v>
      </c>
      <c r="E6155" s="1" t="n">
        <v>1705</v>
      </c>
      <c r="F6155" s="1" t="s">
        <v>131</v>
      </c>
      <c r="I6155" s="1" t="n">
        <v>1986776</v>
      </c>
      <c r="J6155" s="1" t="n">
        <v>29575</v>
      </c>
      <c r="K6155" s="1" t="n">
        <v>78936478</v>
      </c>
      <c r="L6155" s="1" t="s">
        <v>4344</v>
      </c>
      <c r="N6155" s="1" t="n">
        <v>12</v>
      </c>
      <c r="O6155" s="1" t="n">
        <v>20.51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2003</v>
      </c>
      <c r="E6156" s="1" t="n">
        <v>1705</v>
      </c>
      <c r="F6156" s="1" t="s">
        <v>131</v>
      </c>
      <c r="I6156" s="1" t="n">
        <v>1986776</v>
      </c>
      <c r="J6156" s="1" t="n">
        <v>30017</v>
      </c>
      <c r="K6156" s="1" t="n">
        <v>7894900680508</v>
      </c>
      <c r="L6156" s="1" t="s">
        <v>3119</v>
      </c>
      <c r="N6156" s="1" t="n">
        <v>12</v>
      </c>
      <c r="O6156" s="1" t="n">
        <v>42.12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2003</v>
      </c>
      <c r="E6157" s="1" t="n">
        <v>1705</v>
      </c>
      <c r="F6157" s="1" t="s">
        <v>131</v>
      </c>
      <c r="I6157" s="1" t="n">
        <v>1986776</v>
      </c>
      <c r="J6157" s="1" t="n">
        <v>31767</v>
      </c>
      <c r="K6157" s="1" t="n">
        <v>7897105250095</v>
      </c>
      <c r="L6157" s="1" t="s">
        <v>3418</v>
      </c>
      <c r="N6157" s="1" t="n">
        <v>9</v>
      </c>
      <c r="O6157" s="1" t="n">
        <v>33.52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2003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2107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2003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2108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2003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3420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2085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2066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2003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2041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2003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2042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2003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2032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2003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3428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2003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2169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2003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4345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2003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2794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2003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2797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2003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2929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2003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2930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2003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2931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2003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4346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2003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2932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2003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2933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2003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2934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2003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2935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2003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2936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2003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4347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2003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2937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2003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2939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2003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2941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2003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2942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2003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2943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2003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2946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2003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4348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2003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2948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2003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3870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2003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2949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2003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4349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2003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4350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2003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4351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2003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3873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2003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2950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2003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2951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2003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2952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2003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2953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2003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2954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2003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2955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2003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3460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2003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3461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2003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4352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2003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4353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2003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4354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2003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2956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2003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4355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2003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3875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2003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2808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2003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2809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2003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2811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2003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2812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2003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4356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2003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4357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2003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4358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2003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2821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2003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4359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2085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2066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2003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2041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2003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2042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2003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2116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2003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2117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2003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2118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2003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2119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2003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2120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2003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1981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2003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1982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2003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3439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2003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2197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2003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2198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2003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2201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2003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3440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2003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4360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2003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3442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2003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3443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2003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2208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2003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3444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2003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2211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2003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2212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2003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3446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2003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3447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2003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3448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2003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4361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2003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4362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2003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4363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2003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4364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2003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4365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2003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4366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2003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2564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2003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4367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2003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2566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2003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2567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2003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2568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2003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4368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2003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4369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2003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4370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2003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4371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2003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4372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2003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4373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2003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4374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2003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4375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2003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4376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2003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4377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2003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4378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2003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4379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2003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4380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2003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4381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2003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4382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2003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4383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2003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4384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2003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2158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2003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2159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2003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3846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2003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2163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2003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4385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2003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4386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2003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3847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2003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4387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2003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1997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2003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1999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2003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4386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2003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4388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2003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4389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2003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4390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2003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4391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2003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4392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2003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2587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2003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4393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2003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4394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2003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4395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2003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4396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2003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4397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2003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2589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2003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4398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2003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4398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2003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4399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2003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2592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2003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4400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2003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4401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2003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4402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2003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4403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2003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4404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2011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2012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2011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2012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2011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2013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2011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2014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2011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2015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2011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2016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2011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2113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2011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2017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2011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2018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2011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2018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2011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2019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2011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2020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2011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2021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2011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2022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2011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2023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2011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2024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2011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2025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2011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2026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2011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4405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2011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2027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2011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2028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2011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2028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2011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2029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2011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2029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2011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2030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2011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2030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2031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2012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2031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2017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2031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2018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2031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2019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2031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2020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2031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2021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2031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2022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2031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2023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2031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2024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2031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2025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2031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2026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2031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4405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2031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2027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2031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2028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2031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2029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2031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2030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2031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2012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2031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2013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2031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2014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2031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2015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2031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2016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2031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2113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2031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2018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2031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2028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2031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2029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2031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2030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2085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2071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2085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2081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2085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2067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2085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2068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2085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2069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2085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2072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2085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2074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2085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2075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2085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2226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2085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2129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2085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2077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2085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2078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2085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2079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2085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2190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2085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2082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2085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2083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2085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2084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2085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4210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2003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2033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2003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1976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2003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1977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2003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1978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2003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2115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2003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1979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2003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2034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2003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2035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2003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2036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2003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2037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2003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2121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2003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2038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2003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2039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2003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1978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2003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2040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2003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4406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2003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4407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2003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4408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2003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4409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2003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4410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2003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4411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2003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4412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2003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4413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2003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4414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2003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4415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2003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4416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2003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4417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2003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4418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2003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4419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2003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4420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2003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4421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2003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4422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2003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4423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2003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4424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2003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4425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2003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4426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2003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4427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2003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4428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2003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4429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2003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4430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2003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4431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2003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4432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2003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4433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2003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4434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2003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4435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2003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4436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2003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4437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2003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4438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2003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4439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2003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4440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2003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4441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2003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4442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2003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4443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2003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4444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2003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4445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2003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4446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2003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4447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2003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4448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2003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4449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2003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4450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2003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4451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2003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4452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2003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4453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2003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4454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2003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4455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2003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4456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2003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3013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2003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2990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2003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2157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2003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4457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2003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2631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2003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2634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2003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2276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2003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4458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2003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4459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2003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4004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2003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3311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2003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4005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2003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4460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2003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4007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2003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4008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2003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3314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2003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4009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2003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3315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2003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4461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2003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4462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2003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4463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2003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3316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2003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3317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2003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4015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2003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3318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2003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4464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2003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4023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2003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4465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2003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3320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2003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3321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2003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4466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2003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4467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2003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3929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2003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3930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2003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3931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2003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3932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2003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4468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2003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4469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2003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4470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2003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3937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2003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3938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2003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3939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2003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3940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2003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4471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2003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3322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2003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3323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2003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4472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2003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3324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2003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4473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2003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4035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2003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3326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2003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4474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2003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4475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2003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4037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2003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3327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2003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4040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2003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3328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2003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4476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2003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3743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2003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2043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2003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2044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2003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2045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2003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2046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2003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2047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2003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2048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2003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1997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2003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1998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2003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1999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2003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2009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2003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2185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2003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2186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2003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2107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2003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2526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2003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2099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2003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2187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2003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2101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2003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2188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2003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2104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2003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2002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2003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3878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2003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2788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2003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2096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2003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2107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2003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2192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2003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2986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2003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4477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2003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4478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2003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4479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2003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4480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2003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3762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2003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3484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2003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4481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2003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3486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2003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4482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2003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4483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2003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4484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2003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3479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2003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4485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2003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4486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2003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4487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2003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4488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2003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4489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2003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4490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2003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4491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2003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4492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2003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4493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2003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4494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2003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4495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2003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4496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2003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4497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2003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3481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2003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4498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2003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3489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2003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4499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2548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4500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2085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2066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2003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2248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2003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1981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2003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4501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2003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3528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2003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2772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2003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4502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2003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2776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2003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4503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2003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2777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2003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4504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2003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4505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2003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4506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2003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3537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2003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4507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2003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4508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2003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4509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2003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3540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2003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4510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2003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4511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2003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4512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2003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4513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2003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4514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2003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4515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2003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4516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2003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4517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2003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4518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2003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4519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2003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4520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2003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4521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2003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4522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2003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4523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2003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4524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2003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4525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2003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3165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2003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4526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2003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4527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2003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4528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2003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4529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2003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4530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2003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4531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2003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4532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2003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4533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2003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4533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2003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4534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2003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4535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2003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4536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2003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4537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2003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4538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2003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4539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2003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4540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2003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3151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2003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4541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2003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4542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2003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4414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2003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4543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2003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4544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2003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4545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2003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3151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2003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4546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2003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3152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2003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4547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2003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4548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2003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3155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2003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4549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2003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3156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2003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4550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2003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4551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2003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4552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2003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4553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2003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4554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2003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4555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2003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3158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2003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3159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2003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3160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2003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4556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2003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3167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2003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3168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2003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4557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2003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4558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2003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4559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2003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4560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2003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4561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2003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4562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2003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4563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2003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2295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2003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2296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2003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2297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2003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4564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2003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2298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2003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3120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2003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3121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2003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3122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2003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4565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2003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4129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2003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3126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2003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4566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2003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4567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2003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4568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2011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2012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2011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2017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2011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2018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2011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2019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2011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2020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2011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2021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2011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2022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2011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2023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2011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2024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2011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2025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2011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2026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2011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2027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2011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2028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2011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2029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2011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2030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2031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2012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2031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2017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2031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2018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2031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2019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2031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2020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2031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2021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2031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2022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2031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2023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2031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2024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2031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2025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2031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2026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2031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2027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2031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2028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2031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2029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2031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2030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2085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2875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2085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3492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2085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3493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2085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3494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2085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3495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2085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4569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2085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3496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2003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2032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2003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2269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2003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4164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2003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1982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2003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4570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2003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4571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2003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4572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2003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4573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2003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4574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2003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4575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2003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1998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2003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1999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2003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4576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2003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3653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2003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4577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2003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3089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2003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3090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2003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4578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2003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4579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2003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4580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2003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4581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2003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4582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2003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4583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2003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4584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2003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3690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2003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4585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2003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3692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2003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4586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2003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4587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2003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4588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2003</v>
      </c>
      <c r="E6719" s="1" t="n">
        <v>10012</v>
      </c>
      <c r="F6719" s="1" t="s">
        <v>176</v>
      </c>
      <c r="I6719" s="1" t="n">
        <v>1966312</v>
      </c>
      <c r="J6719" s="1" t="n">
        <v>54803</v>
      </c>
      <c r="K6719" s="1" t="n">
        <v>7891032011224</v>
      </c>
      <c r="L6719" s="1" t="s">
        <v>4589</v>
      </c>
      <c r="N6719" s="1" t="n">
        <v>12</v>
      </c>
      <c r="O6719" s="1" t="n">
        <v>132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2003</v>
      </c>
      <c r="E6720" s="1" t="n">
        <v>10012</v>
      </c>
      <c r="F6720" s="1" t="s">
        <v>176</v>
      </c>
      <c r="I6720" s="1" t="n">
        <v>1966312</v>
      </c>
      <c r="J6720" s="1" t="n">
        <v>45210</v>
      </c>
      <c r="K6720" s="1" t="n">
        <v>7891032014621</v>
      </c>
      <c r="L6720" s="1" t="s">
        <v>4590</v>
      </c>
      <c r="N6720" s="1" t="n">
        <v>32</v>
      </c>
      <c r="O6720" s="1" t="n">
        <v>57.28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2003</v>
      </c>
      <c r="E6721" s="1" t="n">
        <v>10012</v>
      </c>
      <c r="F6721" s="1" t="s">
        <v>176</v>
      </c>
      <c r="I6721" s="1" t="n">
        <v>1966312</v>
      </c>
      <c r="J6721" s="1" t="n">
        <v>46225</v>
      </c>
      <c r="K6721" s="1" t="n">
        <v>7891032014706</v>
      </c>
      <c r="L6721" s="1" t="s">
        <v>3103</v>
      </c>
      <c r="N6721" s="1" t="n">
        <v>32</v>
      </c>
      <c r="O6721" s="1" t="n">
        <v>88.96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2003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4591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2003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4592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2011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2012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2011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2013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2011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2014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2011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2015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2011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2016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2011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2018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2011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2114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2011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2028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2011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3310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2031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2012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2031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2013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2031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2014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2031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2015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2031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2016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2031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2018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2031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2114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2031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2028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2031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3310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2085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2066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2085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2071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2085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2081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2085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2068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2085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2069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2085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2528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2085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2072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2085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2073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2085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2076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2085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2128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2085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2077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2085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2078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2085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2079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2085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2131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2085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2082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2085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2083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2085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2084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2085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2266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2085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2267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2085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2268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2003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2041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2003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2042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2003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2242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2003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2243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2003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2242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2003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2243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2003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1980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2003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4208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2003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4593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2003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2997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2003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4594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2003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2495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2003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2996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2003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3392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2003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1981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2003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2155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2003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1997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2003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1998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2003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1999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2011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2012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2011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2017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2011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2018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2011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2019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2011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2019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2011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2020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2011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2021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2011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2022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2011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2023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2011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2024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2011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2025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2011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2026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2011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2027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2011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2027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2011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2028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2011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2028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2011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2029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2011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2030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4595</v>
      </c>
      <c r="E6799" s="1" t="n">
        <v>48</v>
      </c>
      <c r="F6799" s="1" t="s">
        <v>146</v>
      </c>
      <c r="I6799" s="1" t="n">
        <v>2618</v>
      </c>
      <c r="J6799" s="1" t="n">
        <v>103940</v>
      </c>
      <c r="K6799" s="1" t="n">
        <v>7896579330081</v>
      </c>
      <c r="L6799" s="1" t="s">
        <v>2250</v>
      </c>
      <c r="N6799" s="1" t="n">
        <v>1</v>
      </c>
      <c r="O6799" s="1" t="n">
        <v>1.5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4595</v>
      </c>
      <c r="E6800" s="1" t="n">
        <v>48</v>
      </c>
      <c r="F6800" s="1" t="s">
        <v>146</v>
      </c>
      <c r="I6800" s="1" t="n">
        <v>2618</v>
      </c>
      <c r="J6800" s="1" t="n">
        <v>100013</v>
      </c>
      <c r="K6800" s="1" t="n">
        <v>14</v>
      </c>
      <c r="L6800" s="1" t="s">
        <v>2022</v>
      </c>
      <c r="N6800" s="1" t="n">
        <v>0.766</v>
      </c>
      <c r="O6800" s="1" t="n">
        <v>40.59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4595</v>
      </c>
      <c r="E6801" s="1" t="n">
        <v>48</v>
      </c>
      <c r="F6801" s="1" t="s">
        <v>146</v>
      </c>
      <c r="I6801" s="1" t="n">
        <v>2618</v>
      </c>
      <c r="J6801" s="1" t="n">
        <v>100019</v>
      </c>
      <c r="K6801" s="1" t="n">
        <v>20</v>
      </c>
      <c r="L6801" s="1" t="s">
        <v>3309</v>
      </c>
      <c r="N6801" s="1" t="n">
        <v>0.478</v>
      </c>
      <c r="O6801" s="1" t="n">
        <v>20.07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4595</v>
      </c>
      <c r="E6802" s="1" t="n">
        <v>48</v>
      </c>
      <c r="F6802" s="1" t="s">
        <v>146</v>
      </c>
      <c r="I6802" s="1" t="n">
        <v>2618</v>
      </c>
      <c r="J6802" s="1" t="n">
        <v>100036</v>
      </c>
      <c r="K6802" s="1" t="n">
        <v>37</v>
      </c>
      <c r="L6802" s="1" t="s">
        <v>2925</v>
      </c>
      <c r="N6802" s="1" t="n">
        <v>0.724</v>
      </c>
      <c r="O6802" s="1" t="n">
        <v>20.26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4595</v>
      </c>
      <c r="E6803" s="1" t="n">
        <v>48</v>
      </c>
      <c r="F6803" s="1" t="s">
        <v>146</v>
      </c>
      <c r="I6803" s="1" t="n">
        <v>2618</v>
      </c>
      <c r="J6803" s="1" t="n">
        <v>100101</v>
      </c>
      <c r="K6803" s="1" t="n">
        <v>102</v>
      </c>
      <c r="L6803" s="1" t="s">
        <v>4596</v>
      </c>
      <c r="N6803" s="1" t="n">
        <v>0.08</v>
      </c>
      <c r="O6803" s="1" t="n">
        <v>3.2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4595</v>
      </c>
      <c r="E6804" s="1" t="n">
        <v>48</v>
      </c>
      <c r="F6804" s="1" t="s">
        <v>146</v>
      </c>
      <c r="I6804" s="1" t="n">
        <v>2618</v>
      </c>
      <c r="J6804" s="1" t="n">
        <v>100105</v>
      </c>
      <c r="K6804" s="1" t="n">
        <v>106</v>
      </c>
      <c r="L6804" s="1" t="s">
        <v>2068</v>
      </c>
      <c r="N6804" s="1" t="n">
        <v>0.465</v>
      </c>
      <c r="O6804" s="1" t="n">
        <v>4.88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4595</v>
      </c>
      <c r="E6805" s="1" t="n">
        <v>48</v>
      </c>
      <c r="F6805" s="1" t="s">
        <v>146</v>
      </c>
      <c r="I6805" s="1" t="n">
        <v>2618</v>
      </c>
      <c r="J6805" s="1" t="n">
        <v>100109</v>
      </c>
      <c r="K6805" s="1" t="n">
        <v>110</v>
      </c>
      <c r="L6805" s="1" t="s">
        <v>2069</v>
      </c>
      <c r="N6805" s="1" t="n">
        <v>0.255</v>
      </c>
      <c r="O6805" s="1" t="n">
        <v>2.55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4595</v>
      </c>
      <c r="E6806" s="1" t="n">
        <v>48</v>
      </c>
      <c r="F6806" s="1" t="s">
        <v>146</v>
      </c>
      <c r="I6806" s="1" t="n">
        <v>2618</v>
      </c>
      <c r="J6806" s="1" t="n">
        <v>100132</v>
      </c>
      <c r="K6806" s="1" t="n">
        <v>133</v>
      </c>
      <c r="L6806" s="1" t="s">
        <v>2078</v>
      </c>
      <c r="N6806" s="1" t="n">
        <v>1.545</v>
      </c>
      <c r="O6806" s="1" t="n">
        <v>7.71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4595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2319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4595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2836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4595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2216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4595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4189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4595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2268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4595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2279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4595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2768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2031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2019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2031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2027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2031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2028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2031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2012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2031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2017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2031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2018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2031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2019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2031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2020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2031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2021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2031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2022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2031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2023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2031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2024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2031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2025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2031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2026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2031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2027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2031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2028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2031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2029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2031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2030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2003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2033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2003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4597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2003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4598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2003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4599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2003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4600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2003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4601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2003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4602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2003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2860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2003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2863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2003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2867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2003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2277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2003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2280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2003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2281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2003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2282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2003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2284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2003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2286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2003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2288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2003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4225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2003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2290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2003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2291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2003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2292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2003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2294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2003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3583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2828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4603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2828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4604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2828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4605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2085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2066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2003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2041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2003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2042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2003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1976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2003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1977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2003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1978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2003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2476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2003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2115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2003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1981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2003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1982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2003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2215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2003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2004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2003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2005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2003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2008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2003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4606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2003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1997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2003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1998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2003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1999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2011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2012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2011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2012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2011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2013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2011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2014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2011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2015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2011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2016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2011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2113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2011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2017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2011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2018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2011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2018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2011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2019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2011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2020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2011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2021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2011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2022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2011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2023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2011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2024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2011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2025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2011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2026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2011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3309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2011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2027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2011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2028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2011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2028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2011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2029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2011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2029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2011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2030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2011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2030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2031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2012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2031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2017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2031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2018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2031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2019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2031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2020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2031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2021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2031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2022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2031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2023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2031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2024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2031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2025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2031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2026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2031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2027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2031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2028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2031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2029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2031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2030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2031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2012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2031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2013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2031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2014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2031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2015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2031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2016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2031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2113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2031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2018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2031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3309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2031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2028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2031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2029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2031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2030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2548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2302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2548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2863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2085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2071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2085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2081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2085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2067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2085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2068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2085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2789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2085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2069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2085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2074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2085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2075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2085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2226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2085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2129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2085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2078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2085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2079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2085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2131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2085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2082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2085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2083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2085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3575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2003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2033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2003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2035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2003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2036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2003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2037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2003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2038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2003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2039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2003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1978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2003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2040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2003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2216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2003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2217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2003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2218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2003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2219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2003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2222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2003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4607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2003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3743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2003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2043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2003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2044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2003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4216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2003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2045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2003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2046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2003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2047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2003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2048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2003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2786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2003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3876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2003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4182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2003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4608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2003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1994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2003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1995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2003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2094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2003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2496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2003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2787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2003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4217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2003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2925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2003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2569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2003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2570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2003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4609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2003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2572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2003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2573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2003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2574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2003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2575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2003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2576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2003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2579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2003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4610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2003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2580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2003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2581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2003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4611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2003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2582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2003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2583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2003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2752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2003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4612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2003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4613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2003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4614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2003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2678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2003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4615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2003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2667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2003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2668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2003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2669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2003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2672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2003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2673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2003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4616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2003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2676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2003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2682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2003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4617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2003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3887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2003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3285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2003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3286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2003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3287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2003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2305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2003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2692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2003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2699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2003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2700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2003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4618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2003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4619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2003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4620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2003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2702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2003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2703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2003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2704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2003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2705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2003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2706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2003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2707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2003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3889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2003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4621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2003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4622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2003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2710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2003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4623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2003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4624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2003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2655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2003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3884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2003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4625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2003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4626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2003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2662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2003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2663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2003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4627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2003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4628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2003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2666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2003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2671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2003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2674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2003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2675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2003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3885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2003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4629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2003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4630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2003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4631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2003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4632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2003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2687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2003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2690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2003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2691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2003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4633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2003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4634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2003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4635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2003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4636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2003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4637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2003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2694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2003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2695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2003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2995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2003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4638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2003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4639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2003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2697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2003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4640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2003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1999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2003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2185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2003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2186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2003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2107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2003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2099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2003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2187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2003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2100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2003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2101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2003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4188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2003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2102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2003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2103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2003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2105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2003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2000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2003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4159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2003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3891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2003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2001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2003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2002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2003</v>
      </c>
      <c r="E7081" s="1" t="n">
        <v>1705</v>
      </c>
      <c r="F7081" s="1" t="s">
        <v>131</v>
      </c>
      <c r="I7081" s="1" t="n">
        <v>2004983</v>
      </c>
      <c r="J7081" s="1" t="n">
        <v>32339</v>
      </c>
      <c r="K7081" s="1" t="n">
        <v>7894900681000</v>
      </c>
      <c r="L7081" s="1" t="s">
        <v>2527</v>
      </c>
      <c r="N7081" s="1" t="n">
        <v>12</v>
      </c>
      <c r="O7081" s="1" t="n">
        <v>89.99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2003</v>
      </c>
      <c r="E7082" s="1" t="n">
        <v>1705</v>
      </c>
      <c r="F7082" s="1" t="s">
        <v>131</v>
      </c>
      <c r="I7082" s="1" t="n">
        <v>2004983</v>
      </c>
      <c r="J7082" s="1" t="n">
        <v>27673</v>
      </c>
      <c r="K7082" s="1" t="n">
        <v>7894900701715</v>
      </c>
      <c r="L7082" s="1" t="s">
        <v>2191</v>
      </c>
      <c r="N7082" s="1" t="n">
        <v>12</v>
      </c>
      <c r="O7082" s="1" t="n">
        <v>65.81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2003</v>
      </c>
      <c r="E7083" s="1" t="n">
        <v>1705</v>
      </c>
      <c r="F7083" s="1" t="s">
        <v>131</v>
      </c>
      <c r="I7083" s="1" t="n">
        <v>2004983</v>
      </c>
      <c r="J7083" s="1" t="n">
        <v>28739</v>
      </c>
      <c r="K7083" s="1" t="n">
        <v>7894900027044</v>
      </c>
      <c r="L7083" s="1" t="s">
        <v>2189</v>
      </c>
      <c r="N7083" s="1" t="n">
        <v>30</v>
      </c>
      <c r="O7083" s="1" t="n">
        <v>169.72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2003</v>
      </c>
      <c r="E7084" s="1" t="n">
        <v>1705</v>
      </c>
      <c r="F7084" s="1" t="s">
        <v>131</v>
      </c>
      <c r="I7084" s="1" t="n">
        <v>2004983</v>
      </c>
      <c r="J7084" s="1" t="n">
        <v>29826</v>
      </c>
      <c r="K7084" s="1" t="n">
        <v>7894900556032</v>
      </c>
      <c r="L7084" s="1" t="s">
        <v>2106</v>
      </c>
      <c r="N7084" s="1" t="n">
        <v>12</v>
      </c>
      <c r="O7084" s="1" t="n">
        <v>72.89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2003</v>
      </c>
      <c r="E7085" s="1" t="n">
        <v>1705</v>
      </c>
      <c r="F7085" s="1" t="s">
        <v>131</v>
      </c>
      <c r="I7085" s="1" t="n">
        <v>2004983</v>
      </c>
      <c r="J7085" s="1" t="n">
        <v>30017</v>
      </c>
      <c r="K7085" s="1" t="n">
        <v>7894900680508</v>
      </c>
      <c r="L7085" s="1" t="s">
        <v>3119</v>
      </c>
      <c r="N7085" s="1" t="n">
        <v>24</v>
      </c>
      <c r="O7085" s="1" t="n">
        <v>84.25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2003</v>
      </c>
      <c r="E7086" s="1" t="n">
        <v>1705</v>
      </c>
      <c r="F7086" s="1" t="s">
        <v>131</v>
      </c>
      <c r="I7086" s="1" t="n">
        <v>2004983</v>
      </c>
      <c r="J7086" s="1" t="n">
        <v>31367</v>
      </c>
      <c r="K7086" s="1" t="n">
        <v>7894900704211</v>
      </c>
      <c r="L7086" s="1" t="s">
        <v>2788</v>
      </c>
      <c r="N7086" s="1" t="n">
        <v>9</v>
      </c>
      <c r="O7086" s="1" t="n">
        <v>52.56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2003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2010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2003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2107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2003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2108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2003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2109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2085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2066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2003</v>
      </c>
      <c r="E7092" s="1" t="n">
        <v>1390</v>
      </c>
      <c r="F7092" s="1" t="s">
        <v>1695</v>
      </c>
      <c r="I7092" s="1" t="n">
        <v>7287</v>
      </c>
      <c r="J7092" s="1" t="n">
        <v>74806</v>
      </c>
      <c r="K7092" s="1" t="n">
        <v>7898967923899</v>
      </c>
      <c r="L7092" s="1" t="s">
        <v>4641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2003</v>
      </c>
      <c r="E7093" s="1" t="n">
        <v>1390</v>
      </c>
      <c r="F7093" s="1" t="s">
        <v>1695</v>
      </c>
      <c r="I7093" s="1" t="n">
        <v>7287</v>
      </c>
      <c r="J7093" s="1" t="n">
        <v>74808</v>
      </c>
      <c r="K7093" s="1" t="n">
        <v>7898967923912</v>
      </c>
      <c r="L7093" s="1" t="s">
        <v>4642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2003</v>
      </c>
      <c r="E7094" s="1" t="n">
        <v>1390</v>
      </c>
      <c r="F7094" s="1" t="s">
        <v>1695</v>
      </c>
      <c r="I7094" s="1" t="n">
        <v>7287</v>
      </c>
      <c r="J7094" s="1" t="n">
        <v>75038</v>
      </c>
      <c r="K7094" s="1" t="n">
        <v>7898754690492</v>
      </c>
      <c r="L7094" s="1" t="s">
        <v>4643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2003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4644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2003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4645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2003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4646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2003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4647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2003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4648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2003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4649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2003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4650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2003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4651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2003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4652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2003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4653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2003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4654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2003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4655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2003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4656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2003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4657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2003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4658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2003</v>
      </c>
      <c r="E7110" s="1" t="n">
        <v>794</v>
      </c>
      <c r="F7110" s="1" t="s">
        <v>343</v>
      </c>
      <c r="I7110" s="1" t="n">
        <v>8744</v>
      </c>
      <c r="J7110" s="1" t="n">
        <v>67821</v>
      </c>
      <c r="K7110" s="1" t="n">
        <v>7898952461788</v>
      </c>
      <c r="L7110" s="1" t="s">
        <v>4659</v>
      </c>
      <c r="N7110" s="1" t="n">
        <v>12</v>
      </c>
      <c r="O7110" s="1" t="n">
        <v>96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2003</v>
      </c>
      <c r="E7111" s="1" t="n">
        <v>794</v>
      </c>
      <c r="F7111" s="1" t="s">
        <v>343</v>
      </c>
      <c r="I7111" s="1" t="n">
        <v>8744</v>
      </c>
      <c r="J7111" s="1" t="n">
        <v>56820</v>
      </c>
      <c r="K7111" s="1" t="n">
        <v>7898927066512</v>
      </c>
      <c r="L7111" s="1" t="s">
        <v>4660</v>
      </c>
      <c r="N7111" s="1" t="n">
        <v>12</v>
      </c>
      <c r="O7111" s="1" t="n">
        <v>35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2003</v>
      </c>
      <c r="E7112" s="1" t="n">
        <v>794</v>
      </c>
      <c r="F7112" s="1" t="s">
        <v>343</v>
      </c>
      <c r="I7112" s="1" t="n">
        <v>8744</v>
      </c>
      <c r="J7112" s="1" t="n">
        <v>62668</v>
      </c>
      <c r="K7112" s="1" t="n">
        <v>7898093782889</v>
      </c>
      <c r="L7112" s="1" t="s">
        <v>4661</v>
      </c>
      <c r="N7112" s="1" t="n">
        <v>36</v>
      </c>
      <c r="O7112" s="1" t="n">
        <v>60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2003</v>
      </c>
      <c r="E7113" s="1" t="n">
        <v>794</v>
      </c>
      <c r="F7113" s="1" t="s">
        <v>343</v>
      </c>
      <c r="I7113" s="1" t="n">
        <v>8744</v>
      </c>
      <c r="J7113" s="1" t="n">
        <v>67461</v>
      </c>
      <c r="K7113" s="1" t="n">
        <v>7893095372090</v>
      </c>
      <c r="L7113" s="1" t="s">
        <v>4662</v>
      </c>
      <c r="N7113" s="1" t="n">
        <v>12</v>
      </c>
      <c r="O7113" s="1" t="n">
        <v>56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2003</v>
      </c>
      <c r="E7114" s="1" t="n">
        <v>794</v>
      </c>
      <c r="F7114" s="1" t="s">
        <v>343</v>
      </c>
      <c r="I7114" s="1" t="n">
        <v>8744</v>
      </c>
      <c r="J7114" s="1" t="n">
        <v>67475</v>
      </c>
      <c r="K7114" s="1" t="n">
        <v>7890000009195</v>
      </c>
      <c r="L7114" s="1" t="s">
        <v>4663</v>
      </c>
      <c r="N7114" s="1" t="n">
        <v>24</v>
      </c>
      <c r="O7114" s="1" t="n">
        <v>220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2003</v>
      </c>
      <c r="E7115" s="1" t="n">
        <v>794</v>
      </c>
      <c r="F7115" s="1" t="s">
        <v>343</v>
      </c>
      <c r="I7115" s="1" t="n">
        <v>8744</v>
      </c>
      <c r="J7115" s="1" t="n">
        <v>67476</v>
      </c>
      <c r="K7115" s="1" t="n">
        <v>7890780009446</v>
      </c>
      <c r="L7115" s="1" t="s">
        <v>4664</v>
      </c>
      <c r="N7115" s="1" t="n">
        <v>24</v>
      </c>
      <c r="O7115" s="1" t="n">
        <v>206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2003</v>
      </c>
      <c r="E7116" s="1" t="n">
        <v>794</v>
      </c>
      <c r="F7116" s="1" t="s">
        <v>343</v>
      </c>
      <c r="I7116" s="1" t="n">
        <v>8744</v>
      </c>
      <c r="J7116" s="1" t="n">
        <v>67642</v>
      </c>
      <c r="K7116" s="1" t="n">
        <v>7898093784456</v>
      </c>
      <c r="L7116" s="1" t="s">
        <v>4665</v>
      </c>
      <c r="N7116" s="1" t="n">
        <v>20</v>
      </c>
      <c r="O7116" s="1" t="n">
        <v>100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2003</v>
      </c>
      <c r="E7117" s="1" t="n">
        <v>794</v>
      </c>
      <c r="F7117" s="1" t="s">
        <v>343</v>
      </c>
      <c r="I7117" s="1" t="n">
        <v>8744</v>
      </c>
      <c r="J7117" s="1" t="n">
        <v>67820</v>
      </c>
      <c r="K7117" s="1" t="n">
        <v>7898952461221</v>
      </c>
      <c r="L7117" s="1" t="s">
        <v>4666</v>
      </c>
      <c r="N7117" s="1" t="n">
        <v>7</v>
      </c>
      <c r="O7117" s="1" t="n">
        <v>56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2003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4667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2003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4668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2003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4669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2003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4670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2003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4671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2003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4672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2003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1981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2003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2155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2003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2021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2003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2022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2003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2023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2003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3110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2003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3586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2003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3587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2003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2133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2003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3112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2003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3113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2003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2135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2003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3115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2003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3117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2003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3589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2003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3014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2003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3015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2003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4673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2003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4674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2003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3016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2003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3017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2003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3018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2003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4675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2003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2868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2003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4676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2003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4677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2003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3019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2003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3020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2003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4678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2003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4679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2003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4680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2003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3561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2003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3023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2003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3022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2003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3024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2003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3565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2003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2869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2003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4681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2003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3566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2003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4682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2003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4683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2003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4684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2003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3025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2003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3026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2003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2870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2003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3567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2003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2871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2003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4685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2003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4686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2003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3027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2003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3028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2003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3029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2003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3568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2003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3030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2003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3569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2003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3031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2003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3032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2003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4687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2003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4688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2003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4689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2003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4690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2003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4691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2003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2329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2003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2330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2003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4692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2003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4693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2003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4694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2003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2331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2003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4695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2003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2332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2003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2334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2003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4696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2003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4697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2003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2335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2003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2336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2003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4698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2003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4699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2003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2337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2003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2338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2003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4700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2003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4701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2003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4702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2003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2341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2003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2342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2003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2343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2003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4072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2003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2344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2003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2345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2003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2345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2003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2347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2003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4703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2003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4704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2003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2349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2003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4073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2003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2091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2003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2093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2003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2496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2003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2250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2003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3185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2003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3186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2003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2251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2003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4705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2003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2253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2003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4706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2003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4707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2003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2255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2003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4090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2003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2257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2003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3192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2003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3192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2003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2264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2003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2265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2003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1997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2003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1998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2003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1999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2003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4343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2003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2107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2003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2526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2003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2099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2003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2187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2003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2100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2003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2101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2003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2188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2003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2102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2003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4221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2003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2104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2003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2000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2003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2002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2003</v>
      </c>
      <c r="E7252" s="1" t="n">
        <v>1705</v>
      </c>
      <c r="F7252" s="1" t="s">
        <v>131</v>
      </c>
      <c r="I7252" s="1" t="n">
        <v>2007955</v>
      </c>
      <c r="J7252" s="1" t="n">
        <v>32339</v>
      </c>
      <c r="K7252" s="1" t="n">
        <v>7894900681000</v>
      </c>
      <c r="L7252" s="1" t="s">
        <v>2527</v>
      </c>
      <c r="N7252" s="1" t="n">
        <v>12</v>
      </c>
      <c r="O7252" s="1" t="n">
        <v>89.99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2003</v>
      </c>
      <c r="E7253" s="1" t="n">
        <v>1705</v>
      </c>
      <c r="F7253" s="1" t="s">
        <v>131</v>
      </c>
      <c r="I7253" s="1" t="n">
        <v>2007955</v>
      </c>
      <c r="J7253" s="1" t="n">
        <v>27643</v>
      </c>
      <c r="K7253" s="1" t="n">
        <v>7894900031713</v>
      </c>
      <c r="L7253" s="1" t="s">
        <v>3878</v>
      </c>
      <c r="N7253" s="1" t="n">
        <v>12</v>
      </c>
      <c r="O7253" s="1" t="n">
        <v>57.39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2003</v>
      </c>
      <c r="E7254" s="1" t="n">
        <v>1705</v>
      </c>
      <c r="F7254" s="1" t="s">
        <v>131</v>
      </c>
      <c r="I7254" s="1" t="n">
        <v>2007955</v>
      </c>
      <c r="J7254" s="1" t="n">
        <v>27673</v>
      </c>
      <c r="K7254" s="1" t="n">
        <v>7894900701715</v>
      </c>
      <c r="L7254" s="1" t="s">
        <v>2191</v>
      </c>
      <c r="N7254" s="1" t="n">
        <v>12</v>
      </c>
      <c r="O7254" s="1" t="n">
        <v>65.81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2003</v>
      </c>
      <c r="E7255" s="1" t="n">
        <v>1705</v>
      </c>
      <c r="F7255" s="1" t="s">
        <v>131</v>
      </c>
      <c r="I7255" s="1" t="n">
        <v>2007955</v>
      </c>
      <c r="J7255" s="1" t="n">
        <v>28739</v>
      </c>
      <c r="K7255" s="1" t="n">
        <v>7894900027044</v>
      </c>
      <c r="L7255" s="1" t="s">
        <v>2189</v>
      </c>
      <c r="N7255" s="1" t="n">
        <v>60</v>
      </c>
      <c r="O7255" s="1" t="n">
        <v>339.44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2003</v>
      </c>
      <c r="E7256" s="1" t="n">
        <v>1705</v>
      </c>
      <c r="F7256" s="1" t="s">
        <v>131</v>
      </c>
      <c r="I7256" s="1" t="n">
        <v>2007955</v>
      </c>
      <c r="J7256" s="1" t="n">
        <v>29509</v>
      </c>
      <c r="K7256" s="1" t="n">
        <v>78933873</v>
      </c>
      <c r="L7256" s="1" t="s">
        <v>2788</v>
      </c>
      <c r="N7256" s="1" t="n">
        <v>12</v>
      </c>
      <c r="O7256" s="1" t="n">
        <v>22.59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2003</v>
      </c>
      <c r="E7257" s="1" t="n">
        <v>1705</v>
      </c>
      <c r="F7257" s="1" t="s">
        <v>131</v>
      </c>
      <c r="I7257" s="1" t="n">
        <v>2007955</v>
      </c>
      <c r="J7257" s="1" t="n">
        <v>29575</v>
      </c>
      <c r="K7257" s="1" t="n">
        <v>78936478</v>
      </c>
      <c r="L7257" s="1" t="s">
        <v>4344</v>
      </c>
      <c r="N7257" s="1" t="n">
        <v>12</v>
      </c>
      <c r="O7257" s="1" t="n">
        <v>20.51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2003</v>
      </c>
      <c r="E7258" s="1" t="n">
        <v>1705</v>
      </c>
      <c r="F7258" s="1" t="s">
        <v>131</v>
      </c>
      <c r="I7258" s="1" t="n">
        <v>2007955</v>
      </c>
      <c r="J7258" s="1" t="n">
        <v>30017</v>
      </c>
      <c r="K7258" s="1" t="n">
        <v>7894900680508</v>
      </c>
      <c r="L7258" s="1" t="s">
        <v>3119</v>
      </c>
      <c r="N7258" s="1" t="n">
        <v>12</v>
      </c>
      <c r="O7258" s="1" t="n">
        <v>42.12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2003</v>
      </c>
      <c r="E7259" s="1" t="n">
        <v>1705</v>
      </c>
      <c r="F7259" s="1" t="s">
        <v>131</v>
      </c>
      <c r="I7259" s="1" t="n">
        <v>2007955</v>
      </c>
      <c r="J7259" s="1" t="n">
        <v>31221</v>
      </c>
      <c r="K7259" s="1" t="n">
        <v>78940260</v>
      </c>
      <c r="L7259" s="1" t="s">
        <v>4708</v>
      </c>
      <c r="N7259" s="1" t="n">
        <v>12</v>
      </c>
      <c r="O7259" s="1" t="n">
        <v>18.56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2003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2096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2003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2107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2003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2108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2003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2192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2011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2012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2011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2113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2011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2017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2011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2018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2011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2019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2011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2019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2011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2020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2011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2021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2011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2022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2011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2023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2011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2024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2011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2025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2011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2025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2011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2026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2011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4405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2011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2027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2011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2027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2011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2028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2011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2029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2011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2030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2011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2030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2828</v>
      </c>
      <c r="E7285" s="1" t="n">
        <v>1835</v>
      </c>
      <c r="F7285" s="1" t="s">
        <v>1697</v>
      </c>
      <c r="I7285" s="1" t="n">
        <v>110228</v>
      </c>
      <c r="J7285" s="1" t="n">
        <v>82218</v>
      </c>
      <c r="K7285" s="1" t="n">
        <v>7898708505735</v>
      </c>
      <c r="L7285" s="1" t="s">
        <v>4709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2828</v>
      </c>
      <c r="E7286" s="1" t="n">
        <v>1835</v>
      </c>
      <c r="F7286" s="1" t="s">
        <v>1697</v>
      </c>
      <c r="I7286" s="1" t="n">
        <v>110228</v>
      </c>
      <c r="J7286" s="1" t="n">
        <v>82219</v>
      </c>
      <c r="K7286" s="1" t="n">
        <v>7898708505520</v>
      </c>
      <c r="L7286" s="1" t="s">
        <v>4710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2031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2012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2031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2113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2031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2017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2031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2018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2031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2019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2031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2020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2031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2021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2031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2022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2031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2023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2031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2024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2031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2025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2031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2026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2031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4405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2031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2027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2031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2028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2031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2029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2031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2030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2031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2019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2031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2025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2031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2027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2031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2030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2085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2066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2003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2041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2003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2042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2003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2032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2003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4711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2003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4712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2003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2982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2003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2983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2003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2140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2003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2141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2003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2143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2003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2144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2003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2145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2003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2147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2003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3518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2003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2149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2003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2150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2003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2151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2003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2152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2003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2153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2003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2984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2003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2985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2003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2985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2003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1982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2003</v>
      </c>
      <c r="E7332" s="1" t="n">
        <v>1706</v>
      </c>
      <c r="F7332" s="1" t="s">
        <v>1622</v>
      </c>
      <c r="I7332" s="1" t="n">
        <v>206697</v>
      </c>
      <c r="J7332" s="1" t="n">
        <v>57639</v>
      </c>
      <c r="K7332" s="1" t="n">
        <v>7896004006277</v>
      </c>
      <c r="L7332" s="1" t="s">
        <v>4594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2003</v>
      </c>
      <c r="E7333" s="1" t="n">
        <v>1706</v>
      </c>
      <c r="F7333" s="1" t="s">
        <v>1622</v>
      </c>
      <c r="I7333" s="1" t="n">
        <v>206697</v>
      </c>
      <c r="J7333" s="1" t="n">
        <v>57878</v>
      </c>
      <c r="K7333" s="1" t="n">
        <v>7896004006239</v>
      </c>
      <c r="L7333" s="1" t="s">
        <v>4713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2003</v>
      </c>
      <c r="E7334" s="1" t="n">
        <v>1706</v>
      </c>
      <c r="F7334" s="1" t="s">
        <v>1622</v>
      </c>
      <c r="I7334" s="1" t="n">
        <v>206697</v>
      </c>
      <c r="J7334" s="1" t="n">
        <v>61667</v>
      </c>
      <c r="K7334" s="1" t="n">
        <v>7896004006284</v>
      </c>
      <c r="L7334" s="1" t="s">
        <v>4714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2003</v>
      </c>
      <c r="E7335" s="1" t="n">
        <v>1706</v>
      </c>
      <c r="F7335" s="1" t="s">
        <v>1622</v>
      </c>
      <c r="I7335" s="1" t="n">
        <v>206697</v>
      </c>
      <c r="J7335" s="1" t="n">
        <v>63233</v>
      </c>
      <c r="K7335" s="1" t="n">
        <v>7896004006406</v>
      </c>
      <c r="L7335" s="1" t="s">
        <v>4715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2003</v>
      </c>
      <c r="E7336" s="1" t="n">
        <v>1706</v>
      </c>
      <c r="F7336" s="1" t="s">
        <v>1622</v>
      </c>
      <c r="I7336" s="1" t="n">
        <v>206697</v>
      </c>
      <c r="J7336" s="1" t="n">
        <v>63943</v>
      </c>
      <c r="K7336" s="1" t="n">
        <v>7896004008998</v>
      </c>
      <c r="L7336" s="1" t="s">
        <v>4716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2003</v>
      </c>
      <c r="E7337" s="1" t="n">
        <v>1706</v>
      </c>
      <c r="F7337" s="1" t="s">
        <v>1622</v>
      </c>
      <c r="I7337" s="1" t="n">
        <v>206697</v>
      </c>
      <c r="J7337" s="1" t="n">
        <v>66069</v>
      </c>
      <c r="K7337" s="1" t="n">
        <v>7896004010076</v>
      </c>
      <c r="L7337" s="1" t="s">
        <v>2821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2003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3969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2003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3973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2003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3974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2003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3975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2003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3976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2003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3977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2003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3982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2003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3983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2003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3986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2003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4717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2003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3990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2003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2170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2003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2171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2003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2513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2003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2176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2003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2177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2003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2515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2003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2178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2003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2516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2003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2050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2003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4150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2003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2180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2003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2053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2003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2517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2003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2181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2003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2182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2003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2518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2003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2519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2003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2054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2003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2055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2003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2183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2003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2520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2003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2056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2003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2521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2003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4718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2003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2059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2003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2063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2003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2064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2003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4719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2003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2694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2003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4720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2003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3899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2003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2446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2003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2449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2003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2451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2003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2452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2003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2454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2003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2455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2003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2456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2003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2457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2003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2460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2003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2461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2003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2462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2003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2463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2003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2464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2003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2465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2003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2467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2003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2468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2003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2469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2003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2474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2003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2475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2011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2012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2011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2013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2011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2014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2011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2015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2011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2016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2011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2018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2011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2114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2011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2028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2011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2029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2011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2030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2031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2012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2031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2013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2031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2014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2031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2015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2031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2016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2031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2018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2031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2114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2031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2028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2031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2029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2031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2030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2085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2071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2085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2081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2085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2067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2085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2224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2085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2069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2085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2225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2085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2072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2085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2074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2085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2075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2085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2076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2085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2128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2085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2077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2085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2078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2085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2079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2085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4209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2085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2227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2085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2082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2085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2083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2085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2084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2085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3575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2003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2242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2003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2243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2003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2244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2003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4721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2003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4408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2003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4722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2003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4723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2003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4409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2003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4410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2003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4724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2003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4725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2003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4190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2003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2299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2003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2299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2003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2850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2003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4268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2003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4726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2003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2164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2003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4727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2003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2304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2003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2995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2003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2122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2003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2123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2003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3377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2003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2124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2003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2126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2003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2123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2003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2125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2003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1997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2003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1998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2003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1999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2085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2066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2003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2041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2003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2042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2003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4190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2003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3845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2003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2988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2003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4726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2003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4726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2003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2993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2003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2994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2003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3513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2003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2164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2003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4728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2003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2033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2003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1981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2003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2111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2003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2112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2003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2477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2011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2012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2011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2017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2011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2018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2011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2019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2011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2020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2011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2021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2011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2022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2011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2023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2011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2024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2011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2025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2011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2026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2011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4405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2011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2027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2011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2028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2011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2029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2011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2030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2031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2012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2031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2017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2031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2018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2031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2019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2031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2020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2031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2021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2031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2022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2031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2023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2031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2024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2031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2025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2031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2026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2031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4405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2031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2027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2031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2028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2031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2029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2031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2030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2085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2066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2003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1976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2003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1978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2003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2476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2003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2115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2003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1979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2003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1977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2003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2116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2003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2117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2003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2118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2003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2119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2003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2120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2003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2875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2003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2034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2003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2036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2003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2037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2003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2038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2003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2039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2003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1978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2003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2040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2003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4729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2003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1982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2003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2478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2003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4730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2003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4731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2003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2480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2003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4732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2003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4733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2003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4734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2003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4735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2003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4736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2003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4737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2003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4738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2003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3128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2003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2600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2003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3129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2003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2602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2003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2605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2003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2605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2003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2610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2003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2612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2003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3304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2003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4739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2003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4179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2003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2618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2003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4740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2003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3305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2003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3306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2003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2624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2003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4741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2003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2629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2003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4742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2003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4743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2003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1994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2003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1995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2003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2098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2003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2495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2003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2972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2003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3414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2003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1997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2003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1998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2003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1999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2003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1997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2003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1998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2003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1999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2003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4719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2003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2694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2011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2012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2011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2013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2011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2014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2011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2015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2011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2016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2011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2113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2011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2018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2011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2028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2011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2030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2031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2012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2031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2013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2031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2014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2031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2015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2031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2016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2031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2113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2031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2018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2031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2028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2031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2030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2548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4744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2548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4745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2085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2071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2085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2081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2085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2067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2085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2068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2085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2789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2085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2069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2085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2070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2085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2072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2085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2074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2085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2075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2085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2226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2085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2078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2085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2790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2085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2131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2085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2082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2085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2083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2085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4210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2085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3575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2003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2033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2003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2245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2003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4746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2003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2195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2003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2196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2003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3438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2003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2199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2003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2200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2003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2203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2003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2204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2003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2205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2003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3441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2003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4711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2003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2043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2003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2044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2003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2045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2003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2046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2003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2047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2003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2048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2828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3135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2828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3136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2828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3137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2828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3138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2085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2066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2003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1981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2003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1982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2003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1997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2003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1998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2003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1999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2003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3753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2011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2012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2011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2012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2011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2013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2011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2014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2011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2015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2011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2016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2011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2113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2011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2113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2011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2017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2011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2018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2011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2018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2011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2019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2011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2020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2011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2021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2011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2022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2011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2023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2011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2024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2011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2025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2011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2026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2011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4405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2011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2027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2011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2028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2011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2028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2011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2029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2011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2029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2011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2030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2011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2030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2031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2012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2031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2113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2031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2017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2031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2018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2031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2019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2031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2020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2031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2021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2031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2022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2031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2023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2031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2024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2031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2025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2031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2026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2031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4405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2031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2027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2031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2028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2031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2029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2031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2030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2031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2012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2031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2013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2031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2014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2031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2015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2031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2016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2031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2113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2031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2018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2031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2028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2031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2029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2031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2030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2003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1976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2003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1977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2003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1978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2003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2476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2003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2115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2003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1979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2003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2117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2003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2118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2003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2119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2003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2120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2003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2034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2003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2035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2003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2037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2003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2121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2003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2038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2003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3183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2003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4747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2003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2530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2003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3750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2003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4748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2003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3577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2003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2277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2003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2281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2003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2282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2003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3582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2003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2284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2003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2286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2003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2288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2003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4225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2003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2290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2003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2291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2003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2292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2003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4749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2003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4750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2003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2598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2003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2600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2003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3312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2003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4460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2003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3313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2003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4006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2003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3314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2003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4009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2003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4463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2003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3761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2003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4035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2003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4042</v>
      </c>
      <c r="N7754" s="1" t="n">
        <v>3</v>
      </c>
      <c r="O7754" s="1" t="n">
        <v>22.64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2085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2066</v>
      </c>
      <c r="N7755" s="1" t="n">
        <v>20</v>
      </c>
      <c r="O7755" s="1" t="n">
        <v>300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2085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2071</v>
      </c>
      <c r="N7756" s="1" t="n">
        <v>20</v>
      </c>
      <c r="O7756" s="1" t="n">
        <v>100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2085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2081</v>
      </c>
      <c r="N7757" s="1" t="n">
        <v>40</v>
      </c>
      <c r="O7757" s="1" t="n">
        <v>240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2085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2067</v>
      </c>
      <c r="N7758" s="1" t="n">
        <v>18</v>
      </c>
      <c r="O7758" s="1" t="n">
        <v>130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2085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2068</v>
      </c>
      <c r="N7759" s="1" t="n">
        <v>24</v>
      </c>
      <c r="O7759" s="1" t="n">
        <v>120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2085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2069</v>
      </c>
      <c r="N7760" s="1" t="n">
        <v>20</v>
      </c>
      <c r="O7760" s="1" t="n">
        <v>120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2085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2528</v>
      </c>
      <c r="N7761" s="1" t="n">
        <v>15</v>
      </c>
      <c r="O7761" s="1" t="n">
        <v>120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2085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2225</v>
      </c>
      <c r="N7762" s="1" t="n">
        <v>15</v>
      </c>
      <c r="O7762" s="1" t="n">
        <v>160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2085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2072</v>
      </c>
      <c r="N7763" s="1" t="n">
        <v>2</v>
      </c>
      <c r="O7763" s="1" t="n">
        <v>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2085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2073</v>
      </c>
      <c r="N7764" s="1" t="n">
        <v>5</v>
      </c>
      <c r="O7764" s="1" t="n">
        <v>40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2085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2075</v>
      </c>
      <c r="N7765" s="1" t="n">
        <v>3</v>
      </c>
      <c r="O7765" s="1" t="n">
        <v>39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2085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2128</v>
      </c>
      <c r="N7766" s="1" t="n">
        <v>20</v>
      </c>
      <c r="O7766" s="1" t="n">
        <v>160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2085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2129</v>
      </c>
      <c r="N7767" s="1" t="n">
        <v>13</v>
      </c>
      <c r="O7767" s="1" t="n">
        <v>80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2085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2077</v>
      </c>
      <c r="N7768" s="1" t="n">
        <v>20</v>
      </c>
      <c r="O7768" s="1" t="n">
        <v>160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2085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2078</v>
      </c>
      <c r="N7769" s="1" t="n">
        <v>61.32</v>
      </c>
      <c r="O7769" s="1" t="n">
        <v>190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2085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2079</v>
      </c>
      <c r="N7770" s="1" t="n">
        <v>20</v>
      </c>
      <c r="O7770" s="1" t="n">
        <v>100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2085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4209</v>
      </c>
      <c r="N7771" s="1" t="n">
        <v>10</v>
      </c>
      <c r="O7771" s="1" t="n">
        <v>75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2085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3744</v>
      </c>
      <c r="N7772" s="1" t="n">
        <v>10</v>
      </c>
      <c r="O7772" s="1" t="n">
        <v>33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2085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2227</v>
      </c>
      <c r="N7773" s="1" t="n">
        <v>5</v>
      </c>
      <c r="O7773" s="1" t="n">
        <v>40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2085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2082</v>
      </c>
      <c r="N7774" s="1" t="n">
        <v>40</v>
      </c>
      <c r="O7774" s="1" t="n">
        <v>260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2085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2083</v>
      </c>
      <c r="N7775" s="1" t="n">
        <v>5</v>
      </c>
      <c r="O7775" s="1" t="n">
        <v>15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2085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2084</v>
      </c>
      <c r="N7776" s="1" t="n">
        <v>25</v>
      </c>
      <c r="O7776" s="1" t="n">
        <v>100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2003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2300</v>
      </c>
      <c r="N7777" s="1" t="n">
        <v>30</v>
      </c>
      <c r="O7777" s="1" t="n">
        <v>125.7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2003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2301</v>
      </c>
      <c r="N7778" s="1" t="n">
        <v>135</v>
      </c>
      <c r="O7778" s="1" t="n">
        <v>374.5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2003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2809</v>
      </c>
      <c r="N7779" s="1" t="n">
        <v>24</v>
      </c>
      <c r="O7779" s="1" t="n">
        <v>110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2003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4728</v>
      </c>
      <c r="N7780" s="1" t="n">
        <v>50</v>
      </c>
      <c r="O7780" s="1" t="n">
        <v>175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2003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4164</v>
      </c>
      <c r="N7781" s="1" t="n">
        <v>20</v>
      </c>
      <c r="O7781" s="1" t="n">
        <v>259.8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2003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2242</v>
      </c>
      <c r="N7782" s="1" t="n">
        <v>15</v>
      </c>
      <c r="O7782" s="1" t="n">
        <v>142.5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2003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2243</v>
      </c>
      <c r="N7783" s="1" t="n">
        <v>10</v>
      </c>
      <c r="O7783" s="1" t="n">
        <v>35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2003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4751</v>
      </c>
      <c r="N7784" s="1" t="n">
        <v>24</v>
      </c>
      <c r="O7784" s="1" t="n">
        <v>42.21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2003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3455</v>
      </c>
      <c r="N7785" s="1" t="n">
        <v>12</v>
      </c>
      <c r="O7785" s="1" t="n">
        <v>90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2003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2558</v>
      </c>
      <c r="N7786" s="1" t="n">
        <v>12</v>
      </c>
      <c r="O7786" s="1" t="n">
        <v>47.88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2003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2559</v>
      </c>
      <c r="N7787" s="1" t="n">
        <v>12</v>
      </c>
      <c r="O7787" s="1" t="n">
        <v>30.6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2003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4752</v>
      </c>
      <c r="N7788" s="1" t="n">
        <v>60</v>
      </c>
      <c r="O7788" s="1" t="n">
        <v>73.82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2003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2560</v>
      </c>
      <c r="N7789" s="1" t="n">
        <v>24</v>
      </c>
      <c r="O7789" s="1" t="n">
        <v>104.4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2003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2560</v>
      </c>
      <c r="N7790" s="1" t="n">
        <v>24</v>
      </c>
      <c r="O7790" s="1" t="n">
        <v>75.6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2003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3457</v>
      </c>
      <c r="N7791" s="1" t="n">
        <v>12</v>
      </c>
      <c r="O7791" s="1" t="n">
        <v>30.6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2003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4753</v>
      </c>
      <c r="N7792" s="1" t="n">
        <v>15</v>
      </c>
      <c r="O7792" s="1" t="n">
        <v>194.85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2003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2169</v>
      </c>
      <c r="N7793" s="1" t="n">
        <v>40</v>
      </c>
      <c r="O7793" s="1" t="n">
        <v>279.6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2003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2648</v>
      </c>
      <c r="N7794" s="1" t="n">
        <v>270</v>
      </c>
      <c r="O7794" s="1" t="n">
        <v>365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2003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3184</v>
      </c>
      <c r="N7795" s="1" t="n">
        <v>45</v>
      </c>
      <c r="O7795" s="1" t="n">
        <v>184.5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2003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3406</v>
      </c>
      <c r="N7796" s="1" t="n">
        <v>90</v>
      </c>
      <c r="O7796" s="1" t="n">
        <v>225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2003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2253</v>
      </c>
      <c r="N7797" s="1" t="n">
        <v>18</v>
      </c>
      <c r="O7797" s="1" t="n">
        <v>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2003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2254</v>
      </c>
      <c r="N7798" s="1" t="n">
        <v>45</v>
      </c>
      <c r="O7798" s="1" t="n">
        <v>135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2003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4089</v>
      </c>
      <c r="N7799" s="1" t="n">
        <v>60</v>
      </c>
      <c r="O7799" s="1" t="n">
        <v>66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2003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3188</v>
      </c>
      <c r="N7800" s="1" t="n">
        <v>18</v>
      </c>
      <c r="O7800" s="1" t="n">
        <v>43.2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2003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3408</v>
      </c>
      <c r="N7801" s="1" t="n">
        <v>18</v>
      </c>
      <c r="O7801" s="1" t="n">
        <v>86.4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2003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3190</v>
      </c>
      <c r="N7802" s="1" t="n">
        <v>45</v>
      </c>
      <c r="O7802" s="1" t="n">
        <v>202.5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2003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2258</v>
      </c>
      <c r="N7803" s="1" t="n">
        <v>63</v>
      </c>
      <c r="O7803" s="1" t="n">
        <v>189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2003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2259</v>
      </c>
      <c r="N7804" s="1" t="n">
        <v>63</v>
      </c>
      <c r="O7804" s="1" t="n">
        <v>258.3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2003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4754</v>
      </c>
      <c r="N7805" s="1" t="n">
        <v>60</v>
      </c>
      <c r="O7805" s="1" t="n">
        <v>66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2003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2262</v>
      </c>
      <c r="N7806" s="1" t="n">
        <v>10</v>
      </c>
      <c r="O7806" s="1" t="n">
        <v>80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2003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4091</v>
      </c>
      <c r="N7807" s="1" t="n">
        <v>24</v>
      </c>
      <c r="O7807" s="1" t="n">
        <v>26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2003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2264</v>
      </c>
      <c r="N7808" s="1" t="n">
        <v>36</v>
      </c>
      <c r="O7808" s="1" t="n">
        <v>93.6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2003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2265</v>
      </c>
      <c r="N7809" s="1" t="n">
        <v>60</v>
      </c>
      <c r="O7809" s="1" t="n">
        <v>156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2003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4093</v>
      </c>
      <c r="N7810" s="1" t="n">
        <v>24</v>
      </c>
      <c r="O7810" s="1" t="n">
        <v>26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2003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4094</v>
      </c>
      <c r="N7811" s="1" t="n">
        <v>24</v>
      </c>
      <c r="O7811" s="1" t="n">
        <v>26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2003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3428</v>
      </c>
      <c r="N7812" s="1" t="n">
        <v>13</v>
      </c>
      <c r="O7812" s="1" t="n">
        <v>274.16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2003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2168</v>
      </c>
      <c r="N7813" s="1" t="n">
        <v>60</v>
      </c>
      <c r="O7813" s="1" t="n">
        <v>789.89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2003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2156</v>
      </c>
      <c r="N7814" s="1" t="n">
        <v>60</v>
      </c>
      <c r="O7814" s="1" t="n">
        <v>695.4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2003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2500</v>
      </c>
      <c r="N7815" s="1" t="n">
        <v>8</v>
      </c>
      <c r="O7815" s="1" t="n">
        <v>98.16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2003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2502</v>
      </c>
      <c r="N7816" s="1" t="n">
        <v>12</v>
      </c>
      <c r="O7816" s="1" t="n">
        <v>150.96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2003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2503</v>
      </c>
      <c r="N7817" s="1" t="n">
        <v>8</v>
      </c>
      <c r="O7817" s="1" t="n">
        <v>101.27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2003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3289</v>
      </c>
      <c r="N7818" s="1" t="n">
        <v>12</v>
      </c>
      <c r="O7818" s="1" t="n">
        <v>217.08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2003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2504</v>
      </c>
      <c r="N7819" s="1" t="n">
        <v>12</v>
      </c>
      <c r="O7819" s="1" t="n">
        <v>198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2003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3290</v>
      </c>
      <c r="N7820" s="1" t="n">
        <v>24</v>
      </c>
      <c r="O7820" s="1" t="n">
        <v>150.8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2003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2505</v>
      </c>
      <c r="N7821" s="1" t="n">
        <v>15</v>
      </c>
      <c r="O7821" s="1" t="n">
        <v>228.9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2003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2507</v>
      </c>
      <c r="N7822" s="1" t="n">
        <v>36</v>
      </c>
      <c r="O7822" s="1" t="n">
        <v>37.99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2003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2507</v>
      </c>
      <c r="N7823" s="1" t="n">
        <v>36</v>
      </c>
      <c r="O7823" s="1" t="n">
        <v>40.41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2003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3036</v>
      </c>
      <c r="N7824" s="1" t="n">
        <v>24</v>
      </c>
      <c r="O7824" s="1" t="n">
        <v>69.78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2003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3037</v>
      </c>
      <c r="N7825" s="1" t="n">
        <v>12</v>
      </c>
      <c r="O7825" s="1" t="n">
        <v>66.24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2003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4755</v>
      </c>
      <c r="N7826" s="1" t="n">
        <v>15</v>
      </c>
      <c r="O7826" s="1" t="n">
        <v>56.34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2003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2509</v>
      </c>
      <c r="N7827" s="1" t="n">
        <v>90</v>
      </c>
      <c r="O7827" s="1" t="n">
        <v>147.38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2003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2509</v>
      </c>
      <c r="N7828" s="1" t="n">
        <v>45</v>
      </c>
      <c r="O7828" s="1" t="n">
        <v>77.82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2003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2510</v>
      </c>
      <c r="N7829" s="1" t="n">
        <v>90</v>
      </c>
      <c r="O7829" s="1" t="n">
        <v>147.38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2003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2510</v>
      </c>
      <c r="N7830" s="1" t="n">
        <v>45</v>
      </c>
      <c r="O7830" s="1" t="n">
        <v>77.82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2003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4756</v>
      </c>
      <c r="N7831" s="1" t="n">
        <v>12</v>
      </c>
      <c r="O7831" s="1" t="n">
        <v>153.68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2003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3040</v>
      </c>
      <c r="N7832" s="1" t="n">
        <v>30</v>
      </c>
      <c r="O7832" s="1" t="n">
        <v>112.17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2003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2511</v>
      </c>
      <c r="N7833" s="1" t="n">
        <v>36</v>
      </c>
      <c r="O7833" s="1" t="n">
        <v>34.2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2003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2511</v>
      </c>
      <c r="N7834" s="1" t="n">
        <v>36</v>
      </c>
      <c r="O7834" s="1" t="n">
        <v>36.38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2003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4757</v>
      </c>
      <c r="N7835" s="1" t="n">
        <v>20</v>
      </c>
      <c r="O7835" s="1" t="n">
        <v>168.76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2003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3880</v>
      </c>
      <c r="N7836" s="1" t="n">
        <v>16</v>
      </c>
      <c r="O7836" s="1" t="n">
        <v>136.72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2003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4758</v>
      </c>
      <c r="N7837" s="1" t="n">
        <v>15</v>
      </c>
      <c r="O7837" s="1" t="n">
        <v>324.3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2003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1997</v>
      </c>
      <c r="N7838" s="1" t="n">
        <v>12</v>
      </c>
      <c r="O7838" s="1" t="n">
        <v>18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2003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1998</v>
      </c>
      <c r="N7839" s="1" t="n">
        <v>5</v>
      </c>
      <c r="O7839" s="1" t="n">
        <v>22.5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2003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1999</v>
      </c>
      <c r="N7840" s="1" t="n">
        <v>70</v>
      </c>
      <c r="O7840" s="1" t="n">
        <v>126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2003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3777</v>
      </c>
      <c r="N7841" s="1" t="n">
        <v>24</v>
      </c>
      <c r="O7841" s="1" t="n">
        <v>144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2003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3778</v>
      </c>
      <c r="N7842" s="1" t="n">
        <v>25</v>
      </c>
      <c r="O7842" s="1" t="n">
        <v>55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2003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3044</v>
      </c>
      <c r="N7843" s="1" t="n">
        <v>12</v>
      </c>
      <c r="O7843" s="1" t="n">
        <v>64.08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2003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3046</v>
      </c>
      <c r="N7844" s="1" t="n">
        <v>5</v>
      </c>
      <c r="O7844" s="1" t="n">
        <v>58.7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2003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3050</v>
      </c>
      <c r="N7845" s="1" t="n">
        <v>60</v>
      </c>
      <c r="O7845" s="1" t="n">
        <v>132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2003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3051</v>
      </c>
      <c r="N7846" s="1" t="n">
        <v>5</v>
      </c>
      <c r="O7846" s="1" t="n">
        <v>58.7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2003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3052</v>
      </c>
      <c r="N7847" s="1" t="n">
        <v>5</v>
      </c>
      <c r="O7847" s="1" t="n">
        <v>58.7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2003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3782</v>
      </c>
      <c r="N7848" s="1" t="n">
        <v>16</v>
      </c>
      <c r="O7848" s="1" t="n">
        <v>96.16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2003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3054</v>
      </c>
      <c r="N7849" s="1" t="n">
        <v>56</v>
      </c>
      <c r="O7849" s="1" t="n">
        <v>168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2003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3055</v>
      </c>
      <c r="N7850" s="1" t="n">
        <v>6</v>
      </c>
      <c r="O7850" s="1" t="n">
        <v>80.04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2003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3056</v>
      </c>
      <c r="N7851" s="1" t="n">
        <v>32</v>
      </c>
      <c r="O7851" s="1" t="n">
        <v>84.8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2003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3057</v>
      </c>
      <c r="N7852" s="1" t="n">
        <v>6</v>
      </c>
      <c r="O7852" s="1" t="n">
        <v>80.46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2003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3058</v>
      </c>
      <c r="N7853" s="1" t="n">
        <v>56</v>
      </c>
      <c r="O7853" s="1" t="n">
        <v>186.48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2003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4759</v>
      </c>
      <c r="N7854" s="1" t="n">
        <v>6</v>
      </c>
      <c r="O7854" s="1" t="n">
        <v>72.12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2003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3059</v>
      </c>
      <c r="N7855" s="1" t="n">
        <v>6</v>
      </c>
      <c r="O7855" s="1" t="n">
        <v>75.42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2003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3060</v>
      </c>
      <c r="N7856" s="1" t="n">
        <v>15</v>
      </c>
      <c r="O7856" s="1" t="n">
        <v>117.6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2003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4760</v>
      </c>
      <c r="N7857" s="1" t="n">
        <v>32</v>
      </c>
      <c r="O7857" s="1" t="n">
        <v>84.8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2003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3061</v>
      </c>
      <c r="N7858" s="1" t="n">
        <v>15</v>
      </c>
      <c r="O7858" s="1" t="n">
        <v>96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2003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3062</v>
      </c>
      <c r="N7859" s="1" t="n">
        <v>25</v>
      </c>
      <c r="O7859" s="1" t="n">
        <v>160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2003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3063</v>
      </c>
      <c r="N7860" s="1" t="n">
        <v>58</v>
      </c>
      <c r="O7860" s="1" t="n">
        <v>196.62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2003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3064</v>
      </c>
      <c r="N7861" s="1" t="n">
        <v>12</v>
      </c>
      <c r="O7861" s="1" t="n">
        <v>21.6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2003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3065</v>
      </c>
      <c r="N7862" s="1" t="n">
        <v>12</v>
      </c>
      <c r="O7862" s="1" t="n">
        <v>21.6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2003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3066</v>
      </c>
      <c r="N7863" s="1" t="n">
        <v>16</v>
      </c>
      <c r="O7863" s="1" t="n">
        <v>28.8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2003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3067</v>
      </c>
      <c r="N7864" s="1" t="n">
        <v>26</v>
      </c>
      <c r="O7864" s="1" t="n">
        <v>46.8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2003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3069</v>
      </c>
      <c r="N7865" s="1" t="n">
        <v>6</v>
      </c>
      <c r="O7865" s="1" t="n">
        <v>79.14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2003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3070</v>
      </c>
      <c r="N7866" s="1" t="n">
        <v>32</v>
      </c>
      <c r="O7866" s="1" t="n">
        <v>109.44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2003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3784</v>
      </c>
      <c r="N7867" s="1" t="n">
        <v>36</v>
      </c>
      <c r="O7867" s="1" t="n">
        <v>146.16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2003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3071</v>
      </c>
      <c r="N7868" s="1" t="n">
        <v>12</v>
      </c>
      <c r="O7868" s="1" t="n">
        <v>21.6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2003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3055</v>
      </c>
      <c r="N7869" s="1" t="n">
        <v>15</v>
      </c>
      <c r="O7869" s="1" t="n">
        <v>129.6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2003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3072</v>
      </c>
      <c r="N7870" s="1" t="n">
        <v>26</v>
      </c>
      <c r="O7870" s="1" t="n">
        <v>46.8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2003</v>
      </c>
      <c r="E7871" s="1" t="n">
        <v>1608</v>
      </c>
      <c r="F7871" s="1" t="s">
        <v>224</v>
      </c>
      <c r="I7871" s="1" t="n">
        <v>1724435</v>
      </c>
      <c r="J7871" s="1" t="n">
        <v>80195</v>
      </c>
      <c r="K7871" s="1" t="n">
        <v>7892840824976</v>
      </c>
      <c r="L7871" s="1" t="s">
        <v>3073</v>
      </c>
      <c r="N7871" s="1" t="n">
        <v>56</v>
      </c>
      <c r="O7871" s="1" t="n">
        <v>186.48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2003</v>
      </c>
      <c r="E7872" s="1" t="n">
        <v>1608</v>
      </c>
      <c r="F7872" s="1" t="s">
        <v>224</v>
      </c>
      <c r="I7872" s="1" t="n">
        <v>1724435</v>
      </c>
      <c r="J7872" s="1" t="n">
        <v>68927</v>
      </c>
      <c r="K7872" s="1" t="n">
        <v>7892840823030</v>
      </c>
      <c r="L7872" s="1" t="s">
        <v>3074</v>
      </c>
      <c r="N7872" s="1" t="n">
        <v>25</v>
      </c>
      <c r="O7872" s="1" t="n">
        <v>160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2003</v>
      </c>
      <c r="E7873" s="1" t="n">
        <v>1608</v>
      </c>
      <c r="F7873" s="1" t="s">
        <v>224</v>
      </c>
      <c r="I7873" s="1" t="n">
        <v>1724435</v>
      </c>
      <c r="J7873" s="1" t="n">
        <v>80042</v>
      </c>
      <c r="K7873" s="1" t="n">
        <v>7892840825171</v>
      </c>
      <c r="L7873" s="1" t="s">
        <v>3785</v>
      </c>
      <c r="N7873" s="1" t="n">
        <v>12</v>
      </c>
      <c r="O7873" s="1" t="n">
        <v>54.96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2003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3077</v>
      </c>
      <c r="N7874" s="1" t="n">
        <v>50</v>
      </c>
      <c r="O7874" s="1" t="n">
        <v>166.5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2003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3078</v>
      </c>
      <c r="N7875" s="1" t="n">
        <v>50</v>
      </c>
      <c r="O7875" s="1" t="n">
        <v>166.5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2003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3079</v>
      </c>
      <c r="N7876" s="1" t="n">
        <v>50</v>
      </c>
      <c r="O7876" s="1" t="n">
        <v>150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2003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4761</v>
      </c>
      <c r="N7877" s="1" t="n">
        <v>12</v>
      </c>
      <c r="O7877" s="1" t="n">
        <v>54.96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2003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3080</v>
      </c>
      <c r="N7878" s="1" t="n">
        <v>13</v>
      </c>
      <c r="O7878" s="1" t="n">
        <v>121.29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2003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3082</v>
      </c>
      <c r="N7879" s="1" t="n">
        <v>48</v>
      </c>
      <c r="O7879" s="1" t="n">
        <v>183.84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2003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4762</v>
      </c>
      <c r="N7880" s="1" t="n">
        <v>12</v>
      </c>
      <c r="O7880" s="1" t="n">
        <v>33.6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2003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2170</v>
      </c>
      <c r="N7881" s="1" t="n">
        <v>6</v>
      </c>
      <c r="O7881" s="1" t="n">
        <v>15.78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2003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2513</v>
      </c>
      <c r="N7882" s="1" t="n">
        <v>12</v>
      </c>
      <c r="O7882" s="1" t="n">
        <v>125.76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2003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2172</v>
      </c>
      <c r="N7883" s="1" t="n">
        <v>4</v>
      </c>
      <c r="O7883" s="1" t="n">
        <v>13.24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2003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2173</v>
      </c>
      <c r="N7884" s="1" t="n">
        <v>4</v>
      </c>
      <c r="O7884" s="1" t="n">
        <v>11.4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2003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4187</v>
      </c>
      <c r="N7885" s="1" t="n">
        <v>1</v>
      </c>
      <c r="O7885" s="1" t="n">
        <v>12.83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2003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2174</v>
      </c>
      <c r="N7886" s="1" t="n">
        <v>4</v>
      </c>
      <c r="O7886" s="1" t="n">
        <v>13.44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2003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2175</v>
      </c>
      <c r="N7887" s="1" t="n">
        <v>4</v>
      </c>
      <c r="O7887" s="1" t="n">
        <v>13.44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2003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2176</v>
      </c>
      <c r="N7888" s="1" t="n">
        <v>3</v>
      </c>
      <c r="O7888" s="1" t="n">
        <v>26.4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2003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2177</v>
      </c>
      <c r="N7889" s="1" t="n">
        <v>6</v>
      </c>
      <c r="O7889" s="1" t="n">
        <v>52.8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2003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2178</v>
      </c>
      <c r="N7890" s="1" t="n">
        <v>3</v>
      </c>
      <c r="O7890" s="1" t="n">
        <v>17.79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2003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2516</v>
      </c>
      <c r="N7891" s="1" t="n">
        <v>4</v>
      </c>
      <c r="O7891" s="1" t="n">
        <v>30.04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2003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4763</v>
      </c>
      <c r="N7892" s="1" t="n">
        <v>4</v>
      </c>
      <c r="O7892" s="1" t="n">
        <v>25.28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2003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2050</v>
      </c>
      <c r="N7893" s="1" t="n">
        <v>6</v>
      </c>
      <c r="O7893" s="1" t="n">
        <v>37.92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2003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3410</v>
      </c>
      <c r="N7894" s="1" t="n">
        <v>1</v>
      </c>
      <c r="O7894" s="1" t="n">
        <v>8.88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2003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2052</v>
      </c>
      <c r="N7895" s="1" t="n">
        <v>2</v>
      </c>
      <c r="O7895" s="1" t="n">
        <v>10.92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2003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2181</v>
      </c>
      <c r="N7896" s="1" t="n">
        <v>6</v>
      </c>
      <c r="O7896" s="1" t="n">
        <v>18.84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2003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2182</v>
      </c>
      <c r="N7897" s="1" t="n">
        <v>4</v>
      </c>
      <c r="O7897" s="1" t="n">
        <v>51.24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2003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2518</v>
      </c>
      <c r="N7898" s="1" t="n">
        <v>2</v>
      </c>
      <c r="O7898" s="1" t="n">
        <v>25.62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2003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2054</v>
      </c>
      <c r="N7899" s="1" t="n">
        <v>6</v>
      </c>
      <c r="O7899" s="1" t="n">
        <v>22.8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2003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2183</v>
      </c>
      <c r="N7900" s="1" t="n">
        <v>6</v>
      </c>
      <c r="O7900" s="1" t="n">
        <v>19.86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2003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2520</v>
      </c>
      <c r="N7901" s="1" t="n">
        <v>4</v>
      </c>
      <c r="O7901" s="1" t="n">
        <v>29.44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2003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2056</v>
      </c>
      <c r="N7902" s="1" t="n">
        <v>6</v>
      </c>
      <c r="O7902" s="1" t="n">
        <v>37.92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2003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3411</v>
      </c>
      <c r="N7903" s="1" t="n">
        <v>6</v>
      </c>
      <c r="O7903" s="1" t="n">
        <v>15.78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2003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2522</v>
      </c>
      <c r="N7904" s="1" t="n">
        <v>2</v>
      </c>
      <c r="O7904" s="1" t="n">
        <v>28.38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2003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4764</v>
      </c>
      <c r="N7905" s="1" t="n">
        <v>4</v>
      </c>
      <c r="O7905" s="1" t="n">
        <v>26.44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2003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4765</v>
      </c>
      <c r="N7906" s="1" t="n">
        <v>4</v>
      </c>
      <c r="O7906" s="1" t="n">
        <v>26.44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2003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3412</v>
      </c>
      <c r="N7907" s="1" t="n">
        <v>4</v>
      </c>
      <c r="O7907" s="1" t="n">
        <v>25.28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2003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2057</v>
      </c>
      <c r="N7908" s="1" t="n">
        <v>2</v>
      </c>
      <c r="O7908" s="1" t="n">
        <v>25.32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2003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2058</v>
      </c>
      <c r="N7909" s="1" t="n">
        <v>1</v>
      </c>
      <c r="O7909" s="1" t="n">
        <v>12.66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2003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2523</v>
      </c>
      <c r="N7910" s="1" t="n">
        <v>2</v>
      </c>
      <c r="O7910" s="1" t="n">
        <v>31.74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2003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2064</v>
      </c>
      <c r="N7911" s="1" t="n">
        <v>2</v>
      </c>
      <c r="O7911" s="1" t="n">
        <v>5.68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2003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4766</v>
      </c>
      <c r="N7912" s="1" t="n">
        <v>3</v>
      </c>
      <c r="O7912" s="1" t="n">
        <v>12.84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4595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4596</v>
      </c>
      <c r="N7913" s="1" t="n">
        <v>0.045</v>
      </c>
      <c r="O7913" s="1" t="n">
        <v>1.8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4595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4767</v>
      </c>
      <c r="N7914" s="1" t="n">
        <v>1</v>
      </c>
      <c r="O7914" s="1" t="n">
        <v>3.5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4595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2002</v>
      </c>
      <c r="N7915" s="1" t="n">
        <v>1</v>
      </c>
      <c r="O7915" s="1" t="n">
        <v>7.99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4595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4768</v>
      </c>
      <c r="N7916" s="1" t="n">
        <v>1</v>
      </c>
      <c r="O7916" s="1" t="n">
        <v>2.99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2003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2041</v>
      </c>
      <c r="N7917" s="1" t="n">
        <v>15</v>
      </c>
      <c r="O7917" s="1" t="n">
        <v>180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2003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2042</v>
      </c>
      <c r="N7918" s="1" t="n">
        <v>5</v>
      </c>
      <c r="O7918" s="1" t="n">
        <v>20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2085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2066</v>
      </c>
      <c r="N7919" s="1" t="n">
        <v>20</v>
      </c>
      <c r="O7919" s="1" t="n">
        <v>300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2085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2067</v>
      </c>
      <c r="N7920" s="1" t="n">
        <v>13</v>
      </c>
      <c r="O7920" s="1" t="n">
        <v>94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2085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2068</v>
      </c>
      <c r="N7921" s="1" t="n">
        <v>24</v>
      </c>
      <c r="O7921" s="1" t="n">
        <v>120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2085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2069</v>
      </c>
      <c r="N7922" s="1" t="n">
        <v>20</v>
      </c>
      <c r="O7922" s="1" t="n">
        <v>120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2085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2072</v>
      </c>
      <c r="N7923" s="1" t="n">
        <v>1</v>
      </c>
      <c r="O7923" s="1" t="n">
        <v>13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2085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2073</v>
      </c>
      <c r="N7924" s="1" t="n">
        <v>20</v>
      </c>
      <c r="O7924" s="1" t="n">
        <v>100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2085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2074</v>
      </c>
      <c r="N7925" s="1" t="n">
        <v>8</v>
      </c>
      <c r="O7925" s="1" t="n">
        <v>112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2085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2075</v>
      </c>
      <c r="N7926" s="1" t="n">
        <v>3</v>
      </c>
      <c r="O7926" s="1" t="n">
        <v>45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2085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2128</v>
      </c>
      <c r="N7927" s="1" t="n">
        <v>20</v>
      </c>
      <c r="O7927" s="1" t="n">
        <v>150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2085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2077</v>
      </c>
      <c r="N7928" s="1" t="n">
        <v>25</v>
      </c>
      <c r="O7928" s="1" t="n">
        <v>200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2085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2078</v>
      </c>
      <c r="N7929" s="1" t="n">
        <v>49.83</v>
      </c>
      <c r="O7929" s="1" t="n">
        <v>150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2085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2079</v>
      </c>
      <c r="N7930" s="1" t="n">
        <v>20</v>
      </c>
      <c r="O7930" s="1" t="n">
        <v>100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2085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2130</v>
      </c>
      <c r="N7931" s="1" t="n">
        <v>13</v>
      </c>
      <c r="O7931" s="1" t="n">
        <v>101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2085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2227</v>
      </c>
      <c r="N7932" s="1" t="n">
        <v>4</v>
      </c>
      <c r="O7932" s="1" t="n">
        <v>32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2085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2082</v>
      </c>
      <c r="N7933" s="1" t="n">
        <v>40</v>
      </c>
      <c r="O7933" s="1" t="n">
        <v>270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2085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2083</v>
      </c>
      <c r="N7934" s="1" t="n">
        <v>10</v>
      </c>
      <c r="O7934" s="1" t="n">
        <v>30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2003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3515</v>
      </c>
      <c r="N7935" s="1" t="n">
        <v>44</v>
      </c>
      <c r="O7935" s="1" t="n">
        <v>660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2003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2033</v>
      </c>
      <c r="N7936" s="1" t="n">
        <v>11</v>
      </c>
      <c r="O7936" s="1" t="n">
        <v>132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2003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1980</v>
      </c>
      <c r="N7937" s="1" t="n">
        <v>50</v>
      </c>
      <c r="O7937" s="1" t="n">
        <v>449.5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2003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4208</v>
      </c>
      <c r="N7938" s="1" t="n">
        <v>25</v>
      </c>
      <c r="O7938" s="1" t="n">
        <v>140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2003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1981</v>
      </c>
      <c r="N7939" s="1" t="n">
        <v>74.8</v>
      </c>
      <c r="O7939" s="1" t="n">
        <v>2393.6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2003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2155</v>
      </c>
      <c r="N7940" s="1" t="n">
        <v>30</v>
      </c>
      <c r="O7940" s="1" t="n">
        <v>960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2003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2155</v>
      </c>
      <c r="N7941" s="1" t="n">
        <v>22</v>
      </c>
      <c r="O7941" s="1" t="n">
        <v>704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2003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1982</v>
      </c>
      <c r="N7942" s="1" t="n">
        <v>66.4</v>
      </c>
      <c r="O7942" s="1" t="n">
        <v>1460.8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2003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2987</v>
      </c>
      <c r="N7943" s="1" t="n">
        <v>20</v>
      </c>
      <c r="O7943" s="1" t="n">
        <v>86.4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2003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2499</v>
      </c>
      <c r="N7944" s="1" t="n">
        <v>240</v>
      </c>
      <c r="O7944" s="1" t="n">
        <v>823.2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2003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2786</v>
      </c>
      <c r="N7945" s="1" t="n">
        <v>156</v>
      </c>
      <c r="O7945" s="1" t="n">
        <v>455.52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2003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2805</v>
      </c>
      <c r="N7946" s="1" t="n">
        <v>50</v>
      </c>
      <c r="O7946" s="1" t="n">
        <v>257.5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2003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4769</v>
      </c>
      <c r="N7947" s="1" t="n">
        <v>50</v>
      </c>
      <c r="O7947" s="1" t="n">
        <v>239.5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2003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4770</v>
      </c>
      <c r="N7948" s="1" t="n">
        <v>40</v>
      </c>
      <c r="O7948" s="1" t="n">
        <v>120.8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2003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4771</v>
      </c>
      <c r="N7949" s="1" t="n">
        <v>20</v>
      </c>
      <c r="O7949" s="1" t="n">
        <v>181.4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2003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4772</v>
      </c>
      <c r="N7950" s="1" t="n">
        <v>20</v>
      </c>
      <c r="O7950" s="1" t="n">
        <v>171.4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2003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4773</v>
      </c>
      <c r="N7951" s="1" t="n">
        <v>40</v>
      </c>
      <c r="O7951" s="1" t="n">
        <v>181.6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2003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2304</v>
      </c>
      <c r="N7952" s="1" t="n">
        <v>60</v>
      </c>
      <c r="O7952" s="1" t="n">
        <v>64.2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2003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2111</v>
      </c>
      <c r="N7953" s="1" t="n">
        <v>20</v>
      </c>
      <c r="O7953" s="1" t="n">
        <v>130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2003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2112</v>
      </c>
      <c r="N7954" s="1" t="n">
        <v>20</v>
      </c>
      <c r="O7954" s="1" t="n">
        <v>69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2003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4774</v>
      </c>
      <c r="N7955" s="1" t="n">
        <v>22.258</v>
      </c>
      <c r="O7955" s="1" t="n">
        <v>311.38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2003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2168</v>
      </c>
      <c r="N7956" s="1" t="n">
        <v>22.018</v>
      </c>
      <c r="O7956" s="1" t="n">
        <v>308.03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2003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2306</v>
      </c>
      <c r="N7957" s="1" t="n">
        <v>2</v>
      </c>
      <c r="O7957" s="1" t="n">
        <v>49.72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2003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3379</v>
      </c>
      <c r="N7958" s="1" t="n">
        <v>2</v>
      </c>
      <c r="O7958" s="1" t="n">
        <v>49.72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2003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2306</v>
      </c>
      <c r="N7959" s="1" t="n">
        <v>2</v>
      </c>
      <c r="O7959" s="1" t="n">
        <v>49.72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2003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2307</v>
      </c>
      <c r="N7960" s="1" t="n">
        <v>2</v>
      </c>
      <c r="O7960" s="1" t="n">
        <v>49.72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2003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2308</v>
      </c>
      <c r="N7961" s="1" t="n">
        <v>2</v>
      </c>
      <c r="O7961" s="1" t="n">
        <v>49.72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2003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2306</v>
      </c>
      <c r="N7962" s="1" t="n">
        <v>2</v>
      </c>
      <c r="O7962" s="1" t="n">
        <v>49.72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2003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2309</v>
      </c>
      <c r="N7963" s="1" t="n">
        <v>20</v>
      </c>
      <c r="O7963" s="1" t="n">
        <v>56.65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2003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2313</v>
      </c>
      <c r="N7964" s="1" t="n">
        <v>2</v>
      </c>
      <c r="O7964" s="1" t="n">
        <v>49.72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2003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4169</v>
      </c>
      <c r="N7965" s="1" t="n">
        <v>2</v>
      </c>
      <c r="O7965" s="1" t="n">
        <v>49.72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2003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3525</v>
      </c>
      <c r="N7966" s="1" t="n">
        <v>20</v>
      </c>
      <c r="O7966" s="1" t="n">
        <v>56.65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2003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2316</v>
      </c>
      <c r="N7967" s="1" t="n">
        <v>20</v>
      </c>
      <c r="O7967" s="1" t="n">
        <v>56.65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2003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2317</v>
      </c>
      <c r="N7968" s="1" t="n">
        <v>2</v>
      </c>
      <c r="O7968" s="1" t="n">
        <v>49.72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2003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2318</v>
      </c>
      <c r="N7969" s="1" t="n">
        <v>2</v>
      </c>
      <c r="O7969" s="1" t="n">
        <v>49.72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2003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3386</v>
      </c>
      <c r="N7970" s="1" t="n">
        <v>2</v>
      </c>
      <c r="O7970" s="1" t="n">
        <v>49.72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2003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3387</v>
      </c>
      <c r="N7971" s="1" t="n">
        <v>2</v>
      </c>
      <c r="O7971" s="1" t="n">
        <v>49.72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2003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3387</v>
      </c>
      <c r="N7972" s="1" t="n">
        <v>2</v>
      </c>
      <c r="O7972" s="1" t="n">
        <v>49.72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2003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4775</v>
      </c>
      <c r="N7973" s="1" t="n">
        <v>20</v>
      </c>
      <c r="O7973" s="1" t="n">
        <v>56.65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2003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4776</v>
      </c>
      <c r="N7974" s="1" t="n">
        <v>2</v>
      </c>
      <c r="O7974" s="1" t="n">
        <v>49.72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2003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4777</v>
      </c>
      <c r="N7975" s="1" t="n">
        <v>2</v>
      </c>
      <c r="O7975" s="1" t="n">
        <v>49.72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2003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4778</v>
      </c>
      <c r="N7976" s="1" t="n">
        <v>24</v>
      </c>
      <c r="O7976" s="1" t="n">
        <v>150.96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2003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4779</v>
      </c>
      <c r="N7977" s="1" t="n">
        <v>6</v>
      </c>
      <c r="O7977" s="1" t="n">
        <v>52.92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2003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4780</v>
      </c>
      <c r="N7978" s="1" t="n">
        <v>6</v>
      </c>
      <c r="O7978" s="1" t="n">
        <v>38.04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2003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4781</v>
      </c>
      <c r="N7979" s="1" t="n">
        <v>6</v>
      </c>
      <c r="O7979" s="1" t="n">
        <v>38.04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2003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4782</v>
      </c>
      <c r="N7980" s="1" t="n">
        <v>24</v>
      </c>
      <c r="O7980" s="1" t="n">
        <v>147.84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2003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4783</v>
      </c>
      <c r="N7981" s="1" t="n">
        <v>48</v>
      </c>
      <c r="O7981" s="1" t="n">
        <v>157.44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2003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4784</v>
      </c>
      <c r="N7982" s="1" t="n">
        <v>6</v>
      </c>
      <c r="O7982" s="1" t="n">
        <v>58.14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2003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4785</v>
      </c>
      <c r="N7983" s="1" t="n">
        <v>48</v>
      </c>
      <c r="O7983" s="1" t="n">
        <v>140.16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2003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3695</v>
      </c>
      <c r="N7984" s="1" t="n">
        <v>24</v>
      </c>
      <c r="O7984" s="1" t="n">
        <v>290.16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2003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4786</v>
      </c>
      <c r="N7985" s="1" t="n">
        <v>6</v>
      </c>
      <c r="O7985" s="1" t="n">
        <v>35.76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2003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4786</v>
      </c>
      <c r="N7986" s="1" t="n">
        <v>6</v>
      </c>
      <c r="O7986" s="1" t="n">
        <v>35.76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2003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4787</v>
      </c>
      <c r="N7987" s="1" t="n">
        <v>6</v>
      </c>
      <c r="O7987" s="1" t="n">
        <v>35.7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2003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4788</v>
      </c>
      <c r="N7988" s="1" t="n">
        <v>6</v>
      </c>
      <c r="O7988" s="1" t="n">
        <v>35.76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2003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4789</v>
      </c>
      <c r="N7989" s="1" t="n">
        <v>6</v>
      </c>
      <c r="O7989" s="1" t="n">
        <v>41.58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2011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2012</v>
      </c>
      <c r="N7990" s="1" t="n">
        <v>3.028</v>
      </c>
      <c r="O7990" s="1" t="n">
        <v>60.6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2011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2017</v>
      </c>
      <c r="N7991" s="1" t="n">
        <v>2.346</v>
      </c>
      <c r="O7991" s="1" t="n">
        <v>66.52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2011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2018</v>
      </c>
      <c r="N7992" s="1" t="n">
        <v>0.704</v>
      </c>
      <c r="O7992" s="1" t="n">
        <v>16.17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2011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2018</v>
      </c>
      <c r="N7993" s="1" t="n">
        <v>3.368</v>
      </c>
      <c r="O7993" s="1" t="n">
        <v>84.26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2011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2019</v>
      </c>
      <c r="N7994" s="1" t="n">
        <v>15.78</v>
      </c>
      <c r="O7994" s="1" t="n">
        <v>513.27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2011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2019</v>
      </c>
      <c r="N7995" s="1" t="n">
        <v>40.17</v>
      </c>
      <c r="O7995" s="1" t="n">
        <v>1202.81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2011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2020</v>
      </c>
      <c r="N7996" s="1" t="n">
        <v>8.94</v>
      </c>
      <c r="O7996" s="1" t="n">
        <v>335.53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2011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2021</v>
      </c>
      <c r="N7997" s="1" t="n">
        <v>5.45</v>
      </c>
      <c r="O7997" s="1" t="n">
        <v>227.28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2011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2022</v>
      </c>
      <c r="N7998" s="1" t="n">
        <v>11.035</v>
      </c>
      <c r="O7998" s="1" t="n">
        <v>487.81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2011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2023</v>
      </c>
      <c r="N7999" s="1" t="n">
        <v>4.254</v>
      </c>
      <c r="O7999" s="1" t="n">
        <v>191.6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2011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2024</v>
      </c>
      <c r="N8000" s="1" t="n">
        <v>1.66</v>
      </c>
      <c r="O8000" s="1" t="n">
        <v>66.46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2011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2025</v>
      </c>
      <c r="N8001" s="1" t="n">
        <v>2.338</v>
      </c>
      <c r="O8001" s="1" t="n">
        <v>117.01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2011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2025</v>
      </c>
      <c r="N8002" s="1" t="n">
        <v>5.64</v>
      </c>
      <c r="O8002" s="1" t="n">
        <v>259.72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2011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2026</v>
      </c>
      <c r="N8003" s="1" t="n">
        <v>1.606</v>
      </c>
      <c r="O8003" s="1" t="n">
        <v>93.77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2011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2027</v>
      </c>
      <c r="N8004" s="1" t="n">
        <v>5.486</v>
      </c>
      <c r="O8004" s="1" t="n">
        <v>185.3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2011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2027</v>
      </c>
      <c r="N8005" s="1" t="n">
        <v>3.336</v>
      </c>
      <c r="O8005" s="1" t="n">
        <v>122.42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2011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2028</v>
      </c>
      <c r="N8006" s="1" t="n">
        <v>1.192</v>
      </c>
      <c r="O8006" s="1" t="n">
        <v>2.97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2011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2029</v>
      </c>
      <c r="N8007" s="1" t="n">
        <v>9.66</v>
      </c>
      <c r="O8007" s="1" t="n">
        <v>24.1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2011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2030</v>
      </c>
      <c r="N8008" s="1" t="n">
        <v>0.807</v>
      </c>
      <c r="O8008" s="1" t="n">
        <v>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2011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2012</v>
      </c>
      <c r="N8009" s="1" t="n">
        <v>2.888</v>
      </c>
      <c r="O8009" s="1" t="n">
        <v>54.06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2011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2013</v>
      </c>
      <c r="N8010" s="1" t="n">
        <v>9.535</v>
      </c>
      <c r="O8010" s="1" t="n">
        <v>193.37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2011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2014</v>
      </c>
      <c r="N8011" s="1" t="n">
        <v>20.37</v>
      </c>
      <c r="O8011" s="1" t="n">
        <v>476.69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2011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2015</v>
      </c>
      <c r="N8012" s="1" t="n">
        <v>16.51</v>
      </c>
      <c r="O8012" s="1" t="n">
        <v>412.13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2011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2016</v>
      </c>
      <c r="N8013" s="1" t="n">
        <v>2.266</v>
      </c>
      <c r="O8013" s="1" t="n">
        <v>49.49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2011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2113</v>
      </c>
      <c r="N8014" s="1" t="n">
        <v>2.498</v>
      </c>
      <c r="O8014" s="1" t="n">
        <v>58.46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2011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2018</v>
      </c>
      <c r="N8015" s="1" t="n">
        <v>3.112</v>
      </c>
      <c r="O8015" s="1" t="n">
        <v>72.83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2011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3309</v>
      </c>
      <c r="N8016" s="1" t="n">
        <v>3.91</v>
      </c>
      <c r="O8016" s="1" t="n">
        <v>128.11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2011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2028</v>
      </c>
      <c r="N8017" s="1" t="n">
        <v>1.664</v>
      </c>
      <c r="O8017" s="1" t="n">
        <v>3.88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2011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3310</v>
      </c>
      <c r="N8018" s="1" t="n">
        <v>3.026</v>
      </c>
      <c r="O8018" s="1" t="n">
        <v>11.78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2011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2030</v>
      </c>
      <c r="N8019" s="1" t="n">
        <v>0.621</v>
      </c>
      <c r="O8019" s="1" t="n">
        <v>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2031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2012</v>
      </c>
      <c r="N8020" s="1" t="n">
        <v>3.028</v>
      </c>
      <c r="O8020" s="1" t="n">
        <v>60.6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2031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2017</v>
      </c>
      <c r="N8021" s="1" t="n">
        <v>2.346</v>
      </c>
      <c r="O8021" s="1" t="n">
        <v>66.52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2031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2018</v>
      </c>
      <c r="N8022" s="1" t="n">
        <v>3.368</v>
      </c>
      <c r="O8022" s="1" t="n">
        <v>84.26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2031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2019</v>
      </c>
      <c r="N8023" s="1" t="n">
        <v>15.78</v>
      </c>
      <c r="O8023" s="1" t="n">
        <v>513.27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2031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2020</v>
      </c>
      <c r="N8024" s="1" t="n">
        <v>8.94</v>
      </c>
      <c r="O8024" s="1" t="n">
        <v>335.53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2031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2021</v>
      </c>
      <c r="N8025" s="1" t="n">
        <v>5.45</v>
      </c>
      <c r="O8025" s="1" t="n">
        <v>227.28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2031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2022</v>
      </c>
      <c r="N8026" s="1" t="n">
        <v>11.035</v>
      </c>
      <c r="O8026" s="1" t="n">
        <v>487.81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2031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2023</v>
      </c>
      <c r="N8027" s="1" t="n">
        <v>4.254</v>
      </c>
      <c r="O8027" s="1" t="n">
        <v>191.6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2031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2024</v>
      </c>
      <c r="N8028" s="1" t="n">
        <v>1.66</v>
      </c>
      <c r="O8028" s="1" t="n">
        <v>66.46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2031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2025</v>
      </c>
      <c r="N8029" s="1" t="n">
        <v>2.338</v>
      </c>
      <c r="O8029" s="1" t="n">
        <v>117.01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2031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2026</v>
      </c>
      <c r="N8030" s="1" t="n">
        <v>1.606</v>
      </c>
      <c r="O8030" s="1" t="n">
        <v>93.77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2031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2027</v>
      </c>
      <c r="N8031" s="1" t="n">
        <v>3.336</v>
      </c>
      <c r="O8031" s="1" t="n">
        <v>122.42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2031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2028</v>
      </c>
      <c r="N8032" s="1" t="n">
        <v>1.192</v>
      </c>
      <c r="O8032" s="1" t="n">
        <v>2.97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2031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2029</v>
      </c>
      <c r="N8033" s="1" t="n">
        <v>9.66</v>
      </c>
      <c r="O8033" s="1" t="n">
        <v>24.1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2031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2030</v>
      </c>
      <c r="N8034" s="1" t="n">
        <v>0.807</v>
      </c>
      <c r="O8034" s="1" t="n">
        <v>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2031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2019</v>
      </c>
      <c r="N8035" s="1" t="n">
        <v>17.64</v>
      </c>
      <c r="O8035" s="1" t="n">
        <v>530.23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2031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2025</v>
      </c>
      <c r="N8036" s="1" t="n">
        <v>2.1</v>
      </c>
      <c r="O8036" s="1" t="n">
        <v>97.12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2031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2027</v>
      </c>
      <c r="N8037" s="1" t="n">
        <v>2.26</v>
      </c>
      <c r="O8037" s="1" t="n">
        <v>76.65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2031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2018</v>
      </c>
      <c r="N8038" s="1" t="n">
        <v>0.704</v>
      </c>
      <c r="O8038" s="1" t="n">
        <v>16.17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2031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2019</v>
      </c>
      <c r="N8039" s="1" t="n">
        <v>22.53</v>
      </c>
      <c r="O8039" s="1" t="n">
        <v>672.58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2031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2025</v>
      </c>
      <c r="N8040" s="1" t="n">
        <v>3.54</v>
      </c>
      <c r="O8040" s="1" t="n">
        <v>162.6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2031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2027</v>
      </c>
      <c r="N8041" s="1" t="n">
        <v>3.226</v>
      </c>
      <c r="O8041" s="1" t="n">
        <v>108.65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2031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2012</v>
      </c>
      <c r="N8042" s="1" t="n">
        <v>2.888</v>
      </c>
      <c r="O8042" s="1" t="n">
        <v>54.06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2031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2013</v>
      </c>
      <c r="N8043" s="1" t="n">
        <v>9.535</v>
      </c>
      <c r="O8043" s="1" t="n">
        <v>193.37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2031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2014</v>
      </c>
      <c r="N8044" s="1" t="n">
        <v>20.37</v>
      </c>
      <c r="O8044" s="1" t="n">
        <v>476.69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2031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2015</v>
      </c>
      <c r="N8045" s="1" t="n">
        <v>16.51</v>
      </c>
      <c r="O8045" s="1" t="n">
        <v>412.13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2031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2016</v>
      </c>
      <c r="N8046" s="1" t="n">
        <v>2.266</v>
      </c>
      <c r="O8046" s="1" t="n">
        <v>49.49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2031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2113</v>
      </c>
      <c r="N8047" s="1" t="n">
        <v>2.498</v>
      </c>
      <c r="O8047" s="1" t="n">
        <v>58.46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2031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2018</v>
      </c>
      <c r="N8048" s="1" t="n">
        <v>3.112</v>
      </c>
      <c r="O8048" s="1" t="n">
        <v>72.83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2031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3309</v>
      </c>
      <c r="N8049" s="1" t="n">
        <v>3.91</v>
      </c>
      <c r="O8049" s="1" t="n">
        <v>128.11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2031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2028</v>
      </c>
      <c r="N8050" s="1" t="n">
        <v>1.664</v>
      </c>
      <c r="O8050" s="1" t="n">
        <v>3.88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2031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3310</v>
      </c>
      <c r="N8051" s="1" t="n">
        <v>3.026</v>
      </c>
      <c r="O8051" s="1" t="n">
        <v>11.78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2031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2030</v>
      </c>
      <c r="N8052" s="1" t="n">
        <v>0.621</v>
      </c>
      <c r="O8052" s="1" t="n">
        <v>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2548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3855</v>
      </c>
      <c r="N8053" s="1" t="n">
        <v>36</v>
      </c>
      <c r="O8053" s="1" t="n">
        <v>43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2548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3861</v>
      </c>
      <c r="N8054" s="1" t="n">
        <v>9</v>
      </c>
      <c r="O8054" s="1" t="n">
        <v>38.25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2085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2190</v>
      </c>
      <c r="N8055" s="1" t="n">
        <v>10</v>
      </c>
      <c r="O8055" s="1" t="n">
        <v>180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2003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3501</v>
      </c>
      <c r="N8056" s="1" t="n">
        <v>12</v>
      </c>
      <c r="O8056" s="1" t="n">
        <v>48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2003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3502</v>
      </c>
      <c r="N8057" s="1" t="n">
        <v>12</v>
      </c>
      <c r="O8057" s="1" t="n">
        <v>48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2003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3504</v>
      </c>
      <c r="N8058" s="1" t="n">
        <v>12</v>
      </c>
      <c r="O8058" s="1" t="n">
        <v>48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2003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2041</v>
      </c>
      <c r="N8059" s="1" t="n">
        <v>10</v>
      </c>
      <c r="O8059" s="1" t="n">
        <v>120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2003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2042</v>
      </c>
      <c r="N8060" s="1" t="n">
        <v>5</v>
      </c>
      <c r="O8060" s="1" t="n">
        <v>20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2003</v>
      </c>
      <c r="E8061" s="1" t="n">
        <v>1243</v>
      </c>
      <c r="F8061" s="1" t="s">
        <v>4790</v>
      </c>
      <c r="I8061" s="1" t="n">
        <v>303</v>
      </c>
      <c r="J8061" s="1" t="n">
        <v>82251</v>
      </c>
      <c r="K8061" s="1" t="n">
        <v>822527</v>
      </c>
      <c r="L8061" s="1" t="s">
        <v>4791</v>
      </c>
      <c r="N8061" s="1" t="n">
        <v>1</v>
      </c>
      <c r="O8061" s="1" t="n">
        <v>78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2003</v>
      </c>
      <c r="E8062" s="1" t="n">
        <v>1243</v>
      </c>
      <c r="F8062" s="1" t="s">
        <v>4790</v>
      </c>
      <c r="I8062" s="1" t="n">
        <v>303</v>
      </c>
      <c r="J8062" s="1" t="n">
        <v>82253</v>
      </c>
      <c r="K8062" s="1" t="n">
        <v>822541</v>
      </c>
      <c r="L8062" s="1" t="s">
        <v>4792</v>
      </c>
      <c r="N8062" s="1" t="n">
        <v>1</v>
      </c>
      <c r="O8062" s="1" t="n">
        <v>150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2003</v>
      </c>
      <c r="E8063" s="1" t="n">
        <v>1243</v>
      </c>
      <c r="F8063" s="1" t="s">
        <v>4790</v>
      </c>
      <c r="I8063" s="1" t="n">
        <v>303</v>
      </c>
      <c r="J8063" s="1" t="n">
        <v>82255</v>
      </c>
      <c r="K8063" s="1" t="n">
        <v>822565</v>
      </c>
      <c r="L8063" s="1" t="s">
        <v>4793</v>
      </c>
      <c r="N8063" s="1" t="n">
        <v>1</v>
      </c>
      <c r="O8063" s="1" t="n">
        <v>25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2003</v>
      </c>
      <c r="E8064" s="1" t="n">
        <v>1243</v>
      </c>
      <c r="F8064" s="1" t="s">
        <v>4790</v>
      </c>
      <c r="I8064" s="1" t="n">
        <v>303</v>
      </c>
      <c r="J8064" s="1" t="n">
        <v>82257</v>
      </c>
      <c r="K8064" s="1" t="n">
        <v>822589</v>
      </c>
      <c r="L8064" s="1" t="s">
        <v>4794</v>
      </c>
      <c r="N8064" s="1" t="n">
        <v>1</v>
      </c>
      <c r="O8064" s="1" t="n">
        <v>150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2003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2244</v>
      </c>
      <c r="N8065" s="1" t="n">
        <v>96</v>
      </c>
      <c r="O8065" s="1" t="n">
        <v>160.32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2003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1978</v>
      </c>
      <c r="N8066" s="1" t="n">
        <v>15</v>
      </c>
      <c r="O8066" s="1" t="n">
        <v>74.85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2003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1979</v>
      </c>
      <c r="N8067" s="1" t="n">
        <v>10</v>
      </c>
      <c r="O8067" s="1" t="n">
        <v>49.9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2003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1977</v>
      </c>
      <c r="N8068" s="1" t="n">
        <v>30</v>
      </c>
      <c r="O8068" s="1" t="n">
        <v>135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2003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2116</v>
      </c>
      <c r="N8069" s="1" t="n">
        <v>2</v>
      </c>
      <c r="O8069" s="1" t="n">
        <v>12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2003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2118</v>
      </c>
      <c r="N8070" s="1" t="n">
        <v>15</v>
      </c>
      <c r="O8070" s="1" t="n">
        <v>90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2003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2119</v>
      </c>
      <c r="N8071" s="1" t="n">
        <v>2</v>
      </c>
      <c r="O8071" s="1" t="n">
        <v>12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2003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2120</v>
      </c>
      <c r="N8072" s="1" t="n">
        <v>5</v>
      </c>
      <c r="O8072" s="1" t="n">
        <v>35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2003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2034</v>
      </c>
      <c r="N8073" s="1" t="n">
        <v>2</v>
      </c>
      <c r="O8073" s="1" t="n">
        <v>14.5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2003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2035</v>
      </c>
      <c r="N8074" s="1" t="n">
        <v>2</v>
      </c>
      <c r="O8074" s="1" t="n">
        <v>11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2003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2036</v>
      </c>
      <c r="N8075" s="1" t="n">
        <v>15</v>
      </c>
      <c r="O8075" s="1" t="n">
        <v>97.5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2003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2037</v>
      </c>
      <c r="N8076" s="1" t="n">
        <v>5</v>
      </c>
      <c r="O8076" s="1" t="n">
        <v>27.5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2003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2121</v>
      </c>
      <c r="N8077" s="1" t="n">
        <v>5</v>
      </c>
      <c r="O8077" s="1" t="n">
        <v>27.5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2003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2038</v>
      </c>
      <c r="N8078" s="1" t="n">
        <v>4</v>
      </c>
      <c r="O8078" s="1" t="n">
        <v>22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2003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2039</v>
      </c>
      <c r="N8079" s="1" t="n">
        <v>3</v>
      </c>
      <c r="O8079" s="1" t="n">
        <v>25.2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2003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1978</v>
      </c>
      <c r="N8080" s="1" t="n">
        <v>3</v>
      </c>
      <c r="O8080" s="1" t="n">
        <v>16.5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2003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2040</v>
      </c>
      <c r="N8081" s="1" t="n">
        <v>3</v>
      </c>
      <c r="O8081" s="1" t="n">
        <v>16.5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2003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1983</v>
      </c>
      <c r="N8082" s="1" t="n">
        <v>5</v>
      </c>
      <c r="O8082" s="1" t="n">
        <v>20.67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2003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1984</v>
      </c>
      <c r="N8083" s="1" t="n">
        <v>10</v>
      </c>
      <c r="O8083" s="1" t="n">
        <v>18.8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2003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1985</v>
      </c>
      <c r="N8084" s="1" t="n">
        <v>10</v>
      </c>
      <c r="O8084" s="1" t="n">
        <v>41.35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2003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4795</v>
      </c>
      <c r="N8085" s="1" t="n">
        <v>5</v>
      </c>
      <c r="O8085" s="1" t="n">
        <v>9.4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2003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1986</v>
      </c>
      <c r="N8086" s="1" t="n">
        <v>5</v>
      </c>
      <c r="O8086" s="1" t="n">
        <v>20.67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2003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1987</v>
      </c>
      <c r="N8087" s="1" t="n">
        <v>25</v>
      </c>
      <c r="O8087" s="1" t="n">
        <v>93.98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2003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1988</v>
      </c>
      <c r="N8088" s="1" t="n">
        <v>5</v>
      </c>
      <c r="O8088" s="1" t="n">
        <v>41.35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2003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1989</v>
      </c>
      <c r="N8089" s="1" t="n">
        <v>3</v>
      </c>
      <c r="O8089" s="1" t="n">
        <v>24.81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2003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1990</v>
      </c>
      <c r="N8090" s="1" t="n">
        <v>5</v>
      </c>
      <c r="O8090" s="1" t="n">
        <v>41.35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2003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1991</v>
      </c>
      <c r="N8091" s="1" t="n">
        <v>30</v>
      </c>
      <c r="O8091" s="1" t="n">
        <v>33.83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2003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1992</v>
      </c>
      <c r="N8092" s="1" t="n">
        <v>5</v>
      </c>
      <c r="O8092" s="1" t="n">
        <v>20.67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2003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1993</v>
      </c>
      <c r="N8093" s="1" t="n">
        <v>3</v>
      </c>
      <c r="O8093" s="1" t="n">
        <v>12.4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2003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4796</v>
      </c>
      <c r="N8094" s="1" t="n">
        <v>5</v>
      </c>
      <c r="O8094" s="1" t="n">
        <v>9.4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2003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4797</v>
      </c>
      <c r="N8095" s="1" t="n">
        <v>120</v>
      </c>
      <c r="O8095" s="1" t="n">
        <v>218.22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2003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4798</v>
      </c>
      <c r="N8096" s="1" t="n">
        <v>60</v>
      </c>
      <c r="O8096" s="1" t="n">
        <v>475.83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2003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4799</v>
      </c>
      <c r="N8097" s="1" t="n">
        <v>60</v>
      </c>
      <c r="O8097" s="1" t="n">
        <v>475.83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2003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4800</v>
      </c>
      <c r="N8098" s="1" t="n">
        <v>60</v>
      </c>
      <c r="O8098" s="1" t="n">
        <v>141.6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2003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4801</v>
      </c>
      <c r="N8099" s="1" t="n">
        <v>60</v>
      </c>
      <c r="O8099" s="1" t="n">
        <v>294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2003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4802</v>
      </c>
      <c r="N8100" s="1" t="n">
        <v>60</v>
      </c>
      <c r="O8100" s="1" t="n">
        <v>301.2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2003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4803</v>
      </c>
      <c r="N8101" s="1" t="n">
        <v>6</v>
      </c>
      <c r="O8101" s="1" t="n">
        <v>31.32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2003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3597</v>
      </c>
      <c r="N8102" s="1" t="n">
        <v>48</v>
      </c>
      <c r="O8102" s="1" t="n">
        <v>183.36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2003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4804</v>
      </c>
      <c r="N8103" s="1" t="n">
        <v>6</v>
      </c>
      <c r="O8103" s="1" t="n">
        <v>31.32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2003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4805</v>
      </c>
      <c r="N8104" s="1" t="n">
        <v>6</v>
      </c>
      <c r="O8104" s="1" t="n">
        <v>32.04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2003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4806</v>
      </c>
      <c r="N8105" s="1" t="n">
        <v>6</v>
      </c>
      <c r="O8105" s="1" t="n">
        <v>32.04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2003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4807</v>
      </c>
      <c r="N8106" s="1" t="n">
        <v>6</v>
      </c>
      <c r="O8106" s="1" t="n">
        <v>32.04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2003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4808</v>
      </c>
      <c r="N8107" s="1" t="n">
        <v>6</v>
      </c>
      <c r="O8107" s="1" t="n">
        <v>32.04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2003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4809</v>
      </c>
      <c r="N8108" s="1" t="n">
        <v>6</v>
      </c>
      <c r="O8108" s="1" t="n">
        <v>31.32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2003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4162</v>
      </c>
      <c r="N8109" s="1" t="n">
        <v>48</v>
      </c>
      <c r="O8109" s="1" t="n">
        <v>221.76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2003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4810</v>
      </c>
      <c r="N8110" s="1" t="n">
        <v>32</v>
      </c>
      <c r="O8110" s="1" t="n">
        <v>134.08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2003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4811</v>
      </c>
      <c r="N8111" s="1" t="n">
        <v>30</v>
      </c>
      <c r="O8111" s="1" t="n">
        <v>221.7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2003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3301</v>
      </c>
      <c r="N8112" s="1" t="n">
        <v>60</v>
      </c>
      <c r="O8112" s="1" t="n">
        <v>205.1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2003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2596</v>
      </c>
      <c r="N8113" s="1" t="n">
        <v>12</v>
      </c>
      <c r="O8113" s="1" t="n">
        <v>36.01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2003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3402</v>
      </c>
      <c r="N8114" s="1" t="n">
        <v>12</v>
      </c>
      <c r="O8114" s="1" t="n">
        <v>41.2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2003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2597</v>
      </c>
      <c r="N8115" s="1" t="n">
        <v>30</v>
      </c>
      <c r="O8115" s="1" t="n">
        <v>167.46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2003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4337</v>
      </c>
      <c r="N8116" s="1" t="n">
        <v>12</v>
      </c>
      <c r="O8116" s="1" t="n">
        <v>82.39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2003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4157</v>
      </c>
      <c r="N8117" s="1" t="n">
        <v>12</v>
      </c>
      <c r="O8117" s="1" t="n">
        <v>34.91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2003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2603</v>
      </c>
      <c r="N8118" s="1" t="n">
        <v>12</v>
      </c>
      <c r="O8118" s="1" t="n">
        <v>34.91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2003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2604</v>
      </c>
      <c r="N8119" s="1" t="n">
        <v>6</v>
      </c>
      <c r="O8119" s="1" t="n">
        <v>32.89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2003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3404</v>
      </c>
      <c r="N8120" s="1" t="n">
        <v>6</v>
      </c>
      <c r="O8120" s="1" t="n">
        <v>32.89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2003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4178</v>
      </c>
      <c r="N8121" s="1" t="n">
        <v>24</v>
      </c>
      <c r="O8121" s="1" t="n">
        <v>88.250047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2003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2606</v>
      </c>
      <c r="N8122" s="1" t="n">
        <v>6</v>
      </c>
      <c r="O8122" s="1" t="n">
        <v>32.89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2003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2608</v>
      </c>
      <c r="N8123" s="1" t="n">
        <v>16</v>
      </c>
      <c r="O8123" s="1" t="n">
        <v>91.930023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2003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2609</v>
      </c>
      <c r="N8124" s="1" t="n">
        <v>16</v>
      </c>
      <c r="O8124" s="1" t="n">
        <v>46.470022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2003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2611</v>
      </c>
      <c r="N8125" s="1" t="n">
        <v>30</v>
      </c>
      <c r="O8125" s="1" t="n">
        <v>84.540084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2003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4812</v>
      </c>
      <c r="N8126" s="1" t="n">
        <v>12</v>
      </c>
      <c r="O8126" s="1" t="n">
        <v>41.08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2003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2614</v>
      </c>
      <c r="N8127" s="1" t="n">
        <v>8</v>
      </c>
      <c r="O8127" s="1" t="n">
        <v>45.969951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2003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4179</v>
      </c>
      <c r="N8128" s="1" t="n">
        <v>15</v>
      </c>
      <c r="O8128" s="1" t="n">
        <v>50.049953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2003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2616</v>
      </c>
      <c r="N8129" s="1" t="n">
        <v>24</v>
      </c>
      <c r="O8129" s="1" t="n">
        <v>165.550123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2003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2618</v>
      </c>
      <c r="N8130" s="1" t="n">
        <v>30</v>
      </c>
      <c r="O8130" s="1" t="n">
        <v>87.129915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2003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3305</v>
      </c>
      <c r="N8131" s="1" t="n">
        <v>12</v>
      </c>
      <c r="O8131" s="1" t="n">
        <v>82.28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2003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3306</v>
      </c>
      <c r="N8132" s="1" t="n">
        <v>6</v>
      </c>
      <c r="O8132" s="1" t="n">
        <v>20.54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2003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2622</v>
      </c>
      <c r="N8133" s="1" t="n">
        <v>18</v>
      </c>
      <c r="O8133" s="1" t="n">
        <v>61.62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2003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4741</v>
      </c>
      <c r="N8134" s="1" t="n">
        <v>24</v>
      </c>
      <c r="O8134" s="1" t="n">
        <v>147.239896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2003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2627</v>
      </c>
      <c r="N8135" s="1" t="n">
        <v>8</v>
      </c>
      <c r="O8135" s="1" t="n">
        <v>45.969867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2003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2630</v>
      </c>
      <c r="N8136" s="1" t="n">
        <v>24</v>
      </c>
      <c r="O8136" s="1" t="n">
        <v>133.429999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2003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4813</v>
      </c>
      <c r="N8137" s="1" t="n">
        <v>24</v>
      </c>
      <c r="O8137" s="1" t="n">
        <v>128.109925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2003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4813</v>
      </c>
      <c r="N8138" s="1" t="n">
        <v>24</v>
      </c>
      <c r="O8138" s="1" t="n">
        <v>119.909863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2003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3876</v>
      </c>
      <c r="N8139" s="1" t="n">
        <v>6</v>
      </c>
      <c r="O8139" s="1" t="n">
        <v>29.3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2003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4182</v>
      </c>
      <c r="N8140" s="1" t="n">
        <v>6</v>
      </c>
      <c r="O8140" s="1" t="n">
        <v>29.3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2003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1994</v>
      </c>
      <c r="N8141" s="1" t="n">
        <v>24</v>
      </c>
      <c r="O8141" s="1" t="n">
        <v>203.42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2003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1995</v>
      </c>
      <c r="N8142" s="1" t="n">
        <v>6</v>
      </c>
      <c r="O8142" s="1" t="n">
        <v>50.85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2003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3651</v>
      </c>
      <c r="N8143" s="1" t="n">
        <v>6</v>
      </c>
      <c r="O8143" s="1" t="n">
        <v>50.85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2003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2095</v>
      </c>
      <c r="N8144" s="1" t="n">
        <v>6</v>
      </c>
      <c r="O8144" s="1" t="n">
        <v>50.85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2003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2096</v>
      </c>
      <c r="N8145" s="1" t="n">
        <v>12</v>
      </c>
      <c r="O8145" s="1" t="n">
        <v>34.31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2003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3879</v>
      </c>
      <c r="N8146" s="1" t="n">
        <v>6</v>
      </c>
      <c r="O8146" s="1" t="n">
        <v>29.3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2003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2972</v>
      </c>
      <c r="N8147" s="1" t="n">
        <v>12</v>
      </c>
      <c r="O8147" s="1" t="n">
        <v>101.71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2003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4814</v>
      </c>
      <c r="N8148" s="1" t="n">
        <v>6</v>
      </c>
      <c r="O8148" s="1" t="n">
        <v>50.85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2003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2094</v>
      </c>
      <c r="N8149" s="1" t="n">
        <v>6</v>
      </c>
      <c r="O8149" s="1" t="n">
        <v>50.85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2003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2089</v>
      </c>
      <c r="N8150" s="1" t="n">
        <v>180</v>
      </c>
      <c r="O8150" s="1" t="n">
        <v>353.48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2003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3453</v>
      </c>
      <c r="N8151" s="1" t="n">
        <v>24</v>
      </c>
      <c r="O8151" s="1" t="n">
        <v>47.13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2003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2785</v>
      </c>
      <c r="N8152" s="1" t="n">
        <v>180</v>
      </c>
      <c r="O8152" s="1" t="n">
        <v>353.48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2003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2090</v>
      </c>
      <c r="N8153" s="1" t="n">
        <v>24</v>
      </c>
      <c r="O8153" s="1" t="n">
        <v>47.13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2003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2092</v>
      </c>
      <c r="N8154" s="1" t="n">
        <v>6</v>
      </c>
      <c r="O8154" s="1" t="n">
        <v>57.81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2003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2787</v>
      </c>
      <c r="N8155" s="1" t="n">
        <v>12</v>
      </c>
      <c r="O8155" s="1" t="n">
        <v>15.14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2003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4217</v>
      </c>
      <c r="N8156" s="1" t="n">
        <v>12</v>
      </c>
      <c r="O8156" s="1" t="n">
        <v>16.85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2003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3308</v>
      </c>
      <c r="N8157" s="1" t="n">
        <v>6</v>
      </c>
      <c r="O8157" s="1" t="n">
        <v>29.3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2003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4815</v>
      </c>
      <c r="N8158" s="1" t="n">
        <v>6</v>
      </c>
      <c r="O8158" s="1" t="n">
        <v>29.3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2003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1997</v>
      </c>
      <c r="N8159" s="1" t="n">
        <v>5</v>
      </c>
      <c r="O8159" s="1" t="n">
        <v>7.5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2003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1999</v>
      </c>
      <c r="N8160" s="1" t="n">
        <v>60</v>
      </c>
      <c r="O8160" s="1" t="n">
        <v>108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2003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1997</v>
      </c>
      <c r="N8161" s="1" t="n">
        <v>20</v>
      </c>
      <c r="O8161" s="1" t="n">
        <v>30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2003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1998</v>
      </c>
      <c r="N8162" s="1" t="n">
        <v>6</v>
      </c>
      <c r="O8162" s="1" t="n">
        <v>27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2003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1999</v>
      </c>
      <c r="N8163" s="1" t="n">
        <v>50</v>
      </c>
      <c r="O8163" s="1" t="n">
        <v>90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2003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1997</v>
      </c>
      <c r="N8164" s="1" t="n">
        <v>20</v>
      </c>
      <c r="O8164" s="1" t="n">
        <v>30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2003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1998</v>
      </c>
      <c r="N8165" s="1" t="n">
        <v>9</v>
      </c>
      <c r="O8165" s="1" t="n">
        <v>40.5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2003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1999</v>
      </c>
      <c r="N8166" s="1" t="n">
        <v>60</v>
      </c>
      <c r="O8166" s="1" t="n">
        <v>108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2003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2002</v>
      </c>
      <c r="N8167" s="1" t="n">
        <v>27</v>
      </c>
      <c r="O8167" s="1" t="n">
        <v>181.04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2003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2106</v>
      </c>
      <c r="N8168" s="1" t="n">
        <v>6</v>
      </c>
      <c r="O8168" s="1" t="n">
        <v>36.45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2003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4343</v>
      </c>
      <c r="N8169" s="1" t="n">
        <v>12</v>
      </c>
      <c r="O8169" s="1" t="n">
        <v>24.18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2003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2186</v>
      </c>
      <c r="N8170" s="1" t="n">
        <v>18</v>
      </c>
      <c r="O8170" s="1" t="n">
        <v>101.83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2003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2526</v>
      </c>
      <c r="N8171" s="1" t="n">
        <v>18</v>
      </c>
      <c r="O8171" s="1" t="n">
        <v>134.98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2003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2099</v>
      </c>
      <c r="N8172" s="1" t="n">
        <v>18</v>
      </c>
      <c r="O8172" s="1" t="n">
        <v>134.98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2003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2100</v>
      </c>
      <c r="N8173" s="1" t="n">
        <v>12</v>
      </c>
      <c r="O8173" s="1" t="n">
        <v>34.31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2003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2101</v>
      </c>
      <c r="N8174" s="1" t="n">
        <v>48</v>
      </c>
      <c r="O8174" s="1" t="n">
        <v>153.85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2003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4188</v>
      </c>
      <c r="N8175" s="1" t="n">
        <v>6</v>
      </c>
      <c r="O8175" s="1" t="n">
        <v>16.79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2003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2188</v>
      </c>
      <c r="N8176" s="1" t="n">
        <v>36</v>
      </c>
      <c r="O8176" s="1" t="n">
        <v>163.37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2003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2104</v>
      </c>
      <c r="N8177" s="1" t="n">
        <v>24</v>
      </c>
      <c r="O8177" s="1" t="n">
        <v>74.97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2003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2105</v>
      </c>
      <c r="N8178" s="1" t="n">
        <v>30</v>
      </c>
      <c r="O8178" s="1" t="n">
        <v>256.72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2003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2000</v>
      </c>
      <c r="N8179" s="1" t="n">
        <v>12</v>
      </c>
      <c r="O8179" s="1" t="n">
        <v>116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2003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4159</v>
      </c>
      <c r="N8180" s="1" t="n">
        <v>12</v>
      </c>
      <c r="O8180" s="1" t="n">
        <v>38.46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2003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2002</v>
      </c>
      <c r="N8181" s="1" t="n">
        <v>36</v>
      </c>
      <c r="O8181" s="1" t="n">
        <v>241.39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2003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3119</v>
      </c>
      <c r="N8182" s="1" t="n">
        <v>24</v>
      </c>
      <c r="O8182" s="1" t="n">
        <v>84.25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2003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3118</v>
      </c>
      <c r="N8183" s="1" t="n">
        <v>9</v>
      </c>
      <c r="O8183" s="1" t="n">
        <v>52.56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2003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4708</v>
      </c>
      <c r="N8184" s="1" t="n">
        <v>12</v>
      </c>
      <c r="O8184" s="1" t="n">
        <v>21.73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2003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2788</v>
      </c>
      <c r="N8185" s="1" t="n">
        <v>9</v>
      </c>
      <c r="O8185" s="1" t="n">
        <v>52.56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2003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2010</v>
      </c>
      <c r="N8186" s="1" t="n">
        <v>30</v>
      </c>
      <c r="O8186" s="1" t="n">
        <v>297.92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2003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2107</v>
      </c>
      <c r="N8187" s="1" t="n">
        <v>60</v>
      </c>
      <c r="O8187" s="1" t="n">
        <v>529.3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2003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2108</v>
      </c>
      <c r="N8188" s="1" t="n">
        <v>12</v>
      </c>
      <c r="O8188" s="1" t="n">
        <v>44.08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2003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3084</v>
      </c>
      <c r="N8189" s="1" t="n">
        <v>24</v>
      </c>
      <c r="O8189" s="1" t="n">
        <v>109.16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2003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4075</v>
      </c>
      <c r="N8190" s="1" t="n">
        <v>48</v>
      </c>
      <c r="O8190" s="1" t="n">
        <v>131.87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2548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4409</v>
      </c>
      <c r="N8191" s="1" t="n">
        <v>60</v>
      </c>
      <c r="O8191" s="1" t="n">
        <v>242.84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2085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2066</v>
      </c>
      <c r="N8192" s="1" t="n">
        <v>20</v>
      </c>
      <c r="O8192" s="1" t="n">
        <v>300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2003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2248</v>
      </c>
      <c r="N8193" s="1" t="n">
        <v>30</v>
      </c>
      <c r="O8193" s="1" t="n">
        <v>219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2003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2156</v>
      </c>
      <c r="N8194" s="1" t="n">
        <v>60</v>
      </c>
      <c r="O8194" s="1" t="n">
        <v>676.2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2003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2157</v>
      </c>
      <c r="N8195" s="1" t="n">
        <v>20</v>
      </c>
      <c r="O8195" s="1" t="n">
        <v>379.8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2003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4816</v>
      </c>
      <c r="N8196" s="1" t="n">
        <v>48</v>
      </c>
      <c r="O8196" s="1" t="n">
        <v>35.52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2003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4817</v>
      </c>
      <c r="N8197" s="1" t="n">
        <v>48</v>
      </c>
      <c r="O8197" s="1" t="n">
        <v>35.52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2003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4818</v>
      </c>
      <c r="N8198" s="1" t="n">
        <v>48</v>
      </c>
      <c r="O8198" s="1" t="n">
        <v>35.52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2003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2997</v>
      </c>
      <c r="N8199" s="1" t="n">
        <v>100</v>
      </c>
      <c r="O8199" s="1" t="n">
        <v>870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2003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4819</v>
      </c>
      <c r="N8200" s="1" t="n">
        <v>24</v>
      </c>
      <c r="O8200" s="1" t="n">
        <v>52.56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2003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4820</v>
      </c>
      <c r="N8201" s="1" t="n">
        <v>14</v>
      </c>
      <c r="O8201" s="1" t="n">
        <v>40.04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2003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1981</v>
      </c>
      <c r="N8202" s="1" t="n">
        <v>85.8</v>
      </c>
      <c r="O8202" s="1" t="n">
        <v>2745.6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2003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1982</v>
      </c>
      <c r="N8203" s="1" t="n">
        <v>60.2</v>
      </c>
      <c r="O8203" s="1" t="n">
        <v>1324.4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2003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2021</v>
      </c>
      <c r="N8204" s="1" t="n">
        <v>57.63</v>
      </c>
      <c r="O8204" s="1" t="n">
        <v>2218.75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2003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2022</v>
      </c>
      <c r="N8205" s="1" t="n">
        <v>55.13</v>
      </c>
      <c r="O8205" s="1" t="n">
        <v>2122.5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2003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2023</v>
      </c>
      <c r="N8206" s="1" t="n">
        <v>20.18</v>
      </c>
      <c r="O8206" s="1" t="n">
        <v>865.52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2003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2847</v>
      </c>
      <c r="N8207" s="1" t="n">
        <v>24</v>
      </c>
      <c r="O8207" s="1" t="n">
        <v>194.4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2003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2877</v>
      </c>
      <c r="N8208" s="1" t="n">
        <v>6</v>
      </c>
      <c r="O8208" s="1" t="n">
        <v>48.6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2003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4119</v>
      </c>
      <c r="N8209" s="1" t="n">
        <v>27</v>
      </c>
      <c r="O8209" s="1" t="n">
        <v>111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2003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4120</v>
      </c>
      <c r="N8210" s="1" t="n">
        <v>27</v>
      </c>
      <c r="O8210" s="1" t="n">
        <v>111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2003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2322</v>
      </c>
      <c r="N8211" s="1" t="n">
        <v>60</v>
      </c>
      <c r="O8211" s="1" t="n">
        <v>70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2003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3231</v>
      </c>
      <c r="N8212" s="1" t="n">
        <v>60</v>
      </c>
      <c r="O8212" s="1" t="n">
        <v>70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2003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2350</v>
      </c>
      <c r="N8213" s="1" t="n">
        <v>5</v>
      </c>
      <c r="O8213" s="1" t="n">
        <v>18.9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2003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2351</v>
      </c>
      <c r="N8214" s="1" t="n">
        <v>3</v>
      </c>
      <c r="O8214" s="1" t="n">
        <v>13.62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2003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4170</v>
      </c>
      <c r="N8215" s="1" t="n">
        <v>2</v>
      </c>
      <c r="O8215" s="1" t="n">
        <v>9.08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2003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2352</v>
      </c>
      <c r="N8216" s="1" t="n">
        <v>4</v>
      </c>
      <c r="O8216" s="1" t="n">
        <v>43.96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2003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2353</v>
      </c>
      <c r="N8217" s="1" t="n">
        <v>2</v>
      </c>
      <c r="O8217" s="1" t="n">
        <v>18.5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2003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4171</v>
      </c>
      <c r="N8218" s="1" t="n">
        <v>4</v>
      </c>
      <c r="O8218" s="1" t="n">
        <v>13.68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2003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4821</v>
      </c>
      <c r="N8219" s="1" t="n">
        <v>2</v>
      </c>
      <c r="O8219" s="1" t="n">
        <v>9.18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2003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2354</v>
      </c>
      <c r="N8220" s="1" t="n">
        <v>2</v>
      </c>
      <c r="O8220" s="1" t="n">
        <v>6.98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2003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2355</v>
      </c>
      <c r="N8221" s="1" t="n">
        <v>3</v>
      </c>
      <c r="O8221" s="1" t="n">
        <v>36.87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2003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4273</v>
      </c>
      <c r="N8222" s="1" t="n">
        <v>5</v>
      </c>
      <c r="O8222" s="1" t="n">
        <v>14.55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2003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2357</v>
      </c>
      <c r="N8223" s="1" t="n">
        <v>3</v>
      </c>
      <c r="O8223" s="1" t="n">
        <v>10.65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2003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2359</v>
      </c>
      <c r="N8224" s="1" t="n">
        <v>10</v>
      </c>
      <c r="O8224" s="1" t="n">
        <v>88.5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2003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2362</v>
      </c>
      <c r="N8225" s="1" t="n">
        <v>4</v>
      </c>
      <c r="O8225" s="1" t="n">
        <v>32.76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2003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4173</v>
      </c>
      <c r="N8226" s="1" t="n">
        <v>6</v>
      </c>
      <c r="O8226" s="1" t="n">
        <v>25.74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2003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4175</v>
      </c>
      <c r="N8227" s="1" t="n">
        <v>6</v>
      </c>
      <c r="O8227" s="1" t="n">
        <v>59.88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2003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2364</v>
      </c>
      <c r="N8228" s="1" t="n">
        <v>2</v>
      </c>
      <c r="O8228" s="1" t="n">
        <v>6.98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2003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3467</v>
      </c>
      <c r="N8229" s="1" t="n">
        <v>1</v>
      </c>
      <c r="O8229" s="1" t="n">
        <v>14.21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2003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4274</v>
      </c>
      <c r="N8230" s="1" t="n">
        <v>3</v>
      </c>
      <c r="O8230" s="1" t="n">
        <v>13.77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2003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4176</v>
      </c>
      <c r="N8231" s="1" t="n">
        <v>4</v>
      </c>
      <c r="O8231" s="1" t="n">
        <v>13.76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2003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4822</v>
      </c>
      <c r="N8232" s="1" t="n">
        <v>2</v>
      </c>
      <c r="O8232" s="1" t="n">
        <v>7.36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2003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4144</v>
      </c>
      <c r="N8233" s="1" t="n">
        <v>12</v>
      </c>
      <c r="O8233" s="1" t="n">
        <v>83.16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2003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3233</v>
      </c>
      <c r="N8234" s="1" t="n">
        <v>50</v>
      </c>
      <c r="O8234" s="1" t="n">
        <v>108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2003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3234</v>
      </c>
      <c r="N8235" s="1" t="n">
        <v>50</v>
      </c>
      <c r="O8235" s="1" t="n">
        <v>108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2003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3235</v>
      </c>
      <c r="N8236" s="1" t="n">
        <v>50</v>
      </c>
      <c r="O8236" s="1" t="n">
        <v>108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2003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3236</v>
      </c>
      <c r="N8237" s="1" t="n">
        <v>50</v>
      </c>
      <c r="O8237" s="1" t="n">
        <v>104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2003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4145</v>
      </c>
      <c r="N8238" s="1" t="n">
        <v>50</v>
      </c>
      <c r="O8238" s="1" t="n">
        <v>104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2003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3237</v>
      </c>
      <c r="N8239" s="1" t="n">
        <v>50</v>
      </c>
      <c r="O8239" s="1" t="n">
        <v>104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2003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4823</v>
      </c>
      <c r="N8240" s="1" t="n">
        <v>10</v>
      </c>
      <c r="O8240" s="1" t="n">
        <v>75.9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2003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3241</v>
      </c>
      <c r="N8241" s="1" t="n">
        <v>12</v>
      </c>
      <c r="O8241" s="1" t="n">
        <v>33.84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2003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3243</v>
      </c>
      <c r="N8242" s="1" t="n">
        <v>12</v>
      </c>
      <c r="O8242" s="1" t="n">
        <v>33.84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2003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3244</v>
      </c>
      <c r="N8243" s="1" t="n">
        <v>12</v>
      </c>
      <c r="O8243" s="1" t="n">
        <v>50.04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2003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3245</v>
      </c>
      <c r="N8244" s="1" t="n">
        <v>6</v>
      </c>
      <c r="O8244" s="1" t="n">
        <v>25.02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2003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4824</v>
      </c>
      <c r="N8245" s="1" t="n">
        <v>6</v>
      </c>
      <c r="O8245" s="1" t="n">
        <v>25.02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2003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4825</v>
      </c>
      <c r="N8246" s="1" t="n">
        <v>6</v>
      </c>
      <c r="O8246" s="1" t="n">
        <v>25.02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2003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3246</v>
      </c>
      <c r="N8247" s="1" t="n">
        <v>48</v>
      </c>
      <c r="O8247" s="1" t="n">
        <v>200.16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2003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3247</v>
      </c>
      <c r="N8248" s="1" t="n">
        <v>12</v>
      </c>
      <c r="O8248" s="1" t="n">
        <v>50.04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2003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3248</v>
      </c>
      <c r="N8249" s="1" t="n">
        <v>12</v>
      </c>
      <c r="O8249" s="1" t="n">
        <v>50.04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2003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3249</v>
      </c>
      <c r="N8250" s="1" t="n">
        <v>48</v>
      </c>
      <c r="O8250" s="1" t="n">
        <v>200.16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2003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4826</v>
      </c>
      <c r="N8251" s="1" t="n">
        <v>12</v>
      </c>
      <c r="O8251" s="1" t="n">
        <v>50.04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2003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4827</v>
      </c>
      <c r="N8252" s="1" t="n">
        <v>24</v>
      </c>
      <c r="O8252" s="1" t="n">
        <v>166.32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2003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4828</v>
      </c>
      <c r="N8253" s="1" t="n">
        <v>6</v>
      </c>
      <c r="O8253" s="1" t="n">
        <v>25.02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2003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4829</v>
      </c>
      <c r="N8254" s="1" t="n">
        <v>6</v>
      </c>
      <c r="O8254" s="1" t="n">
        <v>41.58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2003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4830</v>
      </c>
      <c r="N8255" s="1" t="n">
        <v>24</v>
      </c>
      <c r="O8255" s="1" t="n">
        <v>142.56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2003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4147</v>
      </c>
      <c r="N8256" s="1" t="n">
        <v>25</v>
      </c>
      <c r="O8256" s="1" t="n">
        <v>52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2003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4831</v>
      </c>
      <c r="N8257" s="1" t="n">
        <v>32</v>
      </c>
      <c r="O8257" s="1" t="n">
        <v>164.48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2003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4832</v>
      </c>
      <c r="N8258" s="1" t="n">
        <v>32</v>
      </c>
      <c r="O8258" s="1" t="n">
        <v>164.48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2003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4833</v>
      </c>
      <c r="N8259" s="1" t="n">
        <v>32</v>
      </c>
      <c r="O8259" s="1" t="n">
        <v>164.48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2003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4834</v>
      </c>
      <c r="N8260" s="1" t="n">
        <v>16</v>
      </c>
      <c r="O8260" s="1" t="n">
        <v>82.24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2003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3251</v>
      </c>
      <c r="N8261" s="1" t="n">
        <v>10</v>
      </c>
      <c r="O8261" s="1" t="n">
        <v>80.5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2003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4835</v>
      </c>
      <c r="N8262" s="1" t="n">
        <v>12</v>
      </c>
      <c r="O8262" s="1" t="n">
        <v>50.04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2003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4148</v>
      </c>
      <c r="N8263" s="1" t="n">
        <v>12</v>
      </c>
      <c r="O8263" s="1" t="n">
        <v>50.04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2003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4149</v>
      </c>
      <c r="N8264" s="1" t="n">
        <v>8</v>
      </c>
      <c r="O8264" s="1" t="n">
        <v>16.64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2003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2170</v>
      </c>
      <c r="N8265" s="1" t="n">
        <v>6</v>
      </c>
      <c r="O8265" s="1" t="n">
        <v>15.78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2003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2171</v>
      </c>
      <c r="N8266" s="1" t="n">
        <v>3</v>
      </c>
      <c r="O8266" s="1" t="n">
        <v>26.67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2003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2513</v>
      </c>
      <c r="N8267" s="1" t="n">
        <v>6</v>
      </c>
      <c r="O8267" s="1" t="n">
        <v>62.88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2003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2177</v>
      </c>
      <c r="N8268" s="1" t="n">
        <v>3</v>
      </c>
      <c r="O8268" s="1" t="n">
        <v>22.23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2003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2181</v>
      </c>
      <c r="N8269" s="1" t="n">
        <v>12</v>
      </c>
      <c r="O8269" s="1" t="n">
        <v>37.68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2003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2518</v>
      </c>
      <c r="N8270" s="1" t="n">
        <v>2</v>
      </c>
      <c r="O8270" s="1" t="n">
        <v>25.62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2003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2054</v>
      </c>
      <c r="N8271" s="1" t="n">
        <v>6</v>
      </c>
      <c r="O8271" s="1" t="n">
        <v>22.8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2003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2520</v>
      </c>
      <c r="N8272" s="1" t="n">
        <v>6</v>
      </c>
      <c r="O8272" s="1" t="n">
        <v>44.16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2003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2056</v>
      </c>
      <c r="N8273" s="1" t="n">
        <v>6</v>
      </c>
      <c r="O8273" s="1" t="n">
        <v>43.92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2003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2064</v>
      </c>
      <c r="N8274" s="1" t="n">
        <v>6</v>
      </c>
      <c r="O8274" s="1" t="n">
        <v>17.04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2003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4836</v>
      </c>
      <c r="N8275" s="1" t="n">
        <v>24</v>
      </c>
      <c r="O8275" s="1" t="n">
        <v>102.96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2003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3421</v>
      </c>
      <c r="N8276" s="1" t="n">
        <v>54</v>
      </c>
      <c r="O8276" s="1" t="n">
        <v>64.4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2003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4837</v>
      </c>
      <c r="N8277" s="1" t="n">
        <v>24</v>
      </c>
      <c r="O8277" s="1" t="n">
        <v>102.96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2003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4838</v>
      </c>
      <c r="N8278" s="1" t="n">
        <v>36</v>
      </c>
      <c r="O8278" s="1" t="n">
        <v>154.44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2003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4839</v>
      </c>
      <c r="N8279" s="1" t="n">
        <v>12</v>
      </c>
      <c r="O8279" s="1" t="n">
        <v>51.48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2011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2012</v>
      </c>
      <c r="N8280" s="1" t="n">
        <v>2.488</v>
      </c>
      <c r="O8280" s="1" t="n">
        <v>45.9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2011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2012</v>
      </c>
      <c r="N8281" s="1" t="n">
        <v>3.21</v>
      </c>
      <c r="O8281" s="1" t="n">
        <v>63.28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2011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2013</v>
      </c>
      <c r="N8282" s="1" t="n">
        <v>10.1</v>
      </c>
      <c r="O8282" s="1" t="n">
        <v>201.86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2011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2014</v>
      </c>
      <c r="N8283" s="1" t="n">
        <v>21.73</v>
      </c>
      <c r="O8283" s="1" t="n">
        <v>501.14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2011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2015</v>
      </c>
      <c r="N8284" s="1" t="n">
        <v>13.54</v>
      </c>
      <c r="O8284" s="1" t="n">
        <v>333.08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2011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2016</v>
      </c>
      <c r="N8285" s="1" t="n">
        <v>0.69</v>
      </c>
      <c r="O8285" s="1" t="n">
        <v>14.85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2011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2017</v>
      </c>
      <c r="N8286" s="1" t="n">
        <v>2.35</v>
      </c>
      <c r="O8286" s="1" t="n">
        <v>65.64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2011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2018</v>
      </c>
      <c r="N8287" s="1" t="n">
        <v>4.31</v>
      </c>
      <c r="O8287" s="1" t="n">
        <v>99.4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2011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2018</v>
      </c>
      <c r="N8288" s="1" t="n">
        <v>2.414</v>
      </c>
      <c r="O8288" s="1" t="n">
        <v>59.49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2011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2019</v>
      </c>
      <c r="N8289" s="1" t="n">
        <v>18.1</v>
      </c>
      <c r="O8289" s="1" t="n">
        <v>579.96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2011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2020</v>
      </c>
      <c r="N8290" s="1" t="n">
        <v>11.01</v>
      </c>
      <c r="O8290" s="1" t="n">
        <v>407.07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2011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2021</v>
      </c>
      <c r="N8291" s="1" t="n">
        <v>5.892</v>
      </c>
      <c r="O8291" s="1" t="n">
        <v>242.05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2011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2022</v>
      </c>
      <c r="N8292" s="1" t="n">
        <v>12.875</v>
      </c>
      <c r="O8292" s="1" t="n">
        <v>560.67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2011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2023</v>
      </c>
      <c r="N8293" s="1" t="n">
        <v>5.32</v>
      </c>
      <c r="O8293" s="1" t="n">
        <v>236.04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2011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2024</v>
      </c>
      <c r="N8294" s="1" t="n">
        <v>1.99</v>
      </c>
      <c r="O8294" s="1" t="n">
        <v>78.48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2011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2025</v>
      </c>
      <c r="N8295" s="1" t="n">
        <v>2.734</v>
      </c>
      <c r="O8295" s="1" t="n">
        <v>134.79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2011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2026</v>
      </c>
      <c r="N8296" s="1" t="n">
        <v>3.116</v>
      </c>
      <c r="O8296" s="1" t="n">
        <v>179.22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2011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3309</v>
      </c>
      <c r="N8297" s="1" t="n">
        <v>3.586</v>
      </c>
      <c r="O8297" s="1" t="n">
        <v>115.79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2011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2027</v>
      </c>
      <c r="N8298" s="1" t="n">
        <v>2.342</v>
      </c>
      <c r="O8298" s="1" t="n">
        <v>84.67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2011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2028</v>
      </c>
      <c r="N8299" s="1" t="n">
        <v>0.9</v>
      </c>
      <c r="O8299" s="1" t="n">
        <v>2.21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2011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2028</v>
      </c>
      <c r="N8300" s="1" t="n">
        <v>0.8</v>
      </c>
      <c r="O8300" s="1" t="n">
        <v>1.84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2011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3310</v>
      </c>
      <c r="N8301" s="1" t="n">
        <v>12.685</v>
      </c>
      <c r="O8301" s="1" t="n">
        <v>52.02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2011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3310</v>
      </c>
      <c r="N8302" s="1" t="n">
        <v>2.748</v>
      </c>
      <c r="O8302" s="1" t="n">
        <v>10.54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2011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2030</v>
      </c>
      <c r="N8303" s="1" t="n">
        <v>0.208</v>
      </c>
      <c r="O8303" s="1" t="n">
        <v>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2011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2030</v>
      </c>
      <c r="N8304" s="1" t="n">
        <v>0.862</v>
      </c>
      <c r="O8304" s="1" t="n">
        <v>0.01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2828</v>
      </c>
      <c r="E8305" s="1" t="n">
        <v>1835</v>
      </c>
      <c r="F8305" s="1" t="s">
        <v>1697</v>
      </c>
      <c r="I8305" s="1" t="n">
        <v>110466</v>
      </c>
      <c r="J8305" s="1" t="n">
        <v>68605</v>
      </c>
      <c r="K8305" s="1" t="n">
        <v>7898595333831</v>
      </c>
      <c r="L8305" s="1" t="s">
        <v>4840</v>
      </c>
      <c r="N8305" s="1" t="n">
        <v>2</v>
      </c>
      <c r="O8305" s="1" t="n">
        <v>174.02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2828</v>
      </c>
      <c r="E8306" s="1" t="n">
        <v>1835</v>
      </c>
      <c r="F8306" s="1" t="s">
        <v>1697</v>
      </c>
      <c r="I8306" s="1" t="n">
        <v>110584</v>
      </c>
      <c r="J8306" s="1" t="n">
        <v>82218</v>
      </c>
      <c r="K8306" s="1" t="n">
        <v>7898708505735</v>
      </c>
      <c r="L8306" s="1" t="s">
        <v>4709</v>
      </c>
      <c r="N8306" s="1" t="n">
        <v>4</v>
      </c>
      <c r="O8306" s="1" t="n">
        <v>341.88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2828</v>
      </c>
      <c r="E8307" s="1" t="n">
        <v>1835</v>
      </c>
      <c r="F8307" s="1" t="s">
        <v>1697</v>
      </c>
      <c r="I8307" s="1" t="n">
        <v>110584</v>
      </c>
      <c r="J8307" s="1" t="n">
        <v>82293</v>
      </c>
      <c r="K8307" s="1" t="n">
        <v>7891323087969</v>
      </c>
      <c r="L8307" s="1" t="s">
        <v>4841</v>
      </c>
      <c r="N8307" s="1" t="n">
        <v>1</v>
      </c>
      <c r="O8307" s="1" t="n">
        <v>169.81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2828</v>
      </c>
      <c r="E8308" s="1" t="n">
        <v>1835</v>
      </c>
      <c r="F8308" s="1" t="s">
        <v>1697</v>
      </c>
      <c r="I8308" s="1" t="n">
        <v>110584</v>
      </c>
      <c r="J8308" s="1" t="n">
        <v>82294</v>
      </c>
      <c r="K8308" s="1" t="n">
        <v>7896587022206</v>
      </c>
      <c r="L8308" s="1" t="s">
        <v>4842</v>
      </c>
      <c r="N8308" s="1" t="n">
        <v>2</v>
      </c>
      <c r="O8308" s="1" t="n">
        <v>213.78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2828</v>
      </c>
      <c r="E8309" s="1" t="n">
        <v>1835</v>
      </c>
      <c r="F8309" s="1" t="s">
        <v>1697</v>
      </c>
      <c r="I8309" s="1" t="n">
        <v>110737</v>
      </c>
      <c r="J8309" s="1" t="n">
        <v>61594</v>
      </c>
      <c r="K8309" s="1" t="n">
        <v>7897255904138</v>
      </c>
      <c r="L8309" s="1" t="s">
        <v>4843</v>
      </c>
      <c r="N8309" s="1" t="n">
        <v>1</v>
      </c>
      <c r="O8309" s="1" t="n">
        <v>54.77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2828</v>
      </c>
      <c r="E8310" s="1" t="n">
        <v>1835</v>
      </c>
      <c r="F8310" s="1" t="s">
        <v>1697</v>
      </c>
      <c r="I8310" s="1" t="n">
        <v>110737</v>
      </c>
      <c r="J8310" s="1" t="n">
        <v>82290</v>
      </c>
      <c r="K8310" s="1" t="n">
        <v>7908707201511</v>
      </c>
      <c r="L8310" s="1" t="s">
        <v>4844</v>
      </c>
      <c r="N8310" s="1" t="n">
        <v>2.43</v>
      </c>
      <c r="O8310" s="1" t="n">
        <v>67.8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2828</v>
      </c>
      <c r="E8311" s="1" t="n">
        <v>1835</v>
      </c>
      <c r="F8311" s="1" t="s">
        <v>1697</v>
      </c>
      <c r="I8311" s="1" t="n">
        <v>111032</v>
      </c>
      <c r="J8311" s="1" t="n">
        <v>82294</v>
      </c>
      <c r="K8311" s="1" t="n">
        <v>7896587022206</v>
      </c>
      <c r="L8311" s="1" t="s">
        <v>4842</v>
      </c>
      <c r="N8311" s="1" t="n">
        <v>2</v>
      </c>
      <c r="O8311" s="1" t="n">
        <v>213.78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2828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4845</v>
      </c>
      <c r="N8312" s="1" t="n">
        <v>1</v>
      </c>
      <c r="O8312" s="1" t="n">
        <v>68.98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2828</v>
      </c>
      <c r="E8313" s="1" t="n">
        <v>1725</v>
      </c>
      <c r="F8313" s="1" t="s">
        <v>1700</v>
      </c>
      <c r="I8313" s="1" t="n">
        <v>288543</v>
      </c>
      <c r="J8313" s="1" t="n">
        <v>82295</v>
      </c>
      <c r="K8313" s="1" t="n">
        <v>7895770949368</v>
      </c>
      <c r="L8313" s="1" t="s">
        <v>4846</v>
      </c>
      <c r="N8313" s="1" t="n">
        <v>3</v>
      </c>
      <c r="O8313" s="1" t="n">
        <v>84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2828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4847</v>
      </c>
      <c r="N8314" s="1" t="n">
        <v>1</v>
      </c>
      <c r="O8314" s="1" t="n">
        <v>70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2828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4848</v>
      </c>
      <c r="N8315" s="1" t="n">
        <v>1</v>
      </c>
      <c r="O8315" s="1" t="n">
        <v>60.06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2828</v>
      </c>
      <c r="E8316" s="1" t="n">
        <v>1747</v>
      </c>
      <c r="F8316" s="1" t="s">
        <v>1707</v>
      </c>
      <c r="I8316" s="1" t="n">
        <v>1544516</v>
      </c>
      <c r="J8316" s="1" t="n">
        <v>60973</v>
      </c>
      <c r="K8316" s="1" t="n">
        <v>7891260170250</v>
      </c>
      <c r="L8316" s="1" t="s">
        <v>4849</v>
      </c>
      <c r="N8316" s="1" t="n">
        <v>4</v>
      </c>
      <c r="O8316" s="1" t="n">
        <v>404.78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2828</v>
      </c>
      <c r="E8317" s="1" t="n">
        <v>1747</v>
      </c>
      <c r="F8317" s="1" t="s">
        <v>1707</v>
      </c>
      <c r="I8317" s="1" t="n">
        <v>1544516</v>
      </c>
      <c r="J8317" s="1" t="n">
        <v>82297</v>
      </c>
      <c r="K8317" s="1" t="n">
        <v>7898025460052</v>
      </c>
      <c r="L8317" s="1" t="s">
        <v>4850</v>
      </c>
      <c r="N8317" s="1" t="n">
        <v>1</v>
      </c>
      <c r="O8317" s="1" t="n">
        <v>80.46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2031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2012</v>
      </c>
      <c r="N8318" s="1" t="n">
        <v>3.21</v>
      </c>
      <c r="O8318" s="1" t="n">
        <v>63.28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2031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2017</v>
      </c>
      <c r="N8319" s="1" t="n">
        <v>2.35</v>
      </c>
      <c r="O8319" s="1" t="n">
        <v>65.64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2031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2018</v>
      </c>
      <c r="N8320" s="1" t="n">
        <v>2.414</v>
      </c>
      <c r="O8320" s="1" t="n">
        <v>59.49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2031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2019</v>
      </c>
      <c r="N8321" s="1" t="n">
        <v>18.1</v>
      </c>
      <c r="O8321" s="1" t="n">
        <v>579.96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2031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2020</v>
      </c>
      <c r="N8322" s="1" t="n">
        <v>11.01</v>
      </c>
      <c r="O8322" s="1" t="n">
        <v>407.07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2031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2021</v>
      </c>
      <c r="N8323" s="1" t="n">
        <v>5.892</v>
      </c>
      <c r="O8323" s="1" t="n">
        <v>242.05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2031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2022</v>
      </c>
      <c r="N8324" s="1" t="n">
        <v>12.875</v>
      </c>
      <c r="O8324" s="1" t="n">
        <v>560.67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2031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2023</v>
      </c>
      <c r="N8325" s="1" t="n">
        <v>5.32</v>
      </c>
      <c r="O8325" s="1" t="n">
        <v>236.04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2031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2024</v>
      </c>
      <c r="N8326" s="1" t="n">
        <v>1.99</v>
      </c>
      <c r="O8326" s="1" t="n">
        <v>78.48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2031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2025</v>
      </c>
      <c r="N8327" s="1" t="n">
        <v>2.734</v>
      </c>
      <c r="O8327" s="1" t="n">
        <v>134.79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2031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2026</v>
      </c>
      <c r="N8328" s="1" t="n">
        <v>3.116</v>
      </c>
      <c r="O8328" s="1" t="n">
        <v>179.22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2031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2027</v>
      </c>
      <c r="N8329" s="1" t="n">
        <v>2.342</v>
      </c>
      <c r="O8329" s="1" t="n">
        <v>84.67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2031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2028</v>
      </c>
      <c r="N8330" s="1" t="n">
        <v>0.9</v>
      </c>
      <c r="O8330" s="1" t="n">
        <v>2.21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2031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3310</v>
      </c>
      <c r="N8331" s="1" t="n">
        <v>12.685</v>
      </c>
      <c r="O8331" s="1" t="n">
        <v>52.02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2031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2030</v>
      </c>
      <c r="N8332" s="1" t="n">
        <v>0.862</v>
      </c>
      <c r="O8332" s="1" t="n">
        <v>0.01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2031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2012</v>
      </c>
      <c r="N8333" s="1" t="n">
        <v>2.488</v>
      </c>
      <c r="O8333" s="1" t="n">
        <v>45.9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2031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2013</v>
      </c>
      <c r="N8334" s="1" t="n">
        <v>10.1</v>
      </c>
      <c r="O8334" s="1" t="n">
        <v>201.86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2031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2014</v>
      </c>
      <c r="N8335" s="1" t="n">
        <v>21.73</v>
      </c>
      <c r="O8335" s="1" t="n">
        <v>501.14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2031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2015</v>
      </c>
      <c r="N8336" s="1" t="n">
        <v>13.54</v>
      </c>
      <c r="O8336" s="1" t="n">
        <v>333.08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2031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2016</v>
      </c>
      <c r="N8337" s="1" t="n">
        <v>0.69</v>
      </c>
      <c r="O8337" s="1" t="n">
        <v>14.85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2031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2018</v>
      </c>
      <c r="N8338" s="1" t="n">
        <v>4.31</v>
      </c>
      <c r="O8338" s="1" t="n">
        <v>99.4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2031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3309</v>
      </c>
      <c r="N8339" s="1" t="n">
        <v>3.586</v>
      </c>
      <c r="O8339" s="1" t="n">
        <v>115.79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2031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2028</v>
      </c>
      <c r="N8340" s="1" t="n">
        <v>0.8</v>
      </c>
      <c r="O8340" s="1" t="n">
        <v>1.84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2031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3310</v>
      </c>
      <c r="N8341" s="1" t="n">
        <v>2.748</v>
      </c>
      <c r="O8341" s="1" t="n">
        <v>10.54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2031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2030</v>
      </c>
      <c r="N8342" s="1" t="n">
        <v>0.208</v>
      </c>
      <c r="O8342" s="1" t="n">
        <v>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2548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2847</v>
      </c>
      <c r="N8343" s="1" t="n">
        <v>4</v>
      </c>
      <c r="O8343" s="1" t="n">
        <v>32.4</v>
      </c>
    </row>
    <row r="8344" customFormat="false" ht="15" hidden="false" customHeight="true" outlineLevel="0" collapsed="false">
      <c r="A8344" s="1" t="s">
        <v>4851</v>
      </c>
      <c r="B8344" s="17"/>
      <c r="C8344" s="1"/>
      <c r="D8344" s="1"/>
      <c r="E8344" s="1"/>
      <c r="F8344" s="1"/>
      <c r="G8344" s="1" t="s">
        <v>4852</v>
      </c>
      <c r="I8344" s="1"/>
      <c r="J8344" s="1"/>
      <c r="K8344" s="1"/>
      <c r="L8344" s="1"/>
      <c r="M8344" s="1" t="s">
        <v>4853</v>
      </c>
      <c r="N8344" s="1"/>
      <c r="O8344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2026-09-11T13:27:52Z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