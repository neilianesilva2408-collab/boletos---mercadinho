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port" sheetId="1" state="visible" r:id="rId3"/>
    <sheet name="Mercadorias Revenda" sheetId="2" state="visible" r:id="rId4"/>
    <sheet name="Resumo Diário" sheetId="3" state="visible" r:id="rId5"/>
    <sheet name="Resumo Mensal" sheetId="4" state="visible" r:id="rId6"/>
    <sheet name="Resumo Classificação" sheetId="5" state="visible" r:id="rId7"/>
    <sheet name="Resumo Grupos" sheetId="6" state="visible" r:id="rId8"/>
    <sheet name="Venda Anual (Base)" sheetId="7" state="visible" r:id="rId9"/>
    <sheet name="Resultado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<sst xmlns="http://schemas.openxmlformats.org/spreadsheetml/2006/main" count="5748" uniqueCount="837">
  <si>
    <t xml:space="preserve">10491 - Contas a Pagar - Merc. Oliveira</t>
  </si>
  <si>
    <t xml:space="preserve">Loja:  Multi-valor 2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</si>
  <si>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</si>
  <si>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</si>
  <si>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</si>
  <si>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</si>
  <si>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27/07/2026 15:16:41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</si>
  <si>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</si>
  <si>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</si>
  <si>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</si>
  <si>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</si>
  <si>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</si>
  <si>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</si>
  <si>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</si>
  <si>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</si>
  <si>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</si>
  <si>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</si>
  <si>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</si>
  <si>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</si>
  <si>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</si>
  <si>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</si>
  <si>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</si>
  <si>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</si>
  <si>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</si>
  <si>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</si>
  <si>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</si>
  <si>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</si>
  <si>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</si>
  <si>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</si>
  <si>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DURAES DISTRIBUIDORA DE ESTIVAS LTDA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</si>
  <si>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</si>
  <si>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</si>
  <si>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</si>
  <si>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</si>
  <si>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ELLEN SILVIA FERREIRA SOUZA</t>
  </si>
  <si>
    <t xml:space="preserve">ESTOQUE DE MERCADORIAS</t>
  </si>
  <si>
    <t xml:space="preserve">MERCADORIAS P/REVENDA</t>
  </si>
  <si>
    <t xml:space="preserve">NF 646732 ELLEN</t>
  </si>
  <si>
    <t xml:space="preserve">PANAMERICAN ELETRIC DO BRASIL LTDA</t>
  </si>
  <si>
    <t xml:space="preserve">Cartao Sant 2 7596 venc 01</t>
  </si>
  <si>
    <t xml:space="preserve">08</t>
  </si>
  <si>
    <t xml:space="preserve">AVU</t>
  </si>
  <si>
    <t xml:space="preserve">BENS TANGIVEIS</t>
  </si>
  <si>
    <t xml:space="preserve">MAQUINAS E EQUIPAMENTOS</t>
  </si>
  <si>
    <t xml:space="preserve">NF 17382 DESPESA-AR CONDICIONADOS-CT DIA 1 PARC8/10-ELLEN</t>
  </si>
  <si>
    <t xml:space="preserve">09</t>
  </si>
  <si>
    <t xml:space="preserve">NF 17382 DESPESA-AR CONDICIONADOS-CT DIA 1 PARC9/10-ELLEN</t>
  </si>
  <si>
    <t xml:space="preserve">10</t>
  </si>
  <si>
    <t xml:space="preserve">NF 17382 DESPESA-AR CONDICIONADOS-CT DIA 1 PARC10/10-ELLEN</t>
  </si>
  <si>
    <t xml:space="preserve">NEYLIANE SILVA DE OLIVEIRA</t>
  </si>
  <si>
    <t xml:space="preserve">Cartao Itau 2 3614 venc 25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</si>
  <si>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</si>
  <si>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</si>
  <si>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</si>
  <si>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</si>
  <si>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PL NEILA </t>
  </si>
  <si>
    <t xml:space="preserve">A C DUARTE DE CASTRO EPP.</t>
  </si>
  <si>
    <t xml:space="preserve">OUTROS FORNECEDORES</t>
  </si>
  <si>
    <t xml:space="preserve">06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</si>
  <si>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</si>
  <si>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</si>
  <si>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</si>
  <si>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</si>
  <si>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</si>
  <si>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</si>
  <si>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07</t>
  </si>
  <si>
    <t xml:space="preserve">PL NEILA CARTAO MO2 </t>
  </si>
  <si>
    <t xml:space="preserve">CHARLES ELETRICISTA</t>
  </si>
  <si>
    <t xml:space="preserve">Cartao Sant 1 Velho 9336 venc 10</t>
  </si>
  <si>
    <t xml:space="preserve">05</t>
  </si>
  <si>
    <t xml:space="preserve">DESPESAS LOJA</t>
  </si>
  <si>
    <t xml:space="preserve">S/NF - DESPESAS-CAMERAS/CABOS-CT DIA 10-PARC5/6-ELLEN</t>
  </si>
  <si>
    <t xml:space="preserve">S/NF - DESPESAS-CAMERAS/CABOS-CT DIA 10-PARC6/6-ELLEN</t>
  </si>
  <si>
    <t xml:space="preserve">PREFEITURA MUNICIPAL DE MANAUS - IPTU</t>
  </si>
  <si>
    <t xml:space="preserve">DESPESAS TRIBUTARIAS</t>
  </si>
  <si>
    <t xml:space="preserve">IPTU</t>
  </si>
  <si>
    <t xml:space="preserve">PARC 05/10 MATR 101674 IPTU MO2 - KEILA</t>
  </si>
  <si>
    <t xml:space="preserve">PARC 06/10 MATR 101674 IPTU MO2 - KEILA</t>
  </si>
  <si>
    <t xml:space="preserve">PARC 07/10 MATR 101674 IPTU MO2 - KEILA</t>
  </si>
  <si>
    <t xml:space="preserve">METALURGICA MARLIN INDUSTRIA E COMERCIO DE FERRO E ACO LTDA</t>
  </si>
  <si>
    <t xml:space="preserve">04</t>
  </si>
  <si>
    <t xml:space="preserve">NF 439164 DESPESAS-CT DIA 1 - PARC 4/4 - ELLEN</t>
  </si>
  <si>
    <t xml:space="preserve">L S C DA SILVA PRADO LTDA</t>
  </si>
  <si>
    <t xml:space="preserve">NF 258 DESPESAS - CT DIA 1 - PARC 5/12 - ELLEN</t>
  </si>
  <si>
    <t xml:space="preserve">NF 258 DESPESAS - CT DIA 1 - PARC 6/12 - ELLEN</t>
  </si>
  <si>
    <t xml:space="preserve">NF 258 DESPESAS - CT DIA 1 - PARC 7/12 - ELLEN</t>
  </si>
  <si>
    <t xml:space="preserve">SOLANGE MARIA DE QUEIROZ</t>
  </si>
  <si>
    <t xml:space="preserve">Transferencia Pix</t>
  </si>
  <si>
    <t xml:space="preserve">DESPESAS COMERCIAIS</t>
  </si>
  <si>
    <t xml:space="preserve">ALUGUEIS PAGOS A PF</t>
  </si>
  <si>
    <t xml:space="preserve">ALUGUEL MO2 - KEILA</t>
  </si>
  <si>
    <t xml:space="preserve">ITAU SA</t>
  </si>
  <si>
    <t xml:space="preserve">EMPRESTIMOS BANCARIOS</t>
  </si>
  <si>
    <t xml:space="preserve">EMPRESTIMOS BANCARIOS A PAGAR</t>
  </si>
  <si>
    <t xml:space="preserve">EMPRESTIMO PARC 32/42 INICIO 26.12.23 A 26.05.27</t>
  </si>
  <si>
    <t xml:space="preserve">EMPRESTIMO PARC 33/42 INICIO 26.12.23 A 26.05.27</t>
  </si>
  <si>
    <t xml:space="preserve">EMPRESTIMO PARC 34/42 INICIO 26.12.23 A 26.05.27</t>
  </si>
  <si>
    <t xml:space="preserve">BRYDSON PAIVA DE FREITAS LTDA</t>
  </si>
  <si>
    <t xml:space="preserve">NF 8973 DESPESAS - SSD - PARC 2/2 - ELLEN</t>
  </si>
  <si>
    <t xml:space="preserve">AFEAM</t>
  </si>
  <si>
    <t xml:space="preserve">BANCO ITAU Lj 02</t>
  </si>
  <si>
    <t xml:space="preserve">03</t>
  </si>
  <si>
    <t xml:space="preserve">PARC 14/30 EMPRESTIMO MO2 AFEAM - KEILA </t>
  </si>
  <si>
    <t xml:space="preserve">PARC 15/30 EMPRESTIMO MO2 AFEAM - KEILA </t>
  </si>
  <si>
    <t xml:space="preserve">EMOPS CONTROLE AMBIENTAL EIRELI</t>
  </si>
  <si>
    <t xml:space="preserve">01</t>
  </si>
  <si>
    <t xml:space="preserve">DEDETIZACAO - LIMPEZA</t>
  </si>
  <si>
    <t xml:space="preserve">MENSALIDADE DEDETIZACAO MO2 - KEILA</t>
  </si>
  <si>
    <t xml:space="preserve">OPPORTUNITY ALIMENTOS PARA ANIMAIS LTDA</t>
  </si>
  <si>
    <t xml:space="preserve">NF 33745 ELLEN</t>
  </si>
  <si>
    <t xml:space="preserve">BF COMERCIO DE ALIMENTOS REPRESENTACAO L</t>
  </si>
  <si>
    <t xml:space="preserve">NF 20868 ELLEN</t>
  </si>
  <si>
    <t xml:space="preserve">NEYLIANE S DE OLIVEIRA &amp; CIA LTDA</t>
  </si>
  <si>
    <t xml:space="preserve">Compra a Vista</t>
  </si>
  <si>
    <t xml:space="preserve">COMPRAS - 15L DE AÇAI - PG NO P 27/7/26-ELLEN</t>
  </si>
  <si>
    <t xml:space="preserve">RUAN FERNANDES</t>
  </si>
  <si>
    <t xml:space="preserve">MANUTENÇÃO EQUIPAMENTOS DE INFORMATICA</t>
  </si>
  <si>
    <t xml:space="preserve">MEMORIA PC SERVIDOR MO2 - KEILA</t>
  </si>
  <si>
    <t xml:space="preserve">CAI</t>
  </si>
  <si>
    <t xml:space="preserve">FORNECEDORES</t>
  </si>
  <si>
    <t xml:space="preserve">NF 8973 DESPESAS - SSD PARC 02/03 - ELLENAgrupamento de títulos Ref. títulos:  139909-01 (340,00), 139909-02 (340,00), </t>
  </si>
  <si>
    <t xml:space="preserve">NF 8973 DESPESAS - SSD PARC 03/03 - ELLENAgrupamento de títulos Ref. títulos:  139909-01 (340,00), 139909-02 (340,00), </t>
  </si>
  <si>
    <t xml:space="preserve">BONNA VITTA INDUSTRIA E COMERCIO LTDA.</t>
  </si>
  <si>
    <t xml:space="preserve">NF 518105 ELLEN</t>
  </si>
  <si>
    <t xml:space="preserve">FALCAO INDUSTRIA DE ALIMENTOS LTDA</t>
  </si>
  <si>
    <t xml:space="preserve">NF 34450 ELLEN</t>
  </si>
  <si>
    <t xml:space="preserve">NF 30199 ELLEN</t>
  </si>
  <si>
    <t xml:space="preserve">DISTRIBUIDORA LOPES LTDA</t>
  </si>
  <si>
    <t xml:space="preserve">NF 1671078 ELLEN</t>
  </si>
  <si>
    <t xml:space="preserve">CB COMERCIO E DISTRIBUIDORA DE ALIMENTOS</t>
  </si>
  <si>
    <t xml:space="preserve">NF 843147 ELLEN</t>
  </si>
  <si>
    <t xml:space="preserve">DUNORTE DISTRIBUIDORA DE PRODUTOS DE CONSUMO LTDA</t>
  </si>
  <si>
    <t xml:space="preserve">NF 3201284 ELLEN</t>
  </si>
  <si>
    <t xml:space="preserve">BRF S A</t>
  </si>
  <si>
    <t xml:space="preserve">NF 1595886 ELLEN</t>
  </si>
  <si>
    <t xml:space="preserve">FENNIX BRASIL DISTRIBUIDORA DE PRODUTOS</t>
  </si>
  <si>
    <t xml:space="preserve">NF 394904 ELLEN</t>
  </si>
  <si>
    <t xml:space="preserve">NF 645628 ELLEN</t>
  </si>
  <si>
    <t xml:space="preserve">NESTLÉ BRASIL LTDA.</t>
  </si>
  <si>
    <t xml:space="preserve">NF 1415530 ELLEN</t>
  </si>
  <si>
    <t xml:space="preserve">NF 3201857 ELLEN</t>
  </si>
  <si>
    <t xml:space="preserve">ADRIANA DISTRIBUIDORA DE PRODUTOS ALIMEN</t>
  </si>
  <si>
    <t xml:space="preserve">NF 878392 ELLEN</t>
  </si>
  <si>
    <t xml:space="preserve">NF 1415529 ELLEN</t>
  </si>
  <si>
    <t xml:space="preserve">MARTINS COM SERV DISTR SA</t>
  </si>
  <si>
    <t xml:space="preserve">NF 1771887 ELLEN</t>
  </si>
  <si>
    <t xml:space="preserve">NF 878758 ELLEN</t>
  </si>
  <si>
    <t xml:space="preserve">INNOVAR DISTRIBUIDORA DE COSMETICOS E MEDICAMENTOS LTDA</t>
  </si>
  <si>
    <t xml:space="preserve">NF 102727 ELLEN</t>
  </si>
  <si>
    <t xml:space="preserve">NF 3202460 ELLEN</t>
  </si>
  <si>
    <t xml:space="preserve">INMETRO INSTITUTO DE PESOS E MEDIDAS DO </t>
  </si>
  <si>
    <t xml:space="preserve">IMPOSTOS E CONTRIBUICOES A PAGAR</t>
  </si>
  <si>
    <t xml:space="preserve">INMETRO</t>
  </si>
  <si>
    <t xml:space="preserve">INMETRO - BOLETO - MO2 - ELLEN</t>
  </si>
  <si>
    <t xml:space="preserve">RISADINHA LTDA</t>
  </si>
  <si>
    <t xml:space="preserve">NF 658429 ELLEN</t>
  </si>
  <si>
    <t xml:space="preserve">FUNNY PET DISTRIBUIDORA DE ALIMENTOS PAR</t>
  </si>
  <si>
    <t xml:space="preserve">NF 20499 ELLEN</t>
  </si>
  <si>
    <t xml:space="preserve">NF 518753 ELLEN</t>
  </si>
  <si>
    <t xml:space="preserve">OESA COMERCIO E REPRESENTACOES S/A</t>
  </si>
  <si>
    <t xml:space="preserve">NF 416678 ELLEN</t>
  </si>
  <si>
    <t xml:space="preserve">VIA CERTA INDUSTRIA E COMERCIO DE SANEANTES LTDA</t>
  </si>
  <si>
    <t xml:space="preserve">NF 41243 ELLEN</t>
  </si>
  <si>
    <t xml:space="preserve">NF 30415 ELLEN</t>
  </si>
  <si>
    <t xml:space="preserve">T. M. L. DA SILVA LTDA</t>
  </si>
  <si>
    <t xml:space="preserve">NF 15180 ELLEN</t>
  </si>
  <si>
    <t xml:space="preserve">TRES CORACOES ALIMENTOS S.A.</t>
  </si>
  <si>
    <t xml:space="preserve">NF 346452 ELLEN</t>
  </si>
  <si>
    <t xml:space="preserve">NF 20440 ELLEN</t>
  </si>
  <si>
    <t xml:space="preserve">BRASIL NORTE BEBIDAS S/A</t>
  </si>
  <si>
    <t xml:space="preserve">NF 1887053 ELLEN</t>
  </si>
  <si>
    <t xml:space="preserve">NF 1165748 ELLEN</t>
  </si>
  <si>
    <t xml:space="preserve">AUGUSTA E BOMFIM LTDA</t>
  </si>
  <si>
    <t xml:space="preserve">NF 184 DESPESAS - BOBINA/ETIQUETA - ELLEN</t>
  </si>
  <si>
    <t xml:space="preserve">FH DISTRIBUIDORA DE ALIM. E BEBIDAS LTDA</t>
  </si>
  <si>
    <t xml:space="preserve">NF 326863 ELLEN</t>
  </si>
  <si>
    <t xml:space="preserve">NATUREZA COMERCIO DE DESCARTAVEIS LTDA</t>
  </si>
  <si>
    <t xml:space="preserve">NF 729265 ELLEN</t>
  </si>
  <si>
    <t xml:space="preserve">J G COMERCIO DE PRODUTOS ALIMENTICIOS LTDA</t>
  </si>
  <si>
    <t xml:space="preserve">NF 387833 ELLEN</t>
  </si>
  <si>
    <t xml:space="preserve">DISTRIBUIDORA FARIAS LTDA.</t>
  </si>
  <si>
    <t xml:space="preserve">NF 674938 ELLEN</t>
  </si>
  <si>
    <t xml:space="preserve">NF 674937 ELLEN</t>
  </si>
  <si>
    <t xml:space="preserve">FORTVET DISTRIBUIDORA LTDA</t>
  </si>
  <si>
    <t xml:space="preserve">NF 2495 ELLEN</t>
  </si>
  <si>
    <t xml:space="preserve">NF 729799 ELLEN</t>
  </si>
  <si>
    <t xml:space="preserve">COARI DISTRIBUIDORA DE BEBIDAS LTDA</t>
  </si>
  <si>
    <t xml:space="preserve">NF 252 ELLEN</t>
  </si>
  <si>
    <t xml:space="preserve">SL DISTRIBUIDORA COM. DE PROD. ALIMENTIC</t>
  </si>
  <si>
    <t xml:space="preserve">NF 10423 ELLEN</t>
  </si>
  <si>
    <t xml:space="preserve">NET CLARO</t>
  </si>
  <si>
    <t xml:space="preserve">DESPESAS COM PESSOAL</t>
  </si>
  <si>
    <t xml:space="preserve">INTERNET</t>
  </si>
  <si>
    <t xml:space="preserve">INTERNET MO2 - KEILA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</si>
  <si>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</si>
  <si>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</si>
  <si>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</si>
  <si>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</si>
  <si>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</si>
  <si>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RENATO DE O AZEVEDO E CIA LTDA - EPP</t>
  </si>
  <si>
    <t xml:space="preserve">BENS INTANGIVEIS</t>
  </si>
  <si>
    <t xml:space="preserve">SISTEMAS APLICATIVOS</t>
  </si>
  <si>
    <t xml:space="preserve">MENSALIDADE CONCILIACAO SISTEMA CISS</t>
  </si>
  <si>
    <t xml:space="preserve">T A DE MATTOS COMIM EIRELI</t>
  </si>
  <si>
    <t xml:space="preserve">NF 10605 ELLEN</t>
  </si>
  <si>
    <t xml:space="preserve">NF 419092 ELLEN</t>
  </si>
  <si>
    <t xml:space="preserve">NF 1678138 ELLEN</t>
  </si>
  <si>
    <t xml:space="preserve">NF 1676804 ELLEN</t>
  </si>
  <si>
    <t xml:space="preserve">NF 1598763 ELLEN</t>
  </si>
  <si>
    <t xml:space="preserve">CRBS S/A</t>
  </si>
  <si>
    <t xml:space="preserve">NF 924535 ELLEN</t>
  </si>
  <si>
    <t xml:space="preserve">ROCHA E PAIVA LTDA</t>
  </si>
  <si>
    <t xml:space="preserve">NF 207912 ELLEN</t>
  </si>
  <si>
    <t xml:space="preserve">ATACADAO S.A.</t>
  </si>
  <si>
    <t xml:space="preserve">NF 1894392 ELLEN</t>
  </si>
  <si>
    <t xml:space="preserve">SB COMERCIO LTDA</t>
  </si>
  <si>
    <t xml:space="preserve">NF 1959276 ELLEN</t>
  </si>
  <si>
    <t xml:space="preserve">BRAGA TABACARIA EIRELI ME</t>
  </si>
  <si>
    <t xml:space="preserve">NF 18762 ELLEN</t>
  </si>
  <si>
    <t xml:space="preserve">NF 1169404 ELLEN</t>
  </si>
  <si>
    <t xml:space="preserve">NF 1890993 ELLEN</t>
  </si>
  <si>
    <t xml:space="preserve">NF 1170564 ELLEN</t>
  </si>
  <si>
    <t xml:space="preserve">NF 1893322 ELLEN</t>
  </si>
  <si>
    <t xml:space="preserve">NF 1171501 ELLEN</t>
  </si>
  <si>
    <t xml:space="preserve">CAMPOS E LIMA GESTAO EMPRESARIAL</t>
  </si>
  <si>
    <t xml:space="preserve">MENS SISTE MO2 VAREJO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</si>
  <si>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</si>
  <si>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</si>
  <si>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</si>
  <si>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</si>
  <si>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NF 310316 ELLEN</t>
  </si>
  <si>
    <t xml:space="preserve">NF 1604119 ELLEN</t>
  </si>
  <si>
    <t xml:space="preserve">EDMARA COMERCIO DE HIGIENE PESSOAL LTDA</t>
  </si>
  <si>
    <t xml:space="preserve">DESPESA DE VENDA</t>
  </si>
  <si>
    <t xml:space="preserve">NF 8155 SACOLAS - ELLEN</t>
  </si>
  <si>
    <t xml:space="preserve">NF 8155 DESPESAS - SACOLAS - ELLEN</t>
  </si>
  <si>
    <t xml:space="preserve">SEFAZ DAR</t>
  </si>
  <si>
    <t xml:space="preserve">IRPJ A PAGAR</t>
  </si>
  <si>
    <t xml:space="preserve">IMPSOTO IRPJ MO2 06/26 - KEILA</t>
  </si>
  <si>
    <t xml:space="preserve">LINU LOJAS DE VARIEDADES LTDA</t>
  </si>
  <si>
    <t xml:space="preserve">NF 596 CARTÃO DIA 1 - AV -ELLEN</t>
  </si>
  <si>
    <t xml:space="preserve">A. CORREA JUNIOR</t>
  </si>
  <si>
    <t xml:space="preserve">NF 1829 CARTÃO DIA 1 PARC 1/3 - ELLEN</t>
  </si>
  <si>
    <t xml:space="preserve">NF 1829 CARTÃO DIA 1 PARC 2/3 - ELLEN</t>
  </si>
  <si>
    <t xml:space="preserve">NF 1829 CARTÃO DIA 1 PARC 3/3 -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</si>
  <si>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</si>
  <si>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</si>
  <si>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</si>
  <si>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</si>
  <si>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1006 CARTÃO DIA 1 PARC 2/2 -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</si>
  <si>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</si>
  <si>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</si>
  <si>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</si>
  <si>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</si>
  <si>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1948 CARTÃO DIA 1 - PARC 2/2 - ELLEN</t>
  </si>
  <si>
    <t xml:space="preserve">P. S. DA C. AMORIM LTDA</t>
  </si>
  <si>
    <t xml:space="preserve">NF 2453 DESPESAS - BANDEJA/LUVAS - ELLEN</t>
  </si>
  <si>
    <t xml:space="preserve">MAXPEL COMERCIAL LTDA</t>
  </si>
  <si>
    <t xml:space="preserve">NF 316130 ELLEN</t>
  </si>
  <si>
    <t xml:space="preserve">MARE DISTRIBUIDORA DE BEBIDAS E DE PRODUTOS ALIMENTICIOS LTDA</t>
  </si>
  <si>
    <t xml:space="preserve">NF 1378386 ELLEN</t>
  </si>
  <si>
    <t xml:space="preserve">D DE J SANTOS LTDA</t>
  </si>
  <si>
    <t xml:space="preserve">NF 253 ELLEN</t>
  </si>
  <si>
    <t xml:space="preserve">NF 519349 ELLEN</t>
  </si>
  <si>
    <t xml:space="preserve">NF 388857 ELLEN</t>
  </si>
  <si>
    <t xml:space="preserve">PRIME PET DISTRIBUIDORA LTDA</t>
  </si>
  <si>
    <t xml:space="preserve">NF 10860 ELLEN</t>
  </si>
  <si>
    <t xml:space="preserve">NF 34213 ELLEN</t>
  </si>
  <si>
    <t xml:space="preserve">NF 1899276 ELLEN</t>
  </si>
  <si>
    <t xml:space="preserve">NF 1175404 ELLEN</t>
  </si>
  <si>
    <t xml:space="preserve">ORIENTE COM. ATACADISTA E REPRES. LTDA</t>
  </si>
  <si>
    <t xml:space="preserve">NF 1996 ELLEN</t>
  </si>
  <si>
    <t xml:space="preserve">COMERCIO DE FRIOS MANAUS LTDA</t>
  </si>
  <si>
    <t xml:space="preserve">NF 172089 ELLEN</t>
  </si>
  <si>
    <t xml:space="preserve">NF 1680694 ELLEN</t>
  </si>
  <si>
    <t xml:space="preserve">E. D. SENA &amp; CIA LTDA</t>
  </si>
  <si>
    <t xml:space="preserve">NF 9495 ELLEN</t>
  </si>
  <si>
    <t xml:space="preserve">REAL BEBIDAS DA AMAZONIA LTDA</t>
  </si>
  <si>
    <t xml:space="preserve">NF 590547 ELLEN</t>
  </si>
  <si>
    <t xml:space="preserve">LIMA E BARANDA COMERCIO DE PRODUTOS REGI</t>
  </si>
  <si>
    <t xml:space="preserve">NF 31144 ELLEN</t>
  </si>
  <si>
    <t xml:space="preserve">BROTHERS  INDUSTRIA DE ALIMENTOS LTDA</t>
  </si>
  <si>
    <t xml:space="preserve">NF 102906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</si>
  <si>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</si>
  <si>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</si>
  <si>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</si>
  <si>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1600681 ELLEN</t>
  </si>
  <si>
    <t xml:space="preserve">PANIFICADORA E CONFEITARIA REAL MADRI LTDA</t>
  </si>
  <si>
    <t xml:space="preserve">NF 685 ELLEN</t>
  </si>
  <si>
    <t xml:space="preserve">NF 1420058 ELLEN</t>
  </si>
  <si>
    <t xml:space="preserve">L S M COMERCIO DE ALIMENTOS E NAVEGACAO</t>
  </si>
  <si>
    <t xml:space="preserve">NF 305929 ELLEN</t>
  </si>
  <si>
    <t xml:space="preserve">H. L. DO NASCIMENTO</t>
  </si>
  <si>
    <t xml:space="preserve">NF 5720 ELLEN</t>
  </si>
  <si>
    <t xml:space="preserve">AMERICANA DISTRIBUIDORA DE BEBIDAS E MERCADORIAS LTDA</t>
  </si>
  <si>
    <t xml:space="preserve">NF 77922 ELLEN</t>
  </si>
  <si>
    <t xml:space="preserve">SOUZA CRUZ LTDA.</t>
  </si>
  <si>
    <t xml:space="preserve">NF 564993 ELLEN</t>
  </si>
  <si>
    <t xml:space="preserve">J W N DOS SANTOS</t>
  </si>
  <si>
    <t xml:space="preserve">NF 325 ELLEN</t>
  </si>
  <si>
    <t xml:space="preserve">MENSALIDADE TI</t>
  </si>
  <si>
    <t xml:space="preserve">MENSALIDADE DO TI MO2 - KEILA</t>
  </si>
  <si>
    <t xml:space="preserve">NF 18889 ELLEN</t>
  </si>
  <si>
    <t xml:space="preserve">MAXFRI DISTRIUIDORA LTDA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</si>
  <si>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</si>
  <si>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</si>
  <si>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</si>
  <si>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</si>
  <si>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NF 14569 ELLEN</t>
  </si>
  <si>
    <t xml:space="preserve">NF 1180339 ELLEN</t>
  </si>
  <si>
    <t xml:space="preserve">NF 1906318 ELLEN</t>
  </si>
  <si>
    <t xml:space="preserve">NF 1906109 ELLEN</t>
  </si>
  <si>
    <t xml:space="preserve">S/NF - CATUABA/COPO/XAROPE-ELLEN</t>
  </si>
  <si>
    <t xml:space="preserve">JAB COMERCIO DE PRODUTOS ALIMENTICIOS LT</t>
  </si>
  <si>
    <t xml:space="preserve">NF 3453 ELLEN</t>
  </si>
  <si>
    <t xml:space="preserve">ADICSO FABIAN GONZALEZ MONTILLA 70302186</t>
  </si>
  <si>
    <t xml:space="preserve">NF 515 ELLEN</t>
  </si>
  <si>
    <t xml:space="preserve">SAO JOSE COMERCIO DE LATICINIOS E FRIOS</t>
  </si>
  <si>
    <t xml:space="preserve">NF 3507 ELLEN</t>
  </si>
  <si>
    <t xml:space="preserve">NF 690 ELLEN</t>
  </si>
  <si>
    <t xml:space="preserve">NF 1777487 ELLEN</t>
  </si>
  <si>
    <t xml:space="preserve">SILVA E SANTOS FRIGORIFICO LTDA</t>
  </si>
  <si>
    <t xml:space="preserve">NF 31492 ELLEN</t>
  </si>
  <si>
    <t xml:space="preserve">COMPRAS - 15L DE ACAI - PG NO P 1/7/26 ELLEN</t>
  </si>
  <si>
    <t xml:space="preserve">NOVA FRIOS COMERCIO ATACADISTA DE LATICINIOS LTDA</t>
  </si>
  <si>
    <t xml:space="preserve">NF 3933 ELLEN</t>
  </si>
  <si>
    <t xml:space="preserve">TAPAJOS COM DE PERFUMARIA COSMETICOS E G</t>
  </si>
  <si>
    <t xml:space="preserve">NF 576435 ELLEN</t>
  </si>
  <si>
    <t xml:space="preserve">EDSON AGUIAR DE SOUZA</t>
  </si>
  <si>
    <t xml:space="preserve">COMPRAS - CHEIRO-VERDE - ELLEN</t>
  </si>
  <si>
    <t xml:space="preserve">DA FRUTA DISTRIBUIDORA LTDA</t>
  </si>
  <si>
    <t xml:space="preserve">NF 196323 ELLEN</t>
  </si>
  <si>
    <t xml:space="preserve">NF 390211 ELLEN</t>
  </si>
  <si>
    <t xml:space="preserve">TOYA INDUSTRIA E COMERCIO LTDA.</t>
  </si>
  <si>
    <t xml:space="preserve">NF 254582 ELLEN</t>
  </si>
  <si>
    <t xml:space="preserve">FE COMERCIO DE MATERIAIS DE CONSTRUCAO</t>
  </si>
  <si>
    <t xml:space="preserve">NF 4467 ELLEN</t>
  </si>
  <si>
    <t xml:space="preserve">ELLEN SILVIA FERREIRA</t>
  </si>
  <si>
    <t xml:space="preserve">VALE TRANSPORTE</t>
  </si>
  <si>
    <t xml:space="preserve">VT JULHO</t>
  </si>
  <si>
    <t xml:space="preserve">SANDRO HELIO OLIVEIRA COSTA</t>
  </si>
  <si>
    <t xml:space="preserve">THIAGO DA SILVA CRUZ</t>
  </si>
  <si>
    <t xml:space="preserve">NF 1686081 ELLEN</t>
  </si>
  <si>
    <t xml:space="preserve">NF 1030058 ELLEN</t>
  </si>
  <si>
    <t xml:space="preserve">NF 1385251 ELLEN</t>
  </si>
  <si>
    <t xml:space="preserve">CHARLES MO2</t>
  </si>
  <si>
    <t xml:space="preserve">Dinheiro Cx Geral</t>
  </si>
  <si>
    <t xml:space="preserve">MANUTENÇÃO ELETRICA</t>
  </si>
  <si>
    <t xml:space="preserve">DESPESA LOJA - COMPRAS CHARLES 06/26  - KEILA</t>
  </si>
  <si>
    <t xml:space="preserve">NF 5765 ELLEN</t>
  </si>
  <si>
    <t xml:space="preserve">COMPRAS-20L DE ACAI-PG NO P 3/7/26-ELLEN</t>
  </si>
  <si>
    <t xml:space="preserve">NF 337 ELLEN</t>
  </si>
  <si>
    <t xml:space="preserve">JUROS A FORNECEDOR</t>
  </si>
  <si>
    <t xml:space="preserve">BANCO ITAU Lj 01</t>
  </si>
  <si>
    <t xml:space="preserve">ANDREZA ANDRADE</t>
  </si>
  <si>
    <t xml:space="preserve">JUROS FORNEC. MO2</t>
  </si>
  <si>
    <t xml:space="preserve">NF 18998 ELLEN</t>
  </si>
  <si>
    <t xml:space="preserve">G A COMERCIO DE PRODUTOS HOSPITALARES LTDA</t>
  </si>
  <si>
    <t xml:space="preserve">NF 890 ELLEN</t>
  </si>
  <si>
    <t xml:space="preserve">DESPESAS FINANCEIRAS</t>
  </si>
  <si>
    <t xml:space="preserve">DESPESAS BANCARIAS</t>
  </si>
  <si>
    <t xml:space="preserve">TAR PIXQR LIQ MAQUININHA  ITAU MO2-ANDREZA</t>
  </si>
  <si>
    <t xml:space="preserve">IOF - OPERACOES FINANCEIRAS</t>
  </si>
  <si>
    <t xml:space="preserve">IOF ITAU MO2-ANDREZA</t>
  </si>
  <si>
    <t xml:space="preserve">FEIRA</t>
  </si>
  <si>
    <t xml:space="preserve">SR, RENATO FEIRA LOJAS -ANDREZA</t>
  </si>
  <si>
    <t xml:space="preserve">IOF CONT 6083-43968-4  C/C ITAU MO2-ANDREZA</t>
  </si>
  <si>
    <t xml:space="preserve">TAR. PIX PGT TRANSF ITAU MO2-ANDREZA</t>
  </si>
  <si>
    <t xml:space="preserve">ADRIANO FEITOSA OLIVEIRA LTDA</t>
  </si>
  <si>
    <t xml:space="preserve">NF 322 ELLEN</t>
  </si>
  <si>
    <t xml:space="preserve">HONORARIOS JURIDICOS</t>
  </si>
  <si>
    <t xml:space="preserve">MENSALIDADE ADVOGADO MO2 MES 04,05 E 06/26 -  KEILA</t>
  </si>
  <si>
    <t xml:space="preserve">MENSALIDADE ADVOGADO MO2 MES -  KEILA</t>
  </si>
  <si>
    <t xml:space="preserve">FEIRA SR RENATO - PG POTE LJ2 - ELLEN</t>
  </si>
  <si>
    <t xml:space="preserve">FEIRA SR RENATO-PERA/UVA-SOMAR C NF2522-PG POTE LJ2-ELLEN</t>
  </si>
  <si>
    <t xml:space="preserve">iof.6083.46843-6 C/C ITAU MO2</t>
  </si>
  <si>
    <t xml:space="preserve">TAR. PIX QR CODE  LIQUIDA ITAU MO2</t>
  </si>
  <si>
    <t xml:space="preserve">NF 888702 ELLEN</t>
  </si>
  <si>
    <t xml:space="preserve">NF 888702 REF TARIFA AMBEV - ELLEN</t>
  </si>
  <si>
    <t xml:space="preserve">FRUTAL INDUSTRIA E COMERCIO LTDA</t>
  </si>
  <si>
    <t xml:space="preserve">NF 225160 ELLEN</t>
  </si>
  <si>
    <t xml:space="preserve">NORTELAC DISTRIBUIDORA DE FRIOS LTDA</t>
  </si>
  <si>
    <t xml:space="preserve">NF 42910 ELLEN</t>
  </si>
  <si>
    <t xml:space="preserve">NF 698 ELLEN</t>
  </si>
  <si>
    <t xml:space="preserve">NF 14615 ELLEN</t>
  </si>
  <si>
    <t xml:space="preserve">NF 520 ELLEN</t>
  </si>
  <si>
    <t xml:space="preserve">NF 172659 ELLEN</t>
  </si>
  <si>
    <t xml:space="preserve">NF 1917880 ELLEN</t>
  </si>
  <si>
    <t xml:space="preserve">NF 1187912 ELLEN</t>
  </si>
  <si>
    <t xml:space="preserve">GOLD SERVICE</t>
  </si>
  <si>
    <t xml:space="preserve">HONORARIOS CONTABEIS</t>
  </si>
  <si>
    <t xml:space="preserve">MENSALIDADE GOLD MO2 - KEILA</t>
  </si>
  <si>
    <t xml:space="preserve">NF 1187910 ELLEN</t>
  </si>
  <si>
    <t xml:space="preserve">NF 1917854 ELLEN</t>
  </si>
  <si>
    <t xml:space="preserve">COMPRAS - 15L DE ACAI - PG NO P 6/7/26 ELLEN</t>
  </si>
  <si>
    <t xml:space="preserve">NF 3500 ELLEN</t>
  </si>
  <si>
    <t xml:space="preserve">FEIRA SR RENATO-PG P LJ1-ALHO/MAÇA/UVA-SOMAR C NF2542-ELLEN</t>
  </si>
  <si>
    <t xml:space="preserve">NF 1030653 ELLEN</t>
  </si>
  <si>
    <t xml:space="preserve">NEXUS DISTRIBUIDORA</t>
  </si>
  <si>
    <t xml:space="preserve">NF 102073 ELLEN</t>
  </si>
  <si>
    <t xml:space="preserve">NF 3993 ELLEN</t>
  </si>
  <si>
    <t xml:space="preserve">LOURIVAL ALMEIDA DA SILVA 17128784845</t>
  </si>
  <si>
    <t xml:space="preserve">NF 512 ELLEN</t>
  </si>
  <si>
    <t xml:space="preserve">FEIRA SR RENATO - PG P LJ1 - ELLEN</t>
  </si>
  <si>
    <t xml:space="preserve">FEIRA SR RENATO - MACA/UVA-PG P LJ1 -SOMAR C NF2528-ELLEN</t>
  </si>
  <si>
    <t xml:space="preserve">S/NF - COMPRAS-CACHACA/SKARLOFF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</si>
  <si>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</si>
  <si>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</si>
  <si>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</si>
  <si>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</si>
  <si>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</si>
  <si>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</si>
  <si>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</si>
  <si>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</si>
  <si>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</si>
  <si>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1193336 ELLEN</t>
  </si>
  <si>
    <t xml:space="preserve">COMPRAS - FARINHA CRUZEIRO - ELLEN</t>
  </si>
  <si>
    <t xml:space="preserve">NF 21032 ELLEN</t>
  </si>
  <si>
    <t xml:space="preserve">COMPRAS - FARINHA DAGUA DE FEIRA - ELLEN</t>
  </si>
  <si>
    <t xml:space="preserve">ANDREZA OLIVEIRA DA SILVA</t>
  </si>
  <si>
    <t xml:space="preserve">SALARIOS</t>
  </si>
  <si>
    <t xml:space="preserve">SALDO DE SALÁRIO JUNHO/2026</t>
  </si>
  <si>
    <t xml:space="preserve">CONVENIO</t>
  </si>
  <si>
    <t xml:space="preserve">COMPRAS FUNC</t>
  </si>
  <si>
    <t xml:space="preserve">DAVI LIRA DE OLIVEIRA (MO2)</t>
  </si>
  <si>
    <t xml:space="preserve">ELILTON NUNES BRITO</t>
  </si>
  <si>
    <t xml:space="preserve">COMPRAS FUNC / FALTAS</t>
  </si>
  <si>
    <t xml:space="preserve">FRANCISCO HELIO SERAFIM DE AZEVEDO</t>
  </si>
  <si>
    <t xml:space="preserve">COMPRAS FUNC / SALDO NEG</t>
  </si>
  <si>
    <t xml:space="preserve">IDELMA MONTEIRO DA SILVA</t>
  </si>
  <si>
    <t xml:space="preserve">COMPRAS FUNC / DROGARIA</t>
  </si>
  <si>
    <t xml:space="preserve">LUCIRLANDIA DE OLIVEIRA AMARAL</t>
  </si>
  <si>
    <t xml:space="preserve">RENATO DE OLIVEIRA AZEVEDO</t>
  </si>
  <si>
    <t xml:space="preserve">NF 524 ELLEN</t>
  </si>
  <si>
    <t xml:space="preserve">NF 3570 ELLEN</t>
  </si>
  <si>
    <t xml:space="preserve">NF 704 ELLEN</t>
  </si>
  <si>
    <t xml:space="preserve">TREINAMENTO/CONSULTORIAS</t>
  </si>
  <si>
    <t xml:space="preserve">MENSALIDADE CONSULTORIA CISS PARTE MO2 - KELA</t>
  </si>
  <si>
    <t xml:space="preserve">EYES NWHERE SISTEMAS INTELIGENTES DE IMAGEM SA</t>
  </si>
  <si>
    <t xml:space="preserve">MENSALIDADE INTERNET MO2 - KEILA</t>
  </si>
  <si>
    <t xml:space="preserve">NF 31674 ELLEN</t>
  </si>
  <si>
    <t xml:space="preserve">FEMAR IND E COM DE BEBIDAS LTDA</t>
  </si>
  <si>
    <t xml:space="preserve">NF 53410 ELLEN</t>
  </si>
  <si>
    <t xml:space="preserve">NF 1688844 ELLEN</t>
  </si>
  <si>
    <t xml:space="preserve">NF 851821 ELLEN</t>
  </si>
  <si>
    <t xml:space="preserve">COMPRAS - VISCERAS (BOLETO) ELLEN</t>
  </si>
  <si>
    <t xml:space="preserve">NF 331 ELLEN</t>
  </si>
  <si>
    <t xml:space="preserve">EMPRESA BRASILEIRA DE DISTRIBUICAO LTDA</t>
  </si>
  <si>
    <t xml:space="preserve">NF 2299705 ELLEN</t>
  </si>
  <si>
    <t xml:space="preserve">NF 2299703 ELLEN</t>
  </si>
  <si>
    <t xml:space="preserve">SANTANDER SA</t>
  </si>
  <si>
    <t xml:space="preserve">COBERTURA DE CONTA BANCO SANTANDER MO2-ANDREZA</t>
  </si>
  <si>
    <t xml:space="preserve">NF 31344 ELLEN</t>
  </si>
  <si>
    <t xml:space="preserve">OCIDENTAL COMERCIO DE FRIOS LTDA</t>
  </si>
  <si>
    <t xml:space="preserve">NF 1245696 ELLEN</t>
  </si>
  <si>
    <t xml:space="preserve">NF 1194626 ELLEN</t>
  </si>
  <si>
    <t xml:space="preserve">NF 1926959 ELLEN</t>
  </si>
  <si>
    <t xml:space="preserve">NF 1194625 ELLEN</t>
  </si>
  <si>
    <t xml:space="preserve">JUROS LIMITE  DA CONTA ITAU MO2-ANDREZA</t>
  </si>
  <si>
    <t xml:space="preserve">COMPRAS - 15L ACAI - PG NO P 9/7/26-ELLEN</t>
  </si>
  <si>
    <t xml:space="preserve">SAL.RENATO 06/26 PARTE MO2-ANDREZA</t>
  </si>
  <si>
    <t xml:space="preserve">NF 681127 ELLEN</t>
  </si>
  <si>
    <t xml:space="preserve">PAG SALARIO ELIANA PARTE MO2 - ANDREZA</t>
  </si>
  <si>
    <t xml:space="preserve">PAG SALARIO ELIANA PARTE MO2 - ANDREZAPREVIA</t>
  </si>
  <si>
    <t xml:space="preserve">NF 31703 ELLEN</t>
  </si>
  <si>
    <t xml:space="preserve">NF 5786 ELLEN</t>
  </si>
  <si>
    <t xml:space="preserve">NF 1605936 ELLEN</t>
  </si>
  <si>
    <t xml:space="preserve">NF 1031214 ELLEN</t>
  </si>
  <si>
    <t xml:space="preserve">NF 599833 ELLEN</t>
  </si>
  <si>
    <t xml:space="preserve">NF 396261 ELLEN</t>
  </si>
  <si>
    <t xml:space="preserve">NF 426652 ELLEN</t>
  </si>
  <si>
    <t xml:space="preserve">NF 351 ELLEN</t>
  </si>
  <si>
    <t xml:space="preserve">CHERRYS SEMI JOIAS LTDA</t>
  </si>
  <si>
    <t xml:space="preserve">NF 462 ELLEN</t>
  </si>
  <si>
    <t xml:space="preserve">AMAZONAS ENERGIA S/A</t>
  </si>
  <si>
    <t xml:space="preserve">ENERGIA ELETRICA</t>
  </si>
  <si>
    <t xml:space="preserve">CONTA ENERGIA MO2 - ELLEN</t>
  </si>
  <si>
    <t xml:space="preserve">64.225.624 ROBERTO REIS AROUCHE</t>
  </si>
  <si>
    <t xml:space="preserve">NF 66 ELLEN</t>
  </si>
  <si>
    <t xml:space="preserve">NF 255191 ELLEN</t>
  </si>
  <si>
    <t xml:space="preserve">J. S. MOREIRA ALVES LTDA</t>
  </si>
  <si>
    <t xml:space="preserve">NF 2635 ELLEN</t>
  </si>
  <si>
    <t xml:space="preserve">NF 899238 ELLEN</t>
  </si>
  <si>
    <t xml:space="preserve">INTERNET CLARO MO2 - KEILA</t>
  </si>
  <si>
    <t xml:space="preserve">NF 333 ELLEN</t>
  </si>
  <si>
    <t xml:space="preserve">SUPER CANCUN COMERCIO DE PRODUTOS ALIMEN</t>
  </si>
  <si>
    <t xml:space="preserve">NF 262932 ELLEN</t>
  </si>
  <si>
    <t xml:space="preserve">NF 566541 ELLEN</t>
  </si>
  <si>
    <t xml:space="preserve">NF 527 ELLEN</t>
  </si>
  <si>
    <t xml:space="preserve">NF 708 ELLEN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</si>
  <si>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</si>
  <si>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</si>
  <si>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</si>
  <si>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NSB COMERCIO ATACADISTA E VAREJISTA DE P</t>
  </si>
  <si>
    <t xml:space="preserve">NF 7874 ELLEN</t>
  </si>
  <si>
    <t xml:space="preserve">NF 3217924 DESPESAS - SAB LIQ/PAP HIG E TOALHA - ELLEN</t>
  </si>
  <si>
    <t xml:space="preserve">NF 1962669 ELLEN</t>
  </si>
  <si>
    <t xml:space="preserve">COMPRAS 15L DE AÇAI - PG NO P 11/7/26 ELLEN</t>
  </si>
  <si>
    <t xml:space="preserve">KAROLINY RODRIGUES SOUZA VENANCIO 915783</t>
  </si>
  <si>
    <t xml:space="preserve">NF 1791 ELLEN</t>
  </si>
  <si>
    <t xml:space="preserve">NF 711 ELLEN</t>
  </si>
  <si>
    <t xml:space="preserve">NF 312916 ELLEN</t>
  </si>
  <si>
    <t xml:space="preserve">NF 1931230 ELLEN</t>
  </si>
  <si>
    <t xml:space="preserve">NF 1199257 ELLEN</t>
  </si>
  <si>
    <t xml:space="preserve">NF 1199243 ELLEN</t>
  </si>
  <si>
    <t xml:space="preserve">MARQUES &amp; MELO LTDA - FILIAL</t>
  </si>
  <si>
    <t xml:space="preserve">NF 501201 ELLEN</t>
  </si>
  <si>
    <t xml:space="preserve">NF 1031749 ELLEN</t>
  </si>
  <si>
    <t xml:space="preserve">NF 14685 ELLEN</t>
  </si>
  <si>
    <t xml:space="preserve">NF'S 1781169/1781170 - ELLEN</t>
  </si>
  <si>
    <t xml:space="preserve">NF'S 1781169/1781170 ELLEN</t>
  </si>
  <si>
    <t xml:space="preserve">NF 15127 ELLEN</t>
  </si>
  <si>
    <t xml:space="preserve">NF 4058 ELLEN</t>
  </si>
  <si>
    <t xml:space="preserve">NF 2300746 ELLEN</t>
  </si>
  <si>
    <t xml:space="preserve">E S O CONSULTORIA EIRELI</t>
  </si>
  <si>
    <t xml:space="preserve">SIMPLES FEDERAL A PAGAR</t>
  </si>
  <si>
    <t xml:space="preserve">SIMPLES MO2 ESO 06/26 - KEILA</t>
  </si>
  <si>
    <t xml:space="preserve">INSS (PREVIDENCIA SOCIAL)</t>
  </si>
  <si>
    <t xml:space="preserve">INSS MO2 ESO 06/26 - KEILA</t>
  </si>
  <si>
    <t xml:space="preserve">FGTS</t>
  </si>
  <si>
    <t xml:space="preserve">FGTS MO2 ESO 06/26 - KEILA</t>
  </si>
  <si>
    <t xml:space="preserve">ADF DISTRIBUIDORA DE BEBIDAS LTDA</t>
  </si>
  <si>
    <t xml:space="preserve">NF 473151 ELLEN</t>
  </si>
  <si>
    <t xml:space="preserve">NF 21189 ELLEN</t>
  </si>
  <si>
    <t xml:space="preserve">TALIAN COMERCIO DE COSMETICOS LTDA</t>
  </si>
  <si>
    <t xml:space="preserve">NF 30429 ELLEN</t>
  </si>
  <si>
    <t xml:space="preserve">COMPRAS - 13L DE AÇAI- PG NO P 14/7/26 ELLEN</t>
  </si>
  <si>
    <t xml:space="preserve">NF 1905832 ELLEN</t>
  </si>
  <si>
    <t xml:space="preserve">NF 1905833 ELLEN</t>
  </si>
  <si>
    <t xml:space="preserve">NF 1905831 ELLEN</t>
  </si>
  <si>
    <t xml:space="preserve">VIA CERTA IMPORTACAO E DISTRIBUICAO DE A</t>
  </si>
  <si>
    <t xml:space="preserve">NF 51899 ELLEN</t>
  </si>
  <si>
    <t xml:space="preserve">NF 42898 ELLEN</t>
  </si>
  <si>
    <t xml:space="preserve">NF 1692730 ELLEN</t>
  </si>
  <si>
    <t xml:space="preserve">NF 3218196 ELLEN</t>
  </si>
  <si>
    <t xml:space="preserve">LELE FABRICACAO DE MASSAS LTDA</t>
  </si>
  <si>
    <t xml:space="preserve">NF 16645 ELLEN</t>
  </si>
  <si>
    <t xml:space="preserve">ADIANTAMENTO JULHO/2026</t>
  </si>
  <si>
    <t xml:space="preserve">ADIANTAMENTO ANTEC 30/6 JULHO/2026</t>
  </si>
  <si>
    <t xml:space="preserve">NF 3218198 ELLEN</t>
  </si>
  <si>
    <t xml:space="preserve">NF 392537 ELLEN</t>
  </si>
  <si>
    <t xml:space="preserve">NF 1936058 ELLEN</t>
  </si>
  <si>
    <t xml:space="preserve">NF 396500 ELLEN</t>
  </si>
  <si>
    <t xml:space="preserve">NF 2624 ELLEN</t>
  </si>
  <si>
    <t xml:space="preserve">NF 1427668 ELLEN</t>
  </si>
  <si>
    <t xml:space="preserve">NF 650221 ELLEN</t>
  </si>
  <si>
    <t xml:space="preserve">NF 3218197 ELLEN</t>
  </si>
  <si>
    <t xml:space="preserve">NF 307804 ELLEN</t>
  </si>
  <si>
    <t xml:space="preserve">NF 3627 ELLEN</t>
  </si>
  <si>
    <t xml:space="preserve">NF 682520 ELLEN</t>
  </si>
  <si>
    <t xml:space="preserve">NF 14718 ELLEN</t>
  </si>
  <si>
    <t xml:space="preserve">NF 1248471 ELLEN</t>
  </si>
  <si>
    <t xml:space="preserve">OI S.A</t>
  </si>
  <si>
    <t xml:space="preserve">NF 3554 ELLEN</t>
  </si>
  <si>
    <t xml:space="preserve">NF 1032250 ELLEN</t>
  </si>
  <si>
    <t xml:space="preserve">NF 719 ELLEN</t>
  </si>
  <si>
    <t xml:space="preserve">NF 502367 ELLEN</t>
  </si>
  <si>
    <t xml:space="preserve">NF 10807 ELLEN</t>
  </si>
  <si>
    <t xml:space="preserve">NF 1608670 ELLEN</t>
  </si>
  <si>
    <t xml:space="preserve">NF 1693414 ELLEN</t>
  </si>
  <si>
    <t xml:space="preserve">COMPRAS - 20L DE AÇAI - PG NO P 17/7/26 - ELLEN</t>
  </si>
  <si>
    <t xml:space="preserve">NF 605020 ELLEN</t>
  </si>
  <si>
    <t xml:space="preserve">NF 14728 ELLEN</t>
  </si>
  <si>
    <t xml:space="preserve">NF 364 ELLEN</t>
  </si>
  <si>
    <t xml:space="preserve">NF 1649285 COMPRAS-CHEIRO-VERDE - ELLEN</t>
  </si>
  <si>
    <t xml:space="preserve">NF 3221212 ELLEN</t>
  </si>
  <si>
    <t xml:space="preserve">NF 535 ELLEN</t>
  </si>
  <si>
    <t xml:space="preserve">TRIPLASTIK COMERCIAL</t>
  </si>
  <si>
    <t xml:space="preserve">NF 3855 DESPESAS-SACOLAS - ELLEN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</si>
  <si>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</si>
  <si>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</si>
  <si>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</si>
  <si>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</si>
  <si>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NL SERVICOS MEDICOS LTDA</t>
  </si>
  <si>
    <t xml:space="preserve">ASO FUNCIONARIOS</t>
  </si>
  <si>
    <t xml:space="preserve">ASO FUNCIONARIO 05/26 MO2 -KEILA</t>
  </si>
  <si>
    <t xml:space="preserve">NF 1649501 COMPRAS-CHEIRO-VERDE - ELLEN</t>
  </si>
  <si>
    <t xml:space="preserve">NF 664184 ELLEN</t>
  </si>
  <si>
    <t xml:space="preserve">PL NEILA -ANDREZA</t>
  </si>
  <si>
    <t xml:space="preserve">NF 1964289 ELLEN</t>
  </si>
  <si>
    <t xml:space="preserve">NF 854967 ELLEN</t>
  </si>
  <si>
    <t xml:space="preserve">PROPAGANDA PUBLICIDADE</t>
  </si>
  <si>
    <t xml:space="preserve">MENSALIDADE INSTAGRAM PARTE MO2 - KEILA</t>
  </si>
  <si>
    <t xml:space="preserve">PREVIA MENSALIDADE INSTAGRAM PARTE MO2 - KEILA</t>
  </si>
  <si>
    <t xml:space="preserve">NF 14751 ELLEN</t>
  </si>
  <si>
    <t xml:space="preserve">NF 1210021 ELLEN</t>
  </si>
  <si>
    <t xml:space="preserve">NF 1210020 ELLEN</t>
  </si>
  <si>
    <t xml:space="preserve">NF 1943423 ELLEN</t>
  </si>
  <si>
    <t xml:space="preserve">NF 31515 ELLEN</t>
  </si>
  <si>
    <t xml:space="preserve">NF 11173 ELLEN</t>
  </si>
  <si>
    <t xml:space="preserve">COMPRAS - 15L DE AÇAI - PG NO P 20/7/26 ELLEN</t>
  </si>
  <si>
    <t xml:space="preserve">NF 3579 ELLEN</t>
  </si>
  <si>
    <t xml:space="preserve">NF 4132 ELLEN</t>
  </si>
  <si>
    <t xml:space="preserve">NF 724 ELLEN</t>
  </si>
  <si>
    <t xml:space="preserve">NF 1649880 CHEIRO-VERDE - ELLEN</t>
  </si>
  <si>
    <t xml:space="preserve">NF 9481 DESPESAS-CT MEMORIA- CT DIA 10-PARC 1/2-ELLEN</t>
  </si>
  <si>
    <t xml:space="preserve">NF 9481 DESPESAS-CT MEMORIA- CT DIA  10-PARC 2/2-ELLEN</t>
  </si>
  <si>
    <t xml:space="preserve">H L M PADARIA E CONFEITARIA LTDA</t>
  </si>
  <si>
    <t xml:space="preserve">NF 17 COMPRAS-BOLO PG NO P 3/7 ELLEN</t>
  </si>
  <si>
    <t xml:space="preserve">NF 18 COMPRAS-BOLO PG NO P 7/7/26 ELLEN</t>
  </si>
  <si>
    <t xml:space="preserve">NF 20 COMPRAS-BOLO PG NO P 10/7/26 ELLEN</t>
  </si>
  <si>
    <t xml:space="preserve">NF 19 COMPRAS-BOLO PG NO P 13/7/26 ELLEN</t>
  </si>
  <si>
    <t xml:space="preserve">NF 22 COMPRAS-BOLO PG NO P 15/7/26 ELLEN</t>
  </si>
  <si>
    <t xml:space="preserve">NF 23 COMPRAS-BOLO PG NO P 17/7/26 ELLEN</t>
  </si>
  <si>
    <t xml:space="preserve">NF 35 COMPRAS-BOLO PG NO P 18/7/26 ELLEN</t>
  </si>
  <si>
    <t xml:space="preserve">FEIRA SR RENATO - PG P LJ 1 -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</si>
  <si>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</si>
  <si>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</si>
  <si>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</si>
  <si>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DESPESA OPER LOJA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</si>
  <si>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</si>
  <si>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</si>
  <si>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</si>
  <si>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1695862 ELLEN</t>
  </si>
  <si>
    <t xml:space="preserve">NF 5844 ELLEN</t>
  </si>
  <si>
    <t xml:space="preserve">NF 261 ELLEN</t>
  </si>
  <si>
    <t xml:space="preserve">NF 1949480 ELLEN</t>
  </si>
  <si>
    <t xml:space="preserve">NF 1215300 ELLEN</t>
  </si>
  <si>
    <t xml:space="preserve">COMPRAS - 15L DE AÇAI - PG NO P 22/7/26 ELLEN</t>
  </si>
  <si>
    <t xml:space="preserve">NF 1401844 ELLEN</t>
  </si>
  <si>
    <t xml:space="preserve">DESPESA INFORMATICA SSD SERVIDOR MO2-ANDREZA</t>
  </si>
  <si>
    <t xml:space="preserve">NF 1625 ELLEN</t>
  </si>
  <si>
    <t xml:space="preserve">NF 393890 ELLEN</t>
  </si>
  <si>
    <t xml:space="preserve">NF 740921 DESPESA-BANDEJAS - ELLEN</t>
  </si>
  <si>
    <t xml:space="preserve">NF 34738 ELLEN</t>
  </si>
  <si>
    <t xml:space="preserve">NF 728 ELLEN</t>
  </si>
  <si>
    <t xml:space="preserve">NF 21 COMPRAS-BOLO PG NO P 22/7 ELLEN</t>
  </si>
  <si>
    <t xml:space="preserve">NF 173594 ELLEN</t>
  </si>
  <si>
    <t xml:space="preserve">NF 1697796 ELLEN</t>
  </si>
  <si>
    <t xml:space="preserve">MARCLEY MACHADO CHAVES</t>
  </si>
  <si>
    <t xml:space="preserve">NF 3551 ELLEN</t>
  </si>
  <si>
    <t xml:space="preserve">NF 886799 ELLEN</t>
  </si>
  <si>
    <t xml:space="preserve">NF 64 COMPRAS-BOLO PG NO P 2/7 ELLEN</t>
  </si>
  <si>
    <t xml:space="preserve">NF 65 COMPRAS BOLO - PG NO P 4/7 ELLEN</t>
  </si>
  <si>
    <t xml:space="preserve">NF 608657 ELLEN</t>
  </si>
  <si>
    <t xml:space="preserve">NF 651350 ELLEN</t>
  </si>
  <si>
    <t xml:space="preserve">NF 1033458 ELLEN</t>
  </si>
  <si>
    <t xml:space="preserve">NF 1698937 ELLEN</t>
  </si>
  <si>
    <t xml:space="preserve">NF 1611346 ELLEN</t>
  </si>
  <si>
    <t xml:space="preserve">NF 375 COMPRAS-CARVAO - ELLEN</t>
  </si>
  <si>
    <t xml:space="preserve">NF 21130 ELLEN</t>
  </si>
  <si>
    <t xml:space="preserve">NF 568309 ELLEN</t>
  </si>
  <si>
    <t xml:space="preserve">NF 7695 DESPESA-AVENTAL/TABUA CORTE - ELLEN</t>
  </si>
  <si>
    <t xml:space="preserve">NF 1698151 ELLEN</t>
  </si>
  <si>
    <t xml:space="preserve">MIKITOS IND.COM.DE GEN. ALIM. DO AM. LTD</t>
  </si>
  <si>
    <t xml:space="preserve">NF 294640 ELLEN</t>
  </si>
  <si>
    <t xml:space="preserve">FERIAS</t>
  </si>
  <si>
    <t xml:space="preserve">FERIAS IDELMA 2025/2025  - KEILA</t>
  </si>
  <si>
    <t xml:space="preserve">FEIRA SR RENATO-PG P LJ1 (ALHO/PERA) SOMAR C NF2560-ELLEN</t>
  </si>
  <si>
    <t xml:space="preserve">COMPRAS-20L DE AÇAI-PG NO P 24/7 ELLEN</t>
  </si>
  <si>
    <t xml:space="preserve">COMPRAS-10KG PITAYA -PG NO P 25/7 - ELLEN</t>
  </si>
  <si>
    <t xml:space="preserve">NF 544 ELLEN</t>
  </si>
  <si>
    <t xml:space="preserve">NF 10760 ELLEN</t>
  </si>
  <si>
    <t xml:space="preserve">NF 731 ELLEN</t>
  </si>
  <si>
    <t xml:space="preserve">NF 1842 ELLEN</t>
  </si>
  <si>
    <t xml:space="preserve">NF 345 ELLEN</t>
  </si>
  <si>
    <t xml:space="preserve">NF 32052 ELLEN</t>
  </si>
  <si>
    <t xml:space="preserve">DINÂMICA SOLUÇÕES EM SUPRIMENTOS E GESTÃ</t>
  </si>
  <si>
    <t xml:space="preserve">NF 749 ELLEN</t>
  </si>
  <si>
    <t xml:space="preserve">Mercadinho e Açougue Oliveira</t>
  </si>
  <si>
    <t xml:space="preserve">Informação Confidencial</t>
  </si>
  <si>
    <t xml:space="preserve">Página 1</t>
  </si>
  <si>
    <t xml:space="preserve"> de 1</t>
  </si>
  <si>
    <t xml:space="preserve">Data de Vencimento</t>
  </si>
  <si>
    <t xml:space="preserve">Valor do Título</t>
  </si>
  <si>
    <t xml:space="preserve">TOTAL GERAL PERÍODO</t>
  </si>
  <si>
    <t xml:space="preserve">Data</t>
  </si>
  <si>
    <t xml:space="preserve">Outras Despesas</t>
  </si>
  <si>
    <t xml:space="preserve">Mercadorias P/Revenda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</si>
  <si>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</si>
  <si>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</si>
  <si>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</si>
  <si>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</si>
  <si>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</si>
  <si>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</si>
  <si>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</si>
  <si>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</si>
  <si>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</si>
  <si>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</si>
  <si>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</si>
  <si>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</si>
  <si>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</si>
  <si>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</si>
  <si>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</si>
  <si>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</si>
  <si>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</si>
  <si>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</si>
  <si>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</si>
  <si>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</si>
  <si>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</si>
  <si>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</si>
  <si>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</si>
  <si>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</si>
  <si>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</si>
  <si>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</si>
  <si>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</si>
  <si>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</si>
  <si>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</si>
  <si>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</si>
  <si>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</si>
  <si>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</si>
  <si>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</si>
  <si>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</si>
  <si>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</si>
  <si>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</si>
  <si>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</si>
  <si>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</si>
  <si>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</si>
  <si>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</si>
  <si>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</si>
  <si>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</si>
  <si>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</si>
  <si>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</si>
  <si>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</si>
  <si>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</si>
  <si>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</si>
  <si>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</si>
  <si>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</si>
  <si>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</si>
  <si>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</si>
  <si>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</si>
  <si>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</si>
  <si>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</si>
  <si>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</si>
  <si>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</si>
  <si>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</si>
  <si>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</si>
  <si>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</si>
  <si>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</si>
  <si>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</si>
  <si>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</si>
  <si>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</si>
  <si>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</si>
  <si>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</si>
  <si>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</si>
  <si>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</si>
  <si>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</si>
  <si>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</si>
  <si>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</si>
  <si>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</si>
  <si>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</si>
  <si>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</si>
  <si>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</si>
  <si>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</si>
  <si>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</si>
  <si>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</si>
  <si>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</si>
  <si>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</si>
  <si>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</si>
  <si>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</si>
  <si>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</si>
  <si>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</si>
  <si>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</si>
  <si>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</si>
  <si>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</si>
  <si>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</si>
  <si>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</si>
  <si>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</si>
  <si>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</si>
  <si>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</si>
  <si>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</si>
  <si>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</si>
  <si>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</si>
  <si>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</si>
  <si>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</si>
  <si>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</si>
  <si>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</si>
  <si>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</si>
  <si>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</si>
  <si>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</si>
  <si>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</si>
  <si>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</si>
  <si>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</si>
  <si>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</si>
  <si>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</si>
  <si>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Mês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</si>
  <si>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</si>
  <si>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</si>
  <si>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</si>
  <si>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</si>
  <si>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</si>
  <si>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</si>
  <si>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</si>
  <si>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</si>
  <si>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</si>
  <si>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</si>
  <si>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</si>
  <si>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</si>
  <si>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</si>
  <si>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</si>
  <si>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</si>
  <si>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</si>
  <si>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</si>
  <si>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</si>
  <si>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</si>
  <si>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</si>
  <si>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</si>
  <si>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</si>
  <si>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</si>
  <si>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</si>
  <si>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</si>
  <si>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</si>
  <si>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Classificação</t>
  </si>
  <si>
    <t xml:space="preserve">Grupo</t>
  </si>
  <si>
    <t xml:space="preserve">Classificação (CC Contra Partida)</t>
  </si>
  <si>
    <t xml:space="preserve">Grupo (editável)</t>
  </si>
  <si>
    <t xml:space="preserve">TOTAL GERAL</t>
  </si>
  <si>
    <t xml:space="preserve">Despesa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</si>
  <si>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</si>
  <si>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</si>
  <si>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</si>
  <si>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</si>
  <si>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</si>
  <si>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</si>
  <si>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Base de Venda Anual - Loja MO2</t>
  </si>
  <si>
    <t xml:space="preserve">Fonte: VENDA ANUAL MO2.xls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</si>
  <si>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</si>
  <si>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</si>
  <si>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</si>
  <si>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</si>
  <si>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</si>
  <si>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</si>
  <si>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seguinte usado para sugerir a compra do mes:</t>
  </si>
  <si>
    <t xml:space="preserve">&lt;- EDITAVEL: altere aqui para recalcular a coluna 'Compra Sugerida'</t>
  </si>
  <si>
    <t xml:space="preserve">Venda do Mes</t>
  </si>
  <si>
    <t xml:space="preserve">Compra Sugerida (p/ mes seguinte)</t>
  </si>
  <si>
    <t xml:space="preserve">Compra Real (Mercadorias P/Revenda)</t>
  </si>
  <si>
    <t xml:space="preserve">Comprado a Mais</t>
  </si>
  <si>
    <t xml:space="preserve">Nota: 'Compra Sugerida' e 'Comprado a Mais' ficam em branco quando o mes seguinte ainda nao tem venda lancada na base (ex: a partir de Ago/2026, cujos dados ainda nao existem no arquivo de origem). A base de compra real (Resumo Mensal) so tem vencimentos lancados de Jul a Set/2026 - meses fora desse intervalo aparecem como R$ 0,00 em Compra Real ate que novos boletos sejam incluidos na planilha base.</t>
  </si>
  <si>
    <t xml:space="preserve">Expectativa de Venda do Mes Corrente (projecao com base no vendido ate a data de corte)</t>
  </si>
  <si>
    <t xml:space="preserve">Mes Corrente</t>
  </si>
  <si>
    <t xml:space="preserve">Data de Corte</t>
  </si>
  <si>
    <t xml:space="preserve">Venda Acumulada ate a Data de Corte</t>
  </si>
  <si>
    <t xml:space="preserve">Dias Corridos no Mes</t>
  </si>
  <si>
    <t xml:space="preserve">Dias Totais no Mes</t>
  </si>
  <si>
    <t xml:space="preserve">Projecao de Venda do Mes</t>
  </si>
  <si>
    <t xml:space="preserve">Metodo: projecao = (venda acumulada ate a data de corte / dias corridos no mes) x dias totais do mes. A 'Data de Corte' vem do timestamp de extracao do proprio relatorio de venda anual (aba 'Venda Anual (Base)'), pois e ate essa data que o valor de venda do mes corrente na base realmente esta lancado - nao a data em que esta planilha foi reaberta.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</si>
</sst>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0"/>
    <numFmt numFmtId="166" formatCode="dd/mm/yyyy"/>
    <numFmt numFmtId="167" formatCode="#,##0.00"/>
    <numFmt numFmtId="168" formatCode="&quot;R$ &quot;#,##0.00"/>
    <numFmt numFmtId="169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b val="true"/>
      <sz val="14"/>
      <color rgb="FF1F4E78"/>
      <name val="Arial"/>
      <family val="0"/>
      <charset val="1"/>
    </font>
    <font>
      <i val="true"/>
      <sz val="9"/>
      <color rgb="FF7F7F7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9C57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DDEBF7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FCE4D6"/>
        <bgColor rgb="FFFFE699"/>
      </patternFill>
    </fill>
    <fill>
      <patternFill patternType="solid">
        <fgColor rgb="FFFFC7CE"/>
        <bgColor rgb="FFFCE4D6"/>
      </patternFill>
    </fill>
    <fill>
      <patternFill patternType="solid">
        <fgColor rgb="FFFFE699"/>
        <bgColor rgb="FFFCE4D6"/>
      </patternFill>
    </fill>
    <fill>
      <patternFill patternType="solid">
        <fgColor rgb="FF548235"/>
        <bgColor rgb="FF339966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9C5700"/>
      </left>
      <right style="medium">
        <color rgb="FF9C5700"/>
      </right>
      <top style="medium">
        <color rgb="FF9C5700"/>
      </top>
      <bottom style="medium">
        <color rgb="FF9C57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10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0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1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546875" defaultRowHeight="12.75" customHeight="false" zeroHeight="false" outlineLevelRow="0" outlineLevelCol="0"/>
  <cols>
    <col collapsed="false" customWidth="true" hidden="false" outlineLevel="0" max="1" min="1" style="1" width="3.68"/>
    <col collapsed="false" customWidth="true" hidden="false" outlineLevel="0" max="3" min="2" style="1" width="5.53"/>
    <col collapsed="false" customWidth="true" hidden="false" outlineLevel="0" max="4" min="4" style="1" width="3.68"/>
    <col collapsed="false" customWidth="true" hidden="false" outlineLevel="0" max="5" min="5" style="1" width="9.21"/>
    <col collapsed="false" customWidth="true" hidden="false" outlineLevel="0" max="6" min="6" style="1" width="3.68"/>
    <col collapsed="false" customWidth="true" hidden="false" outlineLevel="0" max="7" min="7" style="1" width="9.21"/>
    <col collapsed="false" customWidth="true" hidden="false" outlineLevel="0" max="8" min="8" style="1" width="5.53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.01"/>
    <col collapsed="false" customWidth="true" hidden="false" outlineLevel="0" max="13" min="12" style="1" width="3.68"/>
    <col collapsed="false" customWidth="true" hidden="false" outlineLevel="0" max="14" min="14" style="1" width="2.51"/>
    <col collapsed="false" customWidth="true" hidden="false" outlineLevel="0" max="15" min="15" style="1" width="3.02"/>
    <col collapsed="false" customWidth="true" hidden="false" outlineLevel="0" max="16" min="16" style="1" width="3.68"/>
    <col collapsed="false" customWidth="true" hidden="false" outlineLevel="0" max="18" min="17" style="1" width="9.4"/>
    <col collapsed="false" customWidth="true" hidden="false" outlineLevel="0" max="19" min="19" style="1" width="5.53"/>
    <col collapsed="false" customWidth="true" hidden="false" outlineLevel="0" max="20" min="20" style="1" width="9.4"/>
    <col collapsed="false" customWidth="true" hidden="false" outlineLevel="0" max="21" min="21" style="1" width="4.87"/>
    <col collapsed="false" customWidth="true" hidden="false" outlineLevel="0" max="22" min="22" style="1" width="0.83"/>
    <col collapsed="false" customWidth="true" hidden="false" outlineLevel="0" max="23" min="23" style="1" width="5.71"/>
    <col collapsed="false" customWidth="true" hidden="false" outlineLevel="0" max="25" min="25" style="1" width="8.05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9" t="s">
        <v>28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48" hidden="false" customHeight="true" outlineLevel="0" collapsed="false">
      <c r="A10" s="11" t="n">
        <v>2</v>
      </c>
      <c r="B10" s="12" t="n">
        <v>46196</v>
      </c>
      <c r="C10" s="12" t="n">
        <v>46216</v>
      </c>
      <c r="D10" s="11" t="n">
        <v>1616</v>
      </c>
      <c r="E10" s="13" t="s">
        <v>29</v>
      </c>
      <c r="F10" s="11" t="n">
        <v>24</v>
      </c>
      <c r="G10" s="13" t="s">
        <v>30</v>
      </c>
      <c r="H10" s="11" t="n">
        <v>2110101</v>
      </c>
      <c r="I10" s="13" t="s">
        <v>31</v>
      </c>
      <c r="J10" s="14" t="n">
        <v>1293976</v>
      </c>
      <c r="K10" s="14"/>
      <c r="L10" s="11" t="n">
        <v>646732</v>
      </c>
      <c r="M10" s="13" t="s">
        <v>32</v>
      </c>
      <c r="N10" s="15" t="s">
        <v>33</v>
      </c>
      <c r="O10" s="15"/>
      <c r="P10" s="11" t="n">
        <v>113</v>
      </c>
      <c r="Q10" s="13" t="s">
        <v>34</v>
      </c>
      <c r="R10" s="13" t="s">
        <v>35</v>
      </c>
      <c r="S10" s="11" t="n">
        <v>1130101</v>
      </c>
      <c r="T10" s="13" t="s">
        <v>36</v>
      </c>
      <c r="U10" s="16" t="n">
        <v>347.18</v>
      </c>
      <c r="V10" s="16"/>
      <c r="W10" s="17" t="n">
        <v>0</v>
      </c>
      <c r="X10" s="15" t="s">
        <v>37</v>
      </c>
      <c r="Y10" s="15"/>
      <c r="Z10" s="1" t="str">
        <f aca="false">IF($T10="","",IFERROR(INDEX('Resumo Grupos'!$AC$3:$AC$2000,MATCH($T10,'Resumo Grupos'!$AB$3:$AB$2000,0)),"n/d"))</f>
        <v>Mercadoria</v>
      </c>
    </row>
    <row r="11" customFormat="false" ht="39" hidden="false" customHeight="true" outlineLevel="0" collapsed="false">
      <c r="A11" s="11" t="n">
        <v>2</v>
      </c>
      <c r="B11" s="12" t="n">
        <v>45992</v>
      </c>
      <c r="C11" s="12" t="n">
        <v>46204</v>
      </c>
      <c r="D11" s="11" t="n">
        <v>983</v>
      </c>
      <c r="E11" s="13" t="s">
        <v>38</v>
      </c>
      <c r="F11" s="11" t="n">
        <v>47</v>
      </c>
      <c r="G11" s="13" t="s">
        <v>39</v>
      </c>
      <c r="H11" s="11" t="n">
        <v>2110101</v>
      </c>
      <c r="I11" s="13" t="s">
        <v>31</v>
      </c>
      <c r="J11" s="14" t="n">
        <v>361903</v>
      </c>
      <c r="K11" s="14"/>
      <c r="L11" s="11" t="n">
        <v>47174</v>
      </c>
      <c r="M11" s="13" t="s">
        <v>40</v>
      </c>
      <c r="N11" s="15" t="s">
        <v>41</v>
      </c>
      <c r="O11" s="15"/>
      <c r="P11" s="11" t="n">
        <v>113</v>
      </c>
      <c r="Q11" s="13" t="s">
        <v>34</v>
      </c>
      <c r="R11" s="13" t="s">
        <v>42</v>
      </c>
      <c r="S11" s="11" t="n">
        <v>1240103</v>
      </c>
      <c r="T11" s="13" t="s">
        <v>43</v>
      </c>
      <c r="U11" s="16" t="n">
        <v>1898</v>
      </c>
      <c r="V11" s="16"/>
      <c r="W11" s="17" t="n">
        <v>0</v>
      </c>
      <c r="X11" s="15" t="s">
        <v>44</v>
      </c>
      <c r="Y11" s="15"/>
      <c r="Z11" s="1" t="str">
        <f aca="false">IF($T11="","",IFERROR(INDEX('Resumo Grupos'!$AC$3:$AC$2000,MATCH($T11,'Resumo Grupos'!$AB$3:$AB$2000,0)),"n/d"))</f>
        <v>Despesa</v>
      </c>
    </row>
    <row r="12" customFormat="false" ht="39" hidden="false" customHeight="true" outlineLevel="0" collapsed="false">
      <c r="A12" s="11" t="n">
        <v>2</v>
      </c>
      <c r="B12" s="12" t="n">
        <v>45992</v>
      </c>
      <c r="C12" s="12" t="n">
        <v>46235</v>
      </c>
      <c r="D12" s="11" t="n">
        <v>983</v>
      </c>
      <c r="E12" s="13" t="s">
        <v>38</v>
      </c>
      <c r="F12" s="11" t="n">
        <v>47</v>
      </c>
      <c r="G12" s="13" t="s">
        <v>39</v>
      </c>
      <c r="H12" s="11" t="n">
        <v>2110101</v>
      </c>
      <c r="I12" s="13" t="s">
        <v>31</v>
      </c>
      <c r="J12" s="14" t="n">
        <v>361903</v>
      </c>
      <c r="K12" s="14"/>
      <c r="L12" s="11" t="n">
        <v>47174</v>
      </c>
      <c r="M12" s="13" t="s">
        <v>45</v>
      </c>
      <c r="N12" s="15" t="s">
        <v>41</v>
      </c>
      <c r="O12" s="15"/>
      <c r="P12" s="11" t="n">
        <v>113</v>
      </c>
      <c r="Q12" s="13" t="s">
        <v>34</v>
      </c>
      <c r="R12" s="13" t="s">
        <v>42</v>
      </c>
      <c r="S12" s="11" t="n">
        <v>1240103</v>
      </c>
      <c r="T12" s="13" t="s">
        <v>43</v>
      </c>
      <c r="U12" s="16" t="n">
        <v>1898</v>
      </c>
      <c r="V12" s="16"/>
      <c r="W12" s="17" t="n">
        <v>0</v>
      </c>
      <c r="X12" s="15" t="s">
        <v>46</v>
      </c>
      <c r="Y12" s="15"/>
      <c r="Z12" s="1" t="str">
        <f aca="false">IF($T12="","",IFERROR(INDEX('Resumo Grupos'!$AC$3:$AC$2000,MATCH($T12,'Resumo Grupos'!$AB$3:$AB$2000,0)),"n/d"))</f>
        <v>Despesa</v>
      </c>
    </row>
    <row r="13" customFormat="false" ht="39" hidden="false" customHeight="true" outlineLevel="0" collapsed="false">
      <c r="A13" s="11" t="n">
        <v>2</v>
      </c>
      <c r="B13" s="12" t="n">
        <v>45992</v>
      </c>
      <c r="C13" s="12" t="n">
        <v>46266</v>
      </c>
      <c r="D13" s="11" t="n">
        <v>983</v>
      </c>
      <c r="E13" s="13" t="s">
        <v>38</v>
      </c>
      <c r="F13" s="11" t="n">
        <v>47</v>
      </c>
      <c r="G13" s="13" t="s">
        <v>39</v>
      </c>
      <c r="H13" s="11" t="n">
        <v>2110101</v>
      </c>
      <c r="I13" s="13" t="s">
        <v>31</v>
      </c>
      <c r="J13" s="14" t="n">
        <v>361903</v>
      </c>
      <c r="K13" s="14"/>
      <c r="L13" s="11" t="n">
        <v>47174</v>
      </c>
      <c r="M13" s="13" t="s">
        <v>47</v>
      </c>
      <c r="N13" s="15" t="s">
        <v>41</v>
      </c>
      <c r="O13" s="15"/>
      <c r="P13" s="11" t="n">
        <v>113</v>
      </c>
      <c r="Q13" s="13" t="s">
        <v>34</v>
      </c>
      <c r="R13" s="13" t="s">
        <v>42</v>
      </c>
      <c r="S13" s="11" t="n">
        <v>1240103</v>
      </c>
      <c r="T13" s="13" t="s">
        <v>43</v>
      </c>
      <c r="U13" s="16" t="n">
        <v>1898</v>
      </c>
      <c r="V13" s="16"/>
      <c r="W13" s="17" t="n">
        <v>0</v>
      </c>
      <c r="X13" s="15" t="s">
        <v>48</v>
      </c>
      <c r="Y13" s="15"/>
      <c r="Z13" s="1" t="str">
        <f aca="false">IF($T13="","",IFERROR(INDEX('Resumo Grupos'!$AC$3:$AC$2000,MATCH($T13,'Resumo Grupos'!$AB$3:$AB$2000,0)),"n/d"))</f>
        <v>Despesa</v>
      </c>
    </row>
    <row r="14" customFormat="false" ht="48" hidden="false" customHeight="true" outlineLevel="0" collapsed="false">
      <c r="A14" s="11" t="n">
        <v>2</v>
      </c>
      <c r="B14" s="12" t="n">
        <v>46013</v>
      </c>
      <c r="C14" s="12" t="n">
        <v>46259</v>
      </c>
      <c r="D14" s="11" t="n">
        <v>17</v>
      </c>
      <c r="E14" s="13" t="s">
        <v>49</v>
      </c>
      <c r="F14" s="11" t="n">
        <v>48</v>
      </c>
      <c r="G14" s="13" t="s">
        <v>50</v>
      </c>
      <c r="H14" s="11" t="n">
        <v>2110405</v>
      </c>
      <c r="I14" s="13" t="s">
        <v>51</v>
      </c>
      <c r="J14" s="14" t="n">
        <v>660421</v>
      </c>
      <c r="K14" s="14"/>
      <c r="L14" s="11" t="n">
        <v>86128</v>
      </c>
      <c r="M14" s="13" t="s">
        <v>40</v>
      </c>
      <c r="N14" s="15" t="s">
        <v>41</v>
      </c>
      <c r="O14" s="15"/>
      <c r="P14" s="11" t="n">
        <v>101</v>
      </c>
      <c r="Q14" s="13" t="s">
        <v>52</v>
      </c>
      <c r="R14" s="13" t="s">
        <v>53</v>
      </c>
      <c r="S14" s="11" t="n">
        <v>4220199</v>
      </c>
      <c r="T14" s="13" t="s">
        <v>54</v>
      </c>
      <c r="U14" s="16" t="n">
        <v>362.14</v>
      </c>
      <c r="V14" s="16"/>
      <c r="W14" s="17" t="n">
        <v>0</v>
      </c>
      <c r="X14" s="15" t="s">
        <v>55</v>
      </c>
      <c r="Y14" s="15"/>
      <c r="Z14" s="1" t="str">
        <f aca="false">IF($T14="","",IFERROR(INDEX('Resumo Grupos'!$AC$3:$AC$2000,MATCH($T14,'Resumo Grupos'!$AB$3:$AB$2000,0)),"n/d"))</f>
        <v>Pagamentos outros não operacionais</v>
      </c>
    </row>
    <row r="15" customFormat="false" ht="48" hidden="false" customHeight="true" outlineLevel="0" collapsed="false">
      <c r="A15" s="11" t="n">
        <v>2</v>
      </c>
      <c r="B15" s="12" t="n">
        <v>46013</v>
      </c>
      <c r="C15" s="12" t="n">
        <v>46290</v>
      </c>
      <c r="D15" s="11" t="n">
        <v>17</v>
      </c>
      <c r="E15" s="13" t="s">
        <v>49</v>
      </c>
      <c r="F15" s="11" t="n">
        <v>48</v>
      </c>
      <c r="G15" s="13" t="s">
        <v>50</v>
      </c>
      <c r="H15" s="11" t="n">
        <v>2110405</v>
      </c>
      <c r="I15" s="13" t="s">
        <v>51</v>
      </c>
      <c r="J15" s="14" t="n">
        <v>660421</v>
      </c>
      <c r="K15" s="14"/>
      <c r="L15" s="11" t="n">
        <v>86128</v>
      </c>
      <c r="M15" s="13" t="s">
        <v>45</v>
      </c>
      <c r="N15" s="15" t="s">
        <v>41</v>
      </c>
      <c r="O15" s="15"/>
      <c r="P15" s="11" t="n">
        <v>101</v>
      </c>
      <c r="Q15" s="13" t="s">
        <v>52</v>
      </c>
      <c r="R15" s="13" t="s">
        <v>53</v>
      </c>
      <c r="S15" s="11" t="n">
        <v>4220199</v>
      </c>
      <c r="T15" s="13" t="s">
        <v>54</v>
      </c>
      <c r="U15" s="16" t="n">
        <v>362.14</v>
      </c>
      <c r="V15" s="16"/>
      <c r="W15" s="17" t="n">
        <v>0</v>
      </c>
      <c r="X15" s="15" t="s">
        <v>55</v>
      </c>
      <c r="Y15" s="15"/>
      <c r="Z15" s="1" t="str">
        <f aca="false">IF($T15="","",IFERROR(INDEX('Resumo Grupos'!$AC$3:$AC$2000,MATCH($T15,'Resumo Grupos'!$AB$3:$AB$2000,0)),"n/d"))</f>
        <v>Pagamentos outros não operacionais</v>
      </c>
    </row>
    <row r="16" customFormat="false" ht="28.5" hidden="false" customHeight="true" outlineLevel="0" collapsed="false">
      <c r="A16" s="11" t="n">
        <v>2</v>
      </c>
      <c r="B16" s="12" t="n">
        <v>46048</v>
      </c>
      <c r="C16" s="12" t="n">
        <v>46204</v>
      </c>
      <c r="D16" s="11" t="n">
        <v>438</v>
      </c>
      <c r="E16" s="13" t="s">
        <v>56</v>
      </c>
      <c r="F16" s="11" t="n">
        <v>47</v>
      </c>
      <c r="G16" s="13" t="s">
        <v>39</v>
      </c>
      <c r="H16" s="11" t="n">
        <v>2110102</v>
      </c>
      <c r="I16" s="13" t="s">
        <v>57</v>
      </c>
      <c r="J16" s="14" t="n">
        <v>584704</v>
      </c>
      <c r="K16" s="14"/>
      <c r="L16" s="11" t="n">
        <v>6278</v>
      </c>
      <c r="M16" s="13" t="s">
        <v>58</v>
      </c>
      <c r="N16" s="15" t="s">
        <v>33</v>
      </c>
      <c r="O16" s="15"/>
      <c r="P16" s="11" t="n">
        <v>104</v>
      </c>
      <c r="Q16" s="13" t="s">
        <v>59</v>
      </c>
      <c r="R16" s="13" t="s">
        <v>60</v>
      </c>
      <c r="S16" s="11" t="n">
        <v>4210204</v>
      </c>
      <c r="T16" s="13" t="s">
        <v>61</v>
      </c>
      <c r="U16" s="16" t="n">
        <v>666.65</v>
      </c>
      <c r="V16" s="16"/>
      <c r="W16" s="17" t="n">
        <v>0</v>
      </c>
      <c r="X16" s="15" t="s">
        <v>62</v>
      </c>
      <c r="Y16" s="15"/>
      <c r="Z16" s="1" t="str">
        <f aca="false">IF($T16="","",IFERROR(INDEX('Resumo Grupos'!$AC$3:$AC$2000,MATCH($T16,'Resumo Grupos'!$AB$3:$AB$2000,0)),"n/d"))</f>
        <v>Despesa</v>
      </c>
    </row>
    <row r="17" customFormat="false" ht="28.5" hidden="false" customHeight="true" outlineLevel="0" collapsed="false">
      <c r="A17" s="11" t="n">
        <v>2</v>
      </c>
      <c r="B17" s="12" t="n">
        <v>46048</v>
      </c>
      <c r="C17" s="12" t="n">
        <v>46204</v>
      </c>
      <c r="D17" s="11" t="n">
        <v>925</v>
      </c>
      <c r="E17" s="13" t="s">
        <v>63</v>
      </c>
      <c r="F17" s="11" t="n">
        <v>47</v>
      </c>
      <c r="G17" s="13" t="s">
        <v>39</v>
      </c>
      <c r="H17" s="11" t="n">
        <v>2110102</v>
      </c>
      <c r="I17" s="13" t="s">
        <v>57</v>
      </c>
      <c r="J17" s="14" t="n">
        <v>584985</v>
      </c>
      <c r="K17" s="14"/>
      <c r="L17" s="11" t="n">
        <v>7267</v>
      </c>
      <c r="M17" s="13" t="s">
        <v>58</v>
      </c>
      <c r="N17" s="15" t="s">
        <v>33</v>
      </c>
      <c r="O17" s="15"/>
      <c r="P17" s="11" t="n">
        <v>104</v>
      </c>
      <c r="Q17" s="13" t="s">
        <v>59</v>
      </c>
      <c r="R17" s="13" t="s">
        <v>60</v>
      </c>
      <c r="S17" s="11" t="n">
        <v>4210204</v>
      </c>
      <c r="T17" s="13" t="s">
        <v>61</v>
      </c>
      <c r="U17" s="16" t="n">
        <v>165</v>
      </c>
      <c r="V17" s="16"/>
      <c r="W17" s="17" t="n">
        <v>0</v>
      </c>
      <c r="X17" s="15" t="s">
        <v>64</v>
      </c>
      <c r="Y17" s="15"/>
      <c r="Z17" s="1" t="str">
        <f aca="false">IF($T17="","",IFERROR(INDEX('Resumo Grupos'!$AC$3:$AC$2000,MATCH($T17,'Resumo Grupos'!$AB$3:$AB$2000,0)),"n/d"))</f>
        <v>Despesa</v>
      </c>
    </row>
    <row r="18" customFormat="false" ht="48" hidden="false" customHeight="true" outlineLevel="0" collapsed="false">
      <c r="A18" s="11" t="n">
        <v>2</v>
      </c>
      <c r="B18" s="12" t="n">
        <v>46029</v>
      </c>
      <c r="C18" s="12" t="n">
        <v>46228</v>
      </c>
      <c r="D18" s="11" t="n">
        <v>17</v>
      </c>
      <c r="E18" s="13" t="s">
        <v>49</v>
      </c>
      <c r="F18" s="11" t="n">
        <v>48</v>
      </c>
      <c r="G18" s="13" t="s">
        <v>50</v>
      </c>
      <c r="H18" s="11" t="n">
        <v>2110405</v>
      </c>
      <c r="I18" s="13" t="s">
        <v>51</v>
      </c>
      <c r="J18" s="14" t="n">
        <v>660305</v>
      </c>
      <c r="K18" s="14"/>
      <c r="L18" s="11" t="n">
        <v>86116</v>
      </c>
      <c r="M18" s="13" t="s">
        <v>65</v>
      </c>
      <c r="N18" s="15" t="s">
        <v>41</v>
      </c>
      <c r="O18" s="15"/>
      <c r="P18" s="11" t="n">
        <v>101</v>
      </c>
      <c r="Q18" s="13" t="s">
        <v>52</v>
      </c>
      <c r="R18" s="13" t="s">
        <v>53</v>
      </c>
      <c r="S18" s="11" t="n">
        <v>4220199</v>
      </c>
      <c r="T18" s="13" t="s">
        <v>54</v>
      </c>
      <c r="U18" s="16" t="n">
        <v>84.03</v>
      </c>
      <c r="V18" s="16"/>
      <c r="W18" s="17" t="n">
        <v>0</v>
      </c>
      <c r="X18" s="15" t="s">
        <v>66</v>
      </c>
      <c r="Y18" s="15"/>
      <c r="Z18" s="1" t="str">
        <f aca="false">IF($T18="","",IFERROR(INDEX('Resumo Grupos'!$AC$3:$AC$2000,MATCH($T18,'Resumo Grupos'!$AB$3:$AB$2000,0)),"n/d"))</f>
        <v>Pagamentos outros não operacionais</v>
      </c>
    </row>
    <row r="19" customFormat="false" ht="48" hidden="false" customHeight="true" outlineLevel="0" collapsed="false">
      <c r="A19" s="11" t="n">
        <v>2</v>
      </c>
      <c r="B19" s="12" t="n">
        <v>46029</v>
      </c>
      <c r="C19" s="12" t="n">
        <v>46259</v>
      </c>
      <c r="D19" s="11" t="n">
        <v>17</v>
      </c>
      <c r="E19" s="13" t="s">
        <v>49</v>
      </c>
      <c r="F19" s="11" t="n">
        <v>48</v>
      </c>
      <c r="G19" s="13" t="s">
        <v>50</v>
      </c>
      <c r="H19" s="11" t="n">
        <v>2110405</v>
      </c>
      <c r="I19" s="13" t="s">
        <v>51</v>
      </c>
      <c r="J19" s="14" t="n">
        <v>660305</v>
      </c>
      <c r="K19" s="14"/>
      <c r="L19" s="11" t="n">
        <v>86116</v>
      </c>
      <c r="M19" s="13" t="s">
        <v>40</v>
      </c>
      <c r="N19" s="15" t="s">
        <v>41</v>
      </c>
      <c r="O19" s="15"/>
      <c r="P19" s="11" t="n">
        <v>101</v>
      </c>
      <c r="Q19" s="13" t="s">
        <v>52</v>
      </c>
      <c r="R19" s="13" t="s">
        <v>53</v>
      </c>
      <c r="S19" s="11" t="n">
        <v>4220199</v>
      </c>
      <c r="T19" s="13" t="s">
        <v>54</v>
      </c>
      <c r="U19" s="16" t="n">
        <v>84.03</v>
      </c>
      <c r="V19" s="16"/>
      <c r="W19" s="17" t="n">
        <v>0</v>
      </c>
      <c r="X19" s="15" t="s">
        <v>66</v>
      </c>
      <c r="Y19" s="15"/>
      <c r="Z19" s="1" t="str">
        <f aca="false">IF($T19="","",IFERROR(INDEX('Resumo Grupos'!$AC$3:$AC$2000,MATCH($T19,'Resumo Grupos'!$AB$3:$AB$2000,0)),"n/d"))</f>
        <v>Pagamentos outros não operacionais</v>
      </c>
    </row>
    <row r="20" customFormat="false" ht="48" hidden="false" customHeight="true" outlineLevel="0" collapsed="false">
      <c r="A20" s="11" t="n">
        <v>2</v>
      </c>
      <c r="B20" s="12" t="n">
        <v>46029</v>
      </c>
      <c r="C20" s="12" t="n">
        <v>46290</v>
      </c>
      <c r="D20" s="11" t="n">
        <v>17</v>
      </c>
      <c r="E20" s="13" t="s">
        <v>49</v>
      </c>
      <c r="F20" s="11" t="n">
        <v>48</v>
      </c>
      <c r="G20" s="13" t="s">
        <v>50</v>
      </c>
      <c r="H20" s="11" t="n">
        <v>2110405</v>
      </c>
      <c r="I20" s="13" t="s">
        <v>51</v>
      </c>
      <c r="J20" s="14" t="n">
        <v>660305</v>
      </c>
      <c r="K20" s="14"/>
      <c r="L20" s="11" t="n">
        <v>86116</v>
      </c>
      <c r="M20" s="13" t="s">
        <v>45</v>
      </c>
      <c r="N20" s="15" t="s">
        <v>41</v>
      </c>
      <c r="O20" s="15"/>
      <c r="P20" s="11" t="n">
        <v>101</v>
      </c>
      <c r="Q20" s="13" t="s">
        <v>52</v>
      </c>
      <c r="R20" s="13" t="s">
        <v>53</v>
      </c>
      <c r="S20" s="11" t="n">
        <v>4220199</v>
      </c>
      <c r="T20" s="13" t="s">
        <v>54</v>
      </c>
      <c r="U20" s="16" t="n">
        <v>84.03</v>
      </c>
      <c r="V20" s="16"/>
      <c r="W20" s="17" t="n">
        <v>0</v>
      </c>
      <c r="X20" s="15" t="s">
        <v>66</v>
      </c>
      <c r="Y20" s="15"/>
      <c r="Z20" s="1" t="str">
        <f aca="false">IF($T20="","",IFERROR(INDEX('Resumo Grupos'!$AC$3:$AC$2000,MATCH($T20,'Resumo Grupos'!$AB$3:$AB$2000,0)),"n/d"))</f>
        <v>Pagamentos outros não operacionais</v>
      </c>
    </row>
    <row r="21" customFormat="false" ht="48" hidden="false" customHeight="true" outlineLevel="0" collapsed="false">
      <c r="A21" s="11" t="n">
        <v>2</v>
      </c>
      <c r="B21" s="12" t="n">
        <v>46013</v>
      </c>
      <c r="C21" s="12" t="n">
        <v>46228</v>
      </c>
      <c r="D21" s="11" t="n">
        <v>17</v>
      </c>
      <c r="E21" s="13" t="s">
        <v>49</v>
      </c>
      <c r="F21" s="11" t="n">
        <v>48</v>
      </c>
      <c r="G21" s="13" t="s">
        <v>50</v>
      </c>
      <c r="H21" s="11" t="n">
        <v>2110405</v>
      </c>
      <c r="I21" s="13" t="s">
        <v>51</v>
      </c>
      <c r="J21" s="14" t="n">
        <v>660421</v>
      </c>
      <c r="K21" s="14"/>
      <c r="L21" s="11" t="n">
        <v>86128</v>
      </c>
      <c r="M21" s="13" t="s">
        <v>65</v>
      </c>
      <c r="N21" s="15" t="s">
        <v>41</v>
      </c>
      <c r="O21" s="15"/>
      <c r="P21" s="11" t="n">
        <v>101</v>
      </c>
      <c r="Q21" s="13" t="s">
        <v>52</v>
      </c>
      <c r="R21" s="13" t="s">
        <v>53</v>
      </c>
      <c r="S21" s="11" t="n">
        <v>4220199</v>
      </c>
      <c r="T21" s="13" t="s">
        <v>54</v>
      </c>
      <c r="U21" s="16" t="n">
        <v>362.14</v>
      </c>
      <c r="V21" s="16"/>
      <c r="W21" s="17" t="n">
        <v>0</v>
      </c>
      <c r="X21" s="15" t="s">
        <v>55</v>
      </c>
      <c r="Y21" s="15"/>
      <c r="Z21" s="1" t="str">
        <f aca="false">IF($T21="","",IFERROR(INDEX('Resumo Grupos'!$AC$3:$AC$2000,MATCH($T21,'Resumo Grupos'!$AB$3:$AB$2000,0)),"n/d"))</f>
        <v>Pagamentos outros não operacionais</v>
      </c>
    </row>
    <row r="22" customFormat="false" ht="39" hidden="false" customHeight="true" outlineLevel="0" collapsed="false">
      <c r="A22" s="11" t="n">
        <v>2</v>
      </c>
      <c r="B22" s="12" t="n">
        <v>46078</v>
      </c>
      <c r="C22" s="12" t="n">
        <v>46213</v>
      </c>
      <c r="D22" s="11" t="n">
        <v>1869</v>
      </c>
      <c r="E22" s="13" t="s">
        <v>67</v>
      </c>
      <c r="F22" s="11" t="n">
        <v>46</v>
      </c>
      <c r="G22" s="13" t="s">
        <v>68</v>
      </c>
      <c r="H22" s="11" t="n">
        <v>2110101</v>
      </c>
      <c r="I22" s="13" t="s">
        <v>31</v>
      </c>
      <c r="J22" s="14" t="n">
        <v>717667</v>
      </c>
      <c r="K22" s="14"/>
      <c r="L22" s="11" t="n">
        <v>93850</v>
      </c>
      <c r="M22" s="13" t="s">
        <v>69</v>
      </c>
      <c r="N22" s="15" t="s">
        <v>41</v>
      </c>
      <c r="O22" s="15"/>
      <c r="P22" s="11" t="n">
        <v>113</v>
      </c>
      <c r="Q22" s="13" t="s">
        <v>34</v>
      </c>
      <c r="R22" s="13" t="s">
        <v>60</v>
      </c>
      <c r="S22" s="11" t="n">
        <v>4210227</v>
      </c>
      <c r="T22" s="13" t="s">
        <v>70</v>
      </c>
      <c r="U22" s="16" t="n">
        <v>283.67</v>
      </c>
      <c r="V22" s="16"/>
      <c r="W22" s="17" t="n">
        <v>0</v>
      </c>
      <c r="X22" s="15" t="s">
        <v>71</v>
      </c>
      <c r="Y22" s="15"/>
      <c r="Z22" s="1" t="str">
        <f aca="false">IF($T22="","",IFERROR(INDEX('Resumo Grupos'!$AC$3:$AC$2000,MATCH($T22,'Resumo Grupos'!$AB$3:$AB$2000,0)),"n/d"))</f>
        <v>Despesa</v>
      </c>
    </row>
    <row r="23" customFormat="false" ht="39" hidden="false" customHeight="true" outlineLevel="0" collapsed="false">
      <c r="A23" s="11" t="n">
        <v>2</v>
      </c>
      <c r="B23" s="12" t="n">
        <v>46078</v>
      </c>
      <c r="C23" s="12" t="n">
        <v>46244</v>
      </c>
      <c r="D23" s="11" t="n">
        <v>1869</v>
      </c>
      <c r="E23" s="13" t="s">
        <v>67</v>
      </c>
      <c r="F23" s="11" t="n">
        <v>46</v>
      </c>
      <c r="G23" s="13" t="s">
        <v>68</v>
      </c>
      <c r="H23" s="11" t="n">
        <v>2110101</v>
      </c>
      <c r="I23" s="13" t="s">
        <v>31</v>
      </c>
      <c r="J23" s="14" t="n">
        <v>717667</v>
      </c>
      <c r="K23" s="14"/>
      <c r="L23" s="11" t="n">
        <v>93850</v>
      </c>
      <c r="M23" s="13" t="s">
        <v>58</v>
      </c>
      <c r="N23" s="15" t="s">
        <v>41</v>
      </c>
      <c r="O23" s="15"/>
      <c r="P23" s="11" t="n">
        <v>113</v>
      </c>
      <c r="Q23" s="13" t="s">
        <v>34</v>
      </c>
      <c r="R23" s="13" t="s">
        <v>60</v>
      </c>
      <c r="S23" s="11" t="n">
        <v>4210227</v>
      </c>
      <c r="T23" s="13" t="s">
        <v>70</v>
      </c>
      <c r="U23" s="16" t="n">
        <v>283.66</v>
      </c>
      <c r="V23" s="16"/>
      <c r="W23" s="17" t="n">
        <v>0</v>
      </c>
      <c r="X23" s="15" t="s">
        <v>72</v>
      </c>
      <c r="Y23" s="15"/>
      <c r="Z23" s="1" t="str">
        <f aca="false">IF($T23="","",IFERROR(INDEX('Resumo Grupos'!$AC$3:$AC$2000,MATCH($T23,'Resumo Grupos'!$AB$3:$AB$2000,0)),"n/d"))</f>
        <v>Despesa</v>
      </c>
    </row>
    <row r="24" customFormat="false" ht="39" hidden="false" customHeight="true" outlineLevel="0" collapsed="false">
      <c r="A24" s="11" t="n">
        <v>2</v>
      </c>
      <c r="B24" s="12" t="n">
        <v>46097</v>
      </c>
      <c r="C24" s="12" t="n">
        <v>46218</v>
      </c>
      <c r="D24" s="11" t="n">
        <v>1867</v>
      </c>
      <c r="E24" s="13" t="s">
        <v>73</v>
      </c>
      <c r="F24" s="11" t="n">
        <v>24</v>
      </c>
      <c r="G24" s="13" t="s">
        <v>30</v>
      </c>
      <c r="H24" s="11" t="n">
        <v>2110405</v>
      </c>
      <c r="I24" s="13" t="s">
        <v>51</v>
      </c>
      <c r="J24" s="14" t="n">
        <v>808550</v>
      </c>
      <c r="K24" s="14"/>
      <c r="L24" s="11" t="n">
        <v>2026</v>
      </c>
      <c r="M24" s="13" t="s">
        <v>69</v>
      </c>
      <c r="N24" s="15" t="s">
        <v>41</v>
      </c>
      <c r="O24" s="15"/>
      <c r="P24" s="11" t="n">
        <v>101</v>
      </c>
      <c r="Q24" s="13" t="s">
        <v>52</v>
      </c>
      <c r="R24" s="13" t="s">
        <v>74</v>
      </c>
      <c r="S24" s="11" t="n">
        <v>4210401</v>
      </c>
      <c r="T24" s="13" t="s">
        <v>75</v>
      </c>
      <c r="U24" s="16" t="n">
        <v>228.88</v>
      </c>
      <c r="V24" s="16"/>
      <c r="W24" s="17" t="n">
        <v>0</v>
      </c>
      <c r="X24" s="15" t="s">
        <v>76</v>
      </c>
      <c r="Y24" s="15"/>
      <c r="Z24" s="1" t="str">
        <f aca="false">IF($T24="","",IFERROR(INDEX('Resumo Grupos'!$AC$3:$AC$2000,MATCH($T24,'Resumo Grupos'!$AB$3:$AB$2000,0)),"n/d"))</f>
        <v>Impostos</v>
      </c>
    </row>
    <row r="25" customFormat="false" ht="39" hidden="false" customHeight="true" outlineLevel="0" collapsed="false">
      <c r="A25" s="11" t="n">
        <v>2</v>
      </c>
      <c r="B25" s="12" t="n">
        <v>46097</v>
      </c>
      <c r="C25" s="12" t="n">
        <v>46249</v>
      </c>
      <c r="D25" s="11" t="n">
        <v>1867</v>
      </c>
      <c r="E25" s="13" t="s">
        <v>73</v>
      </c>
      <c r="F25" s="11" t="n">
        <v>24</v>
      </c>
      <c r="G25" s="13" t="s">
        <v>30</v>
      </c>
      <c r="H25" s="11" t="n">
        <v>2110405</v>
      </c>
      <c r="I25" s="13" t="s">
        <v>51</v>
      </c>
      <c r="J25" s="14" t="n">
        <v>808550</v>
      </c>
      <c r="K25" s="14"/>
      <c r="L25" s="11" t="n">
        <v>2026</v>
      </c>
      <c r="M25" s="13" t="s">
        <v>58</v>
      </c>
      <c r="N25" s="15" t="s">
        <v>41</v>
      </c>
      <c r="O25" s="15"/>
      <c r="P25" s="11" t="n">
        <v>101</v>
      </c>
      <c r="Q25" s="13" t="s">
        <v>52</v>
      </c>
      <c r="R25" s="13" t="s">
        <v>74</v>
      </c>
      <c r="S25" s="11" t="n">
        <v>4210401</v>
      </c>
      <c r="T25" s="13" t="s">
        <v>75</v>
      </c>
      <c r="U25" s="16" t="n">
        <v>228.88</v>
      </c>
      <c r="V25" s="16"/>
      <c r="W25" s="17" t="n">
        <v>0</v>
      </c>
      <c r="X25" s="15" t="s">
        <v>77</v>
      </c>
      <c r="Y25" s="15"/>
      <c r="Z25" s="1" t="str">
        <f aca="false">IF($T25="","",IFERROR(INDEX('Resumo Grupos'!$AC$3:$AC$2000,MATCH($T25,'Resumo Grupos'!$AB$3:$AB$2000,0)),"n/d"))</f>
        <v>Impostos</v>
      </c>
    </row>
    <row r="26" customFormat="false" ht="39" hidden="false" customHeight="true" outlineLevel="0" collapsed="false">
      <c r="A26" s="11" t="n">
        <v>2</v>
      </c>
      <c r="B26" s="12" t="n">
        <v>46097</v>
      </c>
      <c r="C26" s="12" t="n">
        <v>46280</v>
      </c>
      <c r="D26" s="11" t="n">
        <v>1867</v>
      </c>
      <c r="E26" s="13" t="s">
        <v>73</v>
      </c>
      <c r="F26" s="11" t="n">
        <v>24</v>
      </c>
      <c r="G26" s="13" t="s">
        <v>30</v>
      </c>
      <c r="H26" s="11" t="n">
        <v>2110405</v>
      </c>
      <c r="I26" s="13" t="s">
        <v>51</v>
      </c>
      <c r="J26" s="14" t="n">
        <v>808550</v>
      </c>
      <c r="K26" s="14"/>
      <c r="L26" s="11" t="n">
        <v>2026</v>
      </c>
      <c r="M26" s="13" t="s">
        <v>65</v>
      </c>
      <c r="N26" s="15" t="s">
        <v>41</v>
      </c>
      <c r="O26" s="15"/>
      <c r="P26" s="11" t="n">
        <v>101</v>
      </c>
      <c r="Q26" s="13" t="s">
        <v>52</v>
      </c>
      <c r="R26" s="13" t="s">
        <v>74</v>
      </c>
      <c r="S26" s="11" t="n">
        <v>4210401</v>
      </c>
      <c r="T26" s="13" t="s">
        <v>75</v>
      </c>
      <c r="U26" s="16" t="n">
        <v>228.88</v>
      </c>
      <c r="V26" s="16"/>
      <c r="W26" s="17" t="n">
        <v>0</v>
      </c>
      <c r="X26" s="15" t="s">
        <v>78</v>
      </c>
      <c r="Y26" s="15"/>
      <c r="Z26" s="1" t="str">
        <f aca="false">IF($T26="","",IFERROR(INDEX('Resumo Grupos'!$AC$3:$AC$2000,MATCH($T26,'Resumo Grupos'!$AB$3:$AB$2000,0)),"n/d"))</f>
        <v>Impostos</v>
      </c>
    </row>
    <row r="27" customFormat="false" ht="57" hidden="false" customHeight="true" outlineLevel="0" collapsed="false">
      <c r="A27" s="11" t="n">
        <v>2</v>
      </c>
      <c r="B27" s="12" t="n">
        <v>46105</v>
      </c>
      <c r="C27" s="12" t="n">
        <v>46204</v>
      </c>
      <c r="D27" s="11" t="n">
        <v>1960</v>
      </c>
      <c r="E27" s="13" t="s">
        <v>79</v>
      </c>
      <c r="F27" s="11" t="n">
        <v>47</v>
      </c>
      <c r="G27" s="13" t="s">
        <v>39</v>
      </c>
      <c r="H27" s="11" t="n">
        <v>2110405</v>
      </c>
      <c r="I27" s="13" t="s">
        <v>51</v>
      </c>
      <c r="J27" s="14" t="n">
        <v>846762</v>
      </c>
      <c r="K27" s="14"/>
      <c r="L27" s="11" t="n">
        <v>111500</v>
      </c>
      <c r="M27" s="13" t="s">
        <v>80</v>
      </c>
      <c r="N27" s="15" t="s">
        <v>41</v>
      </c>
      <c r="O27" s="15"/>
      <c r="P27" s="11" t="n">
        <v>113</v>
      </c>
      <c r="Q27" s="13" t="s">
        <v>34</v>
      </c>
      <c r="R27" s="13" t="s">
        <v>60</v>
      </c>
      <c r="S27" s="11" t="n">
        <v>4210227</v>
      </c>
      <c r="T27" s="13" t="s">
        <v>70</v>
      </c>
      <c r="U27" s="16" t="n">
        <v>1630</v>
      </c>
      <c r="V27" s="16"/>
      <c r="W27" s="17" t="n">
        <v>0</v>
      </c>
      <c r="X27" s="15" t="s">
        <v>81</v>
      </c>
      <c r="Y27" s="15"/>
      <c r="Z27" s="1" t="str">
        <f aca="false">IF($T27="","",IFERROR(INDEX('Resumo Grupos'!$AC$3:$AC$2000,MATCH($T27,'Resumo Grupos'!$AB$3:$AB$2000,0)),"n/d"))</f>
        <v>Despesa</v>
      </c>
    </row>
    <row r="28" customFormat="false" ht="39" hidden="false" customHeight="true" outlineLevel="0" collapsed="false">
      <c r="A28" s="11" t="n">
        <v>2</v>
      </c>
      <c r="B28" s="12" t="n">
        <v>46055</v>
      </c>
      <c r="C28" s="12" t="n">
        <v>46204</v>
      </c>
      <c r="D28" s="11" t="n">
        <v>10039</v>
      </c>
      <c r="E28" s="13" t="s">
        <v>82</v>
      </c>
      <c r="F28" s="11" t="n">
        <v>47</v>
      </c>
      <c r="G28" s="13" t="s">
        <v>39</v>
      </c>
      <c r="H28" s="11" t="n">
        <v>2110405</v>
      </c>
      <c r="I28" s="13" t="s">
        <v>51</v>
      </c>
      <c r="J28" s="14" t="n">
        <v>846832</v>
      </c>
      <c r="K28" s="14"/>
      <c r="L28" s="11" t="n">
        <v>111506</v>
      </c>
      <c r="M28" s="13" t="s">
        <v>69</v>
      </c>
      <c r="N28" s="15" t="s">
        <v>41</v>
      </c>
      <c r="O28" s="15"/>
      <c r="P28" s="11" t="n">
        <v>113</v>
      </c>
      <c r="Q28" s="13" t="s">
        <v>34</v>
      </c>
      <c r="R28" s="13" t="s">
        <v>60</v>
      </c>
      <c r="S28" s="11" t="n">
        <v>4210227</v>
      </c>
      <c r="T28" s="13" t="s">
        <v>70</v>
      </c>
      <c r="U28" s="16" t="n">
        <v>378.82</v>
      </c>
      <c r="V28" s="16"/>
      <c r="W28" s="17" t="n">
        <v>0</v>
      </c>
      <c r="X28" s="15" t="s">
        <v>83</v>
      </c>
      <c r="Y28" s="15"/>
      <c r="Z28" s="1" t="str">
        <f aca="false">IF($T28="","",IFERROR(INDEX('Resumo Grupos'!$AC$3:$AC$2000,MATCH($T28,'Resumo Grupos'!$AB$3:$AB$2000,0)),"n/d"))</f>
        <v>Despesa</v>
      </c>
    </row>
    <row r="29" customFormat="false" ht="39" hidden="false" customHeight="true" outlineLevel="0" collapsed="false">
      <c r="A29" s="11" t="n">
        <v>2</v>
      </c>
      <c r="B29" s="12" t="n">
        <v>46055</v>
      </c>
      <c r="C29" s="12" t="n">
        <v>46235</v>
      </c>
      <c r="D29" s="11" t="n">
        <v>10039</v>
      </c>
      <c r="E29" s="13" t="s">
        <v>82</v>
      </c>
      <c r="F29" s="11" t="n">
        <v>47</v>
      </c>
      <c r="G29" s="13" t="s">
        <v>39</v>
      </c>
      <c r="H29" s="11" t="n">
        <v>2110405</v>
      </c>
      <c r="I29" s="13" t="s">
        <v>51</v>
      </c>
      <c r="J29" s="14" t="n">
        <v>846832</v>
      </c>
      <c r="K29" s="14"/>
      <c r="L29" s="11" t="n">
        <v>111506</v>
      </c>
      <c r="M29" s="13" t="s">
        <v>58</v>
      </c>
      <c r="N29" s="15" t="s">
        <v>41</v>
      </c>
      <c r="O29" s="15"/>
      <c r="P29" s="11" t="n">
        <v>113</v>
      </c>
      <c r="Q29" s="13" t="s">
        <v>34</v>
      </c>
      <c r="R29" s="13" t="s">
        <v>60</v>
      </c>
      <c r="S29" s="11" t="n">
        <v>4210227</v>
      </c>
      <c r="T29" s="13" t="s">
        <v>70</v>
      </c>
      <c r="U29" s="16" t="n">
        <v>378.82</v>
      </c>
      <c r="V29" s="16"/>
      <c r="W29" s="17" t="n">
        <v>0</v>
      </c>
      <c r="X29" s="15" t="s">
        <v>84</v>
      </c>
      <c r="Y29" s="15"/>
      <c r="Z29" s="1" t="str">
        <f aca="false">IF($T29="","",IFERROR(INDEX('Resumo Grupos'!$AC$3:$AC$2000,MATCH($T29,'Resumo Grupos'!$AB$3:$AB$2000,0)),"n/d"))</f>
        <v>Despesa</v>
      </c>
    </row>
    <row r="30" customFormat="false" ht="39" hidden="false" customHeight="true" outlineLevel="0" collapsed="false">
      <c r="A30" s="11" t="n">
        <v>2</v>
      </c>
      <c r="B30" s="12" t="n">
        <v>46055</v>
      </c>
      <c r="C30" s="12" t="n">
        <v>46266</v>
      </c>
      <c r="D30" s="11" t="n">
        <v>10039</v>
      </c>
      <c r="E30" s="13" t="s">
        <v>82</v>
      </c>
      <c r="F30" s="11" t="n">
        <v>47</v>
      </c>
      <c r="G30" s="13" t="s">
        <v>39</v>
      </c>
      <c r="H30" s="11" t="n">
        <v>2110405</v>
      </c>
      <c r="I30" s="13" t="s">
        <v>51</v>
      </c>
      <c r="J30" s="14" t="n">
        <v>846832</v>
      </c>
      <c r="K30" s="14"/>
      <c r="L30" s="11" t="n">
        <v>111506</v>
      </c>
      <c r="M30" s="13" t="s">
        <v>65</v>
      </c>
      <c r="N30" s="15" t="s">
        <v>41</v>
      </c>
      <c r="O30" s="15"/>
      <c r="P30" s="11" t="n">
        <v>113</v>
      </c>
      <c r="Q30" s="13" t="s">
        <v>34</v>
      </c>
      <c r="R30" s="13" t="s">
        <v>60</v>
      </c>
      <c r="S30" s="11" t="n">
        <v>4210227</v>
      </c>
      <c r="T30" s="13" t="s">
        <v>70</v>
      </c>
      <c r="U30" s="16" t="n">
        <v>378.82</v>
      </c>
      <c r="V30" s="16"/>
      <c r="W30" s="17" t="n">
        <v>0</v>
      </c>
      <c r="X30" s="15" t="s">
        <v>85</v>
      </c>
      <c r="Y30" s="15"/>
      <c r="Z30" s="1" t="str">
        <f aca="false">IF($T30="","",IFERROR(INDEX('Resumo Grupos'!$AC$3:$AC$2000,MATCH($T30,'Resumo Grupos'!$AB$3:$AB$2000,0)),"n/d"))</f>
        <v>Despesa</v>
      </c>
    </row>
    <row r="31" customFormat="false" ht="28.5" hidden="false" customHeight="true" outlineLevel="0" collapsed="false">
      <c r="A31" s="11" t="n">
        <v>2</v>
      </c>
      <c r="B31" s="12" t="n">
        <v>46127</v>
      </c>
      <c r="C31" s="12" t="n">
        <v>46218</v>
      </c>
      <c r="D31" s="11" t="n">
        <v>512</v>
      </c>
      <c r="E31" s="13" t="s">
        <v>86</v>
      </c>
      <c r="F31" s="11" t="n">
        <v>34</v>
      </c>
      <c r="G31" s="13" t="s">
        <v>87</v>
      </c>
      <c r="H31" s="11" t="n">
        <v>2110405</v>
      </c>
      <c r="I31" s="13" t="s">
        <v>51</v>
      </c>
      <c r="J31" s="14" t="n">
        <v>954215</v>
      </c>
      <c r="K31" s="14"/>
      <c r="L31" s="11" t="n">
        <v>126220</v>
      </c>
      <c r="M31" s="13" t="s">
        <v>80</v>
      </c>
      <c r="N31" s="15" t="s">
        <v>41</v>
      </c>
      <c r="O31" s="15"/>
      <c r="P31" s="11" t="n">
        <v>101</v>
      </c>
      <c r="Q31" s="13" t="s">
        <v>52</v>
      </c>
      <c r="R31" s="13" t="s">
        <v>88</v>
      </c>
      <c r="S31" s="11" t="n">
        <v>4210111</v>
      </c>
      <c r="T31" s="13" t="s">
        <v>89</v>
      </c>
      <c r="U31" s="16" t="n">
        <v>5700</v>
      </c>
      <c r="V31" s="16"/>
      <c r="W31" s="17" t="n">
        <v>0</v>
      </c>
      <c r="X31" s="15" t="s">
        <v>90</v>
      </c>
      <c r="Y31" s="15"/>
      <c r="Z31" s="1" t="str">
        <f aca="false">IF($T31="","",IFERROR(INDEX('Resumo Grupos'!$AC$3:$AC$2000,MATCH($T31,'Resumo Grupos'!$AB$3:$AB$2000,0)),"n/d"))</f>
        <v>Despesa</v>
      </c>
    </row>
    <row r="32" customFormat="false" ht="28.5" hidden="false" customHeight="true" outlineLevel="0" collapsed="false">
      <c r="A32" s="11" t="n">
        <v>2</v>
      </c>
      <c r="B32" s="12" t="n">
        <v>46127</v>
      </c>
      <c r="C32" s="12" t="n">
        <v>46249</v>
      </c>
      <c r="D32" s="11" t="n">
        <v>512</v>
      </c>
      <c r="E32" s="13" t="s">
        <v>86</v>
      </c>
      <c r="F32" s="11" t="n">
        <v>34</v>
      </c>
      <c r="G32" s="13" t="s">
        <v>87</v>
      </c>
      <c r="H32" s="11" t="n">
        <v>2110405</v>
      </c>
      <c r="I32" s="13" t="s">
        <v>51</v>
      </c>
      <c r="J32" s="14" t="n">
        <v>954215</v>
      </c>
      <c r="K32" s="14"/>
      <c r="L32" s="11" t="n">
        <v>126220</v>
      </c>
      <c r="M32" s="13" t="s">
        <v>69</v>
      </c>
      <c r="N32" s="15" t="s">
        <v>41</v>
      </c>
      <c r="O32" s="15"/>
      <c r="P32" s="11" t="n">
        <v>101</v>
      </c>
      <c r="Q32" s="13" t="s">
        <v>52</v>
      </c>
      <c r="R32" s="13" t="s">
        <v>88</v>
      </c>
      <c r="S32" s="11" t="n">
        <v>4210111</v>
      </c>
      <c r="T32" s="13" t="s">
        <v>89</v>
      </c>
      <c r="U32" s="16" t="n">
        <v>5700</v>
      </c>
      <c r="V32" s="16"/>
      <c r="W32" s="17" t="n">
        <v>0</v>
      </c>
      <c r="X32" s="15" t="s">
        <v>90</v>
      </c>
      <c r="Y32" s="15"/>
      <c r="Z32" s="1" t="str">
        <f aca="false">IF($T32="","",IFERROR(INDEX('Resumo Grupos'!$AC$3:$AC$2000,MATCH($T32,'Resumo Grupos'!$AB$3:$AB$2000,0)),"n/d"))</f>
        <v>Despesa</v>
      </c>
    </row>
    <row r="33" customFormat="false" ht="28.5" hidden="false" customHeight="true" outlineLevel="0" collapsed="false">
      <c r="A33" s="11" t="n">
        <v>2</v>
      </c>
      <c r="B33" s="12" t="n">
        <v>46127</v>
      </c>
      <c r="C33" s="12" t="n">
        <v>46280</v>
      </c>
      <c r="D33" s="11" t="n">
        <v>512</v>
      </c>
      <c r="E33" s="13" t="s">
        <v>86</v>
      </c>
      <c r="F33" s="11" t="n">
        <v>34</v>
      </c>
      <c r="G33" s="13" t="s">
        <v>87</v>
      </c>
      <c r="H33" s="11" t="n">
        <v>2110405</v>
      </c>
      <c r="I33" s="13" t="s">
        <v>51</v>
      </c>
      <c r="J33" s="14" t="n">
        <v>954215</v>
      </c>
      <c r="K33" s="14"/>
      <c r="L33" s="11" t="n">
        <v>126220</v>
      </c>
      <c r="M33" s="13" t="s">
        <v>58</v>
      </c>
      <c r="N33" s="15" t="s">
        <v>41</v>
      </c>
      <c r="O33" s="15"/>
      <c r="P33" s="11" t="n">
        <v>101</v>
      </c>
      <c r="Q33" s="13" t="s">
        <v>52</v>
      </c>
      <c r="R33" s="13" t="s">
        <v>88</v>
      </c>
      <c r="S33" s="11" t="n">
        <v>4210111</v>
      </c>
      <c r="T33" s="13" t="s">
        <v>89</v>
      </c>
      <c r="U33" s="16" t="n">
        <v>5700</v>
      </c>
      <c r="V33" s="16"/>
      <c r="W33" s="17" t="n">
        <v>0</v>
      </c>
      <c r="X33" s="15" t="s">
        <v>90</v>
      </c>
      <c r="Y33" s="15"/>
      <c r="Z33" s="1" t="str">
        <f aca="false">IF($T33="","",IFERROR(INDEX('Resumo Grupos'!$AC$3:$AC$2000,MATCH($T33,'Resumo Grupos'!$AB$3:$AB$2000,0)),"n/d"))</f>
        <v>Despesa</v>
      </c>
    </row>
    <row r="34" customFormat="false" ht="39" hidden="false" customHeight="true" outlineLevel="0" collapsed="false">
      <c r="A34" s="11" t="n">
        <v>2</v>
      </c>
      <c r="B34" s="12" t="n">
        <v>46023</v>
      </c>
      <c r="C34" s="12" t="n">
        <v>46230</v>
      </c>
      <c r="D34" s="11" t="n">
        <v>515</v>
      </c>
      <c r="E34" s="13" t="s">
        <v>91</v>
      </c>
      <c r="F34" s="11" t="n">
        <v>34</v>
      </c>
      <c r="G34" s="13" t="s">
        <v>87</v>
      </c>
      <c r="H34" s="11" t="n">
        <v>2110405</v>
      </c>
      <c r="I34" s="13" t="s">
        <v>51</v>
      </c>
      <c r="J34" s="14" t="n">
        <v>1012266</v>
      </c>
      <c r="K34" s="14"/>
      <c r="L34" s="11" t="n">
        <v>133812</v>
      </c>
      <c r="M34" s="13" t="s">
        <v>65</v>
      </c>
      <c r="N34" s="15" t="s">
        <v>41</v>
      </c>
      <c r="O34" s="15"/>
      <c r="P34" s="11" t="n">
        <v>101</v>
      </c>
      <c r="Q34" s="13" t="s">
        <v>52</v>
      </c>
      <c r="R34" s="13" t="s">
        <v>92</v>
      </c>
      <c r="S34" s="11" t="n">
        <v>2110901</v>
      </c>
      <c r="T34" s="13" t="s">
        <v>93</v>
      </c>
      <c r="U34" s="16" t="n">
        <v>4168.41</v>
      </c>
      <c r="V34" s="16"/>
      <c r="W34" s="17" t="n">
        <v>0</v>
      </c>
      <c r="X34" s="15" t="s">
        <v>94</v>
      </c>
      <c r="Y34" s="15"/>
      <c r="Z34" s="1" t="str">
        <f aca="false">IF($T34="","",IFERROR(INDEX('Resumo Grupos'!$AC$3:$AC$2000,MATCH($T34,'Resumo Grupos'!$AB$3:$AB$2000,0)),"n/d"))</f>
        <v>Empréstimo</v>
      </c>
    </row>
    <row r="35" customFormat="false" ht="39" hidden="false" customHeight="true" outlineLevel="0" collapsed="false">
      <c r="A35" s="11" t="n">
        <v>2</v>
      </c>
      <c r="B35" s="12" t="n">
        <v>46023</v>
      </c>
      <c r="C35" s="12" t="n">
        <v>46260</v>
      </c>
      <c r="D35" s="11" t="n">
        <v>515</v>
      </c>
      <c r="E35" s="13" t="s">
        <v>91</v>
      </c>
      <c r="F35" s="11" t="n">
        <v>34</v>
      </c>
      <c r="G35" s="13" t="s">
        <v>87</v>
      </c>
      <c r="H35" s="11" t="n">
        <v>2110405</v>
      </c>
      <c r="I35" s="13" t="s">
        <v>51</v>
      </c>
      <c r="J35" s="14" t="n">
        <v>1012266</v>
      </c>
      <c r="K35" s="14"/>
      <c r="L35" s="11" t="n">
        <v>133812</v>
      </c>
      <c r="M35" s="13" t="s">
        <v>40</v>
      </c>
      <c r="N35" s="15" t="s">
        <v>41</v>
      </c>
      <c r="O35" s="15"/>
      <c r="P35" s="11" t="n">
        <v>101</v>
      </c>
      <c r="Q35" s="13" t="s">
        <v>52</v>
      </c>
      <c r="R35" s="13" t="s">
        <v>92</v>
      </c>
      <c r="S35" s="11" t="n">
        <v>2110901</v>
      </c>
      <c r="T35" s="13" t="s">
        <v>93</v>
      </c>
      <c r="U35" s="16" t="n">
        <v>4168.41</v>
      </c>
      <c r="V35" s="16"/>
      <c r="W35" s="17" t="n">
        <v>0</v>
      </c>
      <c r="X35" s="15" t="s">
        <v>95</v>
      </c>
      <c r="Y35" s="15"/>
      <c r="Z35" s="1" t="str">
        <f aca="false">IF($T35="","",IFERROR(INDEX('Resumo Grupos'!$AC$3:$AC$2000,MATCH($T35,'Resumo Grupos'!$AB$3:$AB$2000,0)),"n/d"))</f>
        <v>Empréstimo</v>
      </c>
    </row>
    <row r="36" customFormat="false" ht="39" hidden="false" customHeight="true" outlineLevel="0" collapsed="false">
      <c r="A36" s="11" t="n">
        <v>2</v>
      </c>
      <c r="B36" s="12" t="n">
        <v>46023</v>
      </c>
      <c r="C36" s="12" t="n">
        <v>46293</v>
      </c>
      <c r="D36" s="11" t="n">
        <v>515</v>
      </c>
      <c r="E36" s="13" t="s">
        <v>91</v>
      </c>
      <c r="F36" s="11" t="n">
        <v>34</v>
      </c>
      <c r="G36" s="13" t="s">
        <v>87</v>
      </c>
      <c r="H36" s="11" t="n">
        <v>2110405</v>
      </c>
      <c r="I36" s="13" t="s">
        <v>51</v>
      </c>
      <c r="J36" s="14" t="n">
        <v>1012266</v>
      </c>
      <c r="K36" s="14"/>
      <c r="L36" s="11" t="n">
        <v>133812</v>
      </c>
      <c r="M36" s="13" t="s">
        <v>45</v>
      </c>
      <c r="N36" s="15" t="s">
        <v>41</v>
      </c>
      <c r="O36" s="15"/>
      <c r="P36" s="11" t="n">
        <v>101</v>
      </c>
      <c r="Q36" s="13" t="s">
        <v>52</v>
      </c>
      <c r="R36" s="13" t="s">
        <v>92</v>
      </c>
      <c r="S36" s="11" t="n">
        <v>2110901</v>
      </c>
      <c r="T36" s="13" t="s">
        <v>93</v>
      </c>
      <c r="U36" s="16" t="n">
        <v>4168.41</v>
      </c>
      <c r="V36" s="16"/>
      <c r="W36" s="17" t="n">
        <v>0</v>
      </c>
      <c r="X36" s="15" t="s">
        <v>96</v>
      </c>
      <c r="Y36" s="15"/>
      <c r="Z36" s="1" t="str">
        <f aca="false">IF($T36="","",IFERROR(INDEX('Resumo Grupos'!$AC$3:$AC$2000,MATCH($T36,'Resumo Grupos'!$AB$3:$AB$2000,0)),"n/d"))</f>
        <v>Empréstimo</v>
      </c>
    </row>
    <row r="37" customFormat="false" ht="39" hidden="false" customHeight="true" outlineLevel="0" collapsed="false">
      <c r="A37" s="11" t="n">
        <v>2</v>
      </c>
      <c r="B37" s="12" t="n">
        <v>46150</v>
      </c>
      <c r="C37" s="12" t="n">
        <v>46213</v>
      </c>
      <c r="D37" s="11" t="n">
        <v>1100</v>
      </c>
      <c r="E37" s="13" t="s">
        <v>97</v>
      </c>
      <c r="F37" s="11" t="n">
        <v>46</v>
      </c>
      <c r="G37" s="13" t="s">
        <v>68</v>
      </c>
      <c r="H37" s="11" t="n">
        <v>2110405</v>
      </c>
      <c r="I37" s="13" t="s">
        <v>51</v>
      </c>
      <c r="J37" s="14" t="n">
        <v>1067484</v>
      </c>
      <c r="K37" s="14"/>
      <c r="L37" s="11" t="n">
        <v>139909</v>
      </c>
      <c r="M37" s="13" t="s">
        <v>32</v>
      </c>
      <c r="N37" s="15" t="s">
        <v>41</v>
      </c>
      <c r="O37" s="15"/>
      <c r="P37" s="11" t="n">
        <v>113</v>
      </c>
      <c r="Q37" s="13" t="s">
        <v>34</v>
      </c>
      <c r="R37" s="13" t="s">
        <v>60</v>
      </c>
      <c r="S37" s="11" t="n">
        <v>4210227</v>
      </c>
      <c r="T37" s="13" t="s">
        <v>70</v>
      </c>
      <c r="U37" s="16" t="n">
        <v>340</v>
      </c>
      <c r="V37" s="16"/>
      <c r="W37" s="17" t="n">
        <v>340</v>
      </c>
      <c r="X37" s="15" t="s">
        <v>98</v>
      </c>
      <c r="Y37" s="15"/>
      <c r="Z37" s="1" t="str">
        <f aca="false">IF($T37="","",IFERROR(INDEX('Resumo Grupos'!$AC$3:$AC$2000,MATCH($T37,'Resumo Grupos'!$AB$3:$AB$2000,0)),"n/d"))</f>
        <v>Despesa</v>
      </c>
    </row>
    <row r="38" customFormat="false" ht="39" hidden="false" customHeight="true" outlineLevel="0" collapsed="false">
      <c r="A38" s="11" t="n">
        <v>2</v>
      </c>
      <c r="B38" s="12" t="n">
        <v>46153</v>
      </c>
      <c r="C38" s="12" t="n">
        <v>46213</v>
      </c>
      <c r="D38" s="11" t="n">
        <v>1176</v>
      </c>
      <c r="E38" s="13" t="s">
        <v>99</v>
      </c>
      <c r="F38" s="11" t="n">
        <v>24</v>
      </c>
      <c r="G38" s="13" t="s">
        <v>30</v>
      </c>
      <c r="H38" s="11" t="n">
        <v>1110203</v>
      </c>
      <c r="I38" s="13" t="s">
        <v>100</v>
      </c>
      <c r="J38" s="14" t="n">
        <v>1083394</v>
      </c>
      <c r="K38" s="14"/>
      <c r="L38" s="11" t="n">
        <v>143444</v>
      </c>
      <c r="M38" s="13" t="s">
        <v>101</v>
      </c>
      <c r="N38" s="15" t="s">
        <v>41</v>
      </c>
      <c r="O38" s="15"/>
      <c r="P38" s="11" t="n">
        <v>101</v>
      </c>
      <c r="Q38" s="13" t="s">
        <v>52</v>
      </c>
      <c r="R38" s="13" t="s">
        <v>92</v>
      </c>
      <c r="S38" s="11" t="n">
        <v>2110901</v>
      </c>
      <c r="T38" s="13" t="s">
        <v>93</v>
      </c>
      <c r="U38" s="16" t="n">
        <v>2336.36</v>
      </c>
      <c r="V38" s="16"/>
      <c r="W38" s="17" t="n">
        <v>0</v>
      </c>
      <c r="X38" s="15" t="s">
        <v>102</v>
      </c>
      <c r="Y38" s="15"/>
      <c r="Z38" s="1" t="str">
        <f aca="false">IF($T38="","",IFERROR(INDEX('Resumo Grupos'!$AC$3:$AC$2000,MATCH($T38,'Resumo Grupos'!$AB$3:$AB$2000,0)),"n/d"))</f>
        <v>Empréstimo</v>
      </c>
    </row>
    <row r="39" customFormat="false" ht="39" hidden="false" customHeight="true" outlineLevel="0" collapsed="false">
      <c r="A39" s="11" t="n">
        <v>2</v>
      </c>
      <c r="B39" s="12" t="n">
        <v>46153</v>
      </c>
      <c r="C39" s="12" t="n">
        <v>46244</v>
      </c>
      <c r="D39" s="11" t="n">
        <v>1176</v>
      </c>
      <c r="E39" s="13" t="s">
        <v>99</v>
      </c>
      <c r="F39" s="11" t="n">
        <v>24</v>
      </c>
      <c r="G39" s="13" t="s">
        <v>30</v>
      </c>
      <c r="H39" s="11" t="n">
        <v>1110203</v>
      </c>
      <c r="I39" s="13" t="s">
        <v>100</v>
      </c>
      <c r="J39" s="14" t="n">
        <v>1083394</v>
      </c>
      <c r="K39" s="14"/>
      <c r="L39" s="11" t="n">
        <v>143444</v>
      </c>
      <c r="M39" s="13" t="s">
        <v>80</v>
      </c>
      <c r="N39" s="15" t="s">
        <v>41</v>
      </c>
      <c r="O39" s="15"/>
      <c r="P39" s="11" t="n">
        <v>101</v>
      </c>
      <c r="Q39" s="13" t="s">
        <v>52</v>
      </c>
      <c r="R39" s="13" t="s">
        <v>92</v>
      </c>
      <c r="S39" s="11" t="n">
        <v>2110901</v>
      </c>
      <c r="T39" s="13" t="s">
        <v>93</v>
      </c>
      <c r="U39" s="16" t="n">
        <v>2336.36</v>
      </c>
      <c r="V39" s="16"/>
      <c r="W39" s="17" t="n">
        <v>0</v>
      </c>
      <c r="X39" s="15" t="s">
        <v>103</v>
      </c>
      <c r="Y39" s="15"/>
      <c r="Z39" s="1" t="str">
        <f aca="false">IF($T39="","",IFERROR(INDEX('Resumo Grupos'!$AC$3:$AC$2000,MATCH($T39,'Resumo Grupos'!$AB$3:$AB$2000,0)),"n/d"))</f>
        <v>Empréstimo</v>
      </c>
    </row>
    <row r="40" customFormat="false" ht="39" hidden="false" customHeight="true" outlineLevel="0" collapsed="false">
      <c r="A40" s="11" t="n">
        <v>2</v>
      </c>
      <c r="B40" s="12" t="n">
        <v>46165</v>
      </c>
      <c r="C40" s="12" t="n">
        <v>46226</v>
      </c>
      <c r="D40" s="11" t="n">
        <v>639</v>
      </c>
      <c r="E40" s="13" t="s">
        <v>104</v>
      </c>
      <c r="F40" s="11" t="n">
        <v>24</v>
      </c>
      <c r="G40" s="13" t="s">
        <v>30</v>
      </c>
      <c r="H40" s="11" t="n">
        <v>2110405</v>
      </c>
      <c r="I40" s="13" t="s">
        <v>51</v>
      </c>
      <c r="J40" s="14" t="n">
        <v>1141287</v>
      </c>
      <c r="K40" s="14"/>
      <c r="L40" s="11" t="n">
        <v>151507</v>
      </c>
      <c r="M40" s="13" t="s">
        <v>105</v>
      </c>
      <c r="N40" s="15" t="s">
        <v>41</v>
      </c>
      <c r="O40" s="15"/>
      <c r="P40" s="11" t="n">
        <v>101</v>
      </c>
      <c r="Q40" s="13" t="s">
        <v>52</v>
      </c>
      <c r="R40" s="13" t="s">
        <v>60</v>
      </c>
      <c r="S40" s="11" t="n">
        <v>4210216</v>
      </c>
      <c r="T40" s="13" t="s">
        <v>106</v>
      </c>
      <c r="U40" s="16" t="n">
        <v>396.64</v>
      </c>
      <c r="V40" s="16"/>
      <c r="W40" s="17" t="n">
        <v>0</v>
      </c>
      <c r="X40" s="15" t="s">
        <v>107</v>
      </c>
      <c r="Y40" s="15"/>
      <c r="Z40" s="1" t="str">
        <f aca="false">IF($T40="","",IFERROR(INDEX('Resumo Grupos'!$AC$3:$AC$2000,MATCH($T40,'Resumo Grupos'!$AB$3:$AB$2000,0)),"n/d"))</f>
        <v>Despesa</v>
      </c>
    </row>
    <row r="41" customFormat="false" ht="39" hidden="false" customHeight="true" outlineLevel="0" collapsed="false">
      <c r="A41" s="11" t="n">
        <v>2</v>
      </c>
      <c r="B41" s="12" t="n">
        <v>46165</v>
      </c>
      <c r="C41" s="12" t="n">
        <v>46256</v>
      </c>
      <c r="D41" s="11" t="n">
        <v>639</v>
      </c>
      <c r="E41" s="13" t="s">
        <v>104</v>
      </c>
      <c r="F41" s="11" t="n">
        <v>24</v>
      </c>
      <c r="G41" s="13" t="s">
        <v>30</v>
      </c>
      <c r="H41" s="11" t="n">
        <v>2110405</v>
      </c>
      <c r="I41" s="13" t="s">
        <v>51</v>
      </c>
      <c r="J41" s="14" t="n">
        <v>1141287</v>
      </c>
      <c r="K41" s="14"/>
      <c r="L41" s="11" t="n">
        <v>151507</v>
      </c>
      <c r="M41" s="13" t="s">
        <v>32</v>
      </c>
      <c r="N41" s="15" t="s">
        <v>41</v>
      </c>
      <c r="O41" s="15"/>
      <c r="P41" s="11" t="n">
        <v>101</v>
      </c>
      <c r="Q41" s="13" t="s">
        <v>52</v>
      </c>
      <c r="R41" s="13" t="s">
        <v>60</v>
      </c>
      <c r="S41" s="11" t="n">
        <v>4210216</v>
      </c>
      <c r="T41" s="13" t="s">
        <v>106</v>
      </c>
      <c r="U41" s="16" t="n">
        <v>396.67</v>
      </c>
      <c r="V41" s="16"/>
      <c r="W41" s="17" t="n">
        <v>0</v>
      </c>
      <c r="X41" s="15" t="s">
        <v>107</v>
      </c>
      <c r="Y41" s="15"/>
      <c r="Z41" s="1" t="str">
        <f aca="false">IF($T41="","",IFERROR(INDEX('Resumo Grupos'!$AC$3:$AC$2000,MATCH($T41,'Resumo Grupos'!$AB$3:$AB$2000,0)),"n/d"))</f>
        <v>Despesa</v>
      </c>
    </row>
    <row r="42" customFormat="false" ht="57" hidden="false" customHeight="true" outlineLevel="0" collapsed="false">
      <c r="A42" s="11" t="n">
        <v>2</v>
      </c>
      <c r="B42" s="12" t="n">
        <v>46167</v>
      </c>
      <c r="C42" s="12" t="n">
        <v>46207</v>
      </c>
      <c r="D42" s="11" t="n">
        <v>10011</v>
      </c>
      <c r="E42" s="13" t="s">
        <v>108</v>
      </c>
      <c r="F42" s="11" t="n">
        <v>24</v>
      </c>
      <c r="G42" s="13" t="s">
        <v>30</v>
      </c>
      <c r="H42" s="11" t="n">
        <v>2110101</v>
      </c>
      <c r="I42" s="13" t="s">
        <v>31</v>
      </c>
      <c r="J42" s="14" t="n">
        <v>1151538</v>
      </c>
      <c r="K42" s="14"/>
      <c r="L42" s="11" t="n">
        <v>33745</v>
      </c>
      <c r="M42" s="13" t="s">
        <v>101</v>
      </c>
      <c r="N42" s="15" t="s">
        <v>33</v>
      </c>
      <c r="O42" s="15"/>
      <c r="P42" s="11" t="n">
        <v>113</v>
      </c>
      <c r="Q42" s="13" t="s">
        <v>34</v>
      </c>
      <c r="R42" s="13" t="s">
        <v>35</v>
      </c>
      <c r="S42" s="11" t="n">
        <v>1130101</v>
      </c>
      <c r="T42" s="13" t="s">
        <v>36</v>
      </c>
      <c r="U42" s="16" t="n">
        <v>938.27</v>
      </c>
      <c r="V42" s="16"/>
      <c r="W42" s="17" t="n">
        <v>0</v>
      </c>
      <c r="X42" s="15" t="s">
        <v>109</v>
      </c>
      <c r="Y42" s="15"/>
      <c r="Z42" s="1" t="str">
        <f aca="false">IF($T42="","",IFERROR(INDEX('Resumo Grupos'!$AC$3:$AC$2000,MATCH($T42,'Resumo Grupos'!$AB$3:$AB$2000,0)),"n/d"))</f>
        <v>Mercadoria</v>
      </c>
    </row>
    <row r="43" customFormat="false" ht="57" hidden="false" customHeight="true" outlineLevel="0" collapsed="false">
      <c r="A43" s="11" t="n">
        <v>2</v>
      </c>
      <c r="B43" s="12" t="n">
        <v>46182</v>
      </c>
      <c r="C43" s="12" t="n">
        <v>46210</v>
      </c>
      <c r="D43" s="11" t="n">
        <v>1921</v>
      </c>
      <c r="E43" s="13" t="s">
        <v>110</v>
      </c>
      <c r="F43" s="11" t="n">
        <v>24</v>
      </c>
      <c r="G43" s="13" t="s">
        <v>30</v>
      </c>
      <c r="H43" s="11" t="n">
        <v>2110101</v>
      </c>
      <c r="I43" s="13" t="s">
        <v>31</v>
      </c>
      <c r="J43" s="14" t="n">
        <v>1227446</v>
      </c>
      <c r="K43" s="14"/>
      <c r="L43" s="11" t="n">
        <v>20868</v>
      </c>
      <c r="M43" s="13" t="s">
        <v>101</v>
      </c>
      <c r="N43" s="15" t="s">
        <v>33</v>
      </c>
      <c r="O43" s="15"/>
      <c r="P43" s="11" t="n">
        <v>113</v>
      </c>
      <c r="Q43" s="13" t="s">
        <v>34</v>
      </c>
      <c r="R43" s="13" t="s">
        <v>35</v>
      </c>
      <c r="S43" s="11" t="n">
        <v>1130101</v>
      </c>
      <c r="T43" s="13" t="s">
        <v>36</v>
      </c>
      <c r="U43" s="16" t="n">
        <v>303.19</v>
      </c>
      <c r="V43" s="16"/>
      <c r="W43" s="17" t="n">
        <v>0</v>
      </c>
      <c r="X43" s="15" t="s">
        <v>111</v>
      </c>
      <c r="Y43" s="15"/>
      <c r="Z43" s="1" t="str">
        <f aca="false">IF($T43="","",IFERROR(INDEX('Resumo Grupos'!$AC$3:$AC$2000,MATCH($T43,'Resumo Grupos'!$AB$3:$AB$2000,0)),"n/d"))</f>
        <v>Mercadoria</v>
      </c>
    </row>
    <row r="44" customFormat="false" ht="39" hidden="false" customHeight="true" outlineLevel="0" collapsed="false">
      <c r="A44" s="11" t="n">
        <v>2</v>
      </c>
      <c r="B44" s="12" t="n">
        <v>46230</v>
      </c>
      <c r="C44" s="12" t="n">
        <v>46230</v>
      </c>
      <c r="D44" s="11" t="n">
        <v>48</v>
      </c>
      <c r="E44" s="13" t="s">
        <v>112</v>
      </c>
      <c r="F44" s="11" t="n">
        <v>13</v>
      </c>
      <c r="G44" s="13" t="s">
        <v>113</v>
      </c>
      <c r="H44" s="11" t="n">
        <v>2110101</v>
      </c>
      <c r="I44" s="13" t="s">
        <v>31</v>
      </c>
      <c r="J44" s="14" t="n">
        <v>1459242</v>
      </c>
      <c r="K44" s="14"/>
      <c r="L44" s="11" t="n">
        <v>2563</v>
      </c>
      <c r="M44" s="13" t="s">
        <v>105</v>
      </c>
      <c r="N44" s="15" t="s">
        <v>33</v>
      </c>
      <c r="O44" s="15"/>
      <c r="P44" s="11" t="n">
        <v>113</v>
      </c>
      <c r="Q44" s="13" t="s">
        <v>34</v>
      </c>
      <c r="R44" s="13" t="s">
        <v>35</v>
      </c>
      <c r="S44" s="11" t="n">
        <v>1130101</v>
      </c>
      <c r="T44" s="13" t="s">
        <v>36</v>
      </c>
      <c r="U44" s="16" t="n">
        <v>210</v>
      </c>
      <c r="V44" s="16"/>
      <c r="W44" s="17" t="n">
        <v>0</v>
      </c>
      <c r="X44" s="15" t="s">
        <v>114</v>
      </c>
      <c r="Y44" s="15"/>
      <c r="Z44" s="1" t="str">
        <f aca="false">IF($T44="","",IFERROR(INDEX('Resumo Grupos'!$AC$3:$AC$2000,MATCH($T44,'Resumo Grupos'!$AB$3:$AB$2000,0)),"n/d"))</f>
        <v>Mercadoria</v>
      </c>
    </row>
    <row r="45" customFormat="false" ht="57" hidden="false" customHeight="true" outlineLevel="0" collapsed="false">
      <c r="A45" s="11" t="n">
        <v>2</v>
      </c>
      <c r="B45" s="12" t="n">
        <v>46153</v>
      </c>
      <c r="C45" s="12" t="n">
        <v>46213</v>
      </c>
      <c r="D45" s="11" t="n">
        <v>10006</v>
      </c>
      <c r="E45" s="13" t="s">
        <v>115</v>
      </c>
      <c r="F45" s="11" t="n">
        <v>46</v>
      </c>
      <c r="G45" s="13" t="s">
        <v>68</v>
      </c>
      <c r="H45" s="11" t="n">
        <v>2110405</v>
      </c>
      <c r="I45" s="13" t="s">
        <v>51</v>
      </c>
      <c r="J45" s="14" t="n">
        <v>1230712</v>
      </c>
      <c r="K45" s="14"/>
      <c r="L45" s="11" t="n">
        <v>163750</v>
      </c>
      <c r="M45" s="13" t="s">
        <v>32</v>
      </c>
      <c r="N45" s="15" t="s">
        <v>41</v>
      </c>
      <c r="O45" s="15"/>
      <c r="P45" s="11" t="n">
        <v>101</v>
      </c>
      <c r="Q45" s="13" t="s">
        <v>52</v>
      </c>
      <c r="R45" s="13" t="s">
        <v>60</v>
      </c>
      <c r="S45" s="11" t="n">
        <v>4210232</v>
      </c>
      <c r="T45" s="13" t="s">
        <v>116</v>
      </c>
      <c r="U45" s="16" t="n">
        <v>415.26</v>
      </c>
      <c r="V45" s="16"/>
      <c r="W45" s="17" t="n">
        <v>0</v>
      </c>
      <c r="X45" s="15" t="s">
        <v>117</v>
      </c>
      <c r="Y45" s="15"/>
      <c r="Z45" s="1" t="str">
        <f aca="false">IF($T45="","",IFERROR(INDEX('Resumo Grupos'!$AC$3:$AC$2000,MATCH($T45,'Resumo Grupos'!$AB$3:$AB$2000,0)),"n/d"))</f>
        <v>Despesa</v>
      </c>
    </row>
    <row r="46" customFormat="false" ht="57" hidden="false" customHeight="true" outlineLevel="0" collapsed="false">
      <c r="A46" s="11" t="n">
        <v>2</v>
      </c>
      <c r="B46" s="12" t="n">
        <v>46153</v>
      </c>
      <c r="C46" s="12" t="n">
        <v>46243</v>
      </c>
      <c r="D46" s="11" t="n">
        <v>10006</v>
      </c>
      <c r="E46" s="13" t="s">
        <v>115</v>
      </c>
      <c r="F46" s="11" t="n">
        <v>46</v>
      </c>
      <c r="G46" s="13" t="s">
        <v>68</v>
      </c>
      <c r="H46" s="11" t="n">
        <v>2110405</v>
      </c>
      <c r="I46" s="13" t="s">
        <v>51</v>
      </c>
      <c r="J46" s="14" t="n">
        <v>1230712</v>
      </c>
      <c r="K46" s="14"/>
      <c r="L46" s="11" t="n">
        <v>163750</v>
      </c>
      <c r="M46" s="13" t="s">
        <v>101</v>
      </c>
      <c r="N46" s="15" t="s">
        <v>41</v>
      </c>
      <c r="O46" s="15"/>
      <c r="P46" s="11" t="n">
        <v>101</v>
      </c>
      <c r="Q46" s="13" t="s">
        <v>52</v>
      </c>
      <c r="R46" s="13" t="s">
        <v>60</v>
      </c>
      <c r="S46" s="11" t="n">
        <v>4210232</v>
      </c>
      <c r="T46" s="13" t="s">
        <v>116</v>
      </c>
      <c r="U46" s="16" t="n">
        <v>415.26</v>
      </c>
      <c r="V46" s="16"/>
      <c r="W46" s="17" t="n">
        <v>0</v>
      </c>
      <c r="X46" s="15" t="s">
        <v>117</v>
      </c>
      <c r="Y46" s="15"/>
      <c r="Z46" s="1" t="str">
        <f aca="false">IF($T46="","",IFERROR(INDEX('Resumo Grupos'!$AC$3:$AC$2000,MATCH($T46,'Resumo Grupos'!$AB$3:$AB$2000,0)),"n/d"))</f>
        <v>Despesa</v>
      </c>
    </row>
    <row r="47" customFormat="false" ht="57" hidden="false" customHeight="true" outlineLevel="0" collapsed="false">
      <c r="A47" s="11" t="n">
        <v>2</v>
      </c>
      <c r="B47" s="12" t="n">
        <v>46183</v>
      </c>
      <c r="C47" s="12" t="n">
        <v>46213</v>
      </c>
      <c r="D47" s="11" t="n">
        <v>1100</v>
      </c>
      <c r="E47" s="13" t="s">
        <v>97</v>
      </c>
      <c r="F47" s="11" t="n">
        <v>46</v>
      </c>
      <c r="G47" s="13" t="s">
        <v>68</v>
      </c>
      <c r="H47" s="11" t="n">
        <v>2110101</v>
      </c>
      <c r="I47" s="13" t="s">
        <v>31</v>
      </c>
      <c r="J47" s="14" t="n">
        <v>1230732</v>
      </c>
      <c r="K47" s="14"/>
      <c r="L47" s="11" t="n">
        <v>1399</v>
      </c>
      <c r="M47" s="13" t="s">
        <v>32</v>
      </c>
      <c r="N47" s="15" t="s">
        <v>118</v>
      </c>
      <c r="O47" s="15"/>
      <c r="P47" s="11" t="n">
        <v>101</v>
      </c>
      <c r="Q47" s="13" t="s">
        <v>52</v>
      </c>
      <c r="R47" s="13" t="s">
        <v>119</v>
      </c>
      <c r="S47" s="11" t="n">
        <v>2110101</v>
      </c>
      <c r="T47" s="13" t="s">
        <v>31</v>
      </c>
      <c r="U47" s="16" t="n">
        <v>226.67</v>
      </c>
      <c r="V47" s="16"/>
      <c r="W47" s="17" t="n">
        <v>0</v>
      </c>
      <c r="X47" s="15" t="s">
        <v>120</v>
      </c>
      <c r="Y47" s="15"/>
      <c r="Z47" s="1" t="str">
        <f aca="false">IF($T47="","",IFERROR(INDEX('Resumo Grupos'!$AC$3:$AC$2000,MATCH($T47,'Resumo Grupos'!$AB$3:$AB$2000,0)),"n/d"))</f>
        <v>Despesa</v>
      </c>
    </row>
    <row r="48" customFormat="false" ht="57" hidden="false" customHeight="true" outlineLevel="0" collapsed="false">
      <c r="A48" s="11" t="n">
        <v>2</v>
      </c>
      <c r="B48" s="12" t="n">
        <v>46183</v>
      </c>
      <c r="C48" s="12" t="n">
        <v>46244</v>
      </c>
      <c r="D48" s="11" t="n">
        <v>1100</v>
      </c>
      <c r="E48" s="13" t="s">
        <v>97</v>
      </c>
      <c r="F48" s="11" t="n">
        <v>46</v>
      </c>
      <c r="G48" s="13" t="s">
        <v>68</v>
      </c>
      <c r="H48" s="11" t="n">
        <v>2110101</v>
      </c>
      <c r="I48" s="13" t="s">
        <v>31</v>
      </c>
      <c r="J48" s="14" t="n">
        <v>1230732</v>
      </c>
      <c r="K48" s="14"/>
      <c r="L48" s="11" t="n">
        <v>1399</v>
      </c>
      <c r="M48" s="13" t="s">
        <v>101</v>
      </c>
      <c r="N48" s="15" t="s">
        <v>118</v>
      </c>
      <c r="O48" s="15"/>
      <c r="P48" s="11" t="n">
        <v>101</v>
      </c>
      <c r="Q48" s="13" t="s">
        <v>52</v>
      </c>
      <c r="R48" s="13" t="s">
        <v>119</v>
      </c>
      <c r="S48" s="11" t="n">
        <v>2110101</v>
      </c>
      <c r="T48" s="13" t="s">
        <v>31</v>
      </c>
      <c r="U48" s="16" t="n">
        <v>226.66</v>
      </c>
      <c r="V48" s="16"/>
      <c r="W48" s="17" t="n">
        <v>0</v>
      </c>
      <c r="X48" s="15" t="s">
        <v>121</v>
      </c>
      <c r="Y48" s="15"/>
      <c r="Z48" s="1" t="str">
        <f aca="false">IF($T48="","",IFERROR(INDEX('Resumo Grupos'!$AC$3:$AC$2000,MATCH($T48,'Resumo Grupos'!$AB$3:$AB$2000,0)),"n/d"))</f>
        <v>Despesa</v>
      </c>
    </row>
    <row r="49" customFormat="false" ht="48" hidden="false" customHeight="true" outlineLevel="0" collapsed="false">
      <c r="A49" s="11" t="n">
        <v>2</v>
      </c>
      <c r="B49" s="12" t="n">
        <v>46183</v>
      </c>
      <c r="C49" s="12" t="n">
        <v>46210</v>
      </c>
      <c r="D49" s="11" t="n">
        <v>1635</v>
      </c>
      <c r="E49" s="13" t="s">
        <v>122</v>
      </c>
      <c r="F49" s="11" t="n">
        <v>24</v>
      </c>
      <c r="G49" s="13" t="s">
        <v>30</v>
      </c>
      <c r="H49" s="11" t="n">
        <v>2110101</v>
      </c>
      <c r="I49" s="13" t="s">
        <v>31</v>
      </c>
      <c r="J49" s="14" t="n">
        <v>1231128</v>
      </c>
      <c r="K49" s="14"/>
      <c r="L49" s="11" t="n">
        <v>518105</v>
      </c>
      <c r="M49" s="13" t="s">
        <v>101</v>
      </c>
      <c r="N49" s="15" t="s">
        <v>33</v>
      </c>
      <c r="O49" s="15"/>
      <c r="P49" s="11" t="n">
        <v>113</v>
      </c>
      <c r="Q49" s="13" t="s">
        <v>34</v>
      </c>
      <c r="R49" s="13" t="s">
        <v>35</v>
      </c>
      <c r="S49" s="11" t="n">
        <v>1130101</v>
      </c>
      <c r="T49" s="13" t="s">
        <v>36</v>
      </c>
      <c r="U49" s="16" t="n">
        <v>642.4</v>
      </c>
      <c r="V49" s="16"/>
      <c r="W49" s="17" t="n">
        <v>0</v>
      </c>
      <c r="X49" s="15" t="s">
        <v>123</v>
      </c>
      <c r="Y49" s="15"/>
      <c r="Z49" s="1" t="str">
        <f aca="false">IF($T49="","",IFERROR(INDEX('Resumo Grupos'!$AC$3:$AC$2000,MATCH($T49,'Resumo Grupos'!$AB$3:$AB$2000,0)),"n/d"))</f>
        <v>Mercadoria</v>
      </c>
    </row>
    <row r="50" customFormat="false" ht="48" hidden="false" customHeight="true" outlineLevel="0" collapsed="false">
      <c r="A50" s="11" t="n">
        <v>2</v>
      </c>
      <c r="B50" s="12" t="n">
        <v>46183</v>
      </c>
      <c r="C50" s="12" t="n">
        <v>46204</v>
      </c>
      <c r="D50" s="11" t="n">
        <v>10019</v>
      </c>
      <c r="E50" s="13" t="s">
        <v>124</v>
      </c>
      <c r="F50" s="11" t="n">
        <v>24</v>
      </c>
      <c r="G50" s="13" t="s">
        <v>30</v>
      </c>
      <c r="H50" s="11" t="n">
        <v>2110101</v>
      </c>
      <c r="I50" s="13" t="s">
        <v>31</v>
      </c>
      <c r="J50" s="14" t="n">
        <v>1231766</v>
      </c>
      <c r="K50" s="14"/>
      <c r="L50" s="11" t="n">
        <v>34450</v>
      </c>
      <c r="M50" s="13" t="s">
        <v>32</v>
      </c>
      <c r="N50" s="15" t="s">
        <v>33</v>
      </c>
      <c r="O50" s="15"/>
      <c r="P50" s="11" t="n">
        <v>113</v>
      </c>
      <c r="Q50" s="13" t="s">
        <v>34</v>
      </c>
      <c r="R50" s="13" t="s">
        <v>35</v>
      </c>
      <c r="S50" s="11" t="n">
        <v>1130101</v>
      </c>
      <c r="T50" s="13" t="s">
        <v>36</v>
      </c>
      <c r="U50" s="16" t="n">
        <v>922.07</v>
      </c>
      <c r="V50" s="16"/>
      <c r="W50" s="17" t="n">
        <v>0</v>
      </c>
      <c r="X50" s="15" t="s">
        <v>125</v>
      </c>
      <c r="Y50" s="15"/>
      <c r="Z50" s="1" t="str">
        <f aca="false">IF($T50="","",IFERROR(INDEX('Resumo Grupos'!$AC$3:$AC$2000,MATCH($T50,'Resumo Grupos'!$AB$3:$AB$2000,0)),"n/d"))</f>
        <v>Mercadoria</v>
      </c>
    </row>
    <row r="51" customFormat="false" ht="48" hidden="false" customHeight="true" outlineLevel="0" collapsed="false">
      <c r="A51" s="11" t="n">
        <v>2</v>
      </c>
      <c r="B51" s="12" t="n">
        <v>46183</v>
      </c>
      <c r="C51" s="12" t="n">
        <v>46204</v>
      </c>
      <c r="D51" s="11" t="n">
        <v>10019</v>
      </c>
      <c r="E51" s="13" t="s">
        <v>124</v>
      </c>
      <c r="F51" s="11" t="n">
        <v>24</v>
      </c>
      <c r="G51" s="13" t="s">
        <v>30</v>
      </c>
      <c r="H51" s="11" t="n">
        <v>2110101</v>
      </c>
      <c r="I51" s="13" t="s">
        <v>31</v>
      </c>
      <c r="J51" s="14" t="n">
        <v>1231774</v>
      </c>
      <c r="K51" s="14"/>
      <c r="L51" s="11" t="n">
        <v>30199</v>
      </c>
      <c r="M51" s="13" t="s">
        <v>32</v>
      </c>
      <c r="N51" s="15" t="s">
        <v>33</v>
      </c>
      <c r="O51" s="15"/>
      <c r="P51" s="11" t="n">
        <v>113</v>
      </c>
      <c r="Q51" s="13" t="s">
        <v>34</v>
      </c>
      <c r="R51" s="13" t="s">
        <v>35</v>
      </c>
      <c r="S51" s="11" t="n">
        <v>1130101</v>
      </c>
      <c r="T51" s="13" t="s">
        <v>36</v>
      </c>
      <c r="U51" s="16" t="n">
        <v>550.99</v>
      </c>
      <c r="V51" s="16"/>
      <c r="W51" s="17" t="n">
        <v>0</v>
      </c>
      <c r="X51" s="15" t="s">
        <v>126</v>
      </c>
      <c r="Y51" s="15"/>
      <c r="Z51" s="1" t="str">
        <f aca="false">IF($T51="","",IFERROR(INDEX('Resumo Grupos'!$AC$3:$AC$2000,MATCH($T51,'Resumo Grupos'!$AB$3:$AB$2000,0)),"n/d"))</f>
        <v>Mercadoria</v>
      </c>
    </row>
    <row r="52" customFormat="false" ht="39" hidden="false" customHeight="true" outlineLevel="0" collapsed="false">
      <c r="A52" s="11" t="n">
        <v>2</v>
      </c>
      <c r="B52" s="12" t="n">
        <v>46184</v>
      </c>
      <c r="C52" s="12" t="n">
        <v>46212</v>
      </c>
      <c r="D52" s="11" t="n">
        <v>1608</v>
      </c>
      <c r="E52" s="13" t="s">
        <v>127</v>
      </c>
      <c r="F52" s="11" t="n">
        <v>24</v>
      </c>
      <c r="G52" s="13" t="s">
        <v>30</v>
      </c>
      <c r="H52" s="11" t="n">
        <v>2110101</v>
      </c>
      <c r="I52" s="13" t="s">
        <v>31</v>
      </c>
      <c r="J52" s="14" t="n">
        <v>1234920</v>
      </c>
      <c r="K52" s="14"/>
      <c r="L52" s="11" t="n">
        <v>1671078</v>
      </c>
      <c r="M52" s="13" t="s">
        <v>105</v>
      </c>
      <c r="N52" s="15" t="s">
        <v>33</v>
      </c>
      <c r="O52" s="15"/>
      <c r="P52" s="11" t="n">
        <v>113</v>
      </c>
      <c r="Q52" s="13" t="s">
        <v>34</v>
      </c>
      <c r="R52" s="13" t="s">
        <v>35</v>
      </c>
      <c r="S52" s="11" t="n">
        <v>1130101</v>
      </c>
      <c r="T52" s="13" t="s">
        <v>36</v>
      </c>
      <c r="U52" s="16" t="n">
        <v>478.8</v>
      </c>
      <c r="V52" s="16"/>
      <c r="W52" s="17" t="n">
        <v>0</v>
      </c>
      <c r="X52" s="15" t="s">
        <v>128</v>
      </c>
      <c r="Y52" s="15"/>
      <c r="Z52" s="1" t="str">
        <f aca="false">IF($T52="","",IFERROR(INDEX('Resumo Grupos'!$AC$3:$AC$2000,MATCH($T52,'Resumo Grupos'!$AB$3:$AB$2000,0)),"n/d"))</f>
        <v>Mercadoria</v>
      </c>
    </row>
    <row r="53" customFormat="false" ht="48" hidden="false" customHeight="true" outlineLevel="0" collapsed="false">
      <c r="A53" s="11" t="n">
        <v>2</v>
      </c>
      <c r="B53" s="12" t="n">
        <v>46184</v>
      </c>
      <c r="C53" s="12" t="n">
        <v>46205</v>
      </c>
      <c r="D53" s="11" t="n">
        <v>1601</v>
      </c>
      <c r="E53" s="13" t="s">
        <v>129</v>
      </c>
      <c r="F53" s="11" t="n">
        <v>24</v>
      </c>
      <c r="G53" s="13" t="s">
        <v>30</v>
      </c>
      <c r="H53" s="11" t="n">
        <v>2110101</v>
      </c>
      <c r="I53" s="13" t="s">
        <v>31</v>
      </c>
      <c r="J53" s="14" t="n">
        <v>1236598</v>
      </c>
      <c r="K53" s="14"/>
      <c r="L53" s="11" t="n">
        <v>843147</v>
      </c>
      <c r="M53" s="13" t="s">
        <v>32</v>
      </c>
      <c r="N53" s="15" t="s">
        <v>33</v>
      </c>
      <c r="O53" s="15"/>
      <c r="P53" s="11" t="n">
        <v>113</v>
      </c>
      <c r="Q53" s="13" t="s">
        <v>34</v>
      </c>
      <c r="R53" s="13" t="s">
        <v>35</v>
      </c>
      <c r="S53" s="11" t="n">
        <v>1130101</v>
      </c>
      <c r="T53" s="13" t="s">
        <v>36</v>
      </c>
      <c r="U53" s="16" t="n">
        <v>844.74</v>
      </c>
      <c r="V53" s="16"/>
      <c r="W53" s="17" t="n">
        <v>0</v>
      </c>
      <c r="X53" s="15" t="s">
        <v>130</v>
      </c>
      <c r="Y53" s="15"/>
      <c r="Z53" s="1" t="str">
        <f aca="false">IF($T53="","",IFERROR(INDEX('Resumo Grupos'!$AC$3:$AC$2000,MATCH($T53,'Resumo Grupos'!$AB$3:$AB$2000,0)),"n/d"))</f>
        <v>Mercadoria</v>
      </c>
    </row>
    <row r="54" customFormat="false" ht="66.75" hidden="false" customHeight="true" outlineLevel="0" collapsed="false">
      <c r="A54" s="11" t="n">
        <v>2</v>
      </c>
      <c r="B54" s="12" t="n">
        <v>46184</v>
      </c>
      <c r="C54" s="12" t="n">
        <v>46205</v>
      </c>
      <c r="D54" s="11" t="n">
        <v>1636</v>
      </c>
      <c r="E54" s="13" t="s">
        <v>131</v>
      </c>
      <c r="F54" s="11" t="n">
        <v>24</v>
      </c>
      <c r="G54" s="13" t="s">
        <v>30</v>
      </c>
      <c r="H54" s="11" t="n">
        <v>2110101</v>
      </c>
      <c r="I54" s="13" t="s">
        <v>31</v>
      </c>
      <c r="J54" s="14" t="n">
        <v>1236926</v>
      </c>
      <c r="K54" s="14"/>
      <c r="L54" s="11" t="n">
        <v>164815</v>
      </c>
      <c r="M54" s="13" t="s">
        <v>105</v>
      </c>
      <c r="N54" s="15" t="s">
        <v>41</v>
      </c>
      <c r="O54" s="15"/>
      <c r="P54" s="11" t="n">
        <v>113</v>
      </c>
      <c r="Q54" s="13" t="s">
        <v>34</v>
      </c>
      <c r="R54" s="13" t="s">
        <v>35</v>
      </c>
      <c r="S54" s="11" t="n">
        <v>1130101</v>
      </c>
      <c r="T54" s="13" t="s">
        <v>36</v>
      </c>
      <c r="U54" s="16" t="n">
        <v>1105.95</v>
      </c>
      <c r="V54" s="16"/>
      <c r="W54" s="17" t="n">
        <v>0</v>
      </c>
      <c r="X54" s="15" t="s">
        <v>132</v>
      </c>
      <c r="Y54" s="15"/>
      <c r="Z54" s="1" t="str">
        <f aca="false">IF($T54="","",IFERROR(INDEX('Resumo Grupos'!$AC$3:$AC$2000,MATCH($T54,'Resumo Grupos'!$AB$3:$AB$2000,0)),"n/d"))</f>
        <v>Mercadoria</v>
      </c>
    </row>
    <row r="55" customFormat="false" ht="66.75" hidden="false" customHeight="true" outlineLevel="0" collapsed="false">
      <c r="A55" s="11" t="n">
        <v>2</v>
      </c>
      <c r="B55" s="12" t="n">
        <v>46184</v>
      </c>
      <c r="C55" s="12" t="n">
        <v>46212</v>
      </c>
      <c r="D55" s="11" t="n">
        <v>1636</v>
      </c>
      <c r="E55" s="13" t="s">
        <v>131</v>
      </c>
      <c r="F55" s="11" t="n">
        <v>24</v>
      </c>
      <c r="G55" s="13" t="s">
        <v>30</v>
      </c>
      <c r="H55" s="11" t="n">
        <v>2110101</v>
      </c>
      <c r="I55" s="13" t="s">
        <v>31</v>
      </c>
      <c r="J55" s="14" t="n">
        <v>1236940</v>
      </c>
      <c r="K55" s="14"/>
      <c r="L55" s="11" t="n">
        <v>164816</v>
      </c>
      <c r="M55" s="13" t="s">
        <v>105</v>
      </c>
      <c r="N55" s="15" t="s">
        <v>41</v>
      </c>
      <c r="O55" s="15"/>
      <c r="P55" s="11" t="n">
        <v>113</v>
      </c>
      <c r="Q55" s="13" t="s">
        <v>34</v>
      </c>
      <c r="R55" s="13" t="s">
        <v>35</v>
      </c>
      <c r="S55" s="11" t="n">
        <v>1130101</v>
      </c>
      <c r="T55" s="13" t="s">
        <v>36</v>
      </c>
      <c r="U55" s="16" t="n">
        <v>1105.95</v>
      </c>
      <c r="V55" s="16"/>
      <c r="W55" s="17" t="n">
        <v>0</v>
      </c>
      <c r="X55" s="15" t="s">
        <v>132</v>
      </c>
      <c r="Y55" s="15"/>
      <c r="Z55" s="1" t="str">
        <f aca="false">IF($T55="","",IFERROR(INDEX('Resumo Grupos'!$AC$3:$AC$2000,MATCH($T55,'Resumo Grupos'!$AB$3:$AB$2000,0)),"n/d"))</f>
        <v>Mercadoria</v>
      </c>
    </row>
    <row r="56" customFormat="false" ht="39" hidden="false" customHeight="true" outlineLevel="0" collapsed="false">
      <c r="A56" s="11" t="n">
        <v>2</v>
      </c>
      <c r="B56" s="12" t="n">
        <v>46185</v>
      </c>
      <c r="C56" s="12" t="n">
        <v>46204</v>
      </c>
      <c r="D56" s="11" t="n">
        <v>1613</v>
      </c>
      <c r="E56" s="13" t="s">
        <v>133</v>
      </c>
      <c r="F56" s="11" t="n">
        <v>24</v>
      </c>
      <c r="G56" s="13" t="s">
        <v>30</v>
      </c>
      <c r="H56" s="11" t="n">
        <v>2110101</v>
      </c>
      <c r="I56" s="13" t="s">
        <v>31</v>
      </c>
      <c r="J56" s="14" t="n">
        <v>1239822</v>
      </c>
      <c r="K56" s="14"/>
      <c r="L56" s="11" t="n">
        <v>1595886</v>
      </c>
      <c r="M56" s="13" t="s">
        <v>32</v>
      </c>
      <c r="N56" s="15" t="s">
        <v>33</v>
      </c>
      <c r="O56" s="15"/>
      <c r="P56" s="11" t="n">
        <v>113</v>
      </c>
      <c r="Q56" s="13" t="s">
        <v>34</v>
      </c>
      <c r="R56" s="13" t="s">
        <v>35</v>
      </c>
      <c r="S56" s="11" t="n">
        <v>1130101</v>
      </c>
      <c r="T56" s="13" t="s">
        <v>36</v>
      </c>
      <c r="U56" s="16" t="n">
        <v>1104.14</v>
      </c>
      <c r="V56" s="16"/>
      <c r="W56" s="17" t="n">
        <v>0</v>
      </c>
      <c r="X56" s="15" t="s">
        <v>134</v>
      </c>
      <c r="Y56" s="15"/>
      <c r="Z56" s="1" t="str">
        <f aca="false">IF($T56="","",IFERROR(INDEX('Resumo Grupos'!$AC$3:$AC$2000,MATCH($T56,'Resumo Grupos'!$AB$3:$AB$2000,0)),"n/d"))</f>
        <v>Mercadoria</v>
      </c>
    </row>
    <row r="57" customFormat="false" ht="48" hidden="false" customHeight="true" outlineLevel="0" collapsed="false">
      <c r="A57" s="11" t="n">
        <v>2</v>
      </c>
      <c r="B57" s="12" t="n">
        <v>46185</v>
      </c>
      <c r="C57" s="12" t="n">
        <v>46206</v>
      </c>
      <c r="D57" s="11" t="n">
        <v>1667</v>
      </c>
      <c r="E57" s="13" t="s">
        <v>135</v>
      </c>
      <c r="F57" s="11" t="n">
        <v>24</v>
      </c>
      <c r="G57" s="13" t="s">
        <v>30</v>
      </c>
      <c r="H57" s="11" t="n">
        <v>2110101</v>
      </c>
      <c r="I57" s="13" t="s">
        <v>31</v>
      </c>
      <c r="J57" s="14" t="n">
        <v>1240610</v>
      </c>
      <c r="K57" s="14"/>
      <c r="L57" s="11" t="n">
        <v>165331</v>
      </c>
      <c r="M57" s="13" t="s">
        <v>105</v>
      </c>
      <c r="N57" s="15" t="s">
        <v>41</v>
      </c>
      <c r="O57" s="15"/>
      <c r="P57" s="11" t="n">
        <v>113</v>
      </c>
      <c r="Q57" s="13" t="s">
        <v>34</v>
      </c>
      <c r="R57" s="13" t="s">
        <v>35</v>
      </c>
      <c r="S57" s="11" t="n">
        <v>1130101</v>
      </c>
      <c r="T57" s="13" t="s">
        <v>36</v>
      </c>
      <c r="U57" s="16" t="n">
        <v>866.36</v>
      </c>
      <c r="V57" s="16"/>
      <c r="W57" s="17" t="n">
        <v>0</v>
      </c>
      <c r="X57" s="15" t="s">
        <v>136</v>
      </c>
      <c r="Y57" s="15"/>
      <c r="Z57" s="1" t="str">
        <f aca="false">IF($T57="","",IFERROR(INDEX('Resumo Grupos'!$AC$3:$AC$2000,MATCH($T57,'Resumo Grupos'!$AB$3:$AB$2000,0)),"n/d"))</f>
        <v>Mercadoria</v>
      </c>
    </row>
    <row r="58" customFormat="false" ht="48" hidden="false" customHeight="true" outlineLevel="0" collapsed="false">
      <c r="A58" s="11" t="n">
        <v>2</v>
      </c>
      <c r="B58" s="12" t="n">
        <v>46185</v>
      </c>
      <c r="C58" s="12" t="n">
        <v>46205</v>
      </c>
      <c r="D58" s="11" t="n">
        <v>1616</v>
      </c>
      <c r="E58" s="13" t="s">
        <v>29</v>
      </c>
      <c r="F58" s="11" t="n">
        <v>24</v>
      </c>
      <c r="G58" s="13" t="s">
        <v>30</v>
      </c>
      <c r="H58" s="11" t="n">
        <v>2110101</v>
      </c>
      <c r="I58" s="13" t="s">
        <v>31</v>
      </c>
      <c r="J58" s="14" t="n">
        <v>1241897</v>
      </c>
      <c r="K58" s="14"/>
      <c r="L58" s="11" t="n">
        <v>645628</v>
      </c>
      <c r="M58" s="13" t="s">
        <v>32</v>
      </c>
      <c r="N58" s="15" t="s">
        <v>33</v>
      </c>
      <c r="O58" s="15"/>
      <c r="P58" s="11" t="n">
        <v>113</v>
      </c>
      <c r="Q58" s="13" t="s">
        <v>34</v>
      </c>
      <c r="R58" s="13" t="s">
        <v>35</v>
      </c>
      <c r="S58" s="11" t="n">
        <v>1130101</v>
      </c>
      <c r="T58" s="13" t="s">
        <v>36</v>
      </c>
      <c r="U58" s="16" t="n">
        <v>383.47</v>
      </c>
      <c r="V58" s="16"/>
      <c r="W58" s="17" t="n">
        <v>0</v>
      </c>
      <c r="X58" s="15" t="s">
        <v>137</v>
      </c>
      <c r="Y58" s="15"/>
      <c r="Z58" s="1" t="str">
        <f aca="false">IF($T58="","",IFERROR(INDEX('Resumo Grupos'!$AC$3:$AC$2000,MATCH($T58,'Resumo Grupos'!$AB$3:$AB$2000,0)),"n/d"))</f>
        <v>Mercadoria</v>
      </c>
    </row>
    <row r="59" customFormat="false" ht="48" hidden="false" customHeight="true" outlineLevel="0" collapsed="false">
      <c r="A59" s="11" t="n">
        <v>2</v>
      </c>
      <c r="B59" s="12" t="n">
        <v>46185</v>
      </c>
      <c r="C59" s="12" t="n">
        <v>46212</v>
      </c>
      <c r="D59" s="11" t="n">
        <v>1616</v>
      </c>
      <c r="E59" s="13" t="s">
        <v>29</v>
      </c>
      <c r="F59" s="11" t="n">
        <v>24</v>
      </c>
      <c r="G59" s="13" t="s">
        <v>30</v>
      </c>
      <c r="H59" s="11" t="n">
        <v>2110101</v>
      </c>
      <c r="I59" s="13" t="s">
        <v>31</v>
      </c>
      <c r="J59" s="14" t="n">
        <v>1241897</v>
      </c>
      <c r="K59" s="14"/>
      <c r="L59" s="11" t="n">
        <v>645628</v>
      </c>
      <c r="M59" s="13" t="s">
        <v>101</v>
      </c>
      <c r="N59" s="15" t="s">
        <v>33</v>
      </c>
      <c r="O59" s="15"/>
      <c r="P59" s="11" t="n">
        <v>113</v>
      </c>
      <c r="Q59" s="13" t="s">
        <v>34</v>
      </c>
      <c r="R59" s="13" t="s">
        <v>35</v>
      </c>
      <c r="S59" s="11" t="n">
        <v>1130101</v>
      </c>
      <c r="T59" s="13" t="s">
        <v>36</v>
      </c>
      <c r="U59" s="16" t="n">
        <v>383.47</v>
      </c>
      <c r="V59" s="16"/>
      <c r="W59" s="17" t="n">
        <v>0</v>
      </c>
      <c r="X59" s="15" t="s">
        <v>137</v>
      </c>
      <c r="Y59" s="15"/>
      <c r="Z59" s="1" t="str">
        <f aca="false">IF($T59="","",IFERROR(INDEX('Resumo Grupos'!$AC$3:$AC$2000,MATCH($T59,'Resumo Grupos'!$AB$3:$AB$2000,0)),"n/d"))</f>
        <v>Mercadoria</v>
      </c>
    </row>
    <row r="60" customFormat="false" ht="39" hidden="false" customHeight="true" outlineLevel="0" collapsed="false">
      <c r="A60" s="11" t="n">
        <v>2</v>
      </c>
      <c r="B60" s="12" t="n">
        <v>46186</v>
      </c>
      <c r="C60" s="12" t="n">
        <v>46205</v>
      </c>
      <c r="D60" s="11" t="n">
        <v>10009</v>
      </c>
      <c r="E60" s="13" t="s">
        <v>138</v>
      </c>
      <c r="F60" s="11" t="n">
        <v>24</v>
      </c>
      <c r="G60" s="13" t="s">
        <v>30</v>
      </c>
      <c r="H60" s="11" t="n">
        <v>2110101</v>
      </c>
      <c r="I60" s="13" t="s">
        <v>31</v>
      </c>
      <c r="J60" s="14" t="n">
        <v>1244221</v>
      </c>
      <c r="K60" s="14"/>
      <c r="L60" s="11" t="n">
        <v>1415530</v>
      </c>
      <c r="M60" s="13" t="s">
        <v>101</v>
      </c>
      <c r="N60" s="15" t="s">
        <v>33</v>
      </c>
      <c r="O60" s="15"/>
      <c r="P60" s="11" t="n">
        <v>113</v>
      </c>
      <c r="Q60" s="13" t="s">
        <v>34</v>
      </c>
      <c r="R60" s="13" t="s">
        <v>35</v>
      </c>
      <c r="S60" s="11" t="n">
        <v>1130101</v>
      </c>
      <c r="T60" s="13" t="s">
        <v>36</v>
      </c>
      <c r="U60" s="16" t="n">
        <v>731.24</v>
      </c>
      <c r="V60" s="16"/>
      <c r="W60" s="17" t="n">
        <v>0</v>
      </c>
      <c r="X60" s="15" t="s">
        <v>139</v>
      </c>
      <c r="Y60" s="15"/>
      <c r="Z60" s="1" t="str">
        <f aca="false">IF($T60="","",IFERROR(INDEX('Resumo Grupos'!$AC$3:$AC$2000,MATCH($T60,'Resumo Grupos'!$AB$3:$AB$2000,0)),"n/d"))</f>
        <v>Mercadoria</v>
      </c>
    </row>
    <row r="61" customFormat="false" ht="66.75" hidden="false" customHeight="true" outlineLevel="0" collapsed="false">
      <c r="A61" s="11" t="n">
        <v>2</v>
      </c>
      <c r="B61" s="12" t="n">
        <v>46186</v>
      </c>
      <c r="C61" s="12" t="n">
        <v>46206</v>
      </c>
      <c r="D61" s="11" t="n">
        <v>1636</v>
      </c>
      <c r="E61" s="13" t="s">
        <v>131</v>
      </c>
      <c r="F61" s="11" t="n">
        <v>24</v>
      </c>
      <c r="G61" s="13" t="s">
        <v>30</v>
      </c>
      <c r="H61" s="11" t="n">
        <v>2110101</v>
      </c>
      <c r="I61" s="13" t="s">
        <v>31</v>
      </c>
      <c r="J61" s="14" t="n">
        <v>1244627</v>
      </c>
      <c r="K61" s="14"/>
      <c r="L61" s="11" t="n">
        <v>3201857</v>
      </c>
      <c r="M61" s="13" t="s">
        <v>105</v>
      </c>
      <c r="N61" s="15" t="s">
        <v>33</v>
      </c>
      <c r="O61" s="15"/>
      <c r="P61" s="11" t="n">
        <v>113</v>
      </c>
      <c r="Q61" s="13" t="s">
        <v>34</v>
      </c>
      <c r="R61" s="13" t="s">
        <v>35</v>
      </c>
      <c r="S61" s="11" t="n">
        <v>1130101</v>
      </c>
      <c r="T61" s="13" t="s">
        <v>36</v>
      </c>
      <c r="U61" s="16" t="n">
        <v>892.08</v>
      </c>
      <c r="V61" s="16"/>
      <c r="W61" s="17" t="n">
        <v>0</v>
      </c>
      <c r="X61" s="15" t="s">
        <v>140</v>
      </c>
      <c r="Y61" s="15"/>
      <c r="Z61" s="1" t="str">
        <f aca="false">IF($T61="","",IFERROR(INDEX('Resumo Grupos'!$AC$3:$AC$2000,MATCH($T61,'Resumo Grupos'!$AB$3:$AB$2000,0)),"n/d"))</f>
        <v>Mercadoria</v>
      </c>
    </row>
    <row r="62" customFormat="false" ht="48" hidden="false" customHeight="true" outlineLevel="0" collapsed="false">
      <c r="A62" s="11" t="n">
        <v>2</v>
      </c>
      <c r="B62" s="12" t="n">
        <v>46188</v>
      </c>
      <c r="C62" s="12" t="n">
        <v>46209</v>
      </c>
      <c r="D62" s="11" t="n">
        <v>1659</v>
      </c>
      <c r="E62" s="13" t="s">
        <v>141</v>
      </c>
      <c r="F62" s="11" t="n">
        <v>24</v>
      </c>
      <c r="G62" s="13" t="s">
        <v>30</v>
      </c>
      <c r="H62" s="11" t="n">
        <v>2110101</v>
      </c>
      <c r="I62" s="13" t="s">
        <v>31</v>
      </c>
      <c r="J62" s="14" t="n">
        <v>1255113</v>
      </c>
      <c r="K62" s="14"/>
      <c r="L62" s="11" t="n">
        <v>878392</v>
      </c>
      <c r="M62" s="13" t="s">
        <v>32</v>
      </c>
      <c r="N62" s="15" t="s">
        <v>33</v>
      </c>
      <c r="O62" s="15"/>
      <c r="P62" s="11" t="n">
        <v>113</v>
      </c>
      <c r="Q62" s="13" t="s">
        <v>34</v>
      </c>
      <c r="R62" s="13" t="s">
        <v>35</v>
      </c>
      <c r="S62" s="11" t="n">
        <v>1130101</v>
      </c>
      <c r="T62" s="13" t="s">
        <v>36</v>
      </c>
      <c r="U62" s="16" t="n">
        <v>791.31</v>
      </c>
      <c r="V62" s="16"/>
      <c r="W62" s="17" t="n">
        <v>0</v>
      </c>
      <c r="X62" s="15" t="s">
        <v>142</v>
      </c>
      <c r="Y62" s="15"/>
      <c r="Z62" s="1" t="str">
        <f aca="false">IF($T62="","",IFERROR(INDEX('Resumo Grupos'!$AC$3:$AC$2000,MATCH($T62,'Resumo Grupos'!$AB$3:$AB$2000,0)),"n/d"))</f>
        <v>Mercadoria</v>
      </c>
    </row>
    <row r="63" customFormat="false" ht="48" hidden="false" customHeight="true" outlineLevel="0" collapsed="false">
      <c r="A63" s="11" t="n">
        <v>2</v>
      </c>
      <c r="B63" s="12" t="n">
        <v>46188</v>
      </c>
      <c r="C63" s="12" t="n">
        <v>46216</v>
      </c>
      <c r="D63" s="11" t="n">
        <v>1659</v>
      </c>
      <c r="E63" s="13" t="s">
        <v>141</v>
      </c>
      <c r="F63" s="11" t="n">
        <v>24</v>
      </c>
      <c r="G63" s="13" t="s">
        <v>30</v>
      </c>
      <c r="H63" s="11" t="n">
        <v>2110101</v>
      </c>
      <c r="I63" s="13" t="s">
        <v>31</v>
      </c>
      <c r="J63" s="14" t="n">
        <v>1255113</v>
      </c>
      <c r="K63" s="14"/>
      <c r="L63" s="11" t="n">
        <v>878392</v>
      </c>
      <c r="M63" s="13" t="s">
        <v>101</v>
      </c>
      <c r="N63" s="15" t="s">
        <v>33</v>
      </c>
      <c r="O63" s="15"/>
      <c r="P63" s="11" t="n">
        <v>113</v>
      </c>
      <c r="Q63" s="13" t="s">
        <v>34</v>
      </c>
      <c r="R63" s="13" t="s">
        <v>35</v>
      </c>
      <c r="S63" s="11" t="n">
        <v>1130101</v>
      </c>
      <c r="T63" s="13" t="s">
        <v>36</v>
      </c>
      <c r="U63" s="16" t="n">
        <v>791.31</v>
      </c>
      <c r="V63" s="16"/>
      <c r="W63" s="17" t="n">
        <v>0</v>
      </c>
      <c r="X63" s="15" t="s">
        <v>142</v>
      </c>
      <c r="Y63" s="15"/>
      <c r="Z63" s="1" t="str">
        <f aca="false">IF($T63="","",IFERROR(INDEX('Resumo Grupos'!$AC$3:$AC$2000,MATCH($T63,'Resumo Grupos'!$AB$3:$AB$2000,0)),"n/d"))</f>
        <v>Mercadoria</v>
      </c>
    </row>
    <row r="64" customFormat="false" ht="39" hidden="false" customHeight="true" outlineLevel="0" collapsed="false">
      <c r="A64" s="11" t="n">
        <v>2</v>
      </c>
      <c r="B64" s="12" t="n">
        <v>46188</v>
      </c>
      <c r="C64" s="12" t="n">
        <v>46205</v>
      </c>
      <c r="D64" s="11" t="n">
        <v>10009</v>
      </c>
      <c r="E64" s="13" t="s">
        <v>138</v>
      </c>
      <c r="F64" s="11" t="n">
        <v>24</v>
      </c>
      <c r="G64" s="13" t="s">
        <v>30</v>
      </c>
      <c r="H64" s="11" t="n">
        <v>2110101</v>
      </c>
      <c r="I64" s="13" t="s">
        <v>31</v>
      </c>
      <c r="J64" s="14" t="n">
        <v>1255250</v>
      </c>
      <c r="K64" s="14"/>
      <c r="L64" s="11" t="n">
        <v>1415529</v>
      </c>
      <c r="M64" s="13" t="s">
        <v>101</v>
      </c>
      <c r="N64" s="15" t="s">
        <v>33</v>
      </c>
      <c r="O64" s="15"/>
      <c r="P64" s="11" t="n">
        <v>113</v>
      </c>
      <c r="Q64" s="13" t="s">
        <v>34</v>
      </c>
      <c r="R64" s="13" t="s">
        <v>35</v>
      </c>
      <c r="S64" s="11" t="n">
        <v>1130101</v>
      </c>
      <c r="T64" s="13" t="s">
        <v>36</v>
      </c>
      <c r="U64" s="16" t="n">
        <v>1484.53</v>
      </c>
      <c r="V64" s="16"/>
      <c r="W64" s="17" t="n">
        <v>0</v>
      </c>
      <c r="X64" s="15" t="s">
        <v>143</v>
      </c>
      <c r="Y64" s="15"/>
      <c r="Z64" s="1" t="str">
        <f aca="false">IF($T64="","",IFERROR(INDEX('Resumo Grupos'!$AC$3:$AC$2000,MATCH($T64,'Resumo Grupos'!$AB$3:$AB$2000,0)),"n/d"))</f>
        <v>Mercadoria</v>
      </c>
    </row>
    <row r="65" customFormat="false" ht="39" hidden="false" customHeight="true" outlineLevel="0" collapsed="false">
      <c r="A65" s="11" t="n">
        <v>2</v>
      </c>
      <c r="B65" s="12" t="n">
        <v>46188</v>
      </c>
      <c r="C65" s="12" t="n">
        <v>46205</v>
      </c>
      <c r="D65" s="11" t="n">
        <v>1611</v>
      </c>
      <c r="E65" s="13" t="s">
        <v>144</v>
      </c>
      <c r="F65" s="11" t="n">
        <v>24</v>
      </c>
      <c r="G65" s="13" t="s">
        <v>30</v>
      </c>
      <c r="H65" s="11" t="n">
        <v>2110101</v>
      </c>
      <c r="I65" s="13" t="s">
        <v>31</v>
      </c>
      <c r="J65" s="14" t="n">
        <v>1255460</v>
      </c>
      <c r="K65" s="14"/>
      <c r="L65" s="11" t="n">
        <v>1771887</v>
      </c>
      <c r="M65" s="13" t="s">
        <v>32</v>
      </c>
      <c r="N65" s="15" t="s">
        <v>33</v>
      </c>
      <c r="O65" s="15"/>
      <c r="P65" s="11" t="n">
        <v>113</v>
      </c>
      <c r="Q65" s="13" t="s">
        <v>34</v>
      </c>
      <c r="R65" s="13" t="s">
        <v>35</v>
      </c>
      <c r="S65" s="11" t="n">
        <v>1130101</v>
      </c>
      <c r="T65" s="13" t="s">
        <v>36</v>
      </c>
      <c r="U65" s="16" t="n">
        <v>613.33</v>
      </c>
      <c r="V65" s="16"/>
      <c r="W65" s="17" t="n">
        <v>0</v>
      </c>
      <c r="X65" s="15" t="s">
        <v>145</v>
      </c>
      <c r="Y65" s="15"/>
      <c r="Z65" s="1" t="str">
        <f aca="false">IF($T65="","",IFERROR(INDEX('Resumo Grupos'!$AC$3:$AC$2000,MATCH($T65,'Resumo Grupos'!$AB$3:$AB$2000,0)),"n/d"))</f>
        <v>Mercadoria</v>
      </c>
    </row>
    <row r="66" customFormat="false" ht="39" hidden="false" customHeight="true" outlineLevel="0" collapsed="false">
      <c r="A66" s="11" t="n">
        <v>2</v>
      </c>
      <c r="B66" s="12" t="n">
        <v>46188</v>
      </c>
      <c r="C66" s="12" t="n">
        <v>46212</v>
      </c>
      <c r="D66" s="11" t="n">
        <v>1611</v>
      </c>
      <c r="E66" s="13" t="s">
        <v>144</v>
      </c>
      <c r="F66" s="11" t="n">
        <v>24</v>
      </c>
      <c r="G66" s="13" t="s">
        <v>30</v>
      </c>
      <c r="H66" s="11" t="n">
        <v>2110101</v>
      </c>
      <c r="I66" s="13" t="s">
        <v>31</v>
      </c>
      <c r="J66" s="14" t="n">
        <v>1255460</v>
      </c>
      <c r="K66" s="14"/>
      <c r="L66" s="11" t="n">
        <v>1771887</v>
      </c>
      <c r="M66" s="13" t="s">
        <v>101</v>
      </c>
      <c r="N66" s="15" t="s">
        <v>33</v>
      </c>
      <c r="O66" s="15"/>
      <c r="P66" s="11" t="n">
        <v>113</v>
      </c>
      <c r="Q66" s="13" t="s">
        <v>34</v>
      </c>
      <c r="R66" s="13" t="s">
        <v>35</v>
      </c>
      <c r="S66" s="11" t="n">
        <v>1130101</v>
      </c>
      <c r="T66" s="13" t="s">
        <v>36</v>
      </c>
      <c r="U66" s="16" t="n">
        <v>613.33</v>
      </c>
      <c r="V66" s="16"/>
      <c r="W66" s="17" t="n">
        <v>0</v>
      </c>
      <c r="X66" s="15" t="s">
        <v>145</v>
      </c>
      <c r="Y66" s="15"/>
      <c r="Z66" s="1" t="str">
        <f aca="false">IF($T66="","",IFERROR(INDEX('Resumo Grupos'!$AC$3:$AC$2000,MATCH($T66,'Resumo Grupos'!$AB$3:$AB$2000,0)),"n/d"))</f>
        <v>Mercadoria</v>
      </c>
    </row>
    <row r="67" customFormat="false" ht="48" hidden="false" customHeight="true" outlineLevel="0" collapsed="false">
      <c r="A67" s="11" t="n">
        <v>2</v>
      </c>
      <c r="B67" s="12" t="n">
        <v>46188</v>
      </c>
      <c r="C67" s="12" t="n">
        <v>46204</v>
      </c>
      <c r="D67" s="11" t="n">
        <v>1659</v>
      </c>
      <c r="E67" s="13" t="s">
        <v>141</v>
      </c>
      <c r="F67" s="11" t="n">
        <v>24</v>
      </c>
      <c r="G67" s="13" t="s">
        <v>30</v>
      </c>
      <c r="H67" s="11" t="n">
        <v>2110101</v>
      </c>
      <c r="I67" s="13" t="s">
        <v>31</v>
      </c>
      <c r="J67" s="14" t="n">
        <v>1257254</v>
      </c>
      <c r="K67" s="14"/>
      <c r="L67" s="11" t="n">
        <v>878758</v>
      </c>
      <c r="M67" s="13" t="s">
        <v>105</v>
      </c>
      <c r="N67" s="15" t="s">
        <v>33</v>
      </c>
      <c r="O67" s="15"/>
      <c r="P67" s="11" t="n">
        <v>113</v>
      </c>
      <c r="Q67" s="13" t="s">
        <v>34</v>
      </c>
      <c r="R67" s="13" t="s">
        <v>35</v>
      </c>
      <c r="S67" s="11" t="n">
        <v>1130101</v>
      </c>
      <c r="T67" s="13" t="s">
        <v>36</v>
      </c>
      <c r="U67" s="16" t="n">
        <v>589.08</v>
      </c>
      <c r="V67" s="16"/>
      <c r="W67" s="17" t="n">
        <v>0</v>
      </c>
      <c r="X67" s="15" t="s">
        <v>146</v>
      </c>
      <c r="Y67" s="15"/>
      <c r="Z67" s="1" t="str">
        <f aca="false">IF($T67="","",IFERROR(INDEX('Resumo Grupos'!$AC$3:$AC$2000,MATCH($T67,'Resumo Grupos'!$AB$3:$AB$2000,0)),"n/d"))</f>
        <v>Mercadoria</v>
      </c>
    </row>
    <row r="68" customFormat="false" ht="48" hidden="false" customHeight="true" outlineLevel="0" collapsed="false">
      <c r="A68" s="11" t="n">
        <v>2</v>
      </c>
      <c r="B68" s="12" t="n">
        <v>46188</v>
      </c>
      <c r="C68" s="12" t="n">
        <v>46211</v>
      </c>
      <c r="D68" s="11" t="n">
        <v>1659</v>
      </c>
      <c r="E68" s="13" t="s">
        <v>141</v>
      </c>
      <c r="F68" s="11" t="n">
        <v>24</v>
      </c>
      <c r="G68" s="13" t="s">
        <v>30</v>
      </c>
      <c r="H68" s="11" t="n">
        <v>2110101</v>
      </c>
      <c r="I68" s="13" t="s">
        <v>31</v>
      </c>
      <c r="J68" s="14" t="n">
        <v>1257254</v>
      </c>
      <c r="K68" s="14"/>
      <c r="L68" s="11" t="n">
        <v>878758</v>
      </c>
      <c r="M68" s="13" t="s">
        <v>32</v>
      </c>
      <c r="N68" s="15" t="s">
        <v>33</v>
      </c>
      <c r="O68" s="15"/>
      <c r="P68" s="11" t="n">
        <v>113</v>
      </c>
      <c r="Q68" s="13" t="s">
        <v>34</v>
      </c>
      <c r="R68" s="13" t="s">
        <v>35</v>
      </c>
      <c r="S68" s="11" t="n">
        <v>1130101</v>
      </c>
      <c r="T68" s="13" t="s">
        <v>36</v>
      </c>
      <c r="U68" s="16" t="n">
        <v>589.08</v>
      </c>
      <c r="V68" s="16"/>
      <c r="W68" s="17" t="n">
        <v>0</v>
      </c>
      <c r="X68" s="15" t="s">
        <v>146</v>
      </c>
      <c r="Y68" s="15"/>
      <c r="Z68" s="1" t="str">
        <f aca="false">IF($T68="","",IFERROR(INDEX('Resumo Grupos'!$AC$3:$AC$2000,MATCH($T68,'Resumo Grupos'!$AB$3:$AB$2000,0)),"n/d"))</f>
        <v>Mercadoria</v>
      </c>
    </row>
    <row r="69" customFormat="false" ht="48" hidden="false" customHeight="true" outlineLevel="0" collapsed="false">
      <c r="A69" s="11" t="n">
        <v>2</v>
      </c>
      <c r="B69" s="12" t="n">
        <v>46188</v>
      </c>
      <c r="C69" s="12" t="n">
        <v>46218</v>
      </c>
      <c r="D69" s="11" t="n">
        <v>1659</v>
      </c>
      <c r="E69" s="13" t="s">
        <v>141</v>
      </c>
      <c r="F69" s="11" t="n">
        <v>24</v>
      </c>
      <c r="G69" s="13" t="s">
        <v>30</v>
      </c>
      <c r="H69" s="11" t="n">
        <v>2110101</v>
      </c>
      <c r="I69" s="13" t="s">
        <v>31</v>
      </c>
      <c r="J69" s="14" t="n">
        <v>1257254</v>
      </c>
      <c r="K69" s="14"/>
      <c r="L69" s="11" t="n">
        <v>878758</v>
      </c>
      <c r="M69" s="13" t="s">
        <v>101</v>
      </c>
      <c r="N69" s="15" t="s">
        <v>33</v>
      </c>
      <c r="O69" s="15"/>
      <c r="P69" s="11" t="n">
        <v>113</v>
      </c>
      <c r="Q69" s="13" t="s">
        <v>34</v>
      </c>
      <c r="R69" s="13" t="s">
        <v>35</v>
      </c>
      <c r="S69" s="11" t="n">
        <v>1130101</v>
      </c>
      <c r="T69" s="13" t="s">
        <v>36</v>
      </c>
      <c r="U69" s="16" t="n">
        <v>589.08</v>
      </c>
      <c r="V69" s="16"/>
      <c r="W69" s="17" t="n">
        <v>0</v>
      </c>
      <c r="X69" s="15" t="s">
        <v>146</v>
      </c>
      <c r="Y69" s="15"/>
      <c r="Z69" s="1" t="str">
        <f aca="false">IF($T69="","",IFERROR(INDEX('Resumo Grupos'!$AC$3:$AC$2000,MATCH($T69,'Resumo Grupos'!$AB$3:$AB$2000,0)),"n/d"))</f>
        <v>Mercadoria</v>
      </c>
    </row>
    <row r="70" customFormat="false" ht="66.75" hidden="false" customHeight="true" outlineLevel="0" collapsed="false">
      <c r="A70" s="11" t="n">
        <v>2</v>
      </c>
      <c r="B70" s="12" t="n">
        <v>46189</v>
      </c>
      <c r="C70" s="12" t="n">
        <v>46210</v>
      </c>
      <c r="D70" s="11" t="n">
        <v>10033</v>
      </c>
      <c r="E70" s="13" t="s">
        <v>147</v>
      </c>
      <c r="F70" s="11" t="n">
        <v>24</v>
      </c>
      <c r="G70" s="13" t="s">
        <v>30</v>
      </c>
      <c r="H70" s="11" t="n">
        <v>2110101</v>
      </c>
      <c r="I70" s="13" t="s">
        <v>31</v>
      </c>
      <c r="J70" s="14" t="n">
        <v>1260463</v>
      </c>
      <c r="K70" s="14"/>
      <c r="L70" s="11" t="n">
        <v>102727</v>
      </c>
      <c r="M70" s="13" t="s">
        <v>32</v>
      </c>
      <c r="N70" s="15" t="s">
        <v>33</v>
      </c>
      <c r="O70" s="15"/>
      <c r="P70" s="11" t="n">
        <v>113</v>
      </c>
      <c r="Q70" s="13" t="s">
        <v>34</v>
      </c>
      <c r="R70" s="13" t="s">
        <v>35</v>
      </c>
      <c r="S70" s="11" t="n">
        <v>1130101</v>
      </c>
      <c r="T70" s="13" t="s">
        <v>36</v>
      </c>
      <c r="U70" s="16" t="n">
        <v>360.24</v>
      </c>
      <c r="V70" s="16"/>
      <c r="W70" s="17" t="n">
        <v>0</v>
      </c>
      <c r="X70" s="15" t="s">
        <v>148</v>
      </c>
      <c r="Y70" s="15"/>
      <c r="Z70" s="1" t="str">
        <f aca="false">IF($T70="","",IFERROR(INDEX('Resumo Grupos'!$AC$3:$AC$2000,MATCH($T70,'Resumo Grupos'!$AB$3:$AB$2000,0)),"n/d"))</f>
        <v>Mercadoria</v>
      </c>
    </row>
    <row r="71" customFormat="false" ht="66.75" hidden="false" customHeight="true" outlineLevel="0" collapsed="false">
      <c r="A71" s="11" t="n">
        <v>2</v>
      </c>
      <c r="B71" s="12" t="n">
        <v>46189</v>
      </c>
      <c r="C71" s="12" t="n">
        <v>46209</v>
      </c>
      <c r="D71" s="11" t="n">
        <v>1636</v>
      </c>
      <c r="E71" s="13" t="s">
        <v>131</v>
      </c>
      <c r="F71" s="11" t="n">
        <v>24</v>
      </c>
      <c r="G71" s="13" t="s">
        <v>30</v>
      </c>
      <c r="H71" s="11" t="n">
        <v>2110101</v>
      </c>
      <c r="I71" s="13" t="s">
        <v>31</v>
      </c>
      <c r="J71" s="14" t="n">
        <v>1260909</v>
      </c>
      <c r="K71" s="14"/>
      <c r="L71" s="11" t="n">
        <v>168210</v>
      </c>
      <c r="M71" s="13" t="s">
        <v>105</v>
      </c>
      <c r="N71" s="15" t="s">
        <v>41</v>
      </c>
      <c r="O71" s="15"/>
      <c r="P71" s="11" t="n">
        <v>113</v>
      </c>
      <c r="Q71" s="13" t="s">
        <v>34</v>
      </c>
      <c r="R71" s="13" t="s">
        <v>35</v>
      </c>
      <c r="S71" s="11" t="n">
        <v>1130101</v>
      </c>
      <c r="T71" s="13" t="s">
        <v>36</v>
      </c>
      <c r="U71" s="16" t="n">
        <v>643.05</v>
      </c>
      <c r="V71" s="16"/>
      <c r="W71" s="17" t="n">
        <v>0</v>
      </c>
      <c r="X71" s="15" t="s">
        <v>149</v>
      </c>
      <c r="Y71" s="15"/>
      <c r="Z71" s="1" t="str">
        <f aca="false">IF($T71="","",IFERROR(INDEX('Resumo Grupos'!$AC$3:$AC$2000,MATCH($T71,'Resumo Grupos'!$AB$3:$AB$2000,0)),"n/d"))</f>
        <v>Mercadoria</v>
      </c>
    </row>
    <row r="72" customFormat="false" ht="66.75" hidden="false" customHeight="true" outlineLevel="0" collapsed="false">
      <c r="A72" s="11" t="n">
        <v>2</v>
      </c>
      <c r="B72" s="12" t="n">
        <v>46189</v>
      </c>
      <c r="C72" s="12" t="n">
        <v>46216</v>
      </c>
      <c r="D72" s="11" t="n">
        <v>1636</v>
      </c>
      <c r="E72" s="13" t="s">
        <v>131</v>
      </c>
      <c r="F72" s="11" t="n">
        <v>24</v>
      </c>
      <c r="G72" s="13" t="s">
        <v>30</v>
      </c>
      <c r="H72" s="11" t="n">
        <v>2110101</v>
      </c>
      <c r="I72" s="13" t="s">
        <v>31</v>
      </c>
      <c r="J72" s="14" t="n">
        <v>1260911</v>
      </c>
      <c r="K72" s="14"/>
      <c r="L72" s="11" t="n">
        <v>168211</v>
      </c>
      <c r="M72" s="13" t="s">
        <v>105</v>
      </c>
      <c r="N72" s="15" t="s">
        <v>41</v>
      </c>
      <c r="O72" s="15"/>
      <c r="P72" s="11" t="n">
        <v>113</v>
      </c>
      <c r="Q72" s="13" t="s">
        <v>34</v>
      </c>
      <c r="R72" s="13" t="s">
        <v>35</v>
      </c>
      <c r="S72" s="11" t="n">
        <v>1130101</v>
      </c>
      <c r="T72" s="13" t="s">
        <v>36</v>
      </c>
      <c r="U72" s="16" t="n">
        <v>643.05</v>
      </c>
      <c r="V72" s="16"/>
      <c r="W72" s="17" t="n">
        <v>0</v>
      </c>
      <c r="X72" s="15" t="s">
        <v>149</v>
      </c>
      <c r="Y72" s="15"/>
      <c r="Z72" s="1" t="str">
        <f aca="false">IF($T72="","",IFERROR(INDEX('Resumo Grupos'!$AC$3:$AC$2000,MATCH($T72,'Resumo Grupos'!$AB$3:$AB$2000,0)),"n/d"))</f>
        <v>Mercadoria</v>
      </c>
    </row>
    <row r="73" customFormat="false" ht="48" hidden="false" customHeight="true" outlineLevel="0" collapsed="false">
      <c r="A73" s="11" t="n">
        <v>2</v>
      </c>
      <c r="B73" s="12" t="n">
        <v>46189</v>
      </c>
      <c r="C73" s="12" t="n">
        <v>46208</v>
      </c>
      <c r="D73" s="11" t="n">
        <v>530</v>
      </c>
      <c r="E73" s="13" t="s">
        <v>150</v>
      </c>
      <c r="F73" s="11" t="n">
        <v>24</v>
      </c>
      <c r="G73" s="13" t="s">
        <v>30</v>
      </c>
      <c r="H73" s="11" t="n">
        <v>2110405</v>
      </c>
      <c r="I73" s="13" t="s">
        <v>51</v>
      </c>
      <c r="J73" s="14" t="n">
        <v>1260994</v>
      </c>
      <c r="K73" s="14"/>
      <c r="L73" s="11" t="n">
        <v>168220</v>
      </c>
      <c r="M73" s="13" t="s">
        <v>105</v>
      </c>
      <c r="N73" s="15" t="s">
        <v>41</v>
      </c>
      <c r="O73" s="15"/>
      <c r="P73" s="11" t="n">
        <v>113</v>
      </c>
      <c r="Q73" s="13" t="s">
        <v>34</v>
      </c>
      <c r="R73" s="13" t="s">
        <v>151</v>
      </c>
      <c r="S73" s="11" t="n">
        <v>2110714</v>
      </c>
      <c r="T73" s="13" t="s">
        <v>152</v>
      </c>
      <c r="U73" s="16" t="n">
        <v>573.02</v>
      </c>
      <c r="V73" s="16"/>
      <c r="W73" s="17" t="n">
        <v>0</v>
      </c>
      <c r="X73" s="15" t="s">
        <v>153</v>
      </c>
      <c r="Y73" s="15"/>
      <c r="Z73" s="1" t="str">
        <f aca="false">IF($T73="","",IFERROR(INDEX('Resumo Grupos'!$AC$3:$AC$2000,MATCH($T73,'Resumo Grupos'!$AB$3:$AB$2000,0)),"n/d"))</f>
        <v>Despesa</v>
      </c>
    </row>
    <row r="74" customFormat="false" ht="39" hidden="false" customHeight="true" outlineLevel="0" collapsed="false">
      <c r="A74" s="11" t="n">
        <v>2</v>
      </c>
      <c r="B74" s="12" t="n">
        <v>46189</v>
      </c>
      <c r="C74" s="12" t="n">
        <v>46205</v>
      </c>
      <c r="D74" s="11" t="n">
        <v>1624</v>
      </c>
      <c r="E74" s="13" t="s">
        <v>154</v>
      </c>
      <c r="F74" s="11" t="n">
        <v>24</v>
      </c>
      <c r="G74" s="13" t="s">
        <v>30</v>
      </c>
      <c r="H74" s="11" t="n">
        <v>2110101</v>
      </c>
      <c r="I74" s="13" t="s">
        <v>31</v>
      </c>
      <c r="J74" s="14" t="n">
        <v>1261007</v>
      </c>
      <c r="K74" s="14"/>
      <c r="L74" s="11" t="n">
        <v>658429</v>
      </c>
      <c r="M74" s="13" t="s">
        <v>105</v>
      </c>
      <c r="N74" s="15" t="s">
        <v>33</v>
      </c>
      <c r="O74" s="15"/>
      <c r="P74" s="11" t="n">
        <v>113</v>
      </c>
      <c r="Q74" s="13" t="s">
        <v>34</v>
      </c>
      <c r="R74" s="13" t="s">
        <v>35</v>
      </c>
      <c r="S74" s="11" t="n">
        <v>1130101</v>
      </c>
      <c r="T74" s="13" t="s">
        <v>36</v>
      </c>
      <c r="U74" s="16" t="n">
        <v>550.4</v>
      </c>
      <c r="V74" s="16"/>
      <c r="W74" s="17" t="n">
        <v>0</v>
      </c>
      <c r="X74" s="15" t="s">
        <v>155</v>
      </c>
      <c r="Y74" s="15"/>
      <c r="Z74" s="1" t="str">
        <f aca="false">IF($T74="","",IFERROR(INDEX('Resumo Grupos'!$AC$3:$AC$2000,MATCH($T74,'Resumo Grupos'!$AB$3:$AB$2000,0)),"n/d"))</f>
        <v>Mercadoria</v>
      </c>
    </row>
    <row r="75" customFormat="false" ht="39" hidden="false" customHeight="true" outlineLevel="0" collapsed="false">
      <c r="A75" s="11" t="n">
        <v>2</v>
      </c>
      <c r="B75" s="12" t="n">
        <v>46189</v>
      </c>
      <c r="C75" s="12" t="n">
        <v>46212</v>
      </c>
      <c r="D75" s="11" t="n">
        <v>1624</v>
      </c>
      <c r="E75" s="13" t="s">
        <v>154</v>
      </c>
      <c r="F75" s="11" t="n">
        <v>24</v>
      </c>
      <c r="G75" s="13" t="s">
        <v>30</v>
      </c>
      <c r="H75" s="11" t="n">
        <v>2110101</v>
      </c>
      <c r="I75" s="13" t="s">
        <v>31</v>
      </c>
      <c r="J75" s="14" t="n">
        <v>1261007</v>
      </c>
      <c r="K75" s="14"/>
      <c r="L75" s="11" t="n">
        <v>658429</v>
      </c>
      <c r="M75" s="13" t="s">
        <v>32</v>
      </c>
      <c r="N75" s="15" t="s">
        <v>33</v>
      </c>
      <c r="O75" s="15"/>
      <c r="P75" s="11" t="n">
        <v>113</v>
      </c>
      <c r="Q75" s="13" t="s">
        <v>34</v>
      </c>
      <c r="R75" s="13" t="s">
        <v>35</v>
      </c>
      <c r="S75" s="11" t="n">
        <v>1130101</v>
      </c>
      <c r="T75" s="13" t="s">
        <v>36</v>
      </c>
      <c r="U75" s="16" t="n">
        <v>550.4</v>
      </c>
      <c r="V75" s="16"/>
      <c r="W75" s="17" t="n">
        <v>0</v>
      </c>
      <c r="X75" s="15" t="s">
        <v>155</v>
      </c>
      <c r="Y75" s="15"/>
      <c r="Z75" s="1" t="str">
        <f aca="false">IF($T75="","",IFERROR(INDEX('Resumo Grupos'!$AC$3:$AC$2000,MATCH($T75,'Resumo Grupos'!$AB$3:$AB$2000,0)),"n/d"))</f>
        <v>Mercadoria</v>
      </c>
    </row>
    <row r="76" customFormat="false" ht="39" hidden="false" customHeight="true" outlineLevel="0" collapsed="false">
      <c r="A76" s="11" t="n">
        <v>2</v>
      </c>
      <c r="B76" s="12" t="n">
        <v>46189</v>
      </c>
      <c r="C76" s="12" t="n">
        <v>46219</v>
      </c>
      <c r="D76" s="11" t="n">
        <v>1624</v>
      </c>
      <c r="E76" s="13" t="s">
        <v>154</v>
      </c>
      <c r="F76" s="11" t="n">
        <v>24</v>
      </c>
      <c r="G76" s="13" t="s">
        <v>30</v>
      </c>
      <c r="H76" s="11" t="n">
        <v>2110101</v>
      </c>
      <c r="I76" s="13" t="s">
        <v>31</v>
      </c>
      <c r="J76" s="14" t="n">
        <v>1261007</v>
      </c>
      <c r="K76" s="14"/>
      <c r="L76" s="11" t="n">
        <v>658429</v>
      </c>
      <c r="M76" s="13" t="s">
        <v>101</v>
      </c>
      <c r="N76" s="15" t="s">
        <v>33</v>
      </c>
      <c r="O76" s="15"/>
      <c r="P76" s="11" t="n">
        <v>113</v>
      </c>
      <c r="Q76" s="13" t="s">
        <v>34</v>
      </c>
      <c r="R76" s="13" t="s">
        <v>35</v>
      </c>
      <c r="S76" s="11" t="n">
        <v>1130101</v>
      </c>
      <c r="T76" s="13" t="s">
        <v>36</v>
      </c>
      <c r="U76" s="16" t="n">
        <v>550.4</v>
      </c>
      <c r="V76" s="16"/>
      <c r="W76" s="17" t="n">
        <v>0</v>
      </c>
      <c r="X76" s="15" t="s">
        <v>155</v>
      </c>
      <c r="Y76" s="15"/>
      <c r="Z76" s="1" t="str">
        <f aca="false">IF($T76="","",IFERROR(INDEX('Resumo Grupos'!$AC$3:$AC$2000,MATCH($T76,'Resumo Grupos'!$AB$3:$AB$2000,0)),"n/d"))</f>
        <v>Mercadoria</v>
      </c>
    </row>
    <row r="77" customFormat="false" ht="39" hidden="false" customHeight="true" outlineLevel="0" collapsed="false">
      <c r="A77" s="11" t="n">
        <v>2</v>
      </c>
      <c r="B77" s="12" t="n">
        <v>46189</v>
      </c>
      <c r="C77" s="12" t="n">
        <v>46226</v>
      </c>
      <c r="D77" s="11" t="n">
        <v>1624</v>
      </c>
      <c r="E77" s="13" t="s">
        <v>154</v>
      </c>
      <c r="F77" s="11" t="n">
        <v>24</v>
      </c>
      <c r="G77" s="13" t="s">
        <v>30</v>
      </c>
      <c r="H77" s="11" t="n">
        <v>2110101</v>
      </c>
      <c r="I77" s="13" t="s">
        <v>31</v>
      </c>
      <c r="J77" s="14" t="n">
        <v>1261007</v>
      </c>
      <c r="K77" s="14"/>
      <c r="L77" s="11" t="n">
        <v>658429</v>
      </c>
      <c r="M77" s="13" t="s">
        <v>80</v>
      </c>
      <c r="N77" s="15" t="s">
        <v>33</v>
      </c>
      <c r="O77" s="15"/>
      <c r="P77" s="11" t="n">
        <v>113</v>
      </c>
      <c r="Q77" s="13" t="s">
        <v>34</v>
      </c>
      <c r="R77" s="13" t="s">
        <v>35</v>
      </c>
      <c r="S77" s="11" t="n">
        <v>1130101</v>
      </c>
      <c r="T77" s="13" t="s">
        <v>36</v>
      </c>
      <c r="U77" s="16" t="n">
        <v>550.4</v>
      </c>
      <c r="V77" s="16"/>
      <c r="W77" s="17" t="n">
        <v>0</v>
      </c>
      <c r="X77" s="15" t="s">
        <v>155</v>
      </c>
      <c r="Y77" s="15"/>
      <c r="Z77" s="1" t="str">
        <f aca="false">IF($T77="","",IFERROR(INDEX('Resumo Grupos'!$AC$3:$AC$2000,MATCH($T77,'Resumo Grupos'!$AB$3:$AB$2000,0)),"n/d"))</f>
        <v>Mercadoria</v>
      </c>
    </row>
    <row r="78" customFormat="false" ht="48" hidden="false" customHeight="true" outlineLevel="0" collapsed="false">
      <c r="A78" s="11" t="n">
        <v>2</v>
      </c>
      <c r="B78" s="12" t="n">
        <v>46189</v>
      </c>
      <c r="C78" s="12" t="n">
        <v>46211</v>
      </c>
      <c r="D78" s="11" t="n">
        <v>957</v>
      </c>
      <c r="E78" s="13" t="s">
        <v>156</v>
      </c>
      <c r="F78" s="11" t="n">
        <v>24</v>
      </c>
      <c r="G78" s="13" t="s">
        <v>30</v>
      </c>
      <c r="H78" s="11" t="n">
        <v>2110101</v>
      </c>
      <c r="I78" s="13" t="s">
        <v>31</v>
      </c>
      <c r="J78" s="14" t="n">
        <v>1261052</v>
      </c>
      <c r="K78" s="14"/>
      <c r="L78" s="11" t="n">
        <v>20499</v>
      </c>
      <c r="M78" s="13" t="s">
        <v>32</v>
      </c>
      <c r="N78" s="15" t="s">
        <v>33</v>
      </c>
      <c r="O78" s="15"/>
      <c r="P78" s="11" t="n">
        <v>113</v>
      </c>
      <c r="Q78" s="13" t="s">
        <v>34</v>
      </c>
      <c r="R78" s="13" t="s">
        <v>35</v>
      </c>
      <c r="S78" s="11" t="n">
        <v>1130101</v>
      </c>
      <c r="T78" s="13" t="s">
        <v>36</v>
      </c>
      <c r="U78" s="16" t="n">
        <v>1589.28</v>
      </c>
      <c r="V78" s="16"/>
      <c r="W78" s="17" t="n">
        <v>0</v>
      </c>
      <c r="X78" s="15" t="s">
        <v>157</v>
      </c>
      <c r="Y78" s="15"/>
      <c r="Z78" s="1" t="str">
        <f aca="false">IF($T78="","",IFERROR(INDEX('Resumo Grupos'!$AC$3:$AC$2000,MATCH($T78,'Resumo Grupos'!$AB$3:$AB$2000,0)),"n/d"))</f>
        <v>Mercadoria</v>
      </c>
    </row>
    <row r="79" customFormat="false" ht="48" hidden="false" customHeight="true" outlineLevel="0" collapsed="false">
      <c r="A79" s="11" t="n">
        <v>2</v>
      </c>
      <c r="B79" s="12" t="n">
        <v>46189</v>
      </c>
      <c r="C79" s="12" t="n">
        <v>46221</v>
      </c>
      <c r="D79" s="11" t="n">
        <v>957</v>
      </c>
      <c r="E79" s="13" t="s">
        <v>156</v>
      </c>
      <c r="F79" s="11" t="n">
        <v>24</v>
      </c>
      <c r="G79" s="13" t="s">
        <v>30</v>
      </c>
      <c r="H79" s="11" t="n">
        <v>2110101</v>
      </c>
      <c r="I79" s="13" t="s">
        <v>31</v>
      </c>
      <c r="J79" s="14" t="n">
        <v>1261052</v>
      </c>
      <c r="K79" s="14"/>
      <c r="L79" s="11" t="n">
        <v>20499</v>
      </c>
      <c r="M79" s="13" t="s">
        <v>101</v>
      </c>
      <c r="N79" s="15" t="s">
        <v>33</v>
      </c>
      <c r="O79" s="15"/>
      <c r="P79" s="11" t="n">
        <v>113</v>
      </c>
      <c r="Q79" s="13" t="s">
        <v>34</v>
      </c>
      <c r="R79" s="13" t="s">
        <v>35</v>
      </c>
      <c r="S79" s="11" t="n">
        <v>1130101</v>
      </c>
      <c r="T79" s="13" t="s">
        <v>36</v>
      </c>
      <c r="U79" s="16" t="n">
        <v>1589.28</v>
      </c>
      <c r="V79" s="16"/>
      <c r="W79" s="17" t="n">
        <v>0</v>
      </c>
      <c r="X79" s="15" t="s">
        <v>157</v>
      </c>
      <c r="Y79" s="15"/>
      <c r="Z79" s="1" t="str">
        <f aca="false">IF($T79="","",IFERROR(INDEX('Resumo Grupos'!$AC$3:$AC$2000,MATCH($T79,'Resumo Grupos'!$AB$3:$AB$2000,0)),"n/d"))</f>
        <v>Mercadoria</v>
      </c>
    </row>
    <row r="80" customFormat="false" ht="48" hidden="false" customHeight="true" outlineLevel="0" collapsed="false">
      <c r="A80" s="11" t="n">
        <v>2</v>
      </c>
      <c r="B80" s="12" t="n">
        <v>46189</v>
      </c>
      <c r="C80" s="12" t="n">
        <v>46231</v>
      </c>
      <c r="D80" s="11" t="n">
        <v>957</v>
      </c>
      <c r="E80" s="13" t="s">
        <v>156</v>
      </c>
      <c r="F80" s="11" t="n">
        <v>24</v>
      </c>
      <c r="G80" s="13" t="s">
        <v>30</v>
      </c>
      <c r="H80" s="11" t="n">
        <v>2110101</v>
      </c>
      <c r="I80" s="13" t="s">
        <v>31</v>
      </c>
      <c r="J80" s="14" t="n">
        <v>1261052</v>
      </c>
      <c r="K80" s="14"/>
      <c r="L80" s="11" t="n">
        <v>20499</v>
      </c>
      <c r="M80" s="13" t="s">
        <v>80</v>
      </c>
      <c r="N80" s="15" t="s">
        <v>33</v>
      </c>
      <c r="O80" s="15"/>
      <c r="P80" s="11" t="n">
        <v>113</v>
      </c>
      <c r="Q80" s="13" t="s">
        <v>34</v>
      </c>
      <c r="R80" s="13" t="s">
        <v>35</v>
      </c>
      <c r="S80" s="11" t="n">
        <v>1130101</v>
      </c>
      <c r="T80" s="13" t="s">
        <v>36</v>
      </c>
      <c r="U80" s="16" t="n">
        <v>1589.28</v>
      </c>
      <c r="V80" s="16"/>
      <c r="W80" s="17" t="n">
        <v>0</v>
      </c>
      <c r="X80" s="15" t="s">
        <v>157</v>
      </c>
      <c r="Y80" s="15"/>
      <c r="Z80" s="1" t="str">
        <f aca="false">IF($T80="","",IFERROR(INDEX('Resumo Grupos'!$AC$3:$AC$2000,MATCH($T80,'Resumo Grupos'!$AB$3:$AB$2000,0)),"n/d"))</f>
        <v>Mercadoria</v>
      </c>
    </row>
    <row r="81" customFormat="false" ht="48" hidden="false" customHeight="true" outlineLevel="0" collapsed="false">
      <c r="A81" s="11" t="n">
        <v>2</v>
      </c>
      <c r="B81" s="12" t="n">
        <v>46190</v>
      </c>
      <c r="C81" s="12" t="n">
        <v>46210</v>
      </c>
      <c r="D81" s="11" t="n">
        <v>1635</v>
      </c>
      <c r="E81" s="13" t="s">
        <v>122</v>
      </c>
      <c r="F81" s="11" t="n">
        <v>24</v>
      </c>
      <c r="G81" s="13" t="s">
        <v>30</v>
      </c>
      <c r="H81" s="11" t="n">
        <v>2110101</v>
      </c>
      <c r="I81" s="13" t="s">
        <v>31</v>
      </c>
      <c r="J81" s="14" t="n">
        <v>1264969</v>
      </c>
      <c r="K81" s="14"/>
      <c r="L81" s="11" t="n">
        <v>518753</v>
      </c>
      <c r="M81" s="13" t="s">
        <v>105</v>
      </c>
      <c r="N81" s="15" t="s">
        <v>33</v>
      </c>
      <c r="O81" s="15"/>
      <c r="P81" s="11" t="n">
        <v>113</v>
      </c>
      <c r="Q81" s="13" t="s">
        <v>34</v>
      </c>
      <c r="R81" s="13" t="s">
        <v>35</v>
      </c>
      <c r="S81" s="11" t="n">
        <v>1130101</v>
      </c>
      <c r="T81" s="13" t="s">
        <v>36</v>
      </c>
      <c r="U81" s="16" t="n">
        <v>684</v>
      </c>
      <c r="V81" s="16"/>
      <c r="W81" s="17" t="n">
        <v>0</v>
      </c>
      <c r="X81" s="15" t="s">
        <v>158</v>
      </c>
      <c r="Y81" s="15"/>
      <c r="Z81" s="1" t="str">
        <f aca="false">IF($T81="","",IFERROR(INDEX('Resumo Grupos'!$AC$3:$AC$2000,MATCH($T81,'Resumo Grupos'!$AB$3:$AB$2000,0)),"n/d"))</f>
        <v>Mercadoria</v>
      </c>
    </row>
    <row r="82" customFormat="false" ht="39" hidden="false" customHeight="true" outlineLevel="0" collapsed="false">
      <c r="A82" s="11" t="n">
        <v>2</v>
      </c>
      <c r="B82" s="12" t="n">
        <v>46190</v>
      </c>
      <c r="C82" s="12" t="n">
        <v>46204</v>
      </c>
      <c r="D82" s="11" t="n">
        <v>1107</v>
      </c>
      <c r="E82" s="13" t="s">
        <v>159</v>
      </c>
      <c r="F82" s="11" t="n">
        <v>24</v>
      </c>
      <c r="G82" s="13" t="s">
        <v>30</v>
      </c>
      <c r="H82" s="11" t="n">
        <v>2110101</v>
      </c>
      <c r="I82" s="13" t="s">
        <v>31</v>
      </c>
      <c r="J82" s="14" t="n">
        <v>1265709</v>
      </c>
      <c r="K82" s="14"/>
      <c r="L82" s="11" t="n">
        <v>416678</v>
      </c>
      <c r="M82" s="13" t="s">
        <v>105</v>
      </c>
      <c r="N82" s="15" t="s">
        <v>33</v>
      </c>
      <c r="O82" s="15"/>
      <c r="P82" s="11" t="n">
        <v>113</v>
      </c>
      <c r="Q82" s="13" t="s">
        <v>34</v>
      </c>
      <c r="R82" s="13" t="s">
        <v>35</v>
      </c>
      <c r="S82" s="11" t="n">
        <v>1130101</v>
      </c>
      <c r="T82" s="13" t="s">
        <v>36</v>
      </c>
      <c r="U82" s="16" t="n">
        <v>61.57</v>
      </c>
      <c r="V82" s="16"/>
      <c r="W82" s="17" t="n">
        <v>0</v>
      </c>
      <c r="X82" s="15" t="s">
        <v>160</v>
      </c>
      <c r="Y82" s="15"/>
      <c r="Z82" s="1" t="str">
        <f aca="false">IF($T82="","",IFERROR(INDEX('Resumo Grupos'!$AC$3:$AC$2000,MATCH($T82,'Resumo Grupos'!$AB$3:$AB$2000,0)),"n/d"))</f>
        <v>Mercadoria</v>
      </c>
    </row>
    <row r="83" customFormat="false" ht="39" hidden="false" customHeight="true" outlineLevel="0" collapsed="false">
      <c r="A83" s="11" t="n">
        <v>2</v>
      </c>
      <c r="B83" s="12" t="n">
        <v>46190</v>
      </c>
      <c r="C83" s="12" t="n">
        <v>46211</v>
      </c>
      <c r="D83" s="11" t="n">
        <v>1107</v>
      </c>
      <c r="E83" s="13" t="s">
        <v>159</v>
      </c>
      <c r="F83" s="11" t="n">
        <v>24</v>
      </c>
      <c r="G83" s="13" t="s">
        <v>30</v>
      </c>
      <c r="H83" s="11" t="n">
        <v>2110101</v>
      </c>
      <c r="I83" s="13" t="s">
        <v>31</v>
      </c>
      <c r="J83" s="14" t="n">
        <v>1265709</v>
      </c>
      <c r="K83" s="14"/>
      <c r="L83" s="11" t="n">
        <v>416678</v>
      </c>
      <c r="M83" s="13" t="s">
        <v>32</v>
      </c>
      <c r="N83" s="15" t="s">
        <v>33</v>
      </c>
      <c r="O83" s="15"/>
      <c r="P83" s="11" t="n">
        <v>113</v>
      </c>
      <c r="Q83" s="13" t="s">
        <v>34</v>
      </c>
      <c r="R83" s="13" t="s">
        <v>35</v>
      </c>
      <c r="S83" s="11" t="n">
        <v>1130101</v>
      </c>
      <c r="T83" s="13" t="s">
        <v>36</v>
      </c>
      <c r="U83" s="16" t="n">
        <v>61.58</v>
      </c>
      <c r="V83" s="16"/>
      <c r="W83" s="17" t="n">
        <v>0</v>
      </c>
      <c r="X83" s="15" t="s">
        <v>160</v>
      </c>
      <c r="Y83" s="15"/>
      <c r="Z83" s="1" t="str">
        <f aca="false">IF($T83="","",IFERROR(INDEX('Resumo Grupos'!$AC$3:$AC$2000,MATCH($T83,'Resumo Grupos'!$AB$3:$AB$2000,0)),"n/d"))</f>
        <v>Mercadoria</v>
      </c>
    </row>
    <row r="84" customFormat="false" ht="39" hidden="false" customHeight="true" outlineLevel="0" collapsed="false">
      <c r="A84" s="11" t="n">
        <v>2</v>
      </c>
      <c r="B84" s="12" t="n">
        <v>46190</v>
      </c>
      <c r="C84" s="12" t="n">
        <v>46218</v>
      </c>
      <c r="D84" s="11" t="n">
        <v>1107</v>
      </c>
      <c r="E84" s="13" t="s">
        <v>159</v>
      </c>
      <c r="F84" s="11" t="n">
        <v>24</v>
      </c>
      <c r="G84" s="13" t="s">
        <v>30</v>
      </c>
      <c r="H84" s="11" t="n">
        <v>2110101</v>
      </c>
      <c r="I84" s="13" t="s">
        <v>31</v>
      </c>
      <c r="J84" s="14" t="n">
        <v>1265709</v>
      </c>
      <c r="K84" s="14"/>
      <c r="L84" s="11" t="n">
        <v>416678</v>
      </c>
      <c r="M84" s="13" t="s">
        <v>101</v>
      </c>
      <c r="N84" s="15" t="s">
        <v>33</v>
      </c>
      <c r="O84" s="15"/>
      <c r="P84" s="11" t="n">
        <v>113</v>
      </c>
      <c r="Q84" s="13" t="s">
        <v>34</v>
      </c>
      <c r="R84" s="13" t="s">
        <v>35</v>
      </c>
      <c r="S84" s="11" t="n">
        <v>1130101</v>
      </c>
      <c r="T84" s="13" t="s">
        <v>36</v>
      </c>
      <c r="U84" s="16" t="n">
        <v>61.58</v>
      </c>
      <c r="V84" s="16"/>
      <c r="W84" s="17" t="n">
        <v>0</v>
      </c>
      <c r="X84" s="15" t="s">
        <v>160</v>
      </c>
      <c r="Y84" s="15"/>
      <c r="Z84" s="1" t="str">
        <f aca="false">IF($T84="","",IFERROR(INDEX('Resumo Grupos'!$AC$3:$AC$2000,MATCH($T84,'Resumo Grupos'!$AB$3:$AB$2000,0)),"n/d"))</f>
        <v>Mercadoria</v>
      </c>
    </row>
    <row r="85" customFormat="false" ht="57" hidden="false" customHeight="true" outlineLevel="0" collapsed="false">
      <c r="A85" s="11" t="n">
        <v>2</v>
      </c>
      <c r="B85" s="12" t="n">
        <v>46190</v>
      </c>
      <c r="C85" s="12" t="n">
        <v>46212</v>
      </c>
      <c r="D85" s="11" t="n">
        <v>10010</v>
      </c>
      <c r="E85" s="13" t="s">
        <v>161</v>
      </c>
      <c r="F85" s="11" t="n">
        <v>24</v>
      </c>
      <c r="G85" s="13" t="s">
        <v>30</v>
      </c>
      <c r="H85" s="11" t="n">
        <v>2110101</v>
      </c>
      <c r="I85" s="13" t="s">
        <v>31</v>
      </c>
      <c r="J85" s="14" t="n">
        <v>1265758</v>
      </c>
      <c r="K85" s="14"/>
      <c r="L85" s="11" t="n">
        <v>41243</v>
      </c>
      <c r="M85" s="13" t="s">
        <v>105</v>
      </c>
      <c r="N85" s="15" t="s">
        <v>33</v>
      </c>
      <c r="O85" s="15"/>
      <c r="P85" s="11" t="n">
        <v>113</v>
      </c>
      <c r="Q85" s="13" t="s">
        <v>34</v>
      </c>
      <c r="R85" s="13" t="s">
        <v>35</v>
      </c>
      <c r="S85" s="11" t="n">
        <v>1130101</v>
      </c>
      <c r="T85" s="13" t="s">
        <v>36</v>
      </c>
      <c r="U85" s="16" t="n">
        <v>1222.04</v>
      </c>
      <c r="V85" s="16"/>
      <c r="W85" s="17" t="n">
        <v>0</v>
      </c>
      <c r="X85" s="15" t="s">
        <v>162</v>
      </c>
      <c r="Y85" s="15"/>
      <c r="Z85" s="1" t="str">
        <f aca="false">IF($T85="","",IFERROR(INDEX('Resumo Grupos'!$AC$3:$AC$2000,MATCH($T85,'Resumo Grupos'!$AB$3:$AB$2000,0)),"n/d"))</f>
        <v>Mercadoria</v>
      </c>
    </row>
    <row r="86" customFormat="false" ht="48" hidden="false" customHeight="true" outlineLevel="0" collapsed="false">
      <c r="A86" s="11" t="n">
        <v>2</v>
      </c>
      <c r="B86" s="12" t="n">
        <v>46190</v>
      </c>
      <c r="C86" s="12" t="n">
        <v>46204</v>
      </c>
      <c r="D86" s="11" t="n">
        <v>10019</v>
      </c>
      <c r="E86" s="13" t="s">
        <v>124</v>
      </c>
      <c r="F86" s="11" t="n">
        <v>24</v>
      </c>
      <c r="G86" s="13" t="s">
        <v>30</v>
      </c>
      <c r="H86" s="11" t="n">
        <v>2110101</v>
      </c>
      <c r="I86" s="13" t="s">
        <v>31</v>
      </c>
      <c r="J86" s="14" t="n">
        <v>1265922</v>
      </c>
      <c r="K86" s="14"/>
      <c r="L86" s="11" t="n">
        <v>168788</v>
      </c>
      <c r="M86" s="13" t="s">
        <v>105</v>
      </c>
      <c r="N86" s="15" t="s">
        <v>41</v>
      </c>
      <c r="O86" s="15"/>
      <c r="P86" s="11" t="n">
        <v>113</v>
      </c>
      <c r="Q86" s="13" t="s">
        <v>34</v>
      </c>
      <c r="R86" s="13" t="s">
        <v>35</v>
      </c>
      <c r="S86" s="11" t="n">
        <v>1130101</v>
      </c>
      <c r="T86" s="13" t="s">
        <v>36</v>
      </c>
      <c r="U86" s="16" t="n">
        <v>551.88</v>
      </c>
      <c r="V86" s="16"/>
      <c r="W86" s="17" t="n">
        <v>0</v>
      </c>
      <c r="X86" s="15" t="s">
        <v>163</v>
      </c>
      <c r="Y86" s="15"/>
      <c r="Z86" s="1" t="str">
        <f aca="false">IF($T86="","",IFERROR(INDEX('Resumo Grupos'!$AC$3:$AC$2000,MATCH($T86,'Resumo Grupos'!$AB$3:$AB$2000,0)),"n/d"))</f>
        <v>Mercadoria</v>
      </c>
    </row>
    <row r="87" customFormat="false" ht="28.5" hidden="false" customHeight="true" outlineLevel="0" collapsed="false">
      <c r="A87" s="11" t="n">
        <v>2</v>
      </c>
      <c r="B87" s="12" t="n">
        <v>46230</v>
      </c>
      <c r="C87" s="12" t="n">
        <v>46237</v>
      </c>
      <c r="D87" s="11" t="n">
        <v>1631</v>
      </c>
      <c r="E87" s="13" t="s">
        <v>164</v>
      </c>
      <c r="F87" s="11" t="n">
        <v>24</v>
      </c>
      <c r="G87" s="13" t="s">
        <v>30</v>
      </c>
      <c r="H87" s="11" t="n">
        <v>1110203</v>
      </c>
      <c r="I87" s="13" t="s">
        <v>100</v>
      </c>
      <c r="J87" s="14" t="n">
        <v>1459264</v>
      </c>
      <c r="K87" s="14"/>
      <c r="L87" s="11" t="n">
        <v>197493</v>
      </c>
      <c r="M87" s="13" t="s">
        <v>105</v>
      </c>
      <c r="N87" s="15" t="s">
        <v>41</v>
      </c>
      <c r="O87" s="15"/>
      <c r="P87" s="11" t="n">
        <v>113</v>
      </c>
      <c r="Q87" s="13" t="s">
        <v>34</v>
      </c>
      <c r="R87" s="13" t="s">
        <v>35</v>
      </c>
      <c r="S87" s="11" t="n">
        <v>1130101</v>
      </c>
      <c r="T87" s="13" t="s">
        <v>36</v>
      </c>
      <c r="U87" s="16" t="n">
        <v>272.52</v>
      </c>
      <c r="V87" s="16"/>
      <c r="W87" s="17" t="n">
        <v>0</v>
      </c>
      <c r="X87" s="15" t="s">
        <v>165</v>
      </c>
      <c r="Y87" s="15"/>
      <c r="Z87" s="1" t="str">
        <f aca="false">IF($T87="","",IFERROR(INDEX('Resumo Grupos'!$AC$3:$AC$2000,MATCH($T87,'Resumo Grupos'!$AB$3:$AB$2000,0)),"n/d"))</f>
        <v>Mercadoria</v>
      </c>
    </row>
    <row r="88" customFormat="false" ht="39" hidden="false" customHeight="true" outlineLevel="0" collapsed="false">
      <c r="A88" s="11" t="n">
        <v>2</v>
      </c>
      <c r="B88" s="12" t="n">
        <v>46190</v>
      </c>
      <c r="C88" s="12" t="n">
        <v>46204</v>
      </c>
      <c r="D88" s="11" t="n">
        <v>1745</v>
      </c>
      <c r="E88" s="13" t="s">
        <v>166</v>
      </c>
      <c r="F88" s="11" t="n">
        <v>24</v>
      </c>
      <c r="G88" s="13" t="s">
        <v>30</v>
      </c>
      <c r="H88" s="11" t="n">
        <v>2110101</v>
      </c>
      <c r="I88" s="13" t="s">
        <v>31</v>
      </c>
      <c r="J88" s="14" t="n">
        <v>1266289</v>
      </c>
      <c r="K88" s="14"/>
      <c r="L88" s="11" t="n">
        <v>346452</v>
      </c>
      <c r="M88" s="13" t="s">
        <v>32</v>
      </c>
      <c r="N88" s="15" t="s">
        <v>33</v>
      </c>
      <c r="O88" s="15"/>
      <c r="P88" s="11" t="n">
        <v>113</v>
      </c>
      <c r="Q88" s="13" t="s">
        <v>34</v>
      </c>
      <c r="R88" s="13" t="s">
        <v>35</v>
      </c>
      <c r="S88" s="11" t="n">
        <v>1130101</v>
      </c>
      <c r="T88" s="13" t="s">
        <v>36</v>
      </c>
      <c r="U88" s="16" t="n">
        <v>877.26</v>
      </c>
      <c r="V88" s="16"/>
      <c r="W88" s="17" t="n">
        <v>0</v>
      </c>
      <c r="X88" s="15" t="s">
        <v>167</v>
      </c>
      <c r="Y88" s="15"/>
      <c r="Z88" s="1" t="str">
        <f aca="false">IF($T88="","",IFERROR(INDEX('Resumo Grupos'!$AC$3:$AC$2000,MATCH($T88,'Resumo Grupos'!$AB$3:$AB$2000,0)),"n/d"))</f>
        <v>Mercadoria</v>
      </c>
    </row>
    <row r="89" customFormat="false" ht="39" hidden="false" customHeight="true" outlineLevel="0" collapsed="false">
      <c r="A89" s="11" t="n">
        <v>2</v>
      </c>
      <c r="B89" s="12" t="n">
        <v>46190</v>
      </c>
      <c r="C89" s="12" t="n">
        <v>46211</v>
      </c>
      <c r="D89" s="11" t="n">
        <v>1745</v>
      </c>
      <c r="E89" s="13" t="s">
        <v>166</v>
      </c>
      <c r="F89" s="11" t="n">
        <v>24</v>
      </c>
      <c r="G89" s="13" t="s">
        <v>30</v>
      </c>
      <c r="H89" s="11" t="n">
        <v>2110101</v>
      </c>
      <c r="I89" s="13" t="s">
        <v>31</v>
      </c>
      <c r="J89" s="14" t="n">
        <v>1266289</v>
      </c>
      <c r="K89" s="14"/>
      <c r="L89" s="11" t="n">
        <v>346452</v>
      </c>
      <c r="M89" s="13" t="s">
        <v>101</v>
      </c>
      <c r="N89" s="15" t="s">
        <v>33</v>
      </c>
      <c r="O89" s="15"/>
      <c r="P89" s="11" t="n">
        <v>113</v>
      </c>
      <c r="Q89" s="13" t="s">
        <v>34</v>
      </c>
      <c r="R89" s="13" t="s">
        <v>35</v>
      </c>
      <c r="S89" s="11" t="n">
        <v>1130101</v>
      </c>
      <c r="T89" s="13" t="s">
        <v>36</v>
      </c>
      <c r="U89" s="16" t="n">
        <v>877.29</v>
      </c>
      <c r="V89" s="16"/>
      <c r="W89" s="17" t="n">
        <v>0</v>
      </c>
      <c r="X89" s="15" t="s">
        <v>167</v>
      </c>
      <c r="Y89" s="15"/>
      <c r="Z89" s="1" t="str">
        <f aca="false">IF($T89="","",IFERROR(INDEX('Resumo Grupos'!$AC$3:$AC$2000,MATCH($T89,'Resumo Grupos'!$AB$3:$AB$2000,0)),"n/d"))</f>
        <v>Mercadoria</v>
      </c>
    </row>
    <row r="90" customFormat="false" ht="48" hidden="false" customHeight="true" outlineLevel="0" collapsed="false">
      <c r="A90" s="11" t="n">
        <v>2</v>
      </c>
      <c r="B90" s="12" t="n">
        <v>46191</v>
      </c>
      <c r="C90" s="12" t="n">
        <v>46275</v>
      </c>
      <c r="D90" s="11" t="n">
        <v>957</v>
      </c>
      <c r="E90" s="13" t="s">
        <v>156</v>
      </c>
      <c r="F90" s="11" t="n">
        <v>24</v>
      </c>
      <c r="G90" s="13" t="s">
        <v>30</v>
      </c>
      <c r="H90" s="11" t="n">
        <v>2110101</v>
      </c>
      <c r="I90" s="13" t="s">
        <v>31</v>
      </c>
      <c r="J90" s="14" t="n">
        <v>1268715</v>
      </c>
      <c r="K90" s="14"/>
      <c r="L90" s="11" t="n">
        <v>20440</v>
      </c>
      <c r="M90" s="13" t="s">
        <v>105</v>
      </c>
      <c r="N90" s="15" t="s">
        <v>33</v>
      </c>
      <c r="O90" s="15"/>
      <c r="P90" s="11" t="n">
        <v>113</v>
      </c>
      <c r="Q90" s="13" t="s">
        <v>34</v>
      </c>
      <c r="R90" s="13" t="s">
        <v>35</v>
      </c>
      <c r="S90" s="11" t="n">
        <v>1130101</v>
      </c>
      <c r="T90" s="13" t="s">
        <v>36</v>
      </c>
      <c r="U90" s="16" t="n">
        <v>128.85</v>
      </c>
      <c r="V90" s="16"/>
      <c r="W90" s="17" t="n">
        <v>0</v>
      </c>
      <c r="X90" s="15" t="s">
        <v>168</v>
      </c>
      <c r="Y90" s="15"/>
      <c r="Z90" s="1" t="str">
        <f aca="false">IF($T90="","",IFERROR(INDEX('Resumo Grupos'!$AC$3:$AC$2000,MATCH($T90,'Resumo Grupos'!$AB$3:$AB$2000,0)),"n/d"))</f>
        <v>Mercadoria</v>
      </c>
    </row>
    <row r="91" customFormat="false" ht="39" hidden="false" customHeight="true" outlineLevel="0" collapsed="false">
      <c r="A91" s="11" t="n">
        <v>2</v>
      </c>
      <c r="B91" s="12" t="n">
        <v>46191</v>
      </c>
      <c r="C91" s="12" t="n">
        <v>46205</v>
      </c>
      <c r="D91" s="11" t="n">
        <v>1705</v>
      </c>
      <c r="E91" s="13" t="s">
        <v>169</v>
      </c>
      <c r="F91" s="11" t="n">
        <v>24</v>
      </c>
      <c r="G91" s="13" t="s">
        <v>30</v>
      </c>
      <c r="H91" s="11" t="n">
        <v>2110101</v>
      </c>
      <c r="I91" s="13" t="s">
        <v>31</v>
      </c>
      <c r="J91" s="14" t="n">
        <v>1268754</v>
      </c>
      <c r="K91" s="14"/>
      <c r="L91" s="11" t="n">
        <v>1887053</v>
      </c>
      <c r="M91" s="13" t="s">
        <v>105</v>
      </c>
      <c r="N91" s="15" t="s">
        <v>33</v>
      </c>
      <c r="O91" s="15"/>
      <c r="P91" s="11" t="n">
        <v>113</v>
      </c>
      <c r="Q91" s="13" t="s">
        <v>34</v>
      </c>
      <c r="R91" s="13" t="s">
        <v>35</v>
      </c>
      <c r="S91" s="11" t="n">
        <v>1130101</v>
      </c>
      <c r="T91" s="13" t="s">
        <v>36</v>
      </c>
      <c r="U91" s="16" t="n">
        <v>1579.97</v>
      </c>
      <c r="V91" s="16"/>
      <c r="W91" s="17" t="n">
        <v>0</v>
      </c>
      <c r="X91" s="15" t="s">
        <v>170</v>
      </c>
      <c r="Y91" s="15"/>
      <c r="Z91" s="1" t="str">
        <f aca="false">IF($T91="","",IFERROR(INDEX('Resumo Grupos'!$AC$3:$AC$2000,MATCH($T91,'Resumo Grupos'!$AB$3:$AB$2000,0)),"n/d"))</f>
        <v>Mercadoria</v>
      </c>
    </row>
    <row r="92" customFormat="false" ht="39" hidden="false" customHeight="true" outlineLevel="0" collapsed="false">
      <c r="A92" s="11" t="n">
        <v>2</v>
      </c>
      <c r="B92" s="12" t="n">
        <v>46191</v>
      </c>
      <c r="C92" s="12" t="n">
        <v>46205</v>
      </c>
      <c r="D92" s="11" t="n">
        <v>1705</v>
      </c>
      <c r="E92" s="13" t="s">
        <v>169</v>
      </c>
      <c r="F92" s="11" t="n">
        <v>24</v>
      </c>
      <c r="G92" s="13" t="s">
        <v>30</v>
      </c>
      <c r="H92" s="11" t="n">
        <v>2110101</v>
      </c>
      <c r="I92" s="13" t="s">
        <v>31</v>
      </c>
      <c r="J92" s="14" t="n">
        <v>1268786</v>
      </c>
      <c r="K92" s="14"/>
      <c r="L92" s="11" t="n">
        <v>168789</v>
      </c>
      <c r="M92" s="13" t="s">
        <v>105</v>
      </c>
      <c r="N92" s="15" t="s">
        <v>41</v>
      </c>
      <c r="O92" s="15"/>
      <c r="P92" s="11" t="n">
        <v>113</v>
      </c>
      <c r="Q92" s="13" t="s">
        <v>34</v>
      </c>
      <c r="R92" s="13" t="s">
        <v>35</v>
      </c>
      <c r="S92" s="11" t="n">
        <v>1130101</v>
      </c>
      <c r="T92" s="13" t="s">
        <v>36</v>
      </c>
      <c r="U92" s="16" t="n">
        <v>105.91</v>
      </c>
      <c r="V92" s="16"/>
      <c r="W92" s="17" t="n">
        <v>0</v>
      </c>
      <c r="X92" s="15" t="s">
        <v>171</v>
      </c>
      <c r="Y92" s="15"/>
      <c r="Z92" s="1" t="str">
        <f aca="false">IF($T92="","",IFERROR(INDEX('Resumo Grupos'!$AC$3:$AC$2000,MATCH($T92,'Resumo Grupos'!$AB$3:$AB$2000,0)),"n/d"))</f>
        <v>Mercadoria</v>
      </c>
    </row>
    <row r="93" customFormat="false" ht="28.5" hidden="false" customHeight="true" outlineLevel="0" collapsed="false">
      <c r="A93" s="11" t="n">
        <v>2</v>
      </c>
      <c r="B93" s="12" t="n">
        <v>46191</v>
      </c>
      <c r="C93" s="12" t="n">
        <v>46204</v>
      </c>
      <c r="D93" s="11" t="n">
        <v>10029</v>
      </c>
      <c r="E93" s="13" t="s">
        <v>172</v>
      </c>
      <c r="F93" s="11" t="n">
        <v>24</v>
      </c>
      <c r="G93" s="13" t="s">
        <v>30</v>
      </c>
      <c r="H93" s="11" t="n">
        <v>2110405</v>
      </c>
      <c r="I93" s="13" t="s">
        <v>51</v>
      </c>
      <c r="J93" s="14" t="n">
        <v>1268812</v>
      </c>
      <c r="K93" s="14"/>
      <c r="L93" s="11" t="n">
        <v>168790</v>
      </c>
      <c r="M93" s="13" t="s">
        <v>105</v>
      </c>
      <c r="N93" s="15" t="s">
        <v>41</v>
      </c>
      <c r="O93" s="15"/>
      <c r="P93" s="11" t="n">
        <v>113</v>
      </c>
      <c r="Q93" s="13" t="s">
        <v>34</v>
      </c>
      <c r="R93" s="13" t="s">
        <v>60</v>
      </c>
      <c r="S93" s="11" t="n">
        <v>4210227</v>
      </c>
      <c r="T93" s="13" t="s">
        <v>70</v>
      </c>
      <c r="U93" s="16" t="n">
        <v>920</v>
      </c>
      <c r="V93" s="16"/>
      <c r="W93" s="17" t="n">
        <v>0</v>
      </c>
      <c r="X93" s="15" t="s">
        <v>173</v>
      </c>
      <c r="Y93" s="15"/>
      <c r="Z93" s="1" t="str">
        <f aca="false">IF($T93="","",IFERROR(INDEX('Resumo Grupos'!$AC$3:$AC$2000,MATCH($T93,'Resumo Grupos'!$AB$3:$AB$2000,0)),"n/d"))</f>
        <v>Despesa</v>
      </c>
    </row>
    <row r="94" customFormat="false" ht="28.5" hidden="false" customHeight="true" outlineLevel="0" collapsed="false">
      <c r="A94" s="11" t="n">
        <v>2</v>
      </c>
      <c r="B94" s="12" t="n">
        <v>46191</v>
      </c>
      <c r="C94" s="12" t="n">
        <v>46211</v>
      </c>
      <c r="D94" s="11" t="n">
        <v>10029</v>
      </c>
      <c r="E94" s="13" t="s">
        <v>172</v>
      </c>
      <c r="F94" s="11" t="n">
        <v>24</v>
      </c>
      <c r="G94" s="13" t="s">
        <v>30</v>
      </c>
      <c r="H94" s="11" t="n">
        <v>2110405</v>
      </c>
      <c r="I94" s="13" t="s">
        <v>51</v>
      </c>
      <c r="J94" s="14" t="n">
        <v>1268814</v>
      </c>
      <c r="K94" s="14"/>
      <c r="L94" s="11" t="n">
        <v>168791</v>
      </c>
      <c r="M94" s="13" t="s">
        <v>105</v>
      </c>
      <c r="N94" s="15" t="s">
        <v>41</v>
      </c>
      <c r="O94" s="15"/>
      <c r="P94" s="11" t="n">
        <v>113</v>
      </c>
      <c r="Q94" s="13" t="s">
        <v>34</v>
      </c>
      <c r="R94" s="13" t="s">
        <v>60</v>
      </c>
      <c r="S94" s="11" t="n">
        <v>4210227</v>
      </c>
      <c r="T94" s="13" t="s">
        <v>70</v>
      </c>
      <c r="U94" s="16" t="n">
        <v>920</v>
      </c>
      <c r="V94" s="16"/>
      <c r="W94" s="17" t="n">
        <v>0</v>
      </c>
      <c r="X94" s="15" t="s">
        <v>173</v>
      </c>
      <c r="Y94" s="15"/>
      <c r="Z94" s="1" t="str">
        <f aca="false">IF($T94="","",IFERROR(INDEX('Resumo Grupos'!$AC$3:$AC$2000,MATCH($T94,'Resumo Grupos'!$AB$3:$AB$2000,0)),"n/d"))</f>
        <v>Despesa</v>
      </c>
    </row>
    <row r="95" customFormat="false" ht="57" hidden="false" customHeight="true" outlineLevel="0" collapsed="false">
      <c r="A95" s="11" t="n">
        <v>2</v>
      </c>
      <c r="B95" s="12" t="n">
        <v>46191</v>
      </c>
      <c r="C95" s="12" t="n">
        <v>46205</v>
      </c>
      <c r="D95" s="11" t="n">
        <v>1634</v>
      </c>
      <c r="E95" s="13" t="s">
        <v>174</v>
      </c>
      <c r="F95" s="11" t="n">
        <v>24</v>
      </c>
      <c r="G95" s="13" t="s">
        <v>30</v>
      </c>
      <c r="H95" s="11" t="n">
        <v>2110101</v>
      </c>
      <c r="I95" s="13" t="s">
        <v>31</v>
      </c>
      <c r="J95" s="14" t="n">
        <v>1268848</v>
      </c>
      <c r="K95" s="14"/>
      <c r="L95" s="11" t="n">
        <v>326863</v>
      </c>
      <c r="M95" s="13" t="s">
        <v>105</v>
      </c>
      <c r="N95" s="15" t="s">
        <v>33</v>
      </c>
      <c r="O95" s="15"/>
      <c r="P95" s="11" t="n">
        <v>113</v>
      </c>
      <c r="Q95" s="13" t="s">
        <v>34</v>
      </c>
      <c r="R95" s="13" t="s">
        <v>35</v>
      </c>
      <c r="S95" s="11" t="n">
        <v>1130101</v>
      </c>
      <c r="T95" s="13" t="s">
        <v>36</v>
      </c>
      <c r="U95" s="16" t="n">
        <v>496.2</v>
      </c>
      <c r="V95" s="16"/>
      <c r="W95" s="17" t="n">
        <v>0</v>
      </c>
      <c r="X95" s="15" t="s">
        <v>175</v>
      </c>
      <c r="Y95" s="15"/>
      <c r="Z95" s="1" t="str">
        <f aca="false">IF($T95="","",IFERROR(INDEX('Resumo Grupos'!$AC$3:$AC$2000,MATCH($T95,'Resumo Grupos'!$AB$3:$AB$2000,0)),"n/d"))</f>
        <v>Mercadoria</v>
      </c>
    </row>
    <row r="96" customFormat="false" ht="57" hidden="false" customHeight="true" outlineLevel="0" collapsed="false">
      <c r="A96" s="11" t="n">
        <v>2</v>
      </c>
      <c r="B96" s="12" t="n">
        <v>46191</v>
      </c>
      <c r="C96" s="12" t="n">
        <v>46212</v>
      </c>
      <c r="D96" s="11" t="n">
        <v>1634</v>
      </c>
      <c r="E96" s="13" t="s">
        <v>174</v>
      </c>
      <c r="F96" s="11" t="n">
        <v>24</v>
      </c>
      <c r="G96" s="13" t="s">
        <v>30</v>
      </c>
      <c r="H96" s="11" t="n">
        <v>2110101</v>
      </c>
      <c r="I96" s="13" t="s">
        <v>31</v>
      </c>
      <c r="J96" s="14" t="n">
        <v>1268848</v>
      </c>
      <c r="K96" s="14"/>
      <c r="L96" s="11" t="n">
        <v>326863</v>
      </c>
      <c r="M96" s="13" t="s">
        <v>32</v>
      </c>
      <c r="N96" s="15" t="s">
        <v>33</v>
      </c>
      <c r="O96" s="15"/>
      <c r="P96" s="11" t="n">
        <v>113</v>
      </c>
      <c r="Q96" s="13" t="s">
        <v>34</v>
      </c>
      <c r="R96" s="13" t="s">
        <v>35</v>
      </c>
      <c r="S96" s="11" t="n">
        <v>1130101</v>
      </c>
      <c r="T96" s="13" t="s">
        <v>36</v>
      </c>
      <c r="U96" s="16" t="n">
        <v>496.2</v>
      </c>
      <c r="V96" s="16"/>
      <c r="W96" s="17" t="n">
        <v>0</v>
      </c>
      <c r="X96" s="15" t="s">
        <v>175</v>
      </c>
      <c r="Y96" s="15"/>
      <c r="Z96" s="1" t="str">
        <f aca="false">IF($T96="","",IFERROR(INDEX('Resumo Grupos'!$AC$3:$AC$2000,MATCH($T96,'Resumo Grupos'!$AB$3:$AB$2000,0)),"n/d"))</f>
        <v>Mercadoria</v>
      </c>
    </row>
    <row r="97" customFormat="false" ht="48" hidden="false" customHeight="true" outlineLevel="0" collapsed="false">
      <c r="A97" s="11" t="n">
        <v>2</v>
      </c>
      <c r="B97" s="12" t="n">
        <v>46191</v>
      </c>
      <c r="C97" s="12" t="n">
        <v>46210</v>
      </c>
      <c r="D97" s="11" t="n">
        <v>1668</v>
      </c>
      <c r="E97" s="13" t="s">
        <v>176</v>
      </c>
      <c r="F97" s="11" t="n">
        <v>24</v>
      </c>
      <c r="G97" s="13" t="s">
        <v>30</v>
      </c>
      <c r="H97" s="11" t="n">
        <v>2110101</v>
      </c>
      <c r="I97" s="13" t="s">
        <v>31</v>
      </c>
      <c r="J97" s="14" t="n">
        <v>1269061</v>
      </c>
      <c r="K97" s="14"/>
      <c r="L97" s="11" t="n">
        <v>729265</v>
      </c>
      <c r="M97" s="13" t="s">
        <v>101</v>
      </c>
      <c r="N97" s="15" t="s">
        <v>33</v>
      </c>
      <c r="O97" s="15"/>
      <c r="P97" s="11" t="n">
        <v>113</v>
      </c>
      <c r="Q97" s="13" t="s">
        <v>34</v>
      </c>
      <c r="R97" s="13" t="s">
        <v>35</v>
      </c>
      <c r="S97" s="11" t="n">
        <v>1130101</v>
      </c>
      <c r="T97" s="13" t="s">
        <v>36</v>
      </c>
      <c r="U97" s="16" t="n">
        <v>326.84</v>
      </c>
      <c r="V97" s="16"/>
      <c r="W97" s="17" t="n">
        <v>0</v>
      </c>
      <c r="X97" s="15" t="s">
        <v>177</v>
      </c>
      <c r="Y97" s="15"/>
      <c r="Z97" s="1" t="str">
        <f aca="false">IF($T97="","",IFERROR(INDEX('Resumo Grupos'!$AC$3:$AC$2000,MATCH($T97,'Resumo Grupos'!$AB$3:$AB$2000,0)),"n/d"))</f>
        <v>Mercadoria</v>
      </c>
    </row>
    <row r="98" customFormat="false" ht="57" hidden="false" customHeight="true" outlineLevel="0" collapsed="false">
      <c r="A98" s="11" t="n">
        <v>2</v>
      </c>
      <c r="B98" s="12" t="n">
        <v>46191</v>
      </c>
      <c r="C98" s="12" t="n">
        <v>46205</v>
      </c>
      <c r="D98" s="11" t="n">
        <v>1815</v>
      </c>
      <c r="E98" s="13" t="s">
        <v>178</v>
      </c>
      <c r="F98" s="11" t="n">
        <v>24</v>
      </c>
      <c r="G98" s="13" t="s">
        <v>30</v>
      </c>
      <c r="H98" s="11" t="n">
        <v>2110101</v>
      </c>
      <c r="I98" s="13" t="s">
        <v>31</v>
      </c>
      <c r="J98" s="14" t="n">
        <v>1269162</v>
      </c>
      <c r="K98" s="14"/>
      <c r="L98" s="11" t="n">
        <v>387833</v>
      </c>
      <c r="M98" s="13" t="s">
        <v>32</v>
      </c>
      <c r="N98" s="15" t="s">
        <v>33</v>
      </c>
      <c r="O98" s="15"/>
      <c r="P98" s="11" t="n">
        <v>113</v>
      </c>
      <c r="Q98" s="13" t="s">
        <v>34</v>
      </c>
      <c r="R98" s="13" t="s">
        <v>35</v>
      </c>
      <c r="S98" s="11" t="n">
        <v>1130101</v>
      </c>
      <c r="T98" s="13" t="s">
        <v>36</v>
      </c>
      <c r="U98" s="16" t="n">
        <v>2664.53</v>
      </c>
      <c r="V98" s="16"/>
      <c r="W98" s="17" t="n">
        <v>0</v>
      </c>
      <c r="X98" s="15" t="s">
        <v>179</v>
      </c>
      <c r="Y98" s="15"/>
      <c r="Z98" s="1" t="str">
        <f aca="false">IF($T98="","",IFERROR(INDEX('Resumo Grupos'!$AC$3:$AC$2000,MATCH($T98,'Resumo Grupos'!$AB$3:$AB$2000,0)),"n/d"))</f>
        <v>Mercadoria</v>
      </c>
    </row>
    <row r="99" customFormat="false" ht="57" hidden="false" customHeight="true" outlineLevel="0" collapsed="false">
      <c r="A99" s="11" t="n">
        <v>2</v>
      </c>
      <c r="B99" s="12" t="n">
        <v>46191</v>
      </c>
      <c r="C99" s="12" t="n">
        <v>46212</v>
      </c>
      <c r="D99" s="11" t="n">
        <v>1815</v>
      </c>
      <c r="E99" s="13" t="s">
        <v>178</v>
      </c>
      <c r="F99" s="11" t="n">
        <v>24</v>
      </c>
      <c r="G99" s="13" t="s">
        <v>30</v>
      </c>
      <c r="H99" s="11" t="n">
        <v>2110101</v>
      </c>
      <c r="I99" s="13" t="s">
        <v>31</v>
      </c>
      <c r="J99" s="14" t="n">
        <v>1269162</v>
      </c>
      <c r="K99" s="14"/>
      <c r="L99" s="11" t="n">
        <v>387833</v>
      </c>
      <c r="M99" s="13" t="s">
        <v>101</v>
      </c>
      <c r="N99" s="15" t="s">
        <v>33</v>
      </c>
      <c r="O99" s="15"/>
      <c r="P99" s="11" t="n">
        <v>113</v>
      </c>
      <c r="Q99" s="13" t="s">
        <v>34</v>
      </c>
      <c r="R99" s="13" t="s">
        <v>35</v>
      </c>
      <c r="S99" s="11" t="n">
        <v>1130101</v>
      </c>
      <c r="T99" s="13" t="s">
        <v>36</v>
      </c>
      <c r="U99" s="16" t="n">
        <v>2664.54</v>
      </c>
      <c r="V99" s="16"/>
      <c r="W99" s="17" t="n">
        <v>0</v>
      </c>
      <c r="X99" s="15" t="s">
        <v>179</v>
      </c>
      <c r="Y99" s="15"/>
      <c r="Z99" s="1" t="str">
        <f aca="false">IF($T99="","",IFERROR(INDEX('Resumo Grupos'!$AC$3:$AC$2000,MATCH($T99,'Resumo Grupos'!$AB$3:$AB$2000,0)),"n/d"))</f>
        <v>Mercadoria</v>
      </c>
    </row>
    <row r="100" customFormat="false" ht="39" hidden="false" customHeight="true" outlineLevel="0" collapsed="false">
      <c r="A100" s="11" t="n">
        <v>2</v>
      </c>
      <c r="B100" s="12" t="n">
        <v>46191</v>
      </c>
      <c r="C100" s="12" t="n">
        <v>46206</v>
      </c>
      <c r="D100" s="11" t="n">
        <v>1718</v>
      </c>
      <c r="E100" s="13" t="s">
        <v>180</v>
      </c>
      <c r="F100" s="11" t="n">
        <v>24</v>
      </c>
      <c r="G100" s="13" t="s">
        <v>30</v>
      </c>
      <c r="H100" s="11" t="n">
        <v>2110101</v>
      </c>
      <c r="I100" s="13" t="s">
        <v>31</v>
      </c>
      <c r="J100" s="14" t="n">
        <v>1269265</v>
      </c>
      <c r="K100" s="14"/>
      <c r="L100" s="11" t="n">
        <v>674938</v>
      </c>
      <c r="M100" s="13" t="s">
        <v>105</v>
      </c>
      <c r="N100" s="15" t="s">
        <v>33</v>
      </c>
      <c r="O100" s="15"/>
      <c r="P100" s="11" t="n">
        <v>113</v>
      </c>
      <c r="Q100" s="13" t="s">
        <v>34</v>
      </c>
      <c r="R100" s="13" t="s">
        <v>35</v>
      </c>
      <c r="S100" s="11" t="n">
        <v>1130101</v>
      </c>
      <c r="T100" s="13" t="s">
        <v>36</v>
      </c>
      <c r="U100" s="16" t="n">
        <v>658.25</v>
      </c>
      <c r="V100" s="16"/>
      <c r="W100" s="17" t="n">
        <v>0</v>
      </c>
      <c r="X100" s="15" t="s">
        <v>181</v>
      </c>
      <c r="Y100" s="15"/>
      <c r="Z100" s="1" t="str">
        <f aca="false">IF($T100="","",IFERROR(INDEX('Resumo Grupos'!$AC$3:$AC$2000,MATCH($T100,'Resumo Grupos'!$AB$3:$AB$2000,0)),"n/d"))</f>
        <v>Mercadoria</v>
      </c>
    </row>
    <row r="101" customFormat="false" ht="39" hidden="false" customHeight="true" outlineLevel="0" collapsed="false">
      <c r="A101" s="11" t="n">
        <v>2</v>
      </c>
      <c r="B101" s="12" t="n">
        <v>46191</v>
      </c>
      <c r="C101" s="12" t="n">
        <v>46206</v>
      </c>
      <c r="D101" s="11" t="n">
        <v>1718</v>
      </c>
      <c r="E101" s="13" t="s">
        <v>180</v>
      </c>
      <c r="F101" s="11" t="n">
        <v>24</v>
      </c>
      <c r="G101" s="13" t="s">
        <v>30</v>
      </c>
      <c r="H101" s="11" t="n">
        <v>2110101</v>
      </c>
      <c r="I101" s="13" t="s">
        <v>31</v>
      </c>
      <c r="J101" s="14" t="n">
        <v>1269305</v>
      </c>
      <c r="K101" s="14"/>
      <c r="L101" s="11" t="n">
        <v>674937</v>
      </c>
      <c r="M101" s="13" t="s">
        <v>105</v>
      </c>
      <c r="N101" s="15" t="s">
        <v>33</v>
      </c>
      <c r="O101" s="15"/>
      <c r="P101" s="11" t="n">
        <v>113</v>
      </c>
      <c r="Q101" s="13" t="s">
        <v>34</v>
      </c>
      <c r="R101" s="13" t="s">
        <v>35</v>
      </c>
      <c r="S101" s="11" t="n">
        <v>1130101</v>
      </c>
      <c r="T101" s="13" t="s">
        <v>36</v>
      </c>
      <c r="U101" s="16" t="n">
        <v>1055.34</v>
      </c>
      <c r="V101" s="16"/>
      <c r="W101" s="17" t="n">
        <v>0</v>
      </c>
      <c r="X101" s="15" t="s">
        <v>182</v>
      </c>
      <c r="Y101" s="15"/>
      <c r="Z101" s="1" t="str">
        <f aca="false">IF($T101="","",IFERROR(INDEX('Resumo Grupos'!$AC$3:$AC$2000,MATCH($T101,'Resumo Grupos'!$AB$3:$AB$2000,0)),"n/d"))</f>
        <v>Mercadoria</v>
      </c>
    </row>
    <row r="102" customFormat="false" ht="39" hidden="false" customHeight="true" outlineLevel="0" collapsed="false">
      <c r="A102" s="11" t="n">
        <v>2</v>
      </c>
      <c r="B102" s="12" t="n">
        <v>46191</v>
      </c>
      <c r="C102" s="12" t="n">
        <v>46213</v>
      </c>
      <c r="D102" s="11" t="n">
        <v>1718</v>
      </c>
      <c r="E102" s="13" t="s">
        <v>180</v>
      </c>
      <c r="F102" s="11" t="n">
        <v>24</v>
      </c>
      <c r="G102" s="13" t="s">
        <v>30</v>
      </c>
      <c r="H102" s="11" t="n">
        <v>2110101</v>
      </c>
      <c r="I102" s="13" t="s">
        <v>31</v>
      </c>
      <c r="J102" s="14" t="n">
        <v>1269305</v>
      </c>
      <c r="K102" s="14"/>
      <c r="L102" s="11" t="n">
        <v>674937</v>
      </c>
      <c r="M102" s="13" t="s">
        <v>32</v>
      </c>
      <c r="N102" s="15" t="s">
        <v>33</v>
      </c>
      <c r="O102" s="15"/>
      <c r="P102" s="11" t="n">
        <v>113</v>
      </c>
      <c r="Q102" s="13" t="s">
        <v>34</v>
      </c>
      <c r="R102" s="13" t="s">
        <v>35</v>
      </c>
      <c r="S102" s="11" t="n">
        <v>1130101</v>
      </c>
      <c r="T102" s="13" t="s">
        <v>36</v>
      </c>
      <c r="U102" s="16" t="n">
        <v>1055.34</v>
      </c>
      <c r="V102" s="16"/>
      <c r="W102" s="17" t="n">
        <v>0</v>
      </c>
      <c r="X102" s="15" t="s">
        <v>182</v>
      </c>
      <c r="Y102" s="15"/>
      <c r="Z102" s="1" t="str">
        <f aca="false">IF($T102="","",IFERROR(INDEX('Resumo Grupos'!$AC$3:$AC$2000,MATCH($T102,'Resumo Grupos'!$AB$3:$AB$2000,0)),"n/d"))</f>
        <v>Mercadoria</v>
      </c>
    </row>
    <row r="103" customFormat="false" ht="39" hidden="false" customHeight="true" outlineLevel="0" collapsed="false">
      <c r="A103" s="11" t="n">
        <v>2</v>
      </c>
      <c r="B103" s="12" t="n">
        <v>46191</v>
      </c>
      <c r="C103" s="12" t="n">
        <v>46220</v>
      </c>
      <c r="D103" s="11" t="n">
        <v>1718</v>
      </c>
      <c r="E103" s="13" t="s">
        <v>180</v>
      </c>
      <c r="F103" s="11" t="n">
        <v>24</v>
      </c>
      <c r="G103" s="13" t="s">
        <v>30</v>
      </c>
      <c r="H103" s="11" t="n">
        <v>2110101</v>
      </c>
      <c r="I103" s="13" t="s">
        <v>31</v>
      </c>
      <c r="J103" s="14" t="n">
        <v>1269305</v>
      </c>
      <c r="K103" s="14"/>
      <c r="L103" s="11" t="n">
        <v>674937</v>
      </c>
      <c r="M103" s="13" t="s">
        <v>101</v>
      </c>
      <c r="N103" s="15" t="s">
        <v>33</v>
      </c>
      <c r="O103" s="15"/>
      <c r="P103" s="11" t="n">
        <v>113</v>
      </c>
      <c r="Q103" s="13" t="s">
        <v>34</v>
      </c>
      <c r="R103" s="13" t="s">
        <v>35</v>
      </c>
      <c r="S103" s="11" t="n">
        <v>1130101</v>
      </c>
      <c r="T103" s="13" t="s">
        <v>36</v>
      </c>
      <c r="U103" s="16" t="n">
        <v>1055.33</v>
      </c>
      <c r="V103" s="16"/>
      <c r="W103" s="17" t="n">
        <v>0</v>
      </c>
      <c r="X103" s="15" t="s">
        <v>182</v>
      </c>
      <c r="Y103" s="15"/>
      <c r="Z103" s="1" t="str">
        <f aca="false">IF($T103="","",IFERROR(INDEX('Resumo Grupos'!$AC$3:$AC$2000,MATCH($T103,'Resumo Grupos'!$AB$3:$AB$2000,0)),"n/d"))</f>
        <v>Mercadoria</v>
      </c>
    </row>
    <row r="104" customFormat="false" ht="39" hidden="false" customHeight="true" outlineLevel="0" collapsed="false">
      <c r="A104" s="11" t="n">
        <v>2</v>
      </c>
      <c r="B104" s="12" t="n">
        <v>46191</v>
      </c>
      <c r="C104" s="12" t="n">
        <v>46221</v>
      </c>
      <c r="D104" s="11" t="n">
        <v>10037</v>
      </c>
      <c r="E104" s="13" t="s">
        <v>183</v>
      </c>
      <c r="F104" s="11" t="n">
        <v>24</v>
      </c>
      <c r="G104" s="13" t="s">
        <v>30</v>
      </c>
      <c r="H104" s="11" t="n">
        <v>2110101</v>
      </c>
      <c r="I104" s="13" t="s">
        <v>31</v>
      </c>
      <c r="J104" s="14" t="n">
        <v>1269763</v>
      </c>
      <c r="K104" s="14"/>
      <c r="L104" s="11" t="n">
        <v>2495</v>
      </c>
      <c r="M104" s="13" t="s">
        <v>105</v>
      </c>
      <c r="N104" s="15" t="s">
        <v>33</v>
      </c>
      <c r="O104" s="15"/>
      <c r="P104" s="11" t="n">
        <v>113</v>
      </c>
      <c r="Q104" s="13" t="s">
        <v>34</v>
      </c>
      <c r="R104" s="13" t="s">
        <v>35</v>
      </c>
      <c r="S104" s="11" t="n">
        <v>1130101</v>
      </c>
      <c r="T104" s="13" t="s">
        <v>36</v>
      </c>
      <c r="U104" s="16" t="n">
        <v>660</v>
      </c>
      <c r="V104" s="16"/>
      <c r="W104" s="17" t="n">
        <v>0</v>
      </c>
      <c r="X104" s="15" t="s">
        <v>184</v>
      </c>
      <c r="Y104" s="15"/>
      <c r="Z104" s="1" t="str">
        <f aca="false">IF($T104="","",IFERROR(INDEX('Resumo Grupos'!$AC$3:$AC$2000,MATCH($T104,'Resumo Grupos'!$AB$3:$AB$2000,0)),"n/d"))</f>
        <v>Mercadoria</v>
      </c>
    </row>
    <row r="105" customFormat="false" ht="48" hidden="false" customHeight="true" outlineLevel="0" collapsed="false">
      <c r="A105" s="11" t="n">
        <v>2</v>
      </c>
      <c r="B105" s="12" t="n">
        <v>46191</v>
      </c>
      <c r="C105" s="12" t="n">
        <v>46211</v>
      </c>
      <c r="D105" s="11" t="n">
        <v>1668</v>
      </c>
      <c r="E105" s="13" t="s">
        <v>176</v>
      </c>
      <c r="F105" s="11" t="n">
        <v>24</v>
      </c>
      <c r="G105" s="13" t="s">
        <v>30</v>
      </c>
      <c r="H105" s="11" t="n">
        <v>2110101</v>
      </c>
      <c r="I105" s="13" t="s">
        <v>31</v>
      </c>
      <c r="J105" s="14" t="n">
        <v>1269854</v>
      </c>
      <c r="K105" s="14"/>
      <c r="L105" s="11" t="n">
        <v>729799</v>
      </c>
      <c r="M105" s="13" t="s">
        <v>105</v>
      </c>
      <c r="N105" s="15" t="s">
        <v>33</v>
      </c>
      <c r="O105" s="15"/>
      <c r="P105" s="11" t="n">
        <v>113</v>
      </c>
      <c r="Q105" s="13" t="s">
        <v>34</v>
      </c>
      <c r="R105" s="13" t="s">
        <v>35</v>
      </c>
      <c r="S105" s="11" t="n">
        <v>1130101</v>
      </c>
      <c r="T105" s="13" t="s">
        <v>36</v>
      </c>
      <c r="U105" s="16" t="n">
        <v>381.51</v>
      </c>
      <c r="V105" s="16"/>
      <c r="W105" s="17" t="n">
        <v>0</v>
      </c>
      <c r="X105" s="15" t="s">
        <v>185</v>
      </c>
      <c r="Y105" s="15"/>
      <c r="Z105" s="1" t="str">
        <f aca="false">IF($T105="","",IFERROR(INDEX('Resumo Grupos'!$AC$3:$AC$2000,MATCH($T105,'Resumo Grupos'!$AB$3:$AB$2000,0)),"n/d"))</f>
        <v>Mercadoria</v>
      </c>
    </row>
    <row r="106" customFormat="false" ht="48" hidden="false" customHeight="true" outlineLevel="0" collapsed="false">
      <c r="A106" s="11" t="n">
        <v>2</v>
      </c>
      <c r="B106" s="12" t="n">
        <v>46191</v>
      </c>
      <c r="C106" s="12" t="n">
        <v>46211</v>
      </c>
      <c r="D106" s="11" t="n">
        <v>10085</v>
      </c>
      <c r="E106" s="13" t="s">
        <v>186</v>
      </c>
      <c r="F106" s="11" t="n">
        <v>24</v>
      </c>
      <c r="G106" s="13" t="s">
        <v>30</v>
      </c>
      <c r="H106" s="11" t="n">
        <v>2110101</v>
      </c>
      <c r="I106" s="13" t="s">
        <v>31</v>
      </c>
      <c r="J106" s="14" t="n">
        <v>1269959</v>
      </c>
      <c r="K106" s="14"/>
      <c r="L106" s="11" t="n">
        <v>252</v>
      </c>
      <c r="M106" s="13" t="s">
        <v>105</v>
      </c>
      <c r="N106" s="15" t="s">
        <v>33</v>
      </c>
      <c r="O106" s="15"/>
      <c r="P106" s="11" t="n">
        <v>113</v>
      </c>
      <c r="Q106" s="13" t="s">
        <v>34</v>
      </c>
      <c r="R106" s="13" t="s">
        <v>35</v>
      </c>
      <c r="S106" s="11" t="n">
        <v>1130101</v>
      </c>
      <c r="T106" s="13" t="s">
        <v>36</v>
      </c>
      <c r="U106" s="16" t="n">
        <v>324.43</v>
      </c>
      <c r="V106" s="16"/>
      <c r="W106" s="17" t="n">
        <v>0</v>
      </c>
      <c r="X106" s="15" t="s">
        <v>187</v>
      </c>
      <c r="Y106" s="15"/>
      <c r="Z106" s="1" t="str">
        <f aca="false">IF($T106="","",IFERROR(INDEX('Resumo Grupos'!$AC$3:$AC$2000,MATCH($T106,'Resumo Grupos'!$AB$3:$AB$2000,0)),"n/d"))</f>
        <v>Mercadoria</v>
      </c>
    </row>
    <row r="107" customFormat="false" ht="48" hidden="false" customHeight="true" outlineLevel="0" collapsed="false">
      <c r="A107" s="11" t="n">
        <v>2</v>
      </c>
      <c r="B107" s="12" t="n">
        <v>46191</v>
      </c>
      <c r="C107" s="12" t="n">
        <v>46205</v>
      </c>
      <c r="D107" s="11" t="n">
        <v>1676</v>
      </c>
      <c r="E107" s="13" t="s">
        <v>188</v>
      </c>
      <c r="F107" s="11" t="n">
        <v>24</v>
      </c>
      <c r="G107" s="13" t="s">
        <v>30</v>
      </c>
      <c r="H107" s="11" t="n">
        <v>2110101</v>
      </c>
      <c r="I107" s="13" t="s">
        <v>31</v>
      </c>
      <c r="J107" s="14" t="n">
        <v>1270149</v>
      </c>
      <c r="K107" s="14"/>
      <c r="L107" s="11" t="n">
        <v>10423</v>
      </c>
      <c r="M107" s="13" t="s">
        <v>105</v>
      </c>
      <c r="N107" s="15" t="s">
        <v>33</v>
      </c>
      <c r="O107" s="15"/>
      <c r="P107" s="11" t="n">
        <v>113</v>
      </c>
      <c r="Q107" s="13" t="s">
        <v>34</v>
      </c>
      <c r="R107" s="13" t="s">
        <v>35</v>
      </c>
      <c r="S107" s="11" t="n">
        <v>1130101</v>
      </c>
      <c r="T107" s="13" t="s">
        <v>36</v>
      </c>
      <c r="U107" s="16" t="n">
        <v>552.38</v>
      </c>
      <c r="V107" s="16"/>
      <c r="W107" s="17" t="n">
        <v>0</v>
      </c>
      <c r="X107" s="15" t="s">
        <v>189</v>
      </c>
      <c r="Y107" s="15"/>
      <c r="Z107" s="1" t="str">
        <f aca="false">IF($T107="","",IFERROR(INDEX('Resumo Grupos'!$AC$3:$AC$2000,MATCH($T107,'Resumo Grupos'!$AB$3:$AB$2000,0)),"n/d"))</f>
        <v>Mercadoria</v>
      </c>
    </row>
    <row r="108" customFormat="false" ht="48" hidden="false" customHeight="true" outlineLevel="0" collapsed="false">
      <c r="A108" s="11" t="n">
        <v>2</v>
      </c>
      <c r="B108" s="12" t="n">
        <v>46191</v>
      </c>
      <c r="C108" s="12" t="n">
        <v>46212</v>
      </c>
      <c r="D108" s="11" t="n">
        <v>1676</v>
      </c>
      <c r="E108" s="13" t="s">
        <v>188</v>
      </c>
      <c r="F108" s="11" t="n">
        <v>24</v>
      </c>
      <c r="G108" s="13" t="s">
        <v>30</v>
      </c>
      <c r="H108" s="11" t="n">
        <v>2110101</v>
      </c>
      <c r="I108" s="13" t="s">
        <v>31</v>
      </c>
      <c r="J108" s="14" t="n">
        <v>1270149</v>
      </c>
      <c r="K108" s="14"/>
      <c r="L108" s="11" t="n">
        <v>10423</v>
      </c>
      <c r="M108" s="13" t="s">
        <v>32</v>
      </c>
      <c r="N108" s="15" t="s">
        <v>33</v>
      </c>
      <c r="O108" s="15"/>
      <c r="P108" s="11" t="n">
        <v>113</v>
      </c>
      <c r="Q108" s="13" t="s">
        <v>34</v>
      </c>
      <c r="R108" s="13" t="s">
        <v>35</v>
      </c>
      <c r="S108" s="11" t="n">
        <v>1130101</v>
      </c>
      <c r="T108" s="13" t="s">
        <v>36</v>
      </c>
      <c r="U108" s="16" t="n">
        <v>552.37</v>
      </c>
      <c r="V108" s="16"/>
      <c r="W108" s="17" t="n">
        <v>0</v>
      </c>
      <c r="X108" s="15" t="s">
        <v>189</v>
      </c>
      <c r="Y108" s="15"/>
      <c r="Z108" s="1" t="str">
        <f aca="false">IF($T108="","",IFERROR(INDEX('Resumo Grupos'!$AC$3:$AC$2000,MATCH($T108,'Resumo Grupos'!$AB$3:$AB$2000,0)),"n/d"))</f>
        <v>Mercadoria</v>
      </c>
    </row>
    <row r="109" customFormat="false" ht="28.5" hidden="false" customHeight="true" outlineLevel="0" collapsed="false">
      <c r="A109" s="11" t="n">
        <v>2</v>
      </c>
      <c r="B109" s="12" t="n">
        <v>46230</v>
      </c>
      <c r="C109" s="12" t="n">
        <v>46244</v>
      </c>
      <c r="D109" s="11" t="n">
        <v>513</v>
      </c>
      <c r="E109" s="13" t="s">
        <v>190</v>
      </c>
      <c r="F109" s="11" t="n">
        <v>24</v>
      </c>
      <c r="G109" s="13" t="s">
        <v>30</v>
      </c>
      <c r="H109" s="11" t="n">
        <v>1110203</v>
      </c>
      <c r="I109" s="13" t="s">
        <v>100</v>
      </c>
      <c r="J109" s="14" t="n">
        <v>1459285</v>
      </c>
      <c r="K109" s="14"/>
      <c r="L109" s="11" t="n">
        <v>197498</v>
      </c>
      <c r="M109" s="13" t="s">
        <v>105</v>
      </c>
      <c r="N109" s="15" t="s">
        <v>41</v>
      </c>
      <c r="O109" s="15"/>
      <c r="P109" s="11" t="n">
        <v>101</v>
      </c>
      <c r="Q109" s="13" t="s">
        <v>52</v>
      </c>
      <c r="R109" s="13" t="s">
        <v>191</v>
      </c>
      <c r="S109" s="11" t="n">
        <v>4210315</v>
      </c>
      <c r="T109" s="13" t="s">
        <v>192</v>
      </c>
      <c r="U109" s="16" t="n">
        <v>160</v>
      </c>
      <c r="V109" s="16"/>
      <c r="W109" s="17" t="n">
        <v>0</v>
      </c>
      <c r="X109" s="15" t="s">
        <v>193</v>
      </c>
      <c r="Y109" s="15"/>
      <c r="Z109" s="1" t="str">
        <f aca="false">IF($T109="","",IFERROR(INDEX('Resumo Grupos'!$AC$3:$AC$2000,MATCH($T109,'Resumo Grupos'!$AB$3:$AB$2000,0)),"n/d"))</f>
        <v>Despesa</v>
      </c>
    </row>
    <row r="110" customFormat="false" ht="28.5" hidden="false" customHeight="true" outlineLevel="0" collapsed="false">
      <c r="A110" s="11" t="n">
        <v>2</v>
      </c>
      <c r="B110" s="12" t="n">
        <v>46186</v>
      </c>
      <c r="C110" s="12" t="n">
        <v>46204</v>
      </c>
      <c r="D110" s="11" t="n">
        <v>1974</v>
      </c>
      <c r="E110" s="13" t="s">
        <v>194</v>
      </c>
      <c r="F110" s="11" t="n">
        <v>47</v>
      </c>
      <c r="G110" s="13" t="s">
        <v>39</v>
      </c>
      <c r="H110" s="11" t="n">
        <v>2110405</v>
      </c>
      <c r="I110" s="13" t="s">
        <v>51</v>
      </c>
      <c r="J110" s="14" t="n">
        <v>1273147</v>
      </c>
      <c r="K110" s="14"/>
      <c r="L110" s="11" t="n">
        <v>168792</v>
      </c>
      <c r="M110" s="13" t="s">
        <v>105</v>
      </c>
      <c r="N110" s="15" t="s">
        <v>41</v>
      </c>
      <c r="O110" s="15"/>
      <c r="P110" s="11" t="n">
        <v>101</v>
      </c>
      <c r="Q110" s="13" t="s">
        <v>52</v>
      </c>
      <c r="R110" s="13" t="s">
        <v>60</v>
      </c>
      <c r="S110" s="11" t="n">
        <v>4210209</v>
      </c>
      <c r="T110" s="13" t="s">
        <v>195</v>
      </c>
      <c r="U110" s="16" t="n">
        <v>200</v>
      </c>
      <c r="V110" s="16"/>
      <c r="W110" s="17" t="n">
        <v>0</v>
      </c>
      <c r="X110" s="15" t="s">
        <v>196</v>
      </c>
      <c r="Y110" s="15"/>
      <c r="Z110" s="1" t="str">
        <f aca="false">IF($T110="","",IFERROR(INDEX('Resumo Grupos'!$AC$3:$AC$2000,MATCH($T110,'Resumo Grupos'!$AB$3:$AB$2000,0)),"n/d"))</f>
        <v>Despesa</v>
      </c>
    </row>
    <row r="111" customFormat="false" ht="48" hidden="false" customHeight="true" outlineLevel="0" collapsed="false">
      <c r="A111" s="11" t="n">
        <v>2</v>
      </c>
      <c r="B111" s="12" t="n">
        <v>46188</v>
      </c>
      <c r="C111" s="12" t="n">
        <v>46204</v>
      </c>
      <c r="D111" s="11" t="n">
        <v>954</v>
      </c>
      <c r="E111" s="13" t="s">
        <v>197</v>
      </c>
      <c r="F111" s="11" t="n">
        <v>47</v>
      </c>
      <c r="G111" s="13" t="s">
        <v>39</v>
      </c>
      <c r="H111" s="11" t="n">
        <v>2110405</v>
      </c>
      <c r="I111" s="13" t="s">
        <v>51</v>
      </c>
      <c r="J111" s="14" t="n">
        <v>1273154</v>
      </c>
      <c r="K111" s="14"/>
      <c r="L111" s="11" t="n">
        <v>168793</v>
      </c>
      <c r="M111" s="13" t="s">
        <v>105</v>
      </c>
      <c r="N111" s="15" t="s">
        <v>41</v>
      </c>
      <c r="O111" s="15"/>
      <c r="P111" s="11" t="n">
        <v>101</v>
      </c>
      <c r="Q111" s="13" t="s">
        <v>52</v>
      </c>
      <c r="R111" s="13" t="s">
        <v>60</v>
      </c>
      <c r="S111" s="11" t="n">
        <v>4210209</v>
      </c>
      <c r="T111" s="13" t="s">
        <v>195</v>
      </c>
      <c r="U111" s="16" t="n">
        <v>527.8</v>
      </c>
      <c r="V111" s="16"/>
      <c r="W111" s="17" t="n">
        <v>0</v>
      </c>
      <c r="X111" s="15" t="s">
        <v>198</v>
      </c>
      <c r="Y111" s="15"/>
      <c r="Z111" s="1" t="str">
        <f aca="false">IF($T111="","",IFERROR(INDEX('Resumo Grupos'!$AC$3:$AC$2000,MATCH($T111,'Resumo Grupos'!$AB$3:$AB$2000,0)),"n/d"))</f>
        <v>Despesa</v>
      </c>
    </row>
    <row r="112" customFormat="false" ht="39" hidden="false" customHeight="true" outlineLevel="0" collapsed="false">
      <c r="A112" s="11" t="n">
        <v>2</v>
      </c>
      <c r="B112" s="12" t="n">
        <v>46192</v>
      </c>
      <c r="C112" s="12" t="n">
        <v>46213</v>
      </c>
      <c r="D112" s="11" t="n">
        <v>33</v>
      </c>
      <c r="E112" s="13" t="s">
        <v>199</v>
      </c>
      <c r="F112" s="11" t="n">
        <v>34</v>
      </c>
      <c r="G112" s="13" t="s">
        <v>87</v>
      </c>
      <c r="H112" s="11" t="n">
        <v>2110405</v>
      </c>
      <c r="I112" s="13" t="s">
        <v>51</v>
      </c>
      <c r="J112" s="14" t="n">
        <v>1273759</v>
      </c>
      <c r="K112" s="14"/>
      <c r="L112" s="11" t="n">
        <v>168794</v>
      </c>
      <c r="M112" s="13" t="s">
        <v>32</v>
      </c>
      <c r="N112" s="15" t="s">
        <v>41</v>
      </c>
      <c r="O112" s="15"/>
      <c r="P112" s="11" t="n">
        <v>101</v>
      </c>
      <c r="Q112" s="13" t="s">
        <v>52</v>
      </c>
      <c r="R112" s="13" t="s">
        <v>200</v>
      </c>
      <c r="S112" s="11" t="n">
        <v>1240203</v>
      </c>
      <c r="T112" s="13" t="s">
        <v>201</v>
      </c>
      <c r="U112" s="16" t="n">
        <v>666.67</v>
      </c>
      <c r="V112" s="16"/>
      <c r="W112" s="17" t="n">
        <v>0</v>
      </c>
      <c r="X112" s="15" t="s">
        <v>202</v>
      </c>
      <c r="Y112" s="15"/>
      <c r="Z112" s="1" t="str">
        <f aca="false">IF($T112="","",IFERROR(INDEX('Resumo Grupos'!$AC$3:$AC$2000,MATCH($T112,'Resumo Grupos'!$AB$3:$AB$2000,0)),"n/d"))</f>
        <v>Despesa</v>
      </c>
    </row>
    <row r="113" customFormat="false" ht="39" hidden="false" customHeight="true" outlineLevel="0" collapsed="false">
      <c r="A113" s="11" t="n">
        <v>2</v>
      </c>
      <c r="B113" s="12" t="n">
        <v>46192</v>
      </c>
      <c r="C113" s="12" t="n">
        <v>46244</v>
      </c>
      <c r="D113" s="11" t="n">
        <v>33</v>
      </c>
      <c r="E113" s="13" t="s">
        <v>199</v>
      </c>
      <c r="F113" s="11" t="n">
        <v>34</v>
      </c>
      <c r="G113" s="13" t="s">
        <v>87</v>
      </c>
      <c r="H113" s="11" t="n">
        <v>2110405</v>
      </c>
      <c r="I113" s="13" t="s">
        <v>51</v>
      </c>
      <c r="J113" s="14" t="n">
        <v>1273759</v>
      </c>
      <c r="K113" s="14"/>
      <c r="L113" s="11" t="n">
        <v>168794</v>
      </c>
      <c r="M113" s="13" t="s">
        <v>101</v>
      </c>
      <c r="N113" s="15" t="s">
        <v>41</v>
      </c>
      <c r="O113" s="15"/>
      <c r="P113" s="11" t="n">
        <v>101</v>
      </c>
      <c r="Q113" s="13" t="s">
        <v>52</v>
      </c>
      <c r="R113" s="13" t="s">
        <v>200</v>
      </c>
      <c r="S113" s="11" t="n">
        <v>1240203</v>
      </c>
      <c r="T113" s="13" t="s">
        <v>201</v>
      </c>
      <c r="U113" s="16" t="n">
        <v>666.66</v>
      </c>
      <c r="V113" s="16"/>
      <c r="W113" s="17" t="n">
        <v>0</v>
      </c>
      <c r="X113" s="15" t="s">
        <v>202</v>
      </c>
      <c r="Y113" s="15"/>
      <c r="Z113" s="1" t="str">
        <f aca="false">IF($T113="","",IFERROR(INDEX('Resumo Grupos'!$AC$3:$AC$2000,MATCH($T113,'Resumo Grupos'!$AB$3:$AB$2000,0)),"n/d"))</f>
        <v>Despesa</v>
      </c>
    </row>
    <row r="114" customFormat="false" ht="39" hidden="false" customHeight="true" outlineLevel="0" collapsed="false">
      <c r="A114" s="11" t="n">
        <v>2</v>
      </c>
      <c r="B114" s="12" t="n">
        <v>46195</v>
      </c>
      <c r="C114" s="12" t="n">
        <v>46205</v>
      </c>
      <c r="D114" s="11" t="n">
        <v>1643</v>
      </c>
      <c r="E114" s="13" t="s">
        <v>203</v>
      </c>
      <c r="F114" s="11" t="n">
        <v>24</v>
      </c>
      <c r="G114" s="13" t="s">
        <v>30</v>
      </c>
      <c r="H114" s="11" t="n">
        <v>2110101</v>
      </c>
      <c r="I114" s="13" t="s">
        <v>31</v>
      </c>
      <c r="J114" s="14" t="n">
        <v>1289129</v>
      </c>
      <c r="K114" s="14"/>
      <c r="L114" s="11" t="n">
        <v>10605</v>
      </c>
      <c r="M114" s="13" t="s">
        <v>105</v>
      </c>
      <c r="N114" s="15" t="s">
        <v>33</v>
      </c>
      <c r="O114" s="15"/>
      <c r="P114" s="11" t="n">
        <v>113</v>
      </c>
      <c r="Q114" s="13" t="s">
        <v>34</v>
      </c>
      <c r="R114" s="13" t="s">
        <v>35</v>
      </c>
      <c r="S114" s="11" t="n">
        <v>1130101</v>
      </c>
      <c r="T114" s="13" t="s">
        <v>36</v>
      </c>
      <c r="U114" s="16" t="n">
        <v>228</v>
      </c>
      <c r="V114" s="16"/>
      <c r="W114" s="17" t="n">
        <v>0</v>
      </c>
      <c r="X114" s="15" t="s">
        <v>204</v>
      </c>
      <c r="Y114" s="15"/>
      <c r="Z114" s="1" t="str">
        <f aca="false">IF($T114="","",IFERROR(INDEX('Resumo Grupos'!$AC$3:$AC$2000,MATCH($T114,'Resumo Grupos'!$AB$3:$AB$2000,0)),"n/d"))</f>
        <v>Mercadoria</v>
      </c>
    </row>
    <row r="115" customFormat="false" ht="39" hidden="false" customHeight="true" outlineLevel="0" collapsed="false">
      <c r="A115" s="11" t="n">
        <v>2</v>
      </c>
      <c r="B115" s="12" t="n">
        <v>46195</v>
      </c>
      <c r="C115" s="12" t="n">
        <v>46206</v>
      </c>
      <c r="D115" s="11" t="n">
        <v>1107</v>
      </c>
      <c r="E115" s="13" t="s">
        <v>159</v>
      </c>
      <c r="F115" s="11" t="n">
        <v>24</v>
      </c>
      <c r="G115" s="13" t="s">
        <v>30</v>
      </c>
      <c r="H115" s="11" t="n">
        <v>2110101</v>
      </c>
      <c r="I115" s="13" t="s">
        <v>31</v>
      </c>
      <c r="J115" s="14" t="n">
        <v>1289284</v>
      </c>
      <c r="K115" s="14"/>
      <c r="L115" s="11" t="n">
        <v>419092</v>
      </c>
      <c r="M115" s="13" t="s">
        <v>105</v>
      </c>
      <c r="N115" s="15" t="s">
        <v>33</v>
      </c>
      <c r="O115" s="15"/>
      <c r="P115" s="11" t="n">
        <v>113</v>
      </c>
      <c r="Q115" s="13" t="s">
        <v>34</v>
      </c>
      <c r="R115" s="13" t="s">
        <v>35</v>
      </c>
      <c r="S115" s="11" t="n">
        <v>1130101</v>
      </c>
      <c r="T115" s="13" t="s">
        <v>36</v>
      </c>
      <c r="U115" s="16" t="n">
        <v>619.99</v>
      </c>
      <c r="V115" s="16"/>
      <c r="W115" s="17" t="n">
        <v>0</v>
      </c>
      <c r="X115" s="15" t="s">
        <v>205</v>
      </c>
      <c r="Y115" s="15"/>
      <c r="Z115" s="1" t="str">
        <f aca="false">IF($T115="","",IFERROR(INDEX('Resumo Grupos'!$AC$3:$AC$2000,MATCH($T115,'Resumo Grupos'!$AB$3:$AB$2000,0)),"n/d"))</f>
        <v>Mercadoria</v>
      </c>
    </row>
    <row r="116" customFormat="false" ht="39" hidden="false" customHeight="true" outlineLevel="0" collapsed="false">
      <c r="A116" s="11" t="n">
        <v>2</v>
      </c>
      <c r="B116" s="12" t="n">
        <v>46195</v>
      </c>
      <c r="C116" s="12" t="n">
        <v>46213</v>
      </c>
      <c r="D116" s="11" t="n">
        <v>1107</v>
      </c>
      <c r="E116" s="13" t="s">
        <v>159</v>
      </c>
      <c r="F116" s="11" t="n">
        <v>24</v>
      </c>
      <c r="G116" s="13" t="s">
        <v>30</v>
      </c>
      <c r="H116" s="11" t="n">
        <v>2110101</v>
      </c>
      <c r="I116" s="13" t="s">
        <v>31</v>
      </c>
      <c r="J116" s="14" t="n">
        <v>1289284</v>
      </c>
      <c r="K116" s="14"/>
      <c r="L116" s="11" t="n">
        <v>419092</v>
      </c>
      <c r="M116" s="13" t="s">
        <v>32</v>
      </c>
      <c r="N116" s="15" t="s">
        <v>33</v>
      </c>
      <c r="O116" s="15"/>
      <c r="P116" s="11" t="n">
        <v>113</v>
      </c>
      <c r="Q116" s="13" t="s">
        <v>34</v>
      </c>
      <c r="R116" s="13" t="s">
        <v>35</v>
      </c>
      <c r="S116" s="11" t="n">
        <v>1130101</v>
      </c>
      <c r="T116" s="13" t="s">
        <v>36</v>
      </c>
      <c r="U116" s="16" t="n">
        <v>620</v>
      </c>
      <c r="V116" s="16"/>
      <c r="W116" s="17" t="n">
        <v>0</v>
      </c>
      <c r="X116" s="15" t="s">
        <v>205</v>
      </c>
      <c r="Y116" s="15"/>
      <c r="Z116" s="1" t="str">
        <f aca="false">IF($T116="","",IFERROR(INDEX('Resumo Grupos'!$AC$3:$AC$2000,MATCH($T116,'Resumo Grupos'!$AB$3:$AB$2000,0)),"n/d"))</f>
        <v>Mercadoria</v>
      </c>
    </row>
    <row r="117" customFormat="false" ht="39" hidden="false" customHeight="true" outlineLevel="0" collapsed="false">
      <c r="A117" s="11" t="n">
        <v>2</v>
      </c>
      <c r="B117" s="12" t="n">
        <v>46195</v>
      </c>
      <c r="C117" s="12" t="n">
        <v>46220</v>
      </c>
      <c r="D117" s="11" t="n">
        <v>1107</v>
      </c>
      <c r="E117" s="13" t="s">
        <v>159</v>
      </c>
      <c r="F117" s="11" t="n">
        <v>24</v>
      </c>
      <c r="G117" s="13" t="s">
        <v>30</v>
      </c>
      <c r="H117" s="11" t="n">
        <v>2110101</v>
      </c>
      <c r="I117" s="13" t="s">
        <v>31</v>
      </c>
      <c r="J117" s="14" t="n">
        <v>1289284</v>
      </c>
      <c r="K117" s="14"/>
      <c r="L117" s="11" t="n">
        <v>419092</v>
      </c>
      <c r="M117" s="13" t="s">
        <v>101</v>
      </c>
      <c r="N117" s="15" t="s">
        <v>33</v>
      </c>
      <c r="O117" s="15"/>
      <c r="P117" s="11" t="n">
        <v>113</v>
      </c>
      <c r="Q117" s="13" t="s">
        <v>34</v>
      </c>
      <c r="R117" s="13" t="s">
        <v>35</v>
      </c>
      <c r="S117" s="11" t="n">
        <v>1130101</v>
      </c>
      <c r="T117" s="13" t="s">
        <v>36</v>
      </c>
      <c r="U117" s="16" t="n">
        <v>620</v>
      </c>
      <c r="V117" s="16"/>
      <c r="W117" s="17" t="n">
        <v>0</v>
      </c>
      <c r="X117" s="15" t="s">
        <v>205</v>
      </c>
      <c r="Y117" s="15"/>
      <c r="Z117" s="1" t="str">
        <f aca="false">IF($T117="","",IFERROR(INDEX('Resumo Grupos'!$AC$3:$AC$2000,MATCH($T117,'Resumo Grupos'!$AB$3:$AB$2000,0)),"n/d"))</f>
        <v>Mercadoria</v>
      </c>
    </row>
    <row r="118" customFormat="false" ht="28.5" hidden="false" customHeight="true" outlineLevel="0" collapsed="false">
      <c r="A118" s="11" t="n">
        <v>2</v>
      </c>
      <c r="B118" s="12" t="n">
        <v>46230</v>
      </c>
      <c r="C118" s="12" t="n">
        <v>46275</v>
      </c>
      <c r="D118" s="11" t="n">
        <v>513</v>
      </c>
      <c r="E118" s="13" t="s">
        <v>190</v>
      </c>
      <c r="F118" s="11" t="n">
        <v>24</v>
      </c>
      <c r="G118" s="13" t="s">
        <v>30</v>
      </c>
      <c r="H118" s="11" t="n">
        <v>1110203</v>
      </c>
      <c r="I118" s="13" t="s">
        <v>100</v>
      </c>
      <c r="J118" s="14" t="n">
        <v>1459285</v>
      </c>
      <c r="K118" s="14"/>
      <c r="L118" s="11" t="n">
        <v>197498</v>
      </c>
      <c r="M118" s="13" t="s">
        <v>32</v>
      </c>
      <c r="N118" s="15" t="s">
        <v>41</v>
      </c>
      <c r="O118" s="15"/>
      <c r="P118" s="11" t="n">
        <v>101</v>
      </c>
      <c r="Q118" s="13" t="s">
        <v>52</v>
      </c>
      <c r="R118" s="13" t="s">
        <v>191</v>
      </c>
      <c r="S118" s="11" t="n">
        <v>4210315</v>
      </c>
      <c r="T118" s="13" t="s">
        <v>192</v>
      </c>
      <c r="U118" s="16" t="n">
        <v>160</v>
      </c>
      <c r="V118" s="16"/>
      <c r="W118" s="17" t="n">
        <v>0</v>
      </c>
      <c r="X118" s="15" t="s">
        <v>193</v>
      </c>
      <c r="Y118" s="15"/>
      <c r="Z118" s="1" t="str">
        <f aca="false">IF($T118="","",IFERROR(INDEX('Resumo Grupos'!$AC$3:$AC$2000,MATCH($T118,'Resumo Grupos'!$AB$3:$AB$2000,0)),"n/d"))</f>
        <v>Despesa</v>
      </c>
    </row>
    <row r="119" customFormat="false" ht="39" hidden="false" customHeight="true" outlineLevel="0" collapsed="false">
      <c r="A119" s="11" t="n">
        <v>2</v>
      </c>
      <c r="B119" s="12" t="n">
        <v>46195</v>
      </c>
      <c r="C119" s="12" t="n">
        <v>46224</v>
      </c>
      <c r="D119" s="11" t="n">
        <v>1608</v>
      </c>
      <c r="E119" s="13" t="s">
        <v>127</v>
      </c>
      <c r="F119" s="11" t="n">
        <v>24</v>
      </c>
      <c r="G119" s="13" t="s">
        <v>30</v>
      </c>
      <c r="H119" s="11" t="n">
        <v>2110101</v>
      </c>
      <c r="I119" s="13" t="s">
        <v>31</v>
      </c>
      <c r="J119" s="14" t="n">
        <v>1289428</v>
      </c>
      <c r="K119" s="14"/>
      <c r="L119" s="11" t="n">
        <v>1678138</v>
      </c>
      <c r="M119" s="13" t="s">
        <v>105</v>
      </c>
      <c r="N119" s="15" t="s">
        <v>33</v>
      </c>
      <c r="O119" s="15"/>
      <c r="P119" s="11" t="n">
        <v>113</v>
      </c>
      <c r="Q119" s="13" t="s">
        <v>34</v>
      </c>
      <c r="R119" s="13" t="s">
        <v>35</v>
      </c>
      <c r="S119" s="11" t="n">
        <v>1130101</v>
      </c>
      <c r="T119" s="13" t="s">
        <v>36</v>
      </c>
      <c r="U119" s="16" t="n">
        <v>724</v>
      </c>
      <c r="V119" s="16"/>
      <c r="W119" s="17" t="n">
        <v>0</v>
      </c>
      <c r="X119" s="15" t="s">
        <v>206</v>
      </c>
      <c r="Y119" s="15"/>
      <c r="Z119" s="1" t="str">
        <f aca="false">IF($T119="","",IFERROR(INDEX('Resumo Grupos'!$AC$3:$AC$2000,MATCH($T119,'Resumo Grupos'!$AB$3:$AB$2000,0)),"n/d"))</f>
        <v>Mercadoria</v>
      </c>
    </row>
    <row r="120" customFormat="false" ht="39" hidden="false" customHeight="true" outlineLevel="0" collapsed="false">
      <c r="A120" s="11" t="n">
        <v>2</v>
      </c>
      <c r="B120" s="12" t="n">
        <v>46195</v>
      </c>
      <c r="C120" s="12" t="n">
        <v>46206</v>
      </c>
      <c r="D120" s="11" t="n">
        <v>1608</v>
      </c>
      <c r="E120" s="13" t="s">
        <v>127</v>
      </c>
      <c r="F120" s="11" t="n">
        <v>24</v>
      </c>
      <c r="G120" s="13" t="s">
        <v>30</v>
      </c>
      <c r="H120" s="11" t="n">
        <v>2110101</v>
      </c>
      <c r="I120" s="13" t="s">
        <v>31</v>
      </c>
      <c r="J120" s="14" t="n">
        <v>1289449</v>
      </c>
      <c r="K120" s="14"/>
      <c r="L120" s="11" t="n">
        <v>1676804</v>
      </c>
      <c r="M120" s="13" t="s">
        <v>105</v>
      </c>
      <c r="N120" s="15" t="s">
        <v>33</v>
      </c>
      <c r="O120" s="15"/>
      <c r="P120" s="11" t="n">
        <v>113</v>
      </c>
      <c r="Q120" s="13" t="s">
        <v>34</v>
      </c>
      <c r="R120" s="13" t="s">
        <v>35</v>
      </c>
      <c r="S120" s="11" t="n">
        <v>1130101</v>
      </c>
      <c r="T120" s="13" t="s">
        <v>36</v>
      </c>
      <c r="U120" s="16" t="n">
        <v>1154.89</v>
      </c>
      <c r="V120" s="16"/>
      <c r="W120" s="17" t="n">
        <v>0</v>
      </c>
      <c r="X120" s="15" t="s">
        <v>207</v>
      </c>
      <c r="Y120" s="15"/>
      <c r="Z120" s="1" t="str">
        <f aca="false">IF($T120="","",IFERROR(INDEX('Resumo Grupos'!$AC$3:$AC$2000,MATCH($T120,'Resumo Grupos'!$AB$3:$AB$2000,0)),"n/d"))</f>
        <v>Mercadoria</v>
      </c>
    </row>
    <row r="121" customFormat="false" ht="39" hidden="false" customHeight="true" outlineLevel="0" collapsed="false">
      <c r="A121" s="11" t="n">
        <v>2</v>
      </c>
      <c r="B121" s="12" t="n">
        <v>46195</v>
      </c>
      <c r="C121" s="12" t="n">
        <v>46213</v>
      </c>
      <c r="D121" s="11" t="n">
        <v>1608</v>
      </c>
      <c r="E121" s="13" t="s">
        <v>127</v>
      </c>
      <c r="F121" s="11" t="n">
        <v>24</v>
      </c>
      <c r="G121" s="13" t="s">
        <v>30</v>
      </c>
      <c r="H121" s="11" t="n">
        <v>2110101</v>
      </c>
      <c r="I121" s="13" t="s">
        <v>31</v>
      </c>
      <c r="J121" s="14" t="n">
        <v>1289449</v>
      </c>
      <c r="K121" s="14"/>
      <c r="L121" s="11" t="n">
        <v>1676804</v>
      </c>
      <c r="M121" s="13" t="s">
        <v>32</v>
      </c>
      <c r="N121" s="15" t="s">
        <v>33</v>
      </c>
      <c r="O121" s="15"/>
      <c r="P121" s="11" t="n">
        <v>113</v>
      </c>
      <c r="Q121" s="13" t="s">
        <v>34</v>
      </c>
      <c r="R121" s="13" t="s">
        <v>35</v>
      </c>
      <c r="S121" s="11" t="n">
        <v>1130101</v>
      </c>
      <c r="T121" s="13" t="s">
        <v>36</v>
      </c>
      <c r="U121" s="16" t="n">
        <v>1154.88</v>
      </c>
      <c r="V121" s="16"/>
      <c r="W121" s="17" t="n">
        <v>0</v>
      </c>
      <c r="X121" s="15" t="s">
        <v>207</v>
      </c>
      <c r="Y121" s="15"/>
      <c r="Z121" s="1" t="str">
        <f aca="false">IF($T121="","",IFERROR(INDEX('Resumo Grupos'!$AC$3:$AC$2000,MATCH($T121,'Resumo Grupos'!$AB$3:$AB$2000,0)),"n/d"))</f>
        <v>Mercadoria</v>
      </c>
    </row>
    <row r="122" customFormat="false" ht="39" hidden="false" customHeight="true" outlineLevel="0" collapsed="false">
      <c r="A122" s="11" t="n">
        <v>2</v>
      </c>
      <c r="B122" s="12" t="n">
        <v>46195</v>
      </c>
      <c r="C122" s="12" t="n">
        <v>46220</v>
      </c>
      <c r="D122" s="11" t="n">
        <v>1608</v>
      </c>
      <c r="E122" s="13" t="s">
        <v>127</v>
      </c>
      <c r="F122" s="11" t="n">
        <v>24</v>
      </c>
      <c r="G122" s="13" t="s">
        <v>30</v>
      </c>
      <c r="H122" s="11" t="n">
        <v>2110101</v>
      </c>
      <c r="I122" s="13" t="s">
        <v>31</v>
      </c>
      <c r="J122" s="14" t="n">
        <v>1289449</v>
      </c>
      <c r="K122" s="14"/>
      <c r="L122" s="11" t="n">
        <v>1676804</v>
      </c>
      <c r="M122" s="13" t="s">
        <v>101</v>
      </c>
      <c r="N122" s="15" t="s">
        <v>33</v>
      </c>
      <c r="O122" s="15"/>
      <c r="P122" s="11" t="n">
        <v>113</v>
      </c>
      <c r="Q122" s="13" t="s">
        <v>34</v>
      </c>
      <c r="R122" s="13" t="s">
        <v>35</v>
      </c>
      <c r="S122" s="11" t="n">
        <v>1130101</v>
      </c>
      <c r="T122" s="13" t="s">
        <v>36</v>
      </c>
      <c r="U122" s="16" t="n">
        <v>1154.88</v>
      </c>
      <c r="V122" s="16"/>
      <c r="W122" s="17" t="n">
        <v>0</v>
      </c>
      <c r="X122" s="15" t="s">
        <v>207</v>
      </c>
      <c r="Y122" s="15"/>
      <c r="Z122" s="1" t="str">
        <f aca="false">IF($T122="","",IFERROR(INDEX('Resumo Grupos'!$AC$3:$AC$2000,MATCH($T122,'Resumo Grupos'!$AB$3:$AB$2000,0)),"n/d"))</f>
        <v>Mercadoria</v>
      </c>
    </row>
    <row r="123" customFormat="false" ht="39" hidden="false" customHeight="true" outlineLevel="0" collapsed="false">
      <c r="A123" s="11" t="n">
        <v>2</v>
      </c>
      <c r="B123" s="12" t="n">
        <v>46195</v>
      </c>
      <c r="C123" s="12" t="n">
        <v>46204</v>
      </c>
      <c r="D123" s="11" t="n">
        <v>1613</v>
      </c>
      <c r="E123" s="13" t="s">
        <v>133</v>
      </c>
      <c r="F123" s="11" t="n">
        <v>24</v>
      </c>
      <c r="G123" s="13" t="s">
        <v>30</v>
      </c>
      <c r="H123" s="11" t="n">
        <v>2110101</v>
      </c>
      <c r="I123" s="13" t="s">
        <v>31</v>
      </c>
      <c r="J123" s="14" t="n">
        <v>1289535</v>
      </c>
      <c r="K123" s="14"/>
      <c r="L123" s="11" t="n">
        <v>1598763</v>
      </c>
      <c r="M123" s="13" t="s">
        <v>105</v>
      </c>
      <c r="N123" s="15" t="s">
        <v>33</v>
      </c>
      <c r="O123" s="15"/>
      <c r="P123" s="11" t="n">
        <v>113</v>
      </c>
      <c r="Q123" s="13" t="s">
        <v>34</v>
      </c>
      <c r="R123" s="13" t="s">
        <v>35</v>
      </c>
      <c r="S123" s="11" t="n">
        <v>1130101</v>
      </c>
      <c r="T123" s="13" t="s">
        <v>36</v>
      </c>
      <c r="U123" s="16" t="n">
        <v>671.16</v>
      </c>
      <c r="V123" s="16"/>
      <c r="W123" s="17" t="n">
        <v>0</v>
      </c>
      <c r="X123" s="15" t="s">
        <v>208</v>
      </c>
      <c r="Y123" s="15"/>
      <c r="Z123" s="1" t="str">
        <f aca="false">IF($T123="","",IFERROR(INDEX('Resumo Grupos'!$AC$3:$AC$2000,MATCH($T123,'Resumo Grupos'!$AB$3:$AB$2000,0)),"n/d"))</f>
        <v>Mercadoria</v>
      </c>
    </row>
    <row r="124" customFormat="false" ht="39" hidden="false" customHeight="true" outlineLevel="0" collapsed="false">
      <c r="A124" s="11" t="n">
        <v>2</v>
      </c>
      <c r="B124" s="12" t="n">
        <v>46195</v>
      </c>
      <c r="C124" s="12" t="n">
        <v>46211</v>
      </c>
      <c r="D124" s="11" t="n">
        <v>1613</v>
      </c>
      <c r="E124" s="13" t="s">
        <v>133</v>
      </c>
      <c r="F124" s="11" t="n">
        <v>24</v>
      </c>
      <c r="G124" s="13" t="s">
        <v>30</v>
      </c>
      <c r="H124" s="11" t="n">
        <v>2110101</v>
      </c>
      <c r="I124" s="13" t="s">
        <v>31</v>
      </c>
      <c r="J124" s="14" t="n">
        <v>1289535</v>
      </c>
      <c r="K124" s="14"/>
      <c r="L124" s="11" t="n">
        <v>1598763</v>
      </c>
      <c r="M124" s="13" t="s">
        <v>32</v>
      </c>
      <c r="N124" s="15" t="s">
        <v>33</v>
      </c>
      <c r="O124" s="15"/>
      <c r="P124" s="11" t="n">
        <v>113</v>
      </c>
      <c r="Q124" s="13" t="s">
        <v>34</v>
      </c>
      <c r="R124" s="13" t="s">
        <v>35</v>
      </c>
      <c r="S124" s="11" t="n">
        <v>1130101</v>
      </c>
      <c r="T124" s="13" t="s">
        <v>36</v>
      </c>
      <c r="U124" s="16" t="n">
        <v>671.15</v>
      </c>
      <c r="V124" s="16"/>
      <c r="W124" s="17" t="n">
        <v>0</v>
      </c>
      <c r="X124" s="15" t="s">
        <v>208</v>
      </c>
      <c r="Y124" s="15"/>
      <c r="Z124" s="1" t="str">
        <f aca="false">IF($T124="","",IFERROR(INDEX('Resumo Grupos'!$AC$3:$AC$2000,MATCH($T124,'Resumo Grupos'!$AB$3:$AB$2000,0)),"n/d"))</f>
        <v>Mercadoria</v>
      </c>
    </row>
    <row r="125" customFormat="false" ht="28.5" hidden="false" customHeight="true" outlineLevel="0" collapsed="false">
      <c r="A125" s="11" t="n">
        <v>2</v>
      </c>
      <c r="B125" s="12" t="n">
        <v>46230</v>
      </c>
      <c r="C125" s="12" t="n">
        <v>46240</v>
      </c>
      <c r="D125" s="11" t="n">
        <v>1621</v>
      </c>
      <c r="E125" s="13" t="s">
        <v>209</v>
      </c>
      <c r="F125" s="11" t="n">
        <v>24</v>
      </c>
      <c r="G125" s="13" t="s">
        <v>30</v>
      </c>
      <c r="H125" s="11" t="n">
        <v>1110203</v>
      </c>
      <c r="I125" s="13" t="s">
        <v>100</v>
      </c>
      <c r="J125" s="14" t="n">
        <v>1459311</v>
      </c>
      <c r="K125" s="14"/>
      <c r="L125" s="11" t="n">
        <v>197502</v>
      </c>
      <c r="M125" s="13" t="s">
        <v>105</v>
      </c>
      <c r="N125" s="15" t="s">
        <v>41</v>
      </c>
      <c r="O125" s="15"/>
      <c r="P125" s="11" t="n">
        <v>113</v>
      </c>
      <c r="Q125" s="13" t="s">
        <v>34</v>
      </c>
      <c r="R125" s="13" t="s">
        <v>35</v>
      </c>
      <c r="S125" s="11" t="n">
        <v>1130101</v>
      </c>
      <c r="T125" s="13" t="s">
        <v>36</v>
      </c>
      <c r="U125" s="16" t="n">
        <v>305.98</v>
      </c>
      <c r="V125" s="16"/>
      <c r="W125" s="17" t="n">
        <v>0</v>
      </c>
      <c r="X125" s="15" t="s">
        <v>210</v>
      </c>
      <c r="Y125" s="15"/>
      <c r="Z125" s="1" t="str">
        <f aca="false">IF($T125="","",IFERROR(INDEX('Resumo Grupos'!$AC$3:$AC$2000,MATCH($T125,'Resumo Grupos'!$AB$3:$AB$2000,0)),"n/d"))</f>
        <v>Mercadoria</v>
      </c>
    </row>
    <row r="126" customFormat="false" ht="39" hidden="false" customHeight="true" outlineLevel="0" collapsed="false">
      <c r="A126" s="11" t="n">
        <v>2</v>
      </c>
      <c r="B126" s="12" t="n">
        <v>46195</v>
      </c>
      <c r="C126" s="12" t="n">
        <v>46209</v>
      </c>
      <c r="D126" s="11" t="n">
        <v>1697</v>
      </c>
      <c r="E126" s="13" t="s">
        <v>211</v>
      </c>
      <c r="F126" s="11" t="n">
        <v>24</v>
      </c>
      <c r="G126" s="13" t="s">
        <v>30</v>
      </c>
      <c r="H126" s="11" t="n">
        <v>2110101</v>
      </c>
      <c r="I126" s="13" t="s">
        <v>31</v>
      </c>
      <c r="J126" s="14" t="n">
        <v>1289570</v>
      </c>
      <c r="K126" s="14"/>
      <c r="L126" s="11" t="n">
        <v>207912</v>
      </c>
      <c r="M126" s="13" t="s">
        <v>105</v>
      </c>
      <c r="N126" s="15" t="s">
        <v>33</v>
      </c>
      <c r="O126" s="15"/>
      <c r="P126" s="11" t="n">
        <v>113</v>
      </c>
      <c r="Q126" s="13" t="s">
        <v>34</v>
      </c>
      <c r="R126" s="13" t="s">
        <v>35</v>
      </c>
      <c r="S126" s="11" t="n">
        <v>1130101</v>
      </c>
      <c r="T126" s="13" t="s">
        <v>36</v>
      </c>
      <c r="U126" s="16" t="n">
        <v>591.51</v>
      </c>
      <c r="V126" s="16"/>
      <c r="W126" s="17" t="n">
        <v>0</v>
      </c>
      <c r="X126" s="15" t="s">
        <v>212</v>
      </c>
      <c r="Y126" s="15"/>
      <c r="Z126" s="1" t="str">
        <f aca="false">IF($T126="","",IFERROR(INDEX('Resumo Grupos'!$AC$3:$AC$2000,MATCH($T126,'Resumo Grupos'!$AB$3:$AB$2000,0)),"n/d"))</f>
        <v>Mercadoria</v>
      </c>
    </row>
    <row r="127" customFormat="false" ht="39" hidden="false" customHeight="true" outlineLevel="0" collapsed="false">
      <c r="A127" s="11" t="n">
        <v>2</v>
      </c>
      <c r="B127" s="12" t="n">
        <v>46195</v>
      </c>
      <c r="C127" s="12" t="n">
        <v>46216</v>
      </c>
      <c r="D127" s="11" t="n">
        <v>1697</v>
      </c>
      <c r="E127" s="13" t="s">
        <v>211</v>
      </c>
      <c r="F127" s="11" t="n">
        <v>24</v>
      </c>
      <c r="G127" s="13" t="s">
        <v>30</v>
      </c>
      <c r="H127" s="11" t="n">
        <v>2110101</v>
      </c>
      <c r="I127" s="13" t="s">
        <v>31</v>
      </c>
      <c r="J127" s="14" t="n">
        <v>1289570</v>
      </c>
      <c r="K127" s="14"/>
      <c r="L127" s="11" t="n">
        <v>207912</v>
      </c>
      <c r="M127" s="13" t="s">
        <v>32</v>
      </c>
      <c r="N127" s="15" t="s">
        <v>33</v>
      </c>
      <c r="O127" s="15"/>
      <c r="P127" s="11" t="n">
        <v>113</v>
      </c>
      <c r="Q127" s="13" t="s">
        <v>34</v>
      </c>
      <c r="R127" s="13" t="s">
        <v>35</v>
      </c>
      <c r="S127" s="11" t="n">
        <v>1130101</v>
      </c>
      <c r="T127" s="13" t="s">
        <v>36</v>
      </c>
      <c r="U127" s="16" t="n">
        <v>591.52</v>
      </c>
      <c r="V127" s="16"/>
      <c r="W127" s="17" t="n">
        <v>0</v>
      </c>
      <c r="X127" s="15" t="s">
        <v>212</v>
      </c>
      <c r="Y127" s="15"/>
      <c r="Z127" s="1" t="str">
        <f aca="false">IF($T127="","",IFERROR(INDEX('Resumo Grupos'!$AC$3:$AC$2000,MATCH($T127,'Resumo Grupos'!$AB$3:$AB$2000,0)),"n/d"))</f>
        <v>Mercadoria</v>
      </c>
    </row>
    <row r="128" customFormat="false" ht="39" hidden="false" customHeight="true" outlineLevel="0" collapsed="false">
      <c r="A128" s="11" t="n">
        <v>2</v>
      </c>
      <c r="B128" s="12" t="n">
        <v>46195</v>
      </c>
      <c r="C128" s="12" t="n">
        <v>46223</v>
      </c>
      <c r="D128" s="11" t="n">
        <v>1697</v>
      </c>
      <c r="E128" s="13" t="s">
        <v>211</v>
      </c>
      <c r="F128" s="11" t="n">
        <v>24</v>
      </c>
      <c r="G128" s="13" t="s">
        <v>30</v>
      </c>
      <c r="H128" s="11" t="n">
        <v>2110101</v>
      </c>
      <c r="I128" s="13" t="s">
        <v>31</v>
      </c>
      <c r="J128" s="14" t="n">
        <v>1289570</v>
      </c>
      <c r="K128" s="14"/>
      <c r="L128" s="11" t="n">
        <v>207912</v>
      </c>
      <c r="M128" s="13" t="s">
        <v>101</v>
      </c>
      <c r="N128" s="15" t="s">
        <v>33</v>
      </c>
      <c r="O128" s="15"/>
      <c r="P128" s="11" t="n">
        <v>113</v>
      </c>
      <c r="Q128" s="13" t="s">
        <v>34</v>
      </c>
      <c r="R128" s="13" t="s">
        <v>35</v>
      </c>
      <c r="S128" s="11" t="n">
        <v>1130101</v>
      </c>
      <c r="T128" s="13" t="s">
        <v>36</v>
      </c>
      <c r="U128" s="16" t="n">
        <v>591.52</v>
      </c>
      <c r="V128" s="16"/>
      <c r="W128" s="17" t="n">
        <v>0</v>
      </c>
      <c r="X128" s="15" t="s">
        <v>212</v>
      </c>
      <c r="Y128" s="15"/>
      <c r="Z128" s="1" t="str">
        <f aca="false">IF($T128="","",IFERROR(INDEX('Resumo Grupos'!$AC$3:$AC$2000,MATCH($T128,'Resumo Grupos'!$AB$3:$AB$2000,0)),"n/d"))</f>
        <v>Mercadoria</v>
      </c>
    </row>
    <row r="129" customFormat="false" ht="39" hidden="false" customHeight="true" outlineLevel="0" collapsed="false">
      <c r="A129" s="11" t="n">
        <v>2</v>
      </c>
      <c r="B129" s="12" t="n">
        <v>46195</v>
      </c>
      <c r="C129" s="12" t="n">
        <v>46216</v>
      </c>
      <c r="D129" s="11" t="n">
        <v>1637</v>
      </c>
      <c r="E129" s="13" t="s">
        <v>213</v>
      </c>
      <c r="F129" s="11" t="n">
        <v>24</v>
      </c>
      <c r="G129" s="13" t="s">
        <v>30</v>
      </c>
      <c r="H129" s="11" t="n">
        <v>2110101</v>
      </c>
      <c r="I129" s="13" t="s">
        <v>31</v>
      </c>
      <c r="J129" s="14" t="n">
        <v>1289620</v>
      </c>
      <c r="K129" s="14"/>
      <c r="L129" s="11" t="n">
        <v>1894392</v>
      </c>
      <c r="M129" s="13" t="s">
        <v>105</v>
      </c>
      <c r="N129" s="15" t="s">
        <v>33</v>
      </c>
      <c r="O129" s="15"/>
      <c r="P129" s="11" t="n">
        <v>113</v>
      </c>
      <c r="Q129" s="13" t="s">
        <v>34</v>
      </c>
      <c r="R129" s="13" t="s">
        <v>35</v>
      </c>
      <c r="S129" s="11" t="n">
        <v>1130101</v>
      </c>
      <c r="T129" s="13" t="s">
        <v>36</v>
      </c>
      <c r="U129" s="16" t="n">
        <v>671.67</v>
      </c>
      <c r="V129" s="16"/>
      <c r="W129" s="17" t="n">
        <v>0</v>
      </c>
      <c r="X129" s="15" t="s">
        <v>214</v>
      </c>
      <c r="Y129" s="15"/>
      <c r="Z129" s="1" t="str">
        <f aca="false">IF($T129="","",IFERROR(INDEX('Resumo Grupos'!$AC$3:$AC$2000,MATCH($T129,'Resumo Grupos'!$AB$3:$AB$2000,0)),"n/d"))</f>
        <v>Mercadoria</v>
      </c>
    </row>
    <row r="130" customFormat="false" ht="39" hidden="false" customHeight="true" outlineLevel="0" collapsed="false">
      <c r="A130" s="11" t="n">
        <v>2</v>
      </c>
      <c r="B130" s="12" t="n">
        <v>46195</v>
      </c>
      <c r="C130" s="12" t="n">
        <v>46212</v>
      </c>
      <c r="D130" s="11" t="n">
        <v>10012</v>
      </c>
      <c r="E130" s="13" t="s">
        <v>215</v>
      </c>
      <c r="F130" s="11" t="n">
        <v>24</v>
      </c>
      <c r="G130" s="13" t="s">
        <v>30</v>
      </c>
      <c r="H130" s="11" t="n">
        <v>2110101</v>
      </c>
      <c r="I130" s="13" t="s">
        <v>31</v>
      </c>
      <c r="J130" s="14" t="n">
        <v>1289819</v>
      </c>
      <c r="K130" s="14"/>
      <c r="L130" s="11" t="n">
        <v>1959276</v>
      </c>
      <c r="M130" s="13" t="s">
        <v>105</v>
      </c>
      <c r="N130" s="15" t="s">
        <v>33</v>
      </c>
      <c r="O130" s="15"/>
      <c r="P130" s="11" t="n">
        <v>113</v>
      </c>
      <c r="Q130" s="13" t="s">
        <v>34</v>
      </c>
      <c r="R130" s="13" t="s">
        <v>35</v>
      </c>
      <c r="S130" s="11" t="n">
        <v>1130101</v>
      </c>
      <c r="T130" s="13" t="s">
        <v>36</v>
      </c>
      <c r="U130" s="16" t="n">
        <v>653.65</v>
      </c>
      <c r="V130" s="16"/>
      <c r="W130" s="17" t="n">
        <v>0</v>
      </c>
      <c r="X130" s="15" t="s">
        <v>216</v>
      </c>
      <c r="Y130" s="15"/>
      <c r="Z130" s="1" t="str">
        <f aca="false">IF($T130="","",IFERROR(INDEX('Resumo Grupos'!$AC$3:$AC$2000,MATCH($T130,'Resumo Grupos'!$AB$3:$AB$2000,0)),"n/d"))</f>
        <v>Mercadoria</v>
      </c>
    </row>
    <row r="131" customFormat="false" ht="39" hidden="false" customHeight="true" outlineLevel="0" collapsed="false">
      <c r="A131" s="11" t="n">
        <v>2</v>
      </c>
      <c r="B131" s="12" t="n">
        <v>46195</v>
      </c>
      <c r="C131" s="12" t="n">
        <v>46219</v>
      </c>
      <c r="D131" s="11" t="n">
        <v>10012</v>
      </c>
      <c r="E131" s="13" t="s">
        <v>215</v>
      </c>
      <c r="F131" s="11" t="n">
        <v>24</v>
      </c>
      <c r="G131" s="13" t="s">
        <v>30</v>
      </c>
      <c r="H131" s="11" t="n">
        <v>2110101</v>
      </c>
      <c r="I131" s="13" t="s">
        <v>31</v>
      </c>
      <c r="J131" s="14" t="n">
        <v>1289819</v>
      </c>
      <c r="K131" s="14"/>
      <c r="L131" s="11" t="n">
        <v>1959276</v>
      </c>
      <c r="M131" s="13" t="s">
        <v>32</v>
      </c>
      <c r="N131" s="15" t="s">
        <v>33</v>
      </c>
      <c r="O131" s="15"/>
      <c r="P131" s="11" t="n">
        <v>113</v>
      </c>
      <c r="Q131" s="13" t="s">
        <v>34</v>
      </c>
      <c r="R131" s="13" t="s">
        <v>35</v>
      </c>
      <c r="S131" s="11" t="n">
        <v>1130101</v>
      </c>
      <c r="T131" s="13" t="s">
        <v>36</v>
      </c>
      <c r="U131" s="16" t="n">
        <v>653.65</v>
      </c>
      <c r="V131" s="16"/>
      <c r="W131" s="17" t="n">
        <v>0</v>
      </c>
      <c r="X131" s="15" t="s">
        <v>216</v>
      </c>
      <c r="Y131" s="15"/>
      <c r="Z131" s="1" t="str">
        <f aca="false">IF($T131="","",IFERROR(INDEX('Resumo Grupos'!$AC$3:$AC$2000,MATCH($T131,'Resumo Grupos'!$AB$3:$AB$2000,0)),"n/d"))</f>
        <v>Mercadoria</v>
      </c>
    </row>
    <row r="132" customFormat="false" ht="39" hidden="false" customHeight="true" outlineLevel="0" collapsed="false">
      <c r="A132" s="11" t="n">
        <v>2</v>
      </c>
      <c r="B132" s="12" t="n">
        <v>46195</v>
      </c>
      <c r="C132" s="12" t="n">
        <v>46226</v>
      </c>
      <c r="D132" s="11" t="n">
        <v>10012</v>
      </c>
      <c r="E132" s="13" t="s">
        <v>215</v>
      </c>
      <c r="F132" s="11" t="n">
        <v>24</v>
      </c>
      <c r="G132" s="13" t="s">
        <v>30</v>
      </c>
      <c r="H132" s="11" t="n">
        <v>2110101</v>
      </c>
      <c r="I132" s="13" t="s">
        <v>31</v>
      </c>
      <c r="J132" s="14" t="n">
        <v>1289819</v>
      </c>
      <c r="K132" s="14"/>
      <c r="L132" s="11" t="n">
        <v>1959276</v>
      </c>
      <c r="M132" s="13" t="s">
        <v>101</v>
      </c>
      <c r="N132" s="15" t="s">
        <v>33</v>
      </c>
      <c r="O132" s="15"/>
      <c r="P132" s="11" t="n">
        <v>113</v>
      </c>
      <c r="Q132" s="13" t="s">
        <v>34</v>
      </c>
      <c r="R132" s="13" t="s">
        <v>35</v>
      </c>
      <c r="S132" s="11" t="n">
        <v>1130101</v>
      </c>
      <c r="T132" s="13" t="s">
        <v>36</v>
      </c>
      <c r="U132" s="16" t="n">
        <v>653.86</v>
      </c>
      <c r="V132" s="16"/>
      <c r="W132" s="17" t="n">
        <v>0</v>
      </c>
      <c r="X132" s="15" t="s">
        <v>216</v>
      </c>
      <c r="Y132" s="15"/>
      <c r="Z132" s="1" t="str">
        <f aca="false">IF($T132="","",IFERROR(INDEX('Resumo Grupos'!$AC$3:$AC$2000,MATCH($T132,'Resumo Grupos'!$AB$3:$AB$2000,0)),"n/d"))</f>
        <v>Mercadoria</v>
      </c>
    </row>
    <row r="133" customFormat="false" ht="39" hidden="false" customHeight="true" outlineLevel="0" collapsed="false">
      <c r="A133" s="11" t="n">
        <v>2</v>
      </c>
      <c r="B133" s="12" t="n">
        <v>46195</v>
      </c>
      <c r="C133" s="12" t="n">
        <v>46206</v>
      </c>
      <c r="D133" s="11" t="n">
        <v>1695</v>
      </c>
      <c r="E133" s="13" t="s">
        <v>217</v>
      </c>
      <c r="F133" s="11" t="n">
        <v>24</v>
      </c>
      <c r="G133" s="13" t="s">
        <v>30</v>
      </c>
      <c r="H133" s="11" t="n">
        <v>2110101</v>
      </c>
      <c r="I133" s="13" t="s">
        <v>31</v>
      </c>
      <c r="J133" s="14" t="n">
        <v>1289973</v>
      </c>
      <c r="K133" s="14"/>
      <c r="L133" s="11" t="n">
        <v>18762</v>
      </c>
      <c r="M133" s="13" t="s">
        <v>32</v>
      </c>
      <c r="N133" s="15" t="s">
        <v>33</v>
      </c>
      <c r="O133" s="15"/>
      <c r="P133" s="11" t="n">
        <v>113</v>
      </c>
      <c r="Q133" s="13" t="s">
        <v>34</v>
      </c>
      <c r="R133" s="13" t="s">
        <v>35</v>
      </c>
      <c r="S133" s="11" t="n">
        <v>1130101</v>
      </c>
      <c r="T133" s="13" t="s">
        <v>36</v>
      </c>
      <c r="U133" s="16" t="n">
        <v>1433.64</v>
      </c>
      <c r="V133" s="16"/>
      <c r="W133" s="17" t="n">
        <v>0</v>
      </c>
      <c r="X133" s="15" t="s">
        <v>218</v>
      </c>
      <c r="Y133" s="15"/>
      <c r="Z133" s="1" t="str">
        <f aca="false">IF($T133="","",IFERROR(INDEX('Resumo Grupos'!$AC$3:$AC$2000,MATCH($T133,'Resumo Grupos'!$AB$3:$AB$2000,0)),"n/d"))</f>
        <v>Mercadoria</v>
      </c>
    </row>
    <row r="134" customFormat="false" ht="39" hidden="false" customHeight="true" outlineLevel="0" collapsed="false">
      <c r="A134" s="11" t="n">
        <v>2</v>
      </c>
      <c r="B134" s="12" t="n">
        <v>46195</v>
      </c>
      <c r="C134" s="12" t="n">
        <v>46213</v>
      </c>
      <c r="D134" s="11" t="n">
        <v>1695</v>
      </c>
      <c r="E134" s="13" t="s">
        <v>217</v>
      </c>
      <c r="F134" s="11" t="n">
        <v>24</v>
      </c>
      <c r="G134" s="13" t="s">
        <v>30</v>
      </c>
      <c r="H134" s="11" t="n">
        <v>2110101</v>
      </c>
      <c r="I134" s="13" t="s">
        <v>31</v>
      </c>
      <c r="J134" s="14" t="n">
        <v>1289973</v>
      </c>
      <c r="K134" s="14"/>
      <c r="L134" s="11" t="n">
        <v>18762</v>
      </c>
      <c r="M134" s="13" t="s">
        <v>101</v>
      </c>
      <c r="N134" s="15" t="s">
        <v>33</v>
      </c>
      <c r="O134" s="15"/>
      <c r="P134" s="11" t="n">
        <v>113</v>
      </c>
      <c r="Q134" s="13" t="s">
        <v>34</v>
      </c>
      <c r="R134" s="13" t="s">
        <v>35</v>
      </c>
      <c r="S134" s="11" t="n">
        <v>1130101</v>
      </c>
      <c r="T134" s="13" t="s">
        <v>36</v>
      </c>
      <c r="U134" s="16" t="n">
        <v>1433.64</v>
      </c>
      <c r="V134" s="16"/>
      <c r="W134" s="17" t="n">
        <v>0</v>
      </c>
      <c r="X134" s="15" t="s">
        <v>218</v>
      </c>
      <c r="Y134" s="15"/>
      <c r="Z134" s="1" t="str">
        <f aca="false">IF($T134="","",IFERROR(INDEX('Resumo Grupos'!$AC$3:$AC$2000,MATCH($T134,'Resumo Grupos'!$AB$3:$AB$2000,0)),"n/d"))</f>
        <v>Mercadoria</v>
      </c>
    </row>
    <row r="135" customFormat="false" ht="39" hidden="false" customHeight="true" outlineLevel="0" collapsed="false">
      <c r="A135" s="11" t="n">
        <v>2</v>
      </c>
      <c r="B135" s="12" t="n">
        <v>46195</v>
      </c>
      <c r="C135" s="12" t="n">
        <v>46207</v>
      </c>
      <c r="D135" s="11" t="n">
        <v>1705</v>
      </c>
      <c r="E135" s="13" t="s">
        <v>169</v>
      </c>
      <c r="F135" s="11" t="n">
        <v>24</v>
      </c>
      <c r="G135" s="13" t="s">
        <v>30</v>
      </c>
      <c r="H135" s="11" t="n">
        <v>2110101</v>
      </c>
      <c r="I135" s="13" t="s">
        <v>31</v>
      </c>
      <c r="J135" s="14" t="n">
        <v>1290006</v>
      </c>
      <c r="K135" s="14"/>
      <c r="L135" s="11" t="n">
        <v>1169404</v>
      </c>
      <c r="M135" s="13" t="s">
        <v>105</v>
      </c>
      <c r="N135" s="15" t="s">
        <v>33</v>
      </c>
      <c r="O135" s="15"/>
      <c r="P135" s="11" t="n">
        <v>113</v>
      </c>
      <c r="Q135" s="13" t="s">
        <v>34</v>
      </c>
      <c r="R135" s="13" t="s">
        <v>35</v>
      </c>
      <c r="S135" s="11" t="n">
        <v>1130101</v>
      </c>
      <c r="T135" s="13" t="s">
        <v>36</v>
      </c>
      <c r="U135" s="16" t="n">
        <v>50.85</v>
      </c>
      <c r="V135" s="16"/>
      <c r="W135" s="17" t="n">
        <v>0</v>
      </c>
      <c r="X135" s="15" t="s">
        <v>219</v>
      </c>
      <c r="Y135" s="15"/>
      <c r="Z135" s="1" t="str">
        <f aca="false">IF($T135="","",IFERROR(INDEX('Resumo Grupos'!$AC$3:$AC$2000,MATCH($T135,'Resumo Grupos'!$AB$3:$AB$2000,0)),"n/d"))</f>
        <v>Mercadoria</v>
      </c>
    </row>
    <row r="136" customFormat="false" ht="39" hidden="false" customHeight="true" outlineLevel="0" collapsed="false">
      <c r="A136" s="11" t="n">
        <v>2</v>
      </c>
      <c r="B136" s="12" t="n">
        <v>46195</v>
      </c>
      <c r="C136" s="12" t="n">
        <v>46207</v>
      </c>
      <c r="D136" s="11" t="n">
        <v>1705</v>
      </c>
      <c r="E136" s="13" t="s">
        <v>169</v>
      </c>
      <c r="F136" s="11" t="n">
        <v>24</v>
      </c>
      <c r="G136" s="13" t="s">
        <v>30</v>
      </c>
      <c r="H136" s="11" t="n">
        <v>2110101</v>
      </c>
      <c r="I136" s="13" t="s">
        <v>31</v>
      </c>
      <c r="J136" s="14" t="n">
        <v>1290023</v>
      </c>
      <c r="K136" s="14"/>
      <c r="L136" s="11" t="n">
        <v>172326</v>
      </c>
      <c r="M136" s="13" t="s">
        <v>105</v>
      </c>
      <c r="N136" s="15" t="s">
        <v>41</v>
      </c>
      <c r="O136" s="15"/>
      <c r="P136" s="11" t="n">
        <v>113</v>
      </c>
      <c r="Q136" s="13" t="s">
        <v>34</v>
      </c>
      <c r="R136" s="13" t="s">
        <v>35</v>
      </c>
      <c r="S136" s="11" t="n">
        <v>1130101</v>
      </c>
      <c r="T136" s="13" t="s">
        <v>36</v>
      </c>
      <c r="U136" s="16" t="n">
        <v>467.76</v>
      </c>
      <c r="V136" s="16"/>
      <c r="W136" s="17" t="n">
        <v>0</v>
      </c>
      <c r="X136" s="15" t="s">
        <v>220</v>
      </c>
      <c r="Y136" s="15"/>
      <c r="Z136" s="1" t="str">
        <f aca="false">IF($T136="","",IFERROR(INDEX('Resumo Grupos'!$AC$3:$AC$2000,MATCH($T136,'Resumo Grupos'!$AB$3:$AB$2000,0)),"n/d"))</f>
        <v>Mercadoria</v>
      </c>
    </row>
    <row r="137" customFormat="false" ht="39" hidden="false" customHeight="true" outlineLevel="0" collapsed="false">
      <c r="A137" s="11" t="n">
        <v>2</v>
      </c>
      <c r="B137" s="12" t="n">
        <v>46195</v>
      </c>
      <c r="C137" s="12" t="n">
        <v>46210</v>
      </c>
      <c r="D137" s="11" t="n">
        <v>1705</v>
      </c>
      <c r="E137" s="13" t="s">
        <v>169</v>
      </c>
      <c r="F137" s="11" t="n">
        <v>24</v>
      </c>
      <c r="G137" s="13" t="s">
        <v>30</v>
      </c>
      <c r="H137" s="11" t="n">
        <v>2110101</v>
      </c>
      <c r="I137" s="13" t="s">
        <v>31</v>
      </c>
      <c r="J137" s="14" t="n">
        <v>1290071</v>
      </c>
      <c r="K137" s="14"/>
      <c r="L137" s="11" t="n">
        <v>1170564</v>
      </c>
      <c r="M137" s="13" t="s">
        <v>105</v>
      </c>
      <c r="N137" s="15" t="s">
        <v>33</v>
      </c>
      <c r="O137" s="15"/>
      <c r="P137" s="11" t="n">
        <v>113</v>
      </c>
      <c r="Q137" s="13" t="s">
        <v>34</v>
      </c>
      <c r="R137" s="13" t="s">
        <v>35</v>
      </c>
      <c r="S137" s="11" t="n">
        <v>1130101</v>
      </c>
      <c r="T137" s="13" t="s">
        <v>36</v>
      </c>
      <c r="U137" s="16" t="n">
        <v>22.95</v>
      </c>
      <c r="V137" s="16"/>
      <c r="W137" s="17" t="n">
        <v>0</v>
      </c>
      <c r="X137" s="15" t="s">
        <v>221</v>
      </c>
      <c r="Y137" s="15"/>
      <c r="Z137" s="1" t="str">
        <f aca="false">IF($T137="","",IFERROR(INDEX('Resumo Grupos'!$AC$3:$AC$2000,MATCH($T137,'Resumo Grupos'!$AB$3:$AB$2000,0)),"n/d"))</f>
        <v>Mercadoria</v>
      </c>
    </row>
    <row r="138" customFormat="false" ht="39" hidden="false" customHeight="true" outlineLevel="0" collapsed="false">
      <c r="A138" s="11" t="n">
        <v>2</v>
      </c>
      <c r="B138" s="12" t="n">
        <v>46195</v>
      </c>
      <c r="C138" s="12" t="n">
        <v>46210</v>
      </c>
      <c r="D138" s="11" t="n">
        <v>1705</v>
      </c>
      <c r="E138" s="13" t="s">
        <v>169</v>
      </c>
      <c r="F138" s="11" t="n">
        <v>24</v>
      </c>
      <c r="G138" s="13" t="s">
        <v>30</v>
      </c>
      <c r="H138" s="11" t="n">
        <v>2110101</v>
      </c>
      <c r="I138" s="13" t="s">
        <v>31</v>
      </c>
      <c r="J138" s="14" t="n">
        <v>1290089</v>
      </c>
      <c r="K138" s="14"/>
      <c r="L138" s="11" t="n">
        <v>1893322</v>
      </c>
      <c r="M138" s="13" t="s">
        <v>105</v>
      </c>
      <c r="N138" s="15" t="s">
        <v>33</v>
      </c>
      <c r="O138" s="15"/>
      <c r="P138" s="11" t="n">
        <v>113</v>
      </c>
      <c r="Q138" s="13" t="s">
        <v>34</v>
      </c>
      <c r="R138" s="13" t="s">
        <v>35</v>
      </c>
      <c r="S138" s="11" t="n">
        <v>1130101</v>
      </c>
      <c r="T138" s="13" t="s">
        <v>36</v>
      </c>
      <c r="U138" s="16" t="n">
        <v>840.06</v>
      </c>
      <c r="V138" s="16"/>
      <c r="W138" s="17" t="n">
        <v>0</v>
      </c>
      <c r="X138" s="15" t="s">
        <v>222</v>
      </c>
      <c r="Y138" s="15"/>
      <c r="Z138" s="1" t="str">
        <f aca="false">IF($T138="","",IFERROR(INDEX('Resumo Grupos'!$AC$3:$AC$2000,MATCH($T138,'Resumo Grupos'!$AB$3:$AB$2000,0)),"n/d"))</f>
        <v>Mercadoria</v>
      </c>
    </row>
    <row r="139" customFormat="false" ht="39" hidden="false" customHeight="true" outlineLevel="0" collapsed="false">
      <c r="A139" s="11" t="n">
        <v>2</v>
      </c>
      <c r="B139" s="12" t="n">
        <v>46195</v>
      </c>
      <c r="C139" s="12" t="n">
        <v>46210</v>
      </c>
      <c r="D139" s="11" t="n">
        <v>1705</v>
      </c>
      <c r="E139" s="13" t="s">
        <v>169</v>
      </c>
      <c r="F139" s="11" t="n">
        <v>24</v>
      </c>
      <c r="G139" s="13" t="s">
        <v>30</v>
      </c>
      <c r="H139" s="11" t="n">
        <v>2110101</v>
      </c>
      <c r="I139" s="13" t="s">
        <v>31</v>
      </c>
      <c r="J139" s="14" t="n">
        <v>1290102</v>
      </c>
      <c r="K139" s="14"/>
      <c r="L139" s="11" t="n">
        <v>1171501</v>
      </c>
      <c r="M139" s="13" t="s">
        <v>105</v>
      </c>
      <c r="N139" s="15" t="s">
        <v>33</v>
      </c>
      <c r="O139" s="15"/>
      <c r="P139" s="11" t="n">
        <v>113</v>
      </c>
      <c r="Q139" s="13" t="s">
        <v>34</v>
      </c>
      <c r="R139" s="13" t="s">
        <v>35</v>
      </c>
      <c r="S139" s="11" t="n">
        <v>1130101</v>
      </c>
      <c r="T139" s="13" t="s">
        <v>36</v>
      </c>
      <c r="U139" s="16" t="n">
        <v>2287.85</v>
      </c>
      <c r="V139" s="16"/>
      <c r="W139" s="17" t="n">
        <v>0</v>
      </c>
      <c r="X139" s="15" t="s">
        <v>223</v>
      </c>
      <c r="Y139" s="15"/>
      <c r="Z139" s="1" t="str">
        <f aca="false">IF($T139="","",IFERROR(INDEX('Resumo Grupos'!$AC$3:$AC$2000,MATCH($T139,'Resumo Grupos'!$AB$3:$AB$2000,0)),"n/d"))</f>
        <v>Mercadoria</v>
      </c>
    </row>
    <row r="140" customFormat="false" ht="39" hidden="false" customHeight="true" outlineLevel="0" collapsed="false">
      <c r="A140" s="11" t="n">
        <v>2</v>
      </c>
      <c r="B140" s="12" t="n">
        <v>46195</v>
      </c>
      <c r="C140" s="12" t="n">
        <v>46210</v>
      </c>
      <c r="D140" s="11" t="n">
        <v>1705</v>
      </c>
      <c r="E140" s="13" t="s">
        <v>169</v>
      </c>
      <c r="F140" s="11" t="n">
        <v>24</v>
      </c>
      <c r="G140" s="13" t="s">
        <v>30</v>
      </c>
      <c r="H140" s="11" t="n">
        <v>2110101</v>
      </c>
      <c r="I140" s="13" t="s">
        <v>31</v>
      </c>
      <c r="J140" s="14" t="n">
        <v>1290130</v>
      </c>
      <c r="K140" s="14"/>
      <c r="L140" s="11" t="n">
        <v>172327</v>
      </c>
      <c r="M140" s="13" t="s">
        <v>105</v>
      </c>
      <c r="N140" s="15" t="s">
        <v>41</v>
      </c>
      <c r="O140" s="15"/>
      <c r="P140" s="11" t="n">
        <v>113</v>
      </c>
      <c r="Q140" s="13" t="s">
        <v>34</v>
      </c>
      <c r="R140" s="13" t="s">
        <v>35</v>
      </c>
      <c r="S140" s="11" t="n">
        <v>1130101</v>
      </c>
      <c r="T140" s="13" t="s">
        <v>36</v>
      </c>
      <c r="U140" s="16" t="n">
        <v>97.97</v>
      </c>
      <c r="V140" s="16"/>
      <c r="W140" s="17" t="n">
        <v>0</v>
      </c>
      <c r="X140" s="15"/>
      <c r="Y140" s="15"/>
      <c r="Z140" s="1" t="str">
        <f aca="false">IF($T140="","",IFERROR(INDEX('Resumo Grupos'!$AC$3:$AC$2000,MATCH($T140,'Resumo Grupos'!$AB$3:$AB$2000,0)),"n/d"))</f>
        <v>Mercadoria</v>
      </c>
    </row>
    <row r="141" customFormat="false" ht="48" hidden="false" customHeight="true" outlineLevel="0" collapsed="false">
      <c r="A141" s="11" t="n">
        <v>2</v>
      </c>
      <c r="B141" s="12" t="n">
        <v>46195</v>
      </c>
      <c r="C141" s="12" t="n">
        <v>46204</v>
      </c>
      <c r="D141" s="11" t="n">
        <v>1792</v>
      </c>
      <c r="E141" s="13" t="s">
        <v>224</v>
      </c>
      <c r="F141" s="11" t="n">
        <v>24</v>
      </c>
      <c r="G141" s="13" t="s">
        <v>30</v>
      </c>
      <c r="H141" s="11" t="n">
        <v>2110405</v>
      </c>
      <c r="I141" s="13" t="s">
        <v>51</v>
      </c>
      <c r="J141" s="14" t="n">
        <v>1290183</v>
      </c>
      <c r="K141" s="14"/>
      <c r="L141" s="11" t="n">
        <v>172328</v>
      </c>
      <c r="M141" s="13" t="s">
        <v>105</v>
      </c>
      <c r="N141" s="15" t="s">
        <v>41</v>
      </c>
      <c r="O141" s="15"/>
      <c r="P141" s="11" t="n">
        <v>101</v>
      </c>
      <c r="Q141" s="13" t="s">
        <v>52</v>
      </c>
      <c r="R141" s="13" t="s">
        <v>200</v>
      </c>
      <c r="S141" s="11" t="n">
        <v>1240203</v>
      </c>
      <c r="T141" s="13" t="s">
        <v>201</v>
      </c>
      <c r="U141" s="16" t="n">
        <v>404.78</v>
      </c>
      <c r="V141" s="16"/>
      <c r="W141" s="17" t="n">
        <v>0</v>
      </c>
      <c r="X141" s="15" t="s">
        <v>225</v>
      </c>
      <c r="Y141" s="15"/>
      <c r="Z141" s="1" t="str">
        <f aca="false">IF($T141="","",IFERROR(INDEX('Resumo Grupos'!$AC$3:$AC$2000,MATCH($T141,'Resumo Grupos'!$AB$3:$AB$2000,0)),"n/d"))</f>
        <v>Despesa</v>
      </c>
    </row>
    <row r="142" customFormat="false" ht="48" hidden="false" customHeight="true" outlineLevel="0" collapsed="false">
      <c r="A142" s="11" t="n">
        <v>2</v>
      </c>
      <c r="B142" s="12" t="n">
        <v>46195</v>
      </c>
      <c r="C142" s="12" t="n">
        <v>46213</v>
      </c>
      <c r="D142" s="11" t="n">
        <v>1720</v>
      </c>
      <c r="E142" s="13" t="s">
        <v>226</v>
      </c>
      <c r="F142" s="11" t="n">
        <v>24</v>
      </c>
      <c r="G142" s="13" t="s">
        <v>30</v>
      </c>
      <c r="H142" s="11" t="n">
        <v>2110101</v>
      </c>
      <c r="I142" s="13" t="s">
        <v>31</v>
      </c>
      <c r="J142" s="14" t="n">
        <v>1290433</v>
      </c>
      <c r="K142" s="14"/>
      <c r="L142" s="11" t="n">
        <v>47502</v>
      </c>
      <c r="M142" s="13" t="s">
        <v>105</v>
      </c>
      <c r="N142" s="15" t="s">
        <v>33</v>
      </c>
      <c r="O142" s="15"/>
      <c r="P142" s="11" t="n">
        <v>113</v>
      </c>
      <c r="Q142" s="13" t="s">
        <v>34</v>
      </c>
      <c r="R142" s="13" t="s">
        <v>35</v>
      </c>
      <c r="S142" s="11" t="n">
        <v>1130101</v>
      </c>
      <c r="T142" s="13" t="s">
        <v>36</v>
      </c>
      <c r="U142" s="16" t="n">
        <v>603.5</v>
      </c>
      <c r="V142" s="16"/>
      <c r="W142" s="17" t="n">
        <v>0</v>
      </c>
      <c r="X142" s="15" t="s">
        <v>227</v>
      </c>
      <c r="Y142" s="15"/>
      <c r="Z142" s="1" t="str">
        <f aca="false">IF($T142="","",IFERROR(INDEX('Resumo Grupos'!$AC$3:$AC$2000,MATCH($T142,'Resumo Grupos'!$AB$3:$AB$2000,0)),"n/d"))</f>
        <v>Mercadoria</v>
      </c>
    </row>
    <row r="143" customFormat="false" ht="84.75" hidden="false" customHeight="true" outlineLevel="0" collapsed="false">
      <c r="A143" s="11" t="n">
        <v>2</v>
      </c>
      <c r="B143" s="12" t="n">
        <v>46195</v>
      </c>
      <c r="C143" s="12" t="n">
        <v>46213</v>
      </c>
      <c r="D143" s="11" t="n">
        <v>1678</v>
      </c>
      <c r="E143" s="13" t="s">
        <v>228</v>
      </c>
      <c r="F143" s="11" t="n">
        <v>24</v>
      </c>
      <c r="G143" s="13" t="s">
        <v>30</v>
      </c>
      <c r="H143" s="11" t="n">
        <v>2110101</v>
      </c>
      <c r="I143" s="13" t="s">
        <v>31</v>
      </c>
      <c r="J143" s="14" t="n">
        <v>1290565</v>
      </c>
      <c r="K143" s="14"/>
      <c r="L143" s="11" t="n">
        <v>161137</v>
      </c>
      <c r="M143" s="13" t="s">
        <v>105</v>
      </c>
      <c r="N143" s="15" t="s">
        <v>33</v>
      </c>
      <c r="O143" s="15"/>
      <c r="P143" s="11" t="n">
        <v>113</v>
      </c>
      <c r="Q143" s="13" t="s">
        <v>34</v>
      </c>
      <c r="R143" s="13" t="s">
        <v>35</v>
      </c>
      <c r="S143" s="11" t="n">
        <v>1130101</v>
      </c>
      <c r="T143" s="13" t="s">
        <v>36</v>
      </c>
      <c r="U143" s="16" t="n">
        <v>592.5</v>
      </c>
      <c r="V143" s="16"/>
      <c r="W143" s="17" t="n">
        <v>0</v>
      </c>
      <c r="X143" s="15" t="s">
        <v>229</v>
      </c>
      <c r="Y143" s="15"/>
      <c r="Z143" s="1" t="str">
        <f aca="false">IF($T143="","",IFERROR(INDEX('Resumo Grupos'!$AC$3:$AC$2000,MATCH($T143,'Resumo Grupos'!$AB$3:$AB$2000,0)),"n/d"))</f>
        <v>Mercadoria</v>
      </c>
    </row>
    <row r="144" customFormat="false" ht="48" hidden="false" customHeight="true" outlineLevel="0" collapsed="false">
      <c r="A144" s="11" t="n">
        <v>2</v>
      </c>
      <c r="B144" s="12" t="n">
        <v>46195</v>
      </c>
      <c r="C144" s="12" t="n">
        <v>46209</v>
      </c>
      <c r="D144" s="11" t="n">
        <v>1626</v>
      </c>
      <c r="E144" s="13" t="s">
        <v>135</v>
      </c>
      <c r="F144" s="11" t="n">
        <v>24</v>
      </c>
      <c r="G144" s="13" t="s">
        <v>30</v>
      </c>
      <c r="H144" s="11" t="n">
        <v>2110101</v>
      </c>
      <c r="I144" s="13" t="s">
        <v>31</v>
      </c>
      <c r="J144" s="14" t="n">
        <v>1290923</v>
      </c>
      <c r="K144" s="14"/>
      <c r="L144" s="11" t="n">
        <v>172706</v>
      </c>
      <c r="M144" s="13" t="s">
        <v>105</v>
      </c>
      <c r="N144" s="15" t="s">
        <v>41</v>
      </c>
      <c r="O144" s="15"/>
      <c r="P144" s="11" t="n">
        <v>113</v>
      </c>
      <c r="Q144" s="13" t="s">
        <v>34</v>
      </c>
      <c r="R144" s="13" t="s">
        <v>35</v>
      </c>
      <c r="S144" s="11" t="n">
        <v>1130101</v>
      </c>
      <c r="T144" s="13" t="s">
        <v>36</v>
      </c>
      <c r="U144" s="16" t="n">
        <v>675.35</v>
      </c>
      <c r="V144" s="16"/>
      <c r="W144" s="17" t="n">
        <v>0</v>
      </c>
      <c r="X144" s="15" t="s">
        <v>230</v>
      </c>
      <c r="Y144" s="15"/>
      <c r="Z144" s="1" t="str">
        <f aca="false">IF($T144="","",IFERROR(INDEX('Resumo Grupos'!$AC$3:$AC$2000,MATCH($T144,'Resumo Grupos'!$AB$3:$AB$2000,0)),"n/d"))</f>
        <v>Mercadoria</v>
      </c>
    </row>
    <row r="145" customFormat="false" ht="48" hidden="false" customHeight="true" outlineLevel="0" collapsed="false">
      <c r="A145" s="11" t="n">
        <v>2</v>
      </c>
      <c r="B145" s="12" t="n">
        <v>46195</v>
      </c>
      <c r="C145" s="12" t="n">
        <v>46216</v>
      </c>
      <c r="D145" s="11" t="n">
        <v>1626</v>
      </c>
      <c r="E145" s="13" t="s">
        <v>135</v>
      </c>
      <c r="F145" s="11" t="n">
        <v>24</v>
      </c>
      <c r="G145" s="13" t="s">
        <v>30</v>
      </c>
      <c r="H145" s="11" t="n">
        <v>2110101</v>
      </c>
      <c r="I145" s="13" t="s">
        <v>31</v>
      </c>
      <c r="J145" s="14" t="n">
        <v>1290928</v>
      </c>
      <c r="K145" s="14"/>
      <c r="L145" s="11" t="n">
        <v>172707</v>
      </c>
      <c r="M145" s="13" t="s">
        <v>105</v>
      </c>
      <c r="N145" s="15" t="s">
        <v>41</v>
      </c>
      <c r="O145" s="15"/>
      <c r="P145" s="11" t="n">
        <v>113</v>
      </c>
      <c r="Q145" s="13" t="s">
        <v>34</v>
      </c>
      <c r="R145" s="13" t="s">
        <v>35</v>
      </c>
      <c r="S145" s="11" t="n">
        <v>1130101</v>
      </c>
      <c r="T145" s="13" t="s">
        <v>36</v>
      </c>
      <c r="U145" s="16" t="n">
        <v>675.35</v>
      </c>
      <c r="V145" s="16"/>
      <c r="W145" s="17" t="n">
        <v>0</v>
      </c>
      <c r="X145" s="15" t="s">
        <v>230</v>
      </c>
      <c r="Y145" s="15"/>
      <c r="Z145" s="1" t="str">
        <f aca="false">IF($T145="","",IFERROR(INDEX('Resumo Grupos'!$AC$3:$AC$2000,MATCH($T145,'Resumo Grupos'!$AB$3:$AB$2000,0)),"n/d"))</f>
        <v>Mercadoria</v>
      </c>
    </row>
    <row r="146" customFormat="false" ht="48" hidden="false" customHeight="true" outlineLevel="0" collapsed="false">
      <c r="A146" s="11" t="n">
        <v>2</v>
      </c>
      <c r="B146" s="12" t="n">
        <v>46196</v>
      </c>
      <c r="C146" s="12" t="n">
        <v>46209</v>
      </c>
      <c r="D146" s="11" t="n">
        <v>1616</v>
      </c>
      <c r="E146" s="13" t="s">
        <v>29</v>
      </c>
      <c r="F146" s="11" t="n">
        <v>24</v>
      </c>
      <c r="G146" s="13" t="s">
        <v>30</v>
      </c>
      <c r="H146" s="11" t="n">
        <v>2110101</v>
      </c>
      <c r="I146" s="13" t="s">
        <v>31</v>
      </c>
      <c r="J146" s="14" t="n">
        <v>1293976</v>
      </c>
      <c r="K146" s="14"/>
      <c r="L146" s="11" t="n">
        <v>646732</v>
      </c>
      <c r="M146" s="13" t="s">
        <v>105</v>
      </c>
      <c r="N146" s="15" t="s">
        <v>33</v>
      </c>
      <c r="O146" s="15"/>
      <c r="P146" s="11" t="n">
        <v>113</v>
      </c>
      <c r="Q146" s="13" t="s">
        <v>34</v>
      </c>
      <c r="R146" s="13" t="s">
        <v>35</v>
      </c>
      <c r="S146" s="11" t="n">
        <v>1130101</v>
      </c>
      <c r="T146" s="13" t="s">
        <v>36</v>
      </c>
      <c r="U146" s="16" t="n">
        <v>347.17</v>
      </c>
      <c r="V146" s="16"/>
      <c r="W146" s="17" t="n">
        <v>0</v>
      </c>
      <c r="X146" s="15" t="s">
        <v>37</v>
      </c>
      <c r="Y146" s="15"/>
      <c r="Z146" s="1" t="str">
        <f aca="false">IF($T146="","",IFERROR(INDEX('Resumo Grupos'!$AC$3:$AC$2000,MATCH($T146,'Resumo Grupos'!$AB$3:$AB$2000,0)),"n/d"))</f>
        <v>Mercadoria</v>
      </c>
    </row>
    <row r="147" customFormat="false" ht="39" hidden="false" customHeight="true" outlineLevel="0" collapsed="false">
      <c r="A147" s="11" t="n">
        <v>2</v>
      </c>
      <c r="B147" s="12" t="n">
        <v>46210</v>
      </c>
      <c r="C147" s="12" t="n">
        <v>46220</v>
      </c>
      <c r="D147" s="11" t="n">
        <v>1613</v>
      </c>
      <c r="E147" s="13" t="s">
        <v>133</v>
      </c>
      <c r="F147" s="11" t="n">
        <v>24</v>
      </c>
      <c r="G147" s="13" t="s">
        <v>30</v>
      </c>
      <c r="H147" s="11" t="n">
        <v>2110101</v>
      </c>
      <c r="I147" s="13" t="s">
        <v>31</v>
      </c>
      <c r="J147" s="14" t="n">
        <v>1364523</v>
      </c>
      <c r="K147" s="14"/>
      <c r="L147" s="11" t="n">
        <v>1604119</v>
      </c>
      <c r="M147" s="13" t="s">
        <v>105</v>
      </c>
      <c r="N147" s="15" t="s">
        <v>33</v>
      </c>
      <c r="O147" s="15"/>
      <c r="P147" s="11" t="n">
        <v>113</v>
      </c>
      <c r="Q147" s="13" t="s">
        <v>34</v>
      </c>
      <c r="R147" s="13" t="s">
        <v>35</v>
      </c>
      <c r="S147" s="11" t="n">
        <v>1130101</v>
      </c>
      <c r="T147" s="13" t="s">
        <v>36</v>
      </c>
      <c r="U147" s="16" t="n">
        <v>1031.78</v>
      </c>
      <c r="V147" s="16"/>
      <c r="W147" s="17" t="n">
        <v>0</v>
      </c>
      <c r="X147" s="15" t="s">
        <v>231</v>
      </c>
      <c r="Y147" s="15"/>
      <c r="Z147" s="1" t="str">
        <f aca="false">IF($T147="","",IFERROR(INDEX('Resumo Grupos'!$AC$3:$AC$2000,MATCH($T147,'Resumo Grupos'!$AB$3:$AB$2000,0)),"n/d"))</f>
        <v>Mercadoria</v>
      </c>
    </row>
    <row r="148" customFormat="false" ht="48" hidden="false" customHeight="true" outlineLevel="0" collapsed="false">
      <c r="A148" s="11" t="n">
        <v>2</v>
      </c>
      <c r="B148" s="12" t="n">
        <v>46196</v>
      </c>
      <c r="C148" s="12" t="n">
        <v>46209</v>
      </c>
      <c r="D148" s="11" t="n">
        <v>794</v>
      </c>
      <c r="E148" s="13" t="s">
        <v>232</v>
      </c>
      <c r="F148" s="11" t="n">
        <v>24</v>
      </c>
      <c r="G148" s="13" t="s">
        <v>30</v>
      </c>
      <c r="H148" s="11" t="n">
        <v>2110405</v>
      </c>
      <c r="I148" s="13" t="s">
        <v>51</v>
      </c>
      <c r="J148" s="14" t="n">
        <v>1294326</v>
      </c>
      <c r="K148" s="14"/>
      <c r="L148" s="11" t="n">
        <v>173122</v>
      </c>
      <c r="M148" s="13" t="s">
        <v>105</v>
      </c>
      <c r="N148" s="15" t="s">
        <v>41</v>
      </c>
      <c r="O148" s="15"/>
      <c r="P148" s="11" t="n">
        <v>113</v>
      </c>
      <c r="Q148" s="13" t="s">
        <v>34</v>
      </c>
      <c r="R148" s="13" t="s">
        <v>60</v>
      </c>
      <c r="S148" s="11" t="n">
        <v>4210299</v>
      </c>
      <c r="T148" s="13" t="s">
        <v>233</v>
      </c>
      <c r="U148" s="16" t="n">
        <v>737.43</v>
      </c>
      <c r="V148" s="16"/>
      <c r="W148" s="17" t="n">
        <v>0</v>
      </c>
      <c r="X148" s="15" t="s">
        <v>234</v>
      </c>
      <c r="Y148" s="15"/>
      <c r="Z148" s="1" t="str">
        <f aca="false">IF($T148="","",IFERROR(INDEX('Resumo Grupos'!$AC$3:$AC$2000,MATCH($T148,'Resumo Grupos'!$AB$3:$AB$2000,0)),"n/d"))</f>
        <v>Despesa</v>
      </c>
    </row>
    <row r="149" customFormat="false" ht="48" hidden="false" customHeight="true" outlineLevel="0" collapsed="false">
      <c r="A149" s="11" t="n">
        <v>2</v>
      </c>
      <c r="B149" s="12" t="n">
        <v>46196</v>
      </c>
      <c r="C149" s="12" t="n">
        <v>46216</v>
      </c>
      <c r="D149" s="11" t="n">
        <v>794</v>
      </c>
      <c r="E149" s="13" t="s">
        <v>232</v>
      </c>
      <c r="F149" s="11" t="n">
        <v>24</v>
      </c>
      <c r="G149" s="13" t="s">
        <v>30</v>
      </c>
      <c r="H149" s="11" t="n">
        <v>2110405</v>
      </c>
      <c r="I149" s="13" t="s">
        <v>51</v>
      </c>
      <c r="J149" s="14" t="n">
        <v>1294339</v>
      </c>
      <c r="K149" s="14"/>
      <c r="L149" s="11" t="n">
        <v>173127</v>
      </c>
      <c r="M149" s="13" t="s">
        <v>105</v>
      </c>
      <c r="N149" s="15" t="s">
        <v>41</v>
      </c>
      <c r="O149" s="15"/>
      <c r="P149" s="11" t="n">
        <v>113</v>
      </c>
      <c r="Q149" s="13" t="s">
        <v>34</v>
      </c>
      <c r="R149" s="13" t="s">
        <v>60</v>
      </c>
      <c r="S149" s="11" t="n">
        <v>4210299</v>
      </c>
      <c r="T149" s="13" t="s">
        <v>233</v>
      </c>
      <c r="U149" s="16" t="n">
        <v>737.43</v>
      </c>
      <c r="V149" s="16"/>
      <c r="W149" s="17" t="n">
        <v>0</v>
      </c>
      <c r="X149" s="15" t="s">
        <v>234</v>
      </c>
      <c r="Y149" s="15"/>
      <c r="Z149" s="1" t="str">
        <f aca="false">IF($T149="","",IFERROR(INDEX('Resumo Grupos'!$AC$3:$AC$2000,MATCH($T149,'Resumo Grupos'!$AB$3:$AB$2000,0)),"n/d"))</f>
        <v>Despesa</v>
      </c>
    </row>
    <row r="150" customFormat="false" ht="48" hidden="false" customHeight="true" outlineLevel="0" collapsed="false">
      <c r="A150" s="11" t="n">
        <v>2</v>
      </c>
      <c r="B150" s="12" t="n">
        <v>46196</v>
      </c>
      <c r="C150" s="12" t="n">
        <v>46223</v>
      </c>
      <c r="D150" s="11" t="n">
        <v>794</v>
      </c>
      <c r="E150" s="13" t="s">
        <v>232</v>
      </c>
      <c r="F150" s="11" t="n">
        <v>24</v>
      </c>
      <c r="G150" s="13" t="s">
        <v>30</v>
      </c>
      <c r="H150" s="11" t="n">
        <v>2110405</v>
      </c>
      <c r="I150" s="13" t="s">
        <v>51</v>
      </c>
      <c r="J150" s="14" t="n">
        <v>1294343</v>
      </c>
      <c r="K150" s="14"/>
      <c r="L150" s="11" t="n">
        <v>173133</v>
      </c>
      <c r="M150" s="13" t="s">
        <v>105</v>
      </c>
      <c r="N150" s="15" t="s">
        <v>41</v>
      </c>
      <c r="O150" s="15"/>
      <c r="P150" s="11" t="n">
        <v>113</v>
      </c>
      <c r="Q150" s="13" t="s">
        <v>34</v>
      </c>
      <c r="R150" s="13" t="s">
        <v>60</v>
      </c>
      <c r="S150" s="11" t="n">
        <v>4210299</v>
      </c>
      <c r="T150" s="13" t="s">
        <v>233</v>
      </c>
      <c r="U150" s="16" t="n">
        <v>737.44</v>
      </c>
      <c r="V150" s="16"/>
      <c r="W150" s="17" t="n">
        <v>0</v>
      </c>
      <c r="X150" s="15" t="s">
        <v>235</v>
      </c>
      <c r="Y150" s="15"/>
      <c r="Z150" s="1" t="str">
        <f aca="false">IF($T150="","",IFERROR(INDEX('Resumo Grupos'!$AC$3:$AC$2000,MATCH($T150,'Resumo Grupos'!$AB$3:$AB$2000,0)),"n/d"))</f>
        <v>Despesa</v>
      </c>
    </row>
    <row r="151" customFormat="false" ht="39" hidden="false" customHeight="true" outlineLevel="0" collapsed="false">
      <c r="A151" s="11" t="n">
        <v>2</v>
      </c>
      <c r="B151" s="12" t="n">
        <v>46230</v>
      </c>
      <c r="C151" s="12" t="n">
        <v>46233</v>
      </c>
      <c r="D151" s="11" t="n">
        <v>1807</v>
      </c>
      <c r="E151" s="13" t="s">
        <v>236</v>
      </c>
      <c r="F151" s="11" t="n">
        <v>24</v>
      </c>
      <c r="G151" s="13" t="s">
        <v>30</v>
      </c>
      <c r="H151" s="11" t="n">
        <v>1110203</v>
      </c>
      <c r="I151" s="13" t="s">
        <v>100</v>
      </c>
      <c r="J151" s="14" t="n">
        <v>1459304</v>
      </c>
      <c r="K151" s="14"/>
      <c r="L151" s="11" t="n">
        <v>197500</v>
      </c>
      <c r="M151" s="13" t="s">
        <v>105</v>
      </c>
      <c r="N151" s="15" t="s">
        <v>41</v>
      </c>
      <c r="O151" s="15"/>
      <c r="P151" s="11" t="n">
        <v>101</v>
      </c>
      <c r="Q151" s="13" t="s">
        <v>52</v>
      </c>
      <c r="R151" s="13" t="s">
        <v>151</v>
      </c>
      <c r="S151" s="11" t="n">
        <v>2110704</v>
      </c>
      <c r="T151" s="13" t="s">
        <v>237</v>
      </c>
      <c r="U151" s="16" t="n">
        <v>1575</v>
      </c>
      <c r="V151" s="16"/>
      <c r="W151" s="17" t="n">
        <v>0</v>
      </c>
      <c r="X151" s="15" t="s">
        <v>238</v>
      </c>
      <c r="Y151" s="15"/>
      <c r="Z151" s="1" t="str">
        <f aca="false">IF($T151="","",IFERROR(INDEX('Resumo Grupos'!$AC$3:$AC$2000,MATCH($T151,'Resumo Grupos'!$AB$3:$AB$2000,0)),"n/d"))</f>
        <v>Despesa</v>
      </c>
    </row>
    <row r="152" customFormat="false" ht="39" hidden="false" customHeight="true" outlineLevel="0" collapsed="false">
      <c r="A152" s="11" t="n">
        <v>2</v>
      </c>
      <c r="B152" s="12" t="n">
        <v>46196</v>
      </c>
      <c r="C152" s="12" t="n">
        <v>46204</v>
      </c>
      <c r="D152" s="11" t="n">
        <v>943</v>
      </c>
      <c r="E152" s="13" t="s">
        <v>239</v>
      </c>
      <c r="F152" s="11" t="n">
        <v>47</v>
      </c>
      <c r="G152" s="13" t="s">
        <v>39</v>
      </c>
      <c r="H152" s="11" t="n">
        <v>2110101</v>
      </c>
      <c r="I152" s="13" t="s">
        <v>31</v>
      </c>
      <c r="J152" s="14" t="n">
        <v>1295052</v>
      </c>
      <c r="K152" s="14"/>
      <c r="L152" s="11" t="n">
        <v>173314</v>
      </c>
      <c r="M152" s="13" t="s">
        <v>105</v>
      </c>
      <c r="N152" s="15" t="s">
        <v>41</v>
      </c>
      <c r="O152" s="15"/>
      <c r="P152" s="11" t="n">
        <v>113</v>
      </c>
      <c r="Q152" s="13" t="s">
        <v>34</v>
      </c>
      <c r="R152" s="13" t="s">
        <v>35</v>
      </c>
      <c r="S152" s="11" t="n">
        <v>1130101</v>
      </c>
      <c r="T152" s="13" t="s">
        <v>36</v>
      </c>
      <c r="U152" s="16" t="n">
        <v>2913</v>
      </c>
      <c r="V152" s="16"/>
      <c r="W152" s="17" t="n">
        <v>0</v>
      </c>
      <c r="X152" s="15" t="s">
        <v>240</v>
      </c>
      <c r="Y152" s="15"/>
      <c r="Z152" s="1" t="str">
        <f aca="false">IF($T152="","",IFERROR(INDEX('Resumo Grupos'!$AC$3:$AC$2000,MATCH($T152,'Resumo Grupos'!$AB$3:$AB$2000,0)),"n/d"))</f>
        <v>Mercadoria</v>
      </c>
    </row>
    <row r="153" customFormat="false" ht="39" hidden="false" customHeight="true" outlineLevel="0" collapsed="false">
      <c r="A153" s="11" t="n">
        <v>2</v>
      </c>
      <c r="B153" s="12" t="n">
        <v>46196</v>
      </c>
      <c r="C153" s="12" t="n">
        <v>46204</v>
      </c>
      <c r="D153" s="11" t="n">
        <v>875</v>
      </c>
      <c r="E153" s="13" t="s">
        <v>241</v>
      </c>
      <c r="F153" s="11" t="n">
        <v>47</v>
      </c>
      <c r="G153" s="13" t="s">
        <v>39</v>
      </c>
      <c r="H153" s="11" t="n">
        <v>2110101</v>
      </c>
      <c r="I153" s="13" t="s">
        <v>31</v>
      </c>
      <c r="J153" s="14" t="n">
        <v>1295066</v>
      </c>
      <c r="K153" s="14"/>
      <c r="L153" s="11" t="n">
        <v>173322</v>
      </c>
      <c r="M153" s="13" t="s">
        <v>105</v>
      </c>
      <c r="N153" s="15" t="s">
        <v>41</v>
      </c>
      <c r="O153" s="15"/>
      <c r="P153" s="11" t="n">
        <v>113</v>
      </c>
      <c r="Q153" s="13" t="s">
        <v>34</v>
      </c>
      <c r="R153" s="13" t="s">
        <v>35</v>
      </c>
      <c r="S153" s="11" t="n">
        <v>1130101</v>
      </c>
      <c r="T153" s="13" t="s">
        <v>36</v>
      </c>
      <c r="U153" s="16" t="n">
        <v>1290.17</v>
      </c>
      <c r="V153" s="16"/>
      <c r="W153" s="17" t="n">
        <v>0</v>
      </c>
      <c r="X153" s="15" t="s">
        <v>242</v>
      </c>
      <c r="Y153" s="15"/>
      <c r="Z153" s="1" t="str">
        <f aca="false">IF($T153="","",IFERROR(INDEX('Resumo Grupos'!$AC$3:$AC$2000,MATCH($T153,'Resumo Grupos'!$AB$3:$AB$2000,0)),"n/d"))</f>
        <v>Mercadoria</v>
      </c>
    </row>
    <row r="154" customFormat="false" ht="39" hidden="false" customHeight="true" outlineLevel="0" collapsed="false">
      <c r="A154" s="11" t="n">
        <v>2</v>
      </c>
      <c r="B154" s="12" t="n">
        <v>46196</v>
      </c>
      <c r="C154" s="12" t="n">
        <v>46235</v>
      </c>
      <c r="D154" s="11" t="n">
        <v>875</v>
      </c>
      <c r="E154" s="13" t="s">
        <v>241</v>
      </c>
      <c r="F154" s="11" t="n">
        <v>47</v>
      </c>
      <c r="G154" s="13" t="s">
        <v>39</v>
      </c>
      <c r="H154" s="11" t="n">
        <v>2110101</v>
      </c>
      <c r="I154" s="13" t="s">
        <v>31</v>
      </c>
      <c r="J154" s="14" t="n">
        <v>1295066</v>
      </c>
      <c r="K154" s="14"/>
      <c r="L154" s="11" t="n">
        <v>173322</v>
      </c>
      <c r="M154" s="13" t="s">
        <v>32</v>
      </c>
      <c r="N154" s="15" t="s">
        <v>41</v>
      </c>
      <c r="O154" s="15"/>
      <c r="P154" s="11" t="n">
        <v>113</v>
      </c>
      <c r="Q154" s="13" t="s">
        <v>34</v>
      </c>
      <c r="R154" s="13" t="s">
        <v>35</v>
      </c>
      <c r="S154" s="11" t="n">
        <v>1130101</v>
      </c>
      <c r="T154" s="13" t="s">
        <v>36</v>
      </c>
      <c r="U154" s="16" t="n">
        <v>1290.17</v>
      </c>
      <c r="V154" s="16"/>
      <c r="W154" s="17" t="n">
        <v>0</v>
      </c>
      <c r="X154" s="15" t="s">
        <v>243</v>
      </c>
      <c r="Y154" s="15"/>
      <c r="Z154" s="1" t="str">
        <f aca="false">IF($T154="","",IFERROR(INDEX('Resumo Grupos'!$AC$3:$AC$2000,MATCH($T154,'Resumo Grupos'!$AB$3:$AB$2000,0)),"n/d"))</f>
        <v>Mercadoria</v>
      </c>
    </row>
    <row r="155" customFormat="false" ht="39" hidden="false" customHeight="true" outlineLevel="0" collapsed="false">
      <c r="A155" s="11" t="n">
        <v>2</v>
      </c>
      <c r="B155" s="12" t="n">
        <v>46196</v>
      </c>
      <c r="C155" s="12" t="n">
        <v>46266</v>
      </c>
      <c r="D155" s="11" t="n">
        <v>875</v>
      </c>
      <c r="E155" s="13" t="s">
        <v>241</v>
      </c>
      <c r="F155" s="11" t="n">
        <v>47</v>
      </c>
      <c r="G155" s="13" t="s">
        <v>39</v>
      </c>
      <c r="H155" s="11" t="n">
        <v>2110101</v>
      </c>
      <c r="I155" s="13" t="s">
        <v>31</v>
      </c>
      <c r="J155" s="14" t="n">
        <v>1295066</v>
      </c>
      <c r="K155" s="14"/>
      <c r="L155" s="11" t="n">
        <v>173322</v>
      </c>
      <c r="M155" s="13" t="s">
        <v>101</v>
      </c>
      <c r="N155" s="15" t="s">
        <v>41</v>
      </c>
      <c r="O155" s="15"/>
      <c r="P155" s="11" t="n">
        <v>113</v>
      </c>
      <c r="Q155" s="13" t="s">
        <v>34</v>
      </c>
      <c r="R155" s="13" t="s">
        <v>35</v>
      </c>
      <c r="S155" s="11" t="n">
        <v>1130101</v>
      </c>
      <c r="T155" s="13" t="s">
        <v>36</v>
      </c>
      <c r="U155" s="16" t="n">
        <v>1290.16</v>
      </c>
      <c r="V155" s="16"/>
      <c r="W155" s="17" t="n">
        <v>0</v>
      </c>
      <c r="X155" s="15" t="s">
        <v>244</v>
      </c>
      <c r="Y155" s="15"/>
      <c r="Z155" s="1" t="str">
        <f aca="false">IF($T155="","",IFERROR(INDEX('Resumo Grupos'!$AC$3:$AC$2000,MATCH($T155,'Resumo Grupos'!$AB$3:$AB$2000,0)),"n/d"))</f>
        <v>Mercadoria</v>
      </c>
    </row>
    <row r="156" customFormat="false" ht="48" hidden="false" customHeight="true" outlineLevel="0" collapsed="false">
      <c r="A156" s="11" t="n">
        <v>2</v>
      </c>
      <c r="B156" s="12" t="n">
        <v>46196</v>
      </c>
      <c r="C156" s="12" t="n">
        <v>46204</v>
      </c>
      <c r="D156" s="11" t="n">
        <v>974</v>
      </c>
      <c r="E156" s="13" t="s">
        <v>245</v>
      </c>
      <c r="F156" s="11" t="n">
        <v>47</v>
      </c>
      <c r="G156" s="13" t="s">
        <v>39</v>
      </c>
      <c r="H156" s="11" t="n">
        <v>2110101</v>
      </c>
      <c r="I156" s="13" t="s">
        <v>31</v>
      </c>
      <c r="J156" s="14" t="n">
        <v>1295068</v>
      </c>
      <c r="K156" s="14"/>
      <c r="L156" s="11" t="n">
        <v>173326</v>
      </c>
      <c r="M156" s="13" t="s">
        <v>105</v>
      </c>
      <c r="N156" s="15" t="s">
        <v>41</v>
      </c>
      <c r="O156" s="15"/>
      <c r="P156" s="11" t="n">
        <v>113</v>
      </c>
      <c r="Q156" s="13" t="s">
        <v>34</v>
      </c>
      <c r="R156" s="13" t="s">
        <v>35</v>
      </c>
      <c r="S156" s="11" t="n">
        <v>1130101</v>
      </c>
      <c r="T156" s="13" t="s">
        <v>36</v>
      </c>
      <c r="U156" s="16" t="n">
        <v>1377</v>
      </c>
      <c r="V156" s="16"/>
      <c r="W156" s="17" t="n">
        <v>0</v>
      </c>
      <c r="X156" s="15" t="s">
        <v>246</v>
      </c>
      <c r="Y156" s="15"/>
      <c r="Z156" s="1" t="str">
        <f aca="false">IF($T156="","",IFERROR(INDEX('Resumo Grupos'!$AC$3:$AC$2000,MATCH($T156,'Resumo Grupos'!$AB$3:$AB$2000,0)),"n/d"))</f>
        <v>Mercadoria</v>
      </c>
    </row>
    <row r="157" customFormat="false" ht="39" hidden="false" customHeight="true" outlineLevel="0" collapsed="false">
      <c r="A157" s="11" t="n">
        <v>2</v>
      </c>
      <c r="B157" s="12" t="n">
        <v>46196</v>
      </c>
      <c r="C157" s="12" t="n">
        <v>46204</v>
      </c>
      <c r="D157" s="11" t="n">
        <v>796</v>
      </c>
      <c r="E157" s="13" t="s">
        <v>247</v>
      </c>
      <c r="F157" s="11" t="n">
        <v>47</v>
      </c>
      <c r="G157" s="13" t="s">
        <v>39</v>
      </c>
      <c r="H157" s="11" t="n">
        <v>2110101</v>
      </c>
      <c r="I157" s="13" t="s">
        <v>31</v>
      </c>
      <c r="J157" s="14" t="n">
        <v>1295074</v>
      </c>
      <c r="K157" s="14"/>
      <c r="L157" s="11" t="n">
        <v>173327</v>
      </c>
      <c r="M157" s="13" t="s">
        <v>105</v>
      </c>
      <c r="N157" s="15" t="s">
        <v>41</v>
      </c>
      <c r="O157" s="15"/>
      <c r="P157" s="11" t="n">
        <v>113</v>
      </c>
      <c r="Q157" s="13" t="s">
        <v>34</v>
      </c>
      <c r="R157" s="13" t="s">
        <v>35</v>
      </c>
      <c r="S157" s="11" t="n">
        <v>1130101</v>
      </c>
      <c r="T157" s="13" t="s">
        <v>36</v>
      </c>
      <c r="U157" s="16" t="n">
        <v>683.06</v>
      </c>
      <c r="V157" s="16"/>
      <c r="W157" s="17" t="n">
        <v>0</v>
      </c>
      <c r="X157" s="15" t="s">
        <v>248</v>
      </c>
      <c r="Y157" s="15"/>
      <c r="Z157" s="1" t="str">
        <f aca="false">IF($T157="","",IFERROR(INDEX('Resumo Grupos'!$AC$3:$AC$2000,MATCH($T157,'Resumo Grupos'!$AB$3:$AB$2000,0)),"n/d"))</f>
        <v>Mercadoria</v>
      </c>
    </row>
    <row r="158" customFormat="false" ht="39" hidden="false" customHeight="true" outlineLevel="0" collapsed="false">
      <c r="A158" s="11" t="n">
        <v>2</v>
      </c>
      <c r="B158" s="12" t="n">
        <v>46196</v>
      </c>
      <c r="C158" s="12" t="n">
        <v>46235</v>
      </c>
      <c r="D158" s="11" t="n">
        <v>796</v>
      </c>
      <c r="E158" s="13" t="s">
        <v>247</v>
      </c>
      <c r="F158" s="11" t="n">
        <v>47</v>
      </c>
      <c r="G158" s="13" t="s">
        <v>39</v>
      </c>
      <c r="H158" s="11" t="n">
        <v>2110101</v>
      </c>
      <c r="I158" s="13" t="s">
        <v>31</v>
      </c>
      <c r="J158" s="14" t="n">
        <v>1295074</v>
      </c>
      <c r="K158" s="14"/>
      <c r="L158" s="11" t="n">
        <v>173327</v>
      </c>
      <c r="M158" s="13" t="s">
        <v>32</v>
      </c>
      <c r="N158" s="15" t="s">
        <v>41</v>
      </c>
      <c r="O158" s="15"/>
      <c r="P158" s="11" t="n">
        <v>113</v>
      </c>
      <c r="Q158" s="13" t="s">
        <v>34</v>
      </c>
      <c r="R158" s="13" t="s">
        <v>35</v>
      </c>
      <c r="S158" s="11" t="n">
        <v>1130101</v>
      </c>
      <c r="T158" s="13" t="s">
        <v>36</v>
      </c>
      <c r="U158" s="16" t="n">
        <v>683.06</v>
      </c>
      <c r="V158" s="16"/>
      <c r="W158" s="17" t="n">
        <v>0</v>
      </c>
      <c r="X158" s="15" t="s">
        <v>249</v>
      </c>
      <c r="Y158" s="15"/>
      <c r="Z158" s="1" t="str">
        <f aca="false">IF($T158="","",IFERROR(INDEX('Resumo Grupos'!$AC$3:$AC$2000,MATCH($T158,'Resumo Grupos'!$AB$3:$AB$2000,0)),"n/d"))</f>
        <v>Mercadoria</v>
      </c>
    </row>
    <row r="159" customFormat="false" ht="48" hidden="false" customHeight="true" outlineLevel="0" collapsed="false">
      <c r="A159" s="11" t="n">
        <v>2</v>
      </c>
      <c r="B159" s="12" t="n">
        <v>46196</v>
      </c>
      <c r="C159" s="12" t="n">
        <v>46204</v>
      </c>
      <c r="D159" s="11" t="n">
        <v>937</v>
      </c>
      <c r="E159" s="13" t="s">
        <v>250</v>
      </c>
      <c r="F159" s="11" t="n">
        <v>47</v>
      </c>
      <c r="G159" s="13" t="s">
        <v>39</v>
      </c>
      <c r="H159" s="11" t="n">
        <v>2110101</v>
      </c>
      <c r="I159" s="13" t="s">
        <v>31</v>
      </c>
      <c r="J159" s="14" t="n">
        <v>1295077</v>
      </c>
      <c r="K159" s="14"/>
      <c r="L159" s="11" t="n">
        <v>173329</v>
      </c>
      <c r="M159" s="13" t="s">
        <v>105</v>
      </c>
      <c r="N159" s="15" t="s">
        <v>41</v>
      </c>
      <c r="O159" s="15"/>
      <c r="P159" s="11" t="n">
        <v>113</v>
      </c>
      <c r="Q159" s="13" t="s">
        <v>34</v>
      </c>
      <c r="R159" s="13" t="s">
        <v>35</v>
      </c>
      <c r="S159" s="11" t="n">
        <v>1130101</v>
      </c>
      <c r="T159" s="13" t="s">
        <v>36</v>
      </c>
      <c r="U159" s="16" t="n">
        <v>1195</v>
      </c>
      <c r="V159" s="16"/>
      <c r="W159" s="17" t="n">
        <v>0</v>
      </c>
      <c r="X159" s="15" t="s">
        <v>251</v>
      </c>
      <c r="Y159" s="15"/>
      <c r="Z159" s="1" t="str">
        <f aca="false">IF($T159="","",IFERROR(INDEX('Resumo Grupos'!$AC$3:$AC$2000,MATCH($T159,'Resumo Grupos'!$AB$3:$AB$2000,0)),"n/d"))</f>
        <v>Mercadoria</v>
      </c>
    </row>
    <row r="160" customFormat="false" ht="39" hidden="false" customHeight="true" outlineLevel="0" collapsed="false">
      <c r="A160" s="11" t="n">
        <v>2</v>
      </c>
      <c r="B160" s="12" t="n">
        <v>46196</v>
      </c>
      <c r="C160" s="12" t="n">
        <v>46204</v>
      </c>
      <c r="D160" s="11" t="n">
        <v>10080</v>
      </c>
      <c r="E160" s="13" t="s">
        <v>252</v>
      </c>
      <c r="F160" s="11" t="n">
        <v>47</v>
      </c>
      <c r="G160" s="13" t="s">
        <v>39</v>
      </c>
      <c r="H160" s="11" t="n">
        <v>2110101</v>
      </c>
      <c r="I160" s="13" t="s">
        <v>31</v>
      </c>
      <c r="J160" s="14" t="n">
        <v>1295126</v>
      </c>
      <c r="K160" s="14"/>
      <c r="L160" s="11" t="n">
        <v>173344</v>
      </c>
      <c r="M160" s="13" t="s">
        <v>105</v>
      </c>
      <c r="N160" s="15" t="s">
        <v>41</v>
      </c>
      <c r="O160" s="15"/>
      <c r="P160" s="11" t="n">
        <v>113</v>
      </c>
      <c r="Q160" s="13" t="s">
        <v>34</v>
      </c>
      <c r="R160" s="13" t="s">
        <v>35</v>
      </c>
      <c r="S160" s="11" t="n">
        <v>1130101</v>
      </c>
      <c r="T160" s="13" t="s">
        <v>36</v>
      </c>
      <c r="U160" s="16" t="n">
        <v>351.53</v>
      </c>
      <c r="V160" s="16"/>
      <c r="W160" s="17" t="n">
        <v>0</v>
      </c>
      <c r="X160" s="15" t="s">
        <v>253</v>
      </c>
      <c r="Y160" s="15"/>
      <c r="Z160" s="1" t="str">
        <f aca="false">IF($T160="","",IFERROR(INDEX('Resumo Grupos'!$AC$3:$AC$2000,MATCH($T160,'Resumo Grupos'!$AB$3:$AB$2000,0)),"n/d"))</f>
        <v>Mercadoria</v>
      </c>
    </row>
    <row r="161" customFormat="false" ht="39" hidden="false" customHeight="true" outlineLevel="0" collapsed="false">
      <c r="A161" s="11" t="n">
        <v>2</v>
      </c>
      <c r="B161" s="12" t="n">
        <v>46196</v>
      </c>
      <c r="C161" s="12" t="n">
        <v>46235</v>
      </c>
      <c r="D161" s="11" t="n">
        <v>10080</v>
      </c>
      <c r="E161" s="13" t="s">
        <v>252</v>
      </c>
      <c r="F161" s="11" t="n">
        <v>47</v>
      </c>
      <c r="G161" s="13" t="s">
        <v>39</v>
      </c>
      <c r="H161" s="11" t="n">
        <v>2110101</v>
      </c>
      <c r="I161" s="13" t="s">
        <v>31</v>
      </c>
      <c r="J161" s="14" t="n">
        <v>1295126</v>
      </c>
      <c r="K161" s="14"/>
      <c r="L161" s="11" t="n">
        <v>173344</v>
      </c>
      <c r="M161" s="13" t="s">
        <v>32</v>
      </c>
      <c r="N161" s="15" t="s">
        <v>41</v>
      </c>
      <c r="O161" s="15"/>
      <c r="P161" s="11" t="n">
        <v>113</v>
      </c>
      <c r="Q161" s="13" t="s">
        <v>34</v>
      </c>
      <c r="R161" s="13" t="s">
        <v>35</v>
      </c>
      <c r="S161" s="11" t="n">
        <v>1130101</v>
      </c>
      <c r="T161" s="13" t="s">
        <v>36</v>
      </c>
      <c r="U161" s="16" t="n">
        <v>351.53</v>
      </c>
      <c r="V161" s="16"/>
      <c r="W161" s="17" t="n">
        <v>0</v>
      </c>
      <c r="X161" s="15" t="s">
        <v>254</v>
      </c>
      <c r="Y161" s="15"/>
      <c r="Z161" s="1" t="str">
        <f aca="false">IF($T161="","",IFERROR(INDEX('Resumo Grupos'!$AC$3:$AC$2000,MATCH($T161,'Resumo Grupos'!$AB$3:$AB$2000,0)),"n/d"))</f>
        <v>Mercadoria</v>
      </c>
    </row>
    <row r="162" customFormat="false" ht="28.5" hidden="false" customHeight="true" outlineLevel="0" collapsed="false">
      <c r="A162" s="11" t="n">
        <v>2</v>
      </c>
      <c r="B162" s="12" t="n">
        <v>46196</v>
      </c>
      <c r="C162" s="12" t="n">
        <v>46210</v>
      </c>
      <c r="D162" s="11" t="n">
        <v>1266</v>
      </c>
      <c r="E162" s="13" t="s">
        <v>255</v>
      </c>
      <c r="F162" s="11" t="n">
        <v>24</v>
      </c>
      <c r="G162" s="13" t="s">
        <v>30</v>
      </c>
      <c r="H162" s="11" t="n">
        <v>2110405</v>
      </c>
      <c r="I162" s="13" t="s">
        <v>51</v>
      </c>
      <c r="J162" s="14" t="n">
        <v>1295173</v>
      </c>
      <c r="K162" s="14"/>
      <c r="L162" s="11" t="n">
        <v>173362</v>
      </c>
      <c r="M162" s="13" t="s">
        <v>105</v>
      </c>
      <c r="N162" s="15" t="s">
        <v>41</v>
      </c>
      <c r="O162" s="15"/>
      <c r="P162" s="11" t="n">
        <v>113</v>
      </c>
      <c r="Q162" s="13" t="s">
        <v>34</v>
      </c>
      <c r="R162" s="13" t="s">
        <v>60</v>
      </c>
      <c r="S162" s="11" t="n">
        <v>4210227</v>
      </c>
      <c r="T162" s="13" t="s">
        <v>70</v>
      </c>
      <c r="U162" s="16" t="n">
        <v>317.66</v>
      </c>
      <c r="V162" s="16"/>
      <c r="W162" s="17" t="n">
        <v>0</v>
      </c>
      <c r="X162" s="15" t="s">
        <v>256</v>
      </c>
      <c r="Y162" s="15"/>
      <c r="Z162" s="1" t="str">
        <f aca="false">IF($T162="","",IFERROR(INDEX('Resumo Grupos'!$AC$3:$AC$2000,MATCH($T162,'Resumo Grupos'!$AB$3:$AB$2000,0)),"n/d"))</f>
        <v>Despesa</v>
      </c>
    </row>
    <row r="163" customFormat="false" ht="28.5" hidden="false" customHeight="true" outlineLevel="0" collapsed="false">
      <c r="A163" s="11" t="n">
        <v>2</v>
      </c>
      <c r="B163" s="12" t="n">
        <v>46196</v>
      </c>
      <c r="C163" s="12" t="n">
        <v>46217</v>
      </c>
      <c r="D163" s="11" t="n">
        <v>1266</v>
      </c>
      <c r="E163" s="13" t="s">
        <v>255</v>
      </c>
      <c r="F163" s="11" t="n">
        <v>24</v>
      </c>
      <c r="G163" s="13" t="s">
        <v>30</v>
      </c>
      <c r="H163" s="11" t="n">
        <v>2110405</v>
      </c>
      <c r="I163" s="13" t="s">
        <v>51</v>
      </c>
      <c r="J163" s="14" t="n">
        <v>1295177</v>
      </c>
      <c r="K163" s="14"/>
      <c r="L163" s="11" t="n">
        <v>173363</v>
      </c>
      <c r="M163" s="13" t="s">
        <v>105</v>
      </c>
      <c r="N163" s="15" t="s">
        <v>41</v>
      </c>
      <c r="O163" s="15"/>
      <c r="P163" s="11" t="n">
        <v>113</v>
      </c>
      <c r="Q163" s="13" t="s">
        <v>34</v>
      </c>
      <c r="R163" s="13" t="s">
        <v>60</v>
      </c>
      <c r="S163" s="11" t="n">
        <v>4210227</v>
      </c>
      <c r="T163" s="13" t="s">
        <v>70</v>
      </c>
      <c r="U163" s="16" t="n">
        <v>317.66</v>
      </c>
      <c r="V163" s="16"/>
      <c r="W163" s="17" t="n">
        <v>0</v>
      </c>
      <c r="X163" s="15" t="s">
        <v>256</v>
      </c>
      <c r="Y163" s="15"/>
      <c r="Z163" s="1" t="str">
        <f aca="false">IF($T163="","",IFERROR(INDEX('Resumo Grupos'!$AC$3:$AC$2000,MATCH($T163,'Resumo Grupos'!$AB$3:$AB$2000,0)),"n/d"))</f>
        <v>Despesa</v>
      </c>
    </row>
    <row r="164" customFormat="false" ht="39" hidden="false" customHeight="true" outlineLevel="0" collapsed="false">
      <c r="A164" s="11" t="n">
        <v>2</v>
      </c>
      <c r="B164" s="12" t="n">
        <v>46197</v>
      </c>
      <c r="C164" s="12" t="n">
        <v>46222</v>
      </c>
      <c r="D164" s="11" t="n">
        <v>616</v>
      </c>
      <c r="E164" s="13" t="s">
        <v>257</v>
      </c>
      <c r="F164" s="11" t="n">
        <v>24</v>
      </c>
      <c r="G164" s="13" t="s">
        <v>30</v>
      </c>
      <c r="H164" s="11" t="n">
        <v>2110101</v>
      </c>
      <c r="I164" s="13" t="s">
        <v>31</v>
      </c>
      <c r="J164" s="14" t="n">
        <v>1299105</v>
      </c>
      <c r="K164" s="14"/>
      <c r="L164" s="11" t="n">
        <v>316130</v>
      </c>
      <c r="M164" s="13" t="s">
        <v>105</v>
      </c>
      <c r="N164" s="15" t="s">
        <v>33</v>
      </c>
      <c r="O164" s="15"/>
      <c r="P164" s="11" t="n">
        <v>113</v>
      </c>
      <c r="Q164" s="13" t="s">
        <v>34</v>
      </c>
      <c r="R164" s="13" t="s">
        <v>35</v>
      </c>
      <c r="S164" s="11" t="n">
        <v>1130101</v>
      </c>
      <c r="T164" s="13" t="s">
        <v>36</v>
      </c>
      <c r="U164" s="16" t="n">
        <v>1996.2</v>
      </c>
      <c r="V164" s="16"/>
      <c r="W164" s="17" t="n">
        <v>0</v>
      </c>
      <c r="X164" s="15" t="s">
        <v>258</v>
      </c>
      <c r="Y164" s="15"/>
      <c r="Z164" s="1" t="str">
        <f aca="false">IF($T164="","",IFERROR(INDEX('Resumo Grupos'!$AC$3:$AC$2000,MATCH($T164,'Resumo Grupos'!$AB$3:$AB$2000,0)),"n/d"))</f>
        <v>Mercadoria</v>
      </c>
    </row>
    <row r="165" customFormat="false" ht="75.75" hidden="false" customHeight="true" outlineLevel="0" collapsed="false">
      <c r="A165" s="11" t="n">
        <v>2</v>
      </c>
      <c r="B165" s="12" t="n">
        <v>46197</v>
      </c>
      <c r="C165" s="12" t="n">
        <v>46214</v>
      </c>
      <c r="D165" s="11" t="n">
        <v>1672</v>
      </c>
      <c r="E165" s="13" t="s">
        <v>259</v>
      </c>
      <c r="F165" s="11" t="n">
        <v>24</v>
      </c>
      <c r="G165" s="13" t="s">
        <v>30</v>
      </c>
      <c r="H165" s="11" t="n">
        <v>2110101</v>
      </c>
      <c r="I165" s="13" t="s">
        <v>31</v>
      </c>
      <c r="J165" s="14" t="n">
        <v>1299327</v>
      </c>
      <c r="K165" s="14"/>
      <c r="L165" s="11" t="n">
        <v>1378386</v>
      </c>
      <c r="M165" s="13" t="s">
        <v>105</v>
      </c>
      <c r="N165" s="15" t="s">
        <v>33</v>
      </c>
      <c r="O165" s="15"/>
      <c r="P165" s="11" t="n">
        <v>113</v>
      </c>
      <c r="Q165" s="13" t="s">
        <v>34</v>
      </c>
      <c r="R165" s="13" t="s">
        <v>35</v>
      </c>
      <c r="S165" s="11" t="n">
        <v>1130101</v>
      </c>
      <c r="T165" s="13" t="s">
        <v>36</v>
      </c>
      <c r="U165" s="16" t="n">
        <v>1831.6</v>
      </c>
      <c r="V165" s="16"/>
      <c r="W165" s="17" t="n">
        <v>0</v>
      </c>
      <c r="X165" s="15" t="s">
        <v>260</v>
      </c>
      <c r="Y165" s="15"/>
      <c r="Z165" s="1" t="str">
        <f aca="false">IF($T165="","",IFERROR(INDEX('Resumo Grupos'!$AC$3:$AC$2000,MATCH($T165,'Resumo Grupos'!$AB$3:$AB$2000,0)),"n/d"))</f>
        <v>Mercadoria</v>
      </c>
    </row>
    <row r="166" customFormat="false" ht="39" hidden="false" customHeight="true" outlineLevel="0" collapsed="false">
      <c r="A166" s="11" t="n">
        <v>2</v>
      </c>
      <c r="B166" s="12" t="n">
        <v>46197</v>
      </c>
      <c r="C166" s="12" t="n">
        <v>46211</v>
      </c>
      <c r="D166" s="11" t="n">
        <v>1152</v>
      </c>
      <c r="E166" s="13" t="s">
        <v>261</v>
      </c>
      <c r="F166" s="11" t="n">
        <v>24</v>
      </c>
      <c r="G166" s="13" t="s">
        <v>30</v>
      </c>
      <c r="H166" s="11" t="n">
        <v>2110101</v>
      </c>
      <c r="I166" s="13" t="s">
        <v>31</v>
      </c>
      <c r="J166" s="14" t="n">
        <v>1299537</v>
      </c>
      <c r="K166" s="14"/>
      <c r="L166" s="11" t="n">
        <v>253</v>
      </c>
      <c r="M166" s="13" t="s">
        <v>105</v>
      </c>
      <c r="N166" s="15" t="s">
        <v>33</v>
      </c>
      <c r="O166" s="15"/>
      <c r="P166" s="11" t="n">
        <v>113</v>
      </c>
      <c r="Q166" s="13" t="s">
        <v>34</v>
      </c>
      <c r="R166" s="13" t="s">
        <v>35</v>
      </c>
      <c r="S166" s="11" t="n">
        <v>1130101</v>
      </c>
      <c r="T166" s="13" t="s">
        <v>36</v>
      </c>
      <c r="U166" s="16" t="n">
        <v>845</v>
      </c>
      <c r="V166" s="16"/>
      <c r="W166" s="17" t="n">
        <v>0</v>
      </c>
      <c r="X166" s="15" t="s">
        <v>262</v>
      </c>
      <c r="Y166" s="15"/>
      <c r="Z166" s="1" t="str">
        <f aca="false">IF($T166="","",IFERROR(INDEX('Resumo Grupos'!$AC$3:$AC$2000,MATCH($T166,'Resumo Grupos'!$AB$3:$AB$2000,0)),"n/d"))</f>
        <v>Mercadoria</v>
      </c>
    </row>
    <row r="167" customFormat="false" ht="48" hidden="false" customHeight="true" outlineLevel="0" collapsed="false">
      <c r="A167" s="11" t="n">
        <v>2</v>
      </c>
      <c r="B167" s="12" t="n">
        <v>46197</v>
      </c>
      <c r="C167" s="12" t="n">
        <v>46217</v>
      </c>
      <c r="D167" s="11" t="n">
        <v>1635</v>
      </c>
      <c r="E167" s="13" t="s">
        <v>122</v>
      </c>
      <c r="F167" s="11" t="n">
        <v>24</v>
      </c>
      <c r="G167" s="13" t="s">
        <v>30</v>
      </c>
      <c r="H167" s="11" t="n">
        <v>2110101</v>
      </c>
      <c r="I167" s="13" t="s">
        <v>31</v>
      </c>
      <c r="J167" s="14" t="n">
        <v>1299637</v>
      </c>
      <c r="K167" s="14"/>
      <c r="L167" s="11" t="n">
        <v>519349</v>
      </c>
      <c r="M167" s="13" t="s">
        <v>105</v>
      </c>
      <c r="N167" s="15" t="s">
        <v>33</v>
      </c>
      <c r="O167" s="15"/>
      <c r="P167" s="11" t="n">
        <v>113</v>
      </c>
      <c r="Q167" s="13" t="s">
        <v>34</v>
      </c>
      <c r="R167" s="13" t="s">
        <v>35</v>
      </c>
      <c r="S167" s="11" t="n">
        <v>1130101</v>
      </c>
      <c r="T167" s="13" t="s">
        <v>36</v>
      </c>
      <c r="U167" s="16" t="n">
        <v>304.45</v>
      </c>
      <c r="V167" s="16"/>
      <c r="W167" s="17" t="n">
        <v>0</v>
      </c>
      <c r="X167" s="15" t="s">
        <v>263</v>
      </c>
      <c r="Y167" s="15"/>
      <c r="Z167" s="1" t="str">
        <f aca="false">IF($T167="","",IFERROR(INDEX('Resumo Grupos'!$AC$3:$AC$2000,MATCH($T167,'Resumo Grupos'!$AB$3:$AB$2000,0)),"n/d"))</f>
        <v>Mercadoria</v>
      </c>
    </row>
    <row r="168" customFormat="false" ht="57" hidden="false" customHeight="true" outlineLevel="0" collapsed="false">
      <c r="A168" s="11" t="n">
        <v>2</v>
      </c>
      <c r="B168" s="12" t="n">
        <v>46197</v>
      </c>
      <c r="C168" s="12" t="n">
        <v>46204</v>
      </c>
      <c r="D168" s="11" t="n">
        <v>1815</v>
      </c>
      <c r="E168" s="13" t="s">
        <v>178</v>
      </c>
      <c r="F168" s="11" t="n">
        <v>24</v>
      </c>
      <c r="G168" s="13" t="s">
        <v>30</v>
      </c>
      <c r="H168" s="11" t="n">
        <v>2110101</v>
      </c>
      <c r="I168" s="13" t="s">
        <v>31</v>
      </c>
      <c r="J168" s="14" t="n">
        <v>1300169</v>
      </c>
      <c r="K168" s="14"/>
      <c r="L168" s="11" t="n">
        <v>388857</v>
      </c>
      <c r="M168" s="13" t="s">
        <v>105</v>
      </c>
      <c r="N168" s="15" t="s">
        <v>33</v>
      </c>
      <c r="O168" s="15"/>
      <c r="P168" s="11" t="n">
        <v>113</v>
      </c>
      <c r="Q168" s="13" t="s">
        <v>34</v>
      </c>
      <c r="R168" s="13" t="s">
        <v>35</v>
      </c>
      <c r="S168" s="11" t="n">
        <v>1130101</v>
      </c>
      <c r="T168" s="13" t="s">
        <v>36</v>
      </c>
      <c r="U168" s="16" t="n">
        <v>314.44</v>
      </c>
      <c r="V168" s="16"/>
      <c r="W168" s="17" t="n">
        <v>0</v>
      </c>
      <c r="X168" s="15" t="s">
        <v>264</v>
      </c>
      <c r="Y168" s="15"/>
      <c r="Z168" s="1" t="str">
        <f aca="false">IF($T168="","",IFERROR(INDEX('Resumo Grupos'!$AC$3:$AC$2000,MATCH($T168,'Resumo Grupos'!$AB$3:$AB$2000,0)),"n/d"))</f>
        <v>Mercadoria</v>
      </c>
    </row>
    <row r="169" customFormat="false" ht="57" hidden="false" customHeight="true" outlineLevel="0" collapsed="false">
      <c r="A169" s="11" t="n">
        <v>2</v>
      </c>
      <c r="B169" s="12" t="n">
        <v>46197</v>
      </c>
      <c r="C169" s="12" t="n">
        <v>46211</v>
      </c>
      <c r="D169" s="11" t="n">
        <v>1815</v>
      </c>
      <c r="E169" s="13" t="s">
        <v>178</v>
      </c>
      <c r="F169" s="11" t="n">
        <v>24</v>
      </c>
      <c r="G169" s="13" t="s">
        <v>30</v>
      </c>
      <c r="H169" s="11" t="n">
        <v>2110101</v>
      </c>
      <c r="I169" s="13" t="s">
        <v>31</v>
      </c>
      <c r="J169" s="14" t="n">
        <v>1300169</v>
      </c>
      <c r="K169" s="14"/>
      <c r="L169" s="11" t="n">
        <v>388857</v>
      </c>
      <c r="M169" s="13" t="s">
        <v>32</v>
      </c>
      <c r="N169" s="15" t="s">
        <v>33</v>
      </c>
      <c r="O169" s="15"/>
      <c r="P169" s="11" t="n">
        <v>113</v>
      </c>
      <c r="Q169" s="13" t="s">
        <v>34</v>
      </c>
      <c r="R169" s="13" t="s">
        <v>35</v>
      </c>
      <c r="S169" s="11" t="n">
        <v>1130101</v>
      </c>
      <c r="T169" s="13" t="s">
        <v>36</v>
      </c>
      <c r="U169" s="16" t="n">
        <v>314.44</v>
      </c>
      <c r="V169" s="16"/>
      <c r="W169" s="17" t="n">
        <v>0</v>
      </c>
      <c r="X169" s="15" t="s">
        <v>264</v>
      </c>
      <c r="Y169" s="15"/>
      <c r="Z169" s="1" t="str">
        <f aca="false">IF($T169="","",IFERROR(INDEX('Resumo Grupos'!$AC$3:$AC$2000,MATCH($T169,'Resumo Grupos'!$AB$3:$AB$2000,0)),"n/d"))</f>
        <v>Mercadoria</v>
      </c>
    </row>
    <row r="170" customFormat="false" ht="39" hidden="false" customHeight="true" outlineLevel="0" collapsed="false">
      <c r="A170" s="11" t="n">
        <v>2</v>
      </c>
      <c r="B170" s="12" t="n">
        <v>46197</v>
      </c>
      <c r="C170" s="12" t="n">
        <v>46215</v>
      </c>
      <c r="D170" s="11" t="n">
        <v>607</v>
      </c>
      <c r="E170" s="13" t="s">
        <v>265</v>
      </c>
      <c r="F170" s="11" t="n">
        <v>24</v>
      </c>
      <c r="G170" s="13" t="s">
        <v>30</v>
      </c>
      <c r="H170" s="11" t="n">
        <v>2110101</v>
      </c>
      <c r="I170" s="13" t="s">
        <v>31</v>
      </c>
      <c r="J170" s="14" t="n">
        <v>1300232</v>
      </c>
      <c r="K170" s="14"/>
      <c r="L170" s="11" t="n">
        <v>10860</v>
      </c>
      <c r="M170" s="13" t="s">
        <v>105</v>
      </c>
      <c r="N170" s="15" t="s">
        <v>33</v>
      </c>
      <c r="O170" s="15"/>
      <c r="P170" s="11" t="n">
        <v>113</v>
      </c>
      <c r="Q170" s="13" t="s">
        <v>34</v>
      </c>
      <c r="R170" s="13" t="s">
        <v>35</v>
      </c>
      <c r="S170" s="11" t="n">
        <v>1130101</v>
      </c>
      <c r="T170" s="13" t="s">
        <v>36</v>
      </c>
      <c r="U170" s="16" t="n">
        <v>1361.81</v>
      </c>
      <c r="V170" s="16"/>
      <c r="W170" s="17" t="n">
        <v>0</v>
      </c>
      <c r="X170" s="15" t="s">
        <v>266</v>
      </c>
      <c r="Y170" s="15"/>
      <c r="Z170" s="1" t="str">
        <f aca="false">IF($T170="","",IFERROR(INDEX('Resumo Grupos'!$AC$3:$AC$2000,MATCH($T170,'Resumo Grupos'!$AB$3:$AB$2000,0)),"n/d"))</f>
        <v>Mercadoria</v>
      </c>
    </row>
    <row r="171" customFormat="false" ht="39" hidden="false" customHeight="true" outlineLevel="0" collapsed="false">
      <c r="A171" s="11" t="n">
        <v>2</v>
      </c>
      <c r="B171" s="12" t="n">
        <v>46197</v>
      </c>
      <c r="C171" s="12" t="n">
        <v>46225</v>
      </c>
      <c r="D171" s="11" t="n">
        <v>607</v>
      </c>
      <c r="E171" s="13" t="s">
        <v>265</v>
      </c>
      <c r="F171" s="11" t="n">
        <v>24</v>
      </c>
      <c r="G171" s="13" t="s">
        <v>30</v>
      </c>
      <c r="H171" s="11" t="n">
        <v>2110101</v>
      </c>
      <c r="I171" s="13" t="s">
        <v>31</v>
      </c>
      <c r="J171" s="14" t="n">
        <v>1300232</v>
      </c>
      <c r="K171" s="14"/>
      <c r="L171" s="11" t="n">
        <v>10860</v>
      </c>
      <c r="M171" s="13" t="s">
        <v>32</v>
      </c>
      <c r="N171" s="15" t="s">
        <v>33</v>
      </c>
      <c r="O171" s="15"/>
      <c r="P171" s="11" t="n">
        <v>113</v>
      </c>
      <c r="Q171" s="13" t="s">
        <v>34</v>
      </c>
      <c r="R171" s="13" t="s">
        <v>35</v>
      </c>
      <c r="S171" s="11" t="n">
        <v>1130101</v>
      </c>
      <c r="T171" s="13" t="s">
        <v>36</v>
      </c>
      <c r="U171" s="16" t="n">
        <v>1361.81</v>
      </c>
      <c r="V171" s="16"/>
      <c r="W171" s="17" t="n">
        <v>0</v>
      </c>
      <c r="X171" s="15" t="s">
        <v>266</v>
      </c>
      <c r="Y171" s="15"/>
      <c r="Z171" s="1" t="str">
        <f aca="false">IF($T171="","",IFERROR(INDEX('Resumo Grupos'!$AC$3:$AC$2000,MATCH($T171,'Resumo Grupos'!$AB$3:$AB$2000,0)),"n/d"))</f>
        <v>Mercadoria</v>
      </c>
    </row>
    <row r="172" customFormat="false" ht="39" hidden="false" customHeight="true" outlineLevel="0" collapsed="false">
      <c r="A172" s="11" t="n">
        <v>2</v>
      </c>
      <c r="B172" s="12" t="n">
        <v>46197</v>
      </c>
      <c r="C172" s="12" t="n">
        <v>46235</v>
      </c>
      <c r="D172" s="11" t="n">
        <v>607</v>
      </c>
      <c r="E172" s="13" t="s">
        <v>265</v>
      </c>
      <c r="F172" s="11" t="n">
        <v>24</v>
      </c>
      <c r="G172" s="13" t="s">
        <v>30</v>
      </c>
      <c r="H172" s="11" t="n">
        <v>2110101</v>
      </c>
      <c r="I172" s="13" t="s">
        <v>31</v>
      </c>
      <c r="J172" s="14" t="n">
        <v>1300232</v>
      </c>
      <c r="K172" s="14"/>
      <c r="L172" s="11" t="n">
        <v>10860</v>
      </c>
      <c r="M172" s="13" t="s">
        <v>101</v>
      </c>
      <c r="N172" s="15" t="s">
        <v>33</v>
      </c>
      <c r="O172" s="15"/>
      <c r="P172" s="11" t="n">
        <v>113</v>
      </c>
      <c r="Q172" s="13" t="s">
        <v>34</v>
      </c>
      <c r="R172" s="13" t="s">
        <v>35</v>
      </c>
      <c r="S172" s="11" t="n">
        <v>1130101</v>
      </c>
      <c r="T172" s="13" t="s">
        <v>36</v>
      </c>
      <c r="U172" s="16" t="n">
        <v>1361.81</v>
      </c>
      <c r="V172" s="16"/>
      <c r="W172" s="17" t="n">
        <v>0</v>
      </c>
      <c r="X172" s="15" t="s">
        <v>266</v>
      </c>
      <c r="Y172" s="15"/>
      <c r="Z172" s="1" t="str">
        <f aca="false">IF($T172="","",IFERROR(INDEX('Resumo Grupos'!$AC$3:$AC$2000,MATCH($T172,'Resumo Grupos'!$AB$3:$AB$2000,0)),"n/d"))</f>
        <v>Mercadoria</v>
      </c>
    </row>
    <row r="173" customFormat="false" ht="39" hidden="false" customHeight="true" outlineLevel="0" collapsed="false">
      <c r="A173" s="11" t="n">
        <v>2</v>
      </c>
      <c r="B173" s="12" t="n">
        <v>46197</v>
      </c>
      <c r="C173" s="12" t="n">
        <v>46245</v>
      </c>
      <c r="D173" s="11" t="n">
        <v>607</v>
      </c>
      <c r="E173" s="13" t="s">
        <v>265</v>
      </c>
      <c r="F173" s="11" t="n">
        <v>24</v>
      </c>
      <c r="G173" s="13" t="s">
        <v>30</v>
      </c>
      <c r="H173" s="11" t="n">
        <v>2110101</v>
      </c>
      <c r="I173" s="13" t="s">
        <v>31</v>
      </c>
      <c r="J173" s="14" t="n">
        <v>1300232</v>
      </c>
      <c r="K173" s="14"/>
      <c r="L173" s="11" t="n">
        <v>10860</v>
      </c>
      <c r="M173" s="13" t="s">
        <v>80</v>
      </c>
      <c r="N173" s="15" t="s">
        <v>33</v>
      </c>
      <c r="O173" s="15"/>
      <c r="P173" s="11" t="n">
        <v>113</v>
      </c>
      <c r="Q173" s="13" t="s">
        <v>34</v>
      </c>
      <c r="R173" s="13" t="s">
        <v>35</v>
      </c>
      <c r="S173" s="11" t="n">
        <v>1130101</v>
      </c>
      <c r="T173" s="13" t="s">
        <v>36</v>
      </c>
      <c r="U173" s="16" t="n">
        <v>1361.81</v>
      </c>
      <c r="V173" s="16"/>
      <c r="W173" s="17" t="n">
        <v>0</v>
      </c>
      <c r="X173" s="15" t="s">
        <v>266</v>
      </c>
      <c r="Y173" s="15"/>
      <c r="Z173" s="1" t="str">
        <f aca="false">IF($T173="","",IFERROR(INDEX('Resumo Grupos'!$AC$3:$AC$2000,MATCH($T173,'Resumo Grupos'!$AB$3:$AB$2000,0)),"n/d"))</f>
        <v>Mercadoria</v>
      </c>
    </row>
    <row r="174" customFormat="false" ht="39" hidden="false" customHeight="true" outlineLevel="0" collapsed="false">
      <c r="A174" s="11" t="n">
        <v>2</v>
      </c>
      <c r="B174" s="12" t="n">
        <v>46197</v>
      </c>
      <c r="C174" s="12" t="n">
        <v>46255</v>
      </c>
      <c r="D174" s="11" t="n">
        <v>607</v>
      </c>
      <c r="E174" s="13" t="s">
        <v>265</v>
      </c>
      <c r="F174" s="11" t="n">
        <v>24</v>
      </c>
      <c r="G174" s="13" t="s">
        <v>30</v>
      </c>
      <c r="H174" s="11" t="n">
        <v>2110101</v>
      </c>
      <c r="I174" s="13" t="s">
        <v>31</v>
      </c>
      <c r="J174" s="14" t="n">
        <v>1300232</v>
      </c>
      <c r="K174" s="14"/>
      <c r="L174" s="11" t="n">
        <v>10860</v>
      </c>
      <c r="M174" s="13" t="s">
        <v>69</v>
      </c>
      <c r="N174" s="15" t="s">
        <v>33</v>
      </c>
      <c r="O174" s="15"/>
      <c r="P174" s="11" t="n">
        <v>113</v>
      </c>
      <c r="Q174" s="13" t="s">
        <v>34</v>
      </c>
      <c r="R174" s="13" t="s">
        <v>35</v>
      </c>
      <c r="S174" s="11" t="n">
        <v>1130101</v>
      </c>
      <c r="T174" s="13" t="s">
        <v>36</v>
      </c>
      <c r="U174" s="16" t="n">
        <v>1361.81</v>
      </c>
      <c r="V174" s="16"/>
      <c r="W174" s="17" t="n">
        <v>0</v>
      </c>
      <c r="X174" s="15" t="s">
        <v>266</v>
      </c>
      <c r="Y174" s="15"/>
      <c r="Z174" s="1" t="str">
        <f aca="false">IF($T174="","",IFERROR(INDEX('Resumo Grupos'!$AC$3:$AC$2000,MATCH($T174,'Resumo Grupos'!$AB$3:$AB$2000,0)),"n/d"))</f>
        <v>Mercadoria</v>
      </c>
    </row>
    <row r="175" customFormat="false" ht="57" hidden="false" customHeight="true" outlineLevel="0" collapsed="false">
      <c r="A175" s="11" t="n">
        <v>2</v>
      </c>
      <c r="B175" s="12" t="n">
        <v>46197</v>
      </c>
      <c r="C175" s="12" t="n">
        <v>46225</v>
      </c>
      <c r="D175" s="11" t="n">
        <v>10011</v>
      </c>
      <c r="E175" s="13" t="s">
        <v>108</v>
      </c>
      <c r="F175" s="11" t="n">
        <v>24</v>
      </c>
      <c r="G175" s="13" t="s">
        <v>30</v>
      </c>
      <c r="H175" s="11" t="n">
        <v>2110101</v>
      </c>
      <c r="I175" s="13" t="s">
        <v>31</v>
      </c>
      <c r="J175" s="14" t="n">
        <v>1300279</v>
      </c>
      <c r="K175" s="14"/>
      <c r="L175" s="11" t="n">
        <v>34213</v>
      </c>
      <c r="M175" s="13" t="s">
        <v>105</v>
      </c>
      <c r="N175" s="15" t="s">
        <v>33</v>
      </c>
      <c r="O175" s="15"/>
      <c r="P175" s="11" t="n">
        <v>113</v>
      </c>
      <c r="Q175" s="13" t="s">
        <v>34</v>
      </c>
      <c r="R175" s="13" t="s">
        <v>35</v>
      </c>
      <c r="S175" s="11" t="n">
        <v>1130101</v>
      </c>
      <c r="T175" s="13" t="s">
        <v>36</v>
      </c>
      <c r="U175" s="16" t="n">
        <v>1185.3</v>
      </c>
      <c r="V175" s="16"/>
      <c r="W175" s="17" t="n">
        <v>0</v>
      </c>
      <c r="X175" s="15" t="s">
        <v>267</v>
      </c>
      <c r="Y175" s="15"/>
      <c r="Z175" s="1" t="str">
        <f aca="false">IF($T175="","",IFERROR(INDEX('Resumo Grupos'!$AC$3:$AC$2000,MATCH($T175,'Resumo Grupos'!$AB$3:$AB$2000,0)),"n/d"))</f>
        <v>Mercadoria</v>
      </c>
    </row>
    <row r="176" customFormat="false" ht="39" hidden="false" customHeight="true" outlineLevel="0" collapsed="false">
      <c r="A176" s="11" t="n">
        <v>2</v>
      </c>
      <c r="B176" s="12" t="n">
        <v>46198</v>
      </c>
      <c r="C176" s="12" t="n">
        <v>46212</v>
      </c>
      <c r="D176" s="11" t="n">
        <v>1705</v>
      </c>
      <c r="E176" s="13" t="s">
        <v>169</v>
      </c>
      <c r="F176" s="11" t="n">
        <v>24</v>
      </c>
      <c r="G176" s="13" t="s">
        <v>30</v>
      </c>
      <c r="H176" s="11" t="n">
        <v>2110101</v>
      </c>
      <c r="I176" s="13" t="s">
        <v>31</v>
      </c>
      <c r="J176" s="14" t="n">
        <v>1304701</v>
      </c>
      <c r="K176" s="14"/>
      <c r="L176" s="11" t="n">
        <v>1899276</v>
      </c>
      <c r="M176" s="13" t="s">
        <v>105</v>
      </c>
      <c r="N176" s="15" t="s">
        <v>33</v>
      </c>
      <c r="O176" s="15"/>
      <c r="P176" s="11" t="n">
        <v>113</v>
      </c>
      <c r="Q176" s="13" t="s">
        <v>34</v>
      </c>
      <c r="R176" s="13" t="s">
        <v>35</v>
      </c>
      <c r="S176" s="11" t="n">
        <v>1130101</v>
      </c>
      <c r="T176" s="13" t="s">
        <v>36</v>
      </c>
      <c r="U176" s="16" t="n">
        <v>1547.44</v>
      </c>
      <c r="V176" s="16"/>
      <c r="W176" s="17" t="n">
        <v>0</v>
      </c>
      <c r="X176" s="15" t="s">
        <v>268</v>
      </c>
      <c r="Y176" s="15"/>
      <c r="Z176" s="1" t="str">
        <f aca="false">IF($T176="","",IFERROR(INDEX('Resumo Grupos'!$AC$3:$AC$2000,MATCH($T176,'Resumo Grupos'!$AB$3:$AB$2000,0)),"n/d"))</f>
        <v>Mercadoria</v>
      </c>
    </row>
    <row r="177" customFormat="false" ht="39" hidden="false" customHeight="true" outlineLevel="0" collapsed="false">
      <c r="A177" s="11" t="n">
        <v>2</v>
      </c>
      <c r="B177" s="12" t="n">
        <v>46198</v>
      </c>
      <c r="C177" s="12" t="n">
        <v>46212</v>
      </c>
      <c r="D177" s="11" t="n">
        <v>1705</v>
      </c>
      <c r="E177" s="13" t="s">
        <v>169</v>
      </c>
      <c r="F177" s="11" t="n">
        <v>24</v>
      </c>
      <c r="G177" s="13" t="s">
        <v>30</v>
      </c>
      <c r="H177" s="11" t="n">
        <v>2110101</v>
      </c>
      <c r="I177" s="13" t="s">
        <v>31</v>
      </c>
      <c r="J177" s="14" t="n">
        <v>1304730</v>
      </c>
      <c r="K177" s="14"/>
      <c r="L177" s="11" t="n">
        <v>174800</v>
      </c>
      <c r="M177" s="13" t="s">
        <v>105</v>
      </c>
      <c r="N177" s="15" t="s">
        <v>41</v>
      </c>
      <c r="O177" s="15"/>
      <c r="P177" s="11" t="n">
        <v>113</v>
      </c>
      <c r="Q177" s="13" t="s">
        <v>34</v>
      </c>
      <c r="R177" s="13" t="s">
        <v>35</v>
      </c>
      <c r="S177" s="11" t="n">
        <v>1130101</v>
      </c>
      <c r="T177" s="13" t="s">
        <v>36</v>
      </c>
      <c r="U177" s="16" t="n">
        <v>124.47</v>
      </c>
      <c r="V177" s="16"/>
      <c r="W177" s="17" t="n">
        <v>0</v>
      </c>
      <c r="X177" s="15" t="s">
        <v>269</v>
      </c>
      <c r="Y177" s="15"/>
      <c r="Z177" s="1" t="str">
        <f aca="false">IF($T177="","",IFERROR(INDEX('Resumo Grupos'!$AC$3:$AC$2000,MATCH($T177,'Resumo Grupos'!$AB$3:$AB$2000,0)),"n/d"))</f>
        <v>Mercadoria</v>
      </c>
    </row>
    <row r="178" customFormat="false" ht="48" hidden="false" customHeight="true" outlineLevel="0" collapsed="false">
      <c r="A178" s="11" t="n">
        <v>2</v>
      </c>
      <c r="B178" s="12" t="n">
        <v>46198</v>
      </c>
      <c r="C178" s="12" t="n">
        <v>46211</v>
      </c>
      <c r="D178" s="11" t="n">
        <v>1749</v>
      </c>
      <c r="E178" s="13" t="s">
        <v>270</v>
      </c>
      <c r="F178" s="11" t="n">
        <v>24</v>
      </c>
      <c r="G178" s="13" t="s">
        <v>30</v>
      </c>
      <c r="H178" s="11" t="n">
        <v>2110101</v>
      </c>
      <c r="I178" s="13" t="s">
        <v>31</v>
      </c>
      <c r="J178" s="14" t="n">
        <v>1304877</v>
      </c>
      <c r="K178" s="14"/>
      <c r="L178" s="11" t="n">
        <v>1996</v>
      </c>
      <c r="M178" s="13" t="s">
        <v>105</v>
      </c>
      <c r="N178" s="15" t="s">
        <v>33</v>
      </c>
      <c r="O178" s="15"/>
      <c r="P178" s="11" t="n">
        <v>113</v>
      </c>
      <c r="Q178" s="13" t="s">
        <v>34</v>
      </c>
      <c r="R178" s="13" t="s">
        <v>35</v>
      </c>
      <c r="S178" s="11" t="n">
        <v>1130101</v>
      </c>
      <c r="T178" s="13" t="s">
        <v>36</v>
      </c>
      <c r="U178" s="16" t="n">
        <v>1159.5</v>
      </c>
      <c r="V178" s="16"/>
      <c r="W178" s="17" t="n">
        <v>0</v>
      </c>
      <c r="X178" s="15" t="s">
        <v>271</v>
      </c>
      <c r="Y178" s="15"/>
      <c r="Z178" s="1" t="str">
        <f aca="false">IF($T178="","",IFERROR(INDEX('Resumo Grupos'!$AC$3:$AC$2000,MATCH($T178,'Resumo Grupos'!$AB$3:$AB$2000,0)),"n/d"))</f>
        <v>Mercadoria</v>
      </c>
    </row>
    <row r="179" customFormat="false" ht="39" hidden="false" customHeight="true" outlineLevel="0" collapsed="false">
      <c r="A179" s="11" t="n">
        <v>2</v>
      </c>
      <c r="B179" s="12" t="n">
        <v>46198</v>
      </c>
      <c r="C179" s="12" t="n">
        <v>46207</v>
      </c>
      <c r="D179" s="11" t="n">
        <v>1723</v>
      </c>
      <c r="E179" s="13" t="s">
        <v>272</v>
      </c>
      <c r="F179" s="11" t="n">
        <v>24</v>
      </c>
      <c r="G179" s="13" t="s">
        <v>30</v>
      </c>
      <c r="H179" s="11" t="n">
        <v>2110101</v>
      </c>
      <c r="I179" s="13" t="s">
        <v>31</v>
      </c>
      <c r="J179" s="14" t="n">
        <v>1305206</v>
      </c>
      <c r="K179" s="14"/>
      <c r="L179" s="11" t="n">
        <v>172089</v>
      </c>
      <c r="M179" s="13" t="s">
        <v>105</v>
      </c>
      <c r="N179" s="15" t="s">
        <v>33</v>
      </c>
      <c r="O179" s="15"/>
      <c r="P179" s="11" t="n">
        <v>113</v>
      </c>
      <c r="Q179" s="13" t="s">
        <v>34</v>
      </c>
      <c r="R179" s="13" t="s">
        <v>35</v>
      </c>
      <c r="S179" s="11" t="n">
        <v>1130101</v>
      </c>
      <c r="T179" s="13" t="s">
        <v>36</v>
      </c>
      <c r="U179" s="16" t="n">
        <v>4001</v>
      </c>
      <c r="V179" s="16"/>
      <c r="W179" s="17" t="n">
        <v>0</v>
      </c>
      <c r="X179" s="15" t="s">
        <v>273</v>
      </c>
      <c r="Y179" s="15"/>
      <c r="Z179" s="1" t="str">
        <f aca="false">IF($T179="","",IFERROR(INDEX('Resumo Grupos'!$AC$3:$AC$2000,MATCH($T179,'Resumo Grupos'!$AB$3:$AB$2000,0)),"n/d"))</f>
        <v>Mercadoria</v>
      </c>
    </row>
    <row r="180" customFormat="false" ht="39" hidden="false" customHeight="true" outlineLevel="0" collapsed="false">
      <c r="A180" s="11" t="n">
        <v>2</v>
      </c>
      <c r="B180" s="12" t="n">
        <v>46198</v>
      </c>
      <c r="C180" s="12" t="n">
        <v>46226</v>
      </c>
      <c r="D180" s="11" t="n">
        <v>1608</v>
      </c>
      <c r="E180" s="13" t="s">
        <v>127</v>
      </c>
      <c r="F180" s="11" t="n">
        <v>24</v>
      </c>
      <c r="G180" s="13" t="s">
        <v>30</v>
      </c>
      <c r="H180" s="11" t="n">
        <v>2110101</v>
      </c>
      <c r="I180" s="13" t="s">
        <v>31</v>
      </c>
      <c r="J180" s="14" t="n">
        <v>1305623</v>
      </c>
      <c r="K180" s="14"/>
      <c r="L180" s="11" t="n">
        <v>1680694</v>
      </c>
      <c r="M180" s="13" t="s">
        <v>105</v>
      </c>
      <c r="N180" s="15" t="s">
        <v>33</v>
      </c>
      <c r="O180" s="15"/>
      <c r="P180" s="11" t="n">
        <v>113</v>
      </c>
      <c r="Q180" s="13" t="s">
        <v>34</v>
      </c>
      <c r="R180" s="13" t="s">
        <v>35</v>
      </c>
      <c r="S180" s="11" t="n">
        <v>1130101</v>
      </c>
      <c r="T180" s="13" t="s">
        <v>36</v>
      </c>
      <c r="U180" s="16" t="n">
        <v>1383</v>
      </c>
      <c r="V180" s="16"/>
      <c r="W180" s="17" t="n">
        <v>0</v>
      </c>
      <c r="X180" s="15" t="s">
        <v>274</v>
      </c>
      <c r="Y180" s="15"/>
      <c r="Z180" s="1" t="str">
        <f aca="false">IF($T180="","",IFERROR(INDEX('Resumo Grupos'!$AC$3:$AC$2000,MATCH($T180,'Resumo Grupos'!$AB$3:$AB$2000,0)),"n/d"))</f>
        <v>Mercadoria</v>
      </c>
    </row>
    <row r="181" customFormat="false" ht="39" hidden="false" customHeight="true" outlineLevel="0" collapsed="false">
      <c r="A181" s="11" t="n">
        <v>2</v>
      </c>
      <c r="B181" s="12" t="n">
        <v>46198</v>
      </c>
      <c r="C181" s="12" t="n">
        <v>46213</v>
      </c>
      <c r="D181" s="11" t="n">
        <v>1218</v>
      </c>
      <c r="E181" s="13" t="s">
        <v>275</v>
      </c>
      <c r="F181" s="11" t="n">
        <v>24</v>
      </c>
      <c r="G181" s="13" t="s">
        <v>30</v>
      </c>
      <c r="H181" s="11" t="n">
        <v>2110101</v>
      </c>
      <c r="I181" s="13" t="s">
        <v>31</v>
      </c>
      <c r="J181" s="14" t="n">
        <v>1305945</v>
      </c>
      <c r="K181" s="14"/>
      <c r="L181" s="11" t="n">
        <v>9495</v>
      </c>
      <c r="M181" s="13" t="s">
        <v>32</v>
      </c>
      <c r="N181" s="15" t="s">
        <v>33</v>
      </c>
      <c r="O181" s="15"/>
      <c r="P181" s="11" t="n">
        <v>113</v>
      </c>
      <c r="Q181" s="13" t="s">
        <v>34</v>
      </c>
      <c r="R181" s="13" t="s">
        <v>35</v>
      </c>
      <c r="S181" s="11" t="n">
        <v>1130101</v>
      </c>
      <c r="T181" s="13" t="s">
        <v>36</v>
      </c>
      <c r="U181" s="16" t="n">
        <v>531.2</v>
      </c>
      <c r="V181" s="16"/>
      <c r="W181" s="17" t="n">
        <v>0</v>
      </c>
      <c r="X181" s="15" t="s">
        <v>276</v>
      </c>
      <c r="Y181" s="15"/>
      <c r="Z181" s="1" t="str">
        <f aca="false">IF($T181="","",IFERROR(INDEX('Resumo Grupos'!$AC$3:$AC$2000,MATCH($T181,'Resumo Grupos'!$AB$3:$AB$2000,0)),"n/d"))</f>
        <v>Mercadoria</v>
      </c>
    </row>
    <row r="182" customFormat="false" ht="39" hidden="false" customHeight="true" outlineLevel="0" collapsed="false">
      <c r="A182" s="11" t="n">
        <v>2</v>
      </c>
      <c r="B182" s="12" t="n">
        <v>46198</v>
      </c>
      <c r="C182" s="12" t="n">
        <v>46223</v>
      </c>
      <c r="D182" s="11" t="n">
        <v>1218</v>
      </c>
      <c r="E182" s="13" t="s">
        <v>275</v>
      </c>
      <c r="F182" s="11" t="n">
        <v>24</v>
      </c>
      <c r="G182" s="13" t="s">
        <v>30</v>
      </c>
      <c r="H182" s="11" t="n">
        <v>2110101</v>
      </c>
      <c r="I182" s="13" t="s">
        <v>31</v>
      </c>
      <c r="J182" s="14" t="n">
        <v>1305945</v>
      </c>
      <c r="K182" s="14"/>
      <c r="L182" s="11" t="n">
        <v>9495</v>
      </c>
      <c r="M182" s="13" t="s">
        <v>101</v>
      </c>
      <c r="N182" s="15" t="s">
        <v>33</v>
      </c>
      <c r="O182" s="15"/>
      <c r="P182" s="11" t="n">
        <v>113</v>
      </c>
      <c r="Q182" s="13" t="s">
        <v>34</v>
      </c>
      <c r="R182" s="13" t="s">
        <v>35</v>
      </c>
      <c r="S182" s="11" t="n">
        <v>1130101</v>
      </c>
      <c r="T182" s="13" t="s">
        <v>36</v>
      </c>
      <c r="U182" s="16" t="n">
        <v>531.18</v>
      </c>
      <c r="V182" s="16"/>
      <c r="W182" s="17" t="n">
        <v>0</v>
      </c>
      <c r="X182" s="15" t="s">
        <v>276</v>
      </c>
      <c r="Y182" s="15"/>
      <c r="Z182" s="1" t="str">
        <f aca="false">IF($T182="","",IFERROR(INDEX('Resumo Grupos'!$AC$3:$AC$2000,MATCH($T182,'Resumo Grupos'!$AB$3:$AB$2000,0)),"n/d"))</f>
        <v>Mercadoria</v>
      </c>
    </row>
    <row r="183" customFormat="false" ht="39" hidden="false" customHeight="true" outlineLevel="0" collapsed="false">
      <c r="A183" s="11" t="n">
        <v>2</v>
      </c>
      <c r="B183" s="12" t="n">
        <v>46198</v>
      </c>
      <c r="C183" s="12" t="n">
        <v>46233</v>
      </c>
      <c r="D183" s="11" t="n">
        <v>1218</v>
      </c>
      <c r="E183" s="13" t="s">
        <v>275</v>
      </c>
      <c r="F183" s="11" t="n">
        <v>24</v>
      </c>
      <c r="G183" s="13" t="s">
        <v>30</v>
      </c>
      <c r="H183" s="11" t="n">
        <v>2110101</v>
      </c>
      <c r="I183" s="13" t="s">
        <v>31</v>
      </c>
      <c r="J183" s="14" t="n">
        <v>1305945</v>
      </c>
      <c r="K183" s="14"/>
      <c r="L183" s="11" t="n">
        <v>9495</v>
      </c>
      <c r="M183" s="13" t="s">
        <v>80</v>
      </c>
      <c r="N183" s="15" t="s">
        <v>33</v>
      </c>
      <c r="O183" s="15"/>
      <c r="P183" s="11" t="n">
        <v>113</v>
      </c>
      <c r="Q183" s="13" t="s">
        <v>34</v>
      </c>
      <c r="R183" s="13" t="s">
        <v>35</v>
      </c>
      <c r="S183" s="11" t="n">
        <v>1130101</v>
      </c>
      <c r="T183" s="13" t="s">
        <v>36</v>
      </c>
      <c r="U183" s="16" t="n">
        <v>531.18</v>
      </c>
      <c r="V183" s="16"/>
      <c r="W183" s="17" t="n">
        <v>0</v>
      </c>
      <c r="X183" s="15" t="s">
        <v>276</v>
      </c>
      <c r="Y183" s="15"/>
      <c r="Z183" s="1" t="str">
        <f aca="false">IF($T183="","",IFERROR(INDEX('Resumo Grupos'!$AC$3:$AC$2000,MATCH($T183,'Resumo Grupos'!$AB$3:$AB$2000,0)),"n/d"))</f>
        <v>Mercadoria</v>
      </c>
    </row>
    <row r="184" customFormat="false" ht="39" hidden="false" customHeight="true" outlineLevel="0" collapsed="false">
      <c r="A184" s="11" t="n">
        <v>2</v>
      </c>
      <c r="B184" s="12" t="n">
        <v>46198</v>
      </c>
      <c r="C184" s="12" t="n">
        <v>46244</v>
      </c>
      <c r="D184" s="11" t="n">
        <v>1218</v>
      </c>
      <c r="E184" s="13" t="s">
        <v>275</v>
      </c>
      <c r="F184" s="11" t="n">
        <v>24</v>
      </c>
      <c r="G184" s="13" t="s">
        <v>30</v>
      </c>
      <c r="H184" s="11" t="n">
        <v>2110101</v>
      </c>
      <c r="I184" s="13" t="s">
        <v>31</v>
      </c>
      <c r="J184" s="14" t="n">
        <v>1305945</v>
      </c>
      <c r="K184" s="14"/>
      <c r="L184" s="11" t="n">
        <v>9495</v>
      </c>
      <c r="M184" s="13" t="s">
        <v>69</v>
      </c>
      <c r="N184" s="15" t="s">
        <v>33</v>
      </c>
      <c r="O184" s="15"/>
      <c r="P184" s="11" t="n">
        <v>113</v>
      </c>
      <c r="Q184" s="13" t="s">
        <v>34</v>
      </c>
      <c r="R184" s="13" t="s">
        <v>35</v>
      </c>
      <c r="S184" s="11" t="n">
        <v>1130101</v>
      </c>
      <c r="T184" s="13" t="s">
        <v>36</v>
      </c>
      <c r="U184" s="16" t="n">
        <v>531.18</v>
      </c>
      <c r="V184" s="16"/>
      <c r="W184" s="17" t="n">
        <v>0</v>
      </c>
      <c r="X184" s="15" t="s">
        <v>276</v>
      </c>
      <c r="Y184" s="15"/>
      <c r="Z184" s="1" t="str">
        <f aca="false">IF($T184="","",IFERROR(INDEX('Resumo Grupos'!$AC$3:$AC$2000,MATCH($T184,'Resumo Grupos'!$AB$3:$AB$2000,0)),"n/d"))</f>
        <v>Mercadoria</v>
      </c>
    </row>
    <row r="185" customFormat="false" ht="39" hidden="false" customHeight="true" outlineLevel="0" collapsed="false">
      <c r="A185" s="11" t="n">
        <v>2</v>
      </c>
      <c r="B185" s="12" t="n">
        <v>46198</v>
      </c>
      <c r="C185" s="12" t="n">
        <v>46205</v>
      </c>
      <c r="D185" s="11" t="n">
        <v>1024</v>
      </c>
      <c r="E185" s="13" t="s">
        <v>277</v>
      </c>
      <c r="F185" s="11" t="n">
        <v>24</v>
      </c>
      <c r="G185" s="13" t="s">
        <v>30</v>
      </c>
      <c r="H185" s="11" t="n">
        <v>2110101</v>
      </c>
      <c r="I185" s="13" t="s">
        <v>31</v>
      </c>
      <c r="J185" s="14" t="n">
        <v>1306154</v>
      </c>
      <c r="K185" s="14"/>
      <c r="L185" s="11" t="n">
        <v>590547</v>
      </c>
      <c r="M185" s="13" t="s">
        <v>105</v>
      </c>
      <c r="N185" s="15" t="s">
        <v>33</v>
      </c>
      <c r="O185" s="15"/>
      <c r="P185" s="11" t="n">
        <v>113</v>
      </c>
      <c r="Q185" s="13" t="s">
        <v>34</v>
      </c>
      <c r="R185" s="13" t="s">
        <v>35</v>
      </c>
      <c r="S185" s="11" t="n">
        <v>1130101</v>
      </c>
      <c r="T185" s="13" t="s">
        <v>36</v>
      </c>
      <c r="U185" s="16" t="n">
        <v>262</v>
      </c>
      <c r="V185" s="16"/>
      <c r="W185" s="17" t="n">
        <v>0</v>
      </c>
      <c r="X185" s="15" t="s">
        <v>278</v>
      </c>
      <c r="Y185" s="15"/>
      <c r="Z185" s="1" t="str">
        <f aca="false">IF($T185="","",IFERROR(INDEX('Resumo Grupos'!$AC$3:$AC$2000,MATCH($T185,'Resumo Grupos'!$AB$3:$AB$2000,0)),"n/d"))</f>
        <v>Mercadoria</v>
      </c>
    </row>
    <row r="186" customFormat="false" ht="57" hidden="false" customHeight="true" outlineLevel="0" collapsed="false">
      <c r="A186" s="11" t="n">
        <v>2</v>
      </c>
      <c r="B186" s="12" t="n">
        <v>46199</v>
      </c>
      <c r="C186" s="12" t="n">
        <v>46205</v>
      </c>
      <c r="D186" s="11" t="n">
        <v>581</v>
      </c>
      <c r="E186" s="13" t="s">
        <v>279</v>
      </c>
      <c r="F186" s="11" t="n">
        <v>24</v>
      </c>
      <c r="G186" s="13" t="s">
        <v>30</v>
      </c>
      <c r="H186" s="11" t="n">
        <v>2110101</v>
      </c>
      <c r="I186" s="13" t="s">
        <v>31</v>
      </c>
      <c r="J186" s="14" t="n">
        <v>1309632</v>
      </c>
      <c r="K186" s="14"/>
      <c r="L186" s="11" t="n">
        <v>31144</v>
      </c>
      <c r="M186" s="13" t="s">
        <v>105</v>
      </c>
      <c r="N186" s="15" t="s">
        <v>33</v>
      </c>
      <c r="O186" s="15"/>
      <c r="P186" s="11" t="n">
        <v>113</v>
      </c>
      <c r="Q186" s="13" t="s">
        <v>34</v>
      </c>
      <c r="R186" s="13" t="s">
        <v>35</v>
      </c>
      <c r="S186" s="11" t="n">
        <v>1130101</v>
      </c>
      <c r="T186" s="13" t="s">
        <v>36</v>
      </c>
      <c r="U186" s="16" t="n">
        <v>199</v>
      </c>
      <c r="V186" s="16"/>
      <c r="W186" s="17" t="n">
        <v>0</v>
      </c>
      <c r="X186" s="15" t="s">
        <v>280</v>
      </c>
      <c r="Y186" s="15"/>
      <c r="Z186" s="1" t="str">
        <f aca="false">IF($T186="","",IFERROR(INDEX('Resumo Grupos'!$AC$3:$AC$2000,MATCH($T186,'Resumo Grupos'!$AB$3:$AB$2000,0)),"n/d"))</f>
        <v>Mercadoria</v>
      </c>
    </row>
    <row r="187" customFormat="false" ht="48" hidden="false" customHeight="true" outlineLevel="0" collapsed="false">
      <c r="A187" s="11" t="n">
        <v>2</v>
      </c>
      <c r="B187" s="12" t="n">
        <v>46199</v>
      </c>
      <c r="C187" s="12" t="n">
        <v>46206</v>
      </c>
      <c r="D187" s="11" t="n">
        <v>1642</v>
      </c>
      <c r="E187" s="13" t="s">
        <v>281</v>
      </c>
      <c r="F187" s="11" t="n">
        <v>24</v>
      </c>
      <c r="G187" s="13" t="s">
        <v>30</v>
      </c>
      <c r="H187" s="11" t="n">
        <v>2110101</v>
      </c>
      <c r="I187" s="13" t="s">
        <v>31</v>
      </c>
      <c r="J187" s="14" t="n">
        <v>1309652</v>
      </c>
      <c r="K187" s="14"/>
      <c r="L187" s="11" t="n">
        <v>1029069</v>
      </c>
      <c r="M187" s="13" t="s">
        <v>105</v>
      </c>
      <c r="N187" s="15" t="s">
        <v>33</v>
      </c>
      <c r="O187" s="15"/>
      <c r="P187" s="11" t="n">
        <v>113</v>
      </c>
      <c r="Q187" s="13" t="s">
        <v>34</v>
      </c>
      <c r="R187" s="13" t="s">
        <v>35</v>
      </c>
      <c r="S187" s="11" t="n">
        <v>1130101</v>
      </c>
      <c r="T187" s="13" t="s">
        <v>36</v>
      </c>
      <c r="U187" s="16" t="n">
        <v>305.38</v>
      </c>
      <c r="V187" s="16"/>
      <c r="W187" s="17" t="n">
        <v>0</v>
      </c>
      <c r="X187" s="15" t="s">
        <v>282</v>
      </c>
      <c r="Y187" s="15"/>
      <c r="Z187" s="1" t="str">
        <f aca="false">IF($T187="","",IFERROR(INDEX('Resumo Grupos'!$AC$3:$AC$2000,MATCH($T187,'Resumo Grupos'!$AB$3:$AB$2000,0)),"n/d"))</f>
        <v>Mercadoria</v>
      </c>
    </row>
    <row r="188" customFormat="false" ht="57" hidden="false" customHeight="true" outlineLevel="0" collapsed="false">
      <c r="A188" s="11" t="n">
        <v>2</v>
      </c>
      <c r="B188" s="12" t="n">
        <v>46199</v>
      </c>
      <c r="C188" s="12" t="n">
        <v>46213</v>
      </c>
      <c r="D188" s="11" t="n">
        <v>1242</v>
      </c>
      <c r="E188" s="13" t="s">
        <v>283</v>
      </c>
      <c r="F188" s="11" t="n">
        <v>46</v>
      </c>
      <c r="G188" s="13" t="s">
        <v>68</v>
      </c>
      <c r="H188" s="11" t="n">
        <v>2110405</v>
      </c>
      <c r="I188" s="13" t="s">
        <v>51</v>
      </c>
      <c r="J188" s="14" t="n">
        <v>1309772</v>
      </c>
      <c r="K188" s="14"/>
      <c r="L188" s="11" t="n">
        <v>6022</v>
      </c>
      <c r="M188" s="13" t="s">
        <v>105</v>
      </c>
      <c r="N188" s="15" t="s">
        <v>41</v>
      </c>
      <c r="O188" s="15"/>
      <c r="P188" s="11" t="n">
        <v>101</v>
      </c>
      <c r="Q188" s="13" t="s">
        <v>52</v>
      </c>
      <c r="R188" s="13" t="s">
        <v>191</v>
      </c>
      <c r="S188" s="11" t="n">
        <v>4210317</v>
      </c>
      <c r="T188" s="13" t="s">
        <v>284</v>
      </c>
      <c r="U188" s="16" t="n">
        <v>160</v>
      </c>
      <c r="V188" s="16"/>
      <c r="W188" s="17" t="n">
        <v>0</v>
      </c>
      <c r="X188" s="15" t="s">
        <v>285</v>
      </c>
      <c r="Y188" s="15"/>
      <c r="Z188" s="1" t="str">
        <f aca="false">IF($T188="","",IFERROR(INDEX('Resumo Grupos'!$AC$3:$AC$2000,MATCH($T188,'Resumo Grupos'!$AB$3:$AB$2000,0)),"n/d"))</f>
        <v>Salários</v>
      </c>
    </row>
    <row r="189" customFormat="false" ht="39" hidden="false" customHeight="true" outlineLevel="0" collapsed="false">
      <c r="A189" s="11" t="n">
        <v>2</v>
      </c>
      <c r="B189" s="12" t="n">
        <v>46199</v>
      </c>
      <c r="C189" s="12" t="n">
        <v>46211</v>
      </c>
      <c r="D189" s="11" t="n">
        <v>1613</v>
      </c>
      <c r="E189" s="13" t="s">
        <v>133</v>
      </c>
      <c r="F189" s="11" t="n">
        <v>24</v>
      </c>
      <c r="G189" s="13" t="s">
        <v>30</v>
      </c>
      <c r="H189" s="11" t="n">
        <v>2110101</v>
      </c>
      <c r="I189" s="13" t="s">
        <v>31</v>
      </c>
      <c r="J189" s="14" t="n">
        <v>1309874</v>
      </c>
      <c r="K189" s="14"/>
      <c r="L189" s="11" t="n">
        <v>1600681</v>
      </c>
      <c r="M189" s="13" t="s">
        <v>105</v>
      </c>
      <c r="N189" s="15" t="s">
        <v>33</v>
      </c>
      <c r="O189" s="15"/>
      <c r="P189" s="11" t="n">
        <v>113</v>
      </c>
      <c r="Q189" s="13" t="s">
        <v>34</v>
      </c>
      <c r="R189" s="13" t="s">
        <v>35</v>
      </c>
      <c r="S189" s="11" t="n">
        <v>1130101</v>
      </c>
      <c r="T189" s="13" t="s">
        <v>36</v>
      </c>
      <c r="U189" s="16" t="n">
        <v>1881.47</v>
      </c>
      <c r="V189" s="16"/>
      <c r="W189" s="17" t="n">
        <v>0</v>
      </c>
      <c r="X189" s="15" t="s">
        <v>286</v>
      </c>
      <c r="Y189" s="15"/>
      <c r="Z189" s="1" t="str">
        <f aca="false">IF($T189="","",IFERROR(INDEX('Resumo Grupos'!$AC$3:$AC$2000,MATCH($T189,'Resumo Grupos'!$AB$3:$AB$2000,0)),"n/d"))</f>
        <v>Mercadoria</v>
      </c>
    </row>
    <row r="190" customFormat="false" ht="39" hidden="false" customHeight="true" outlineLevel="0" collapsed="false">
      <c r="A190" s="11" t="n">
        <v>2</v>
      </c>
      <c r="B190" s="12" t="n">
        <v>46199</v>
      </c>
      <c r="C190" s="12" t="n">
        <v>46218</v>
      </c>
      <c r="D190" s="11" t="n">
        <v>1613</v>
      </c>
      <c r="E190" s="13" t="s">
        <v>133</v>
      </c>
      <c r="F190" s="11" t="n">
        <v>24</v>
      </c>
      <c r="G190" s="13" t="s">
        <v>30</v>
      </c>
      <c r="H190" s="11" t="n">
        <v>2110101</v>
      </c>
      <c r="I190" s="13" t="s">
        <v>31</v>
      </c>
      <c r="J190" s="14" t="n">
        <v>1309874</v>
      </c>
      <c r="K190" s="14"/>
      <c r="L190" s="11" t="n">
        <v>1600681</v>
      </c>
      <c r="M190" s="13" t="s">
        <v>32</v>
      </c>
      <c r="N190" s="15" t="s">
        <v>33</v>
      </c>
      <c r="O190" s="15"/>
      <c r="P190" s="11" t="n">
        <v>113</v>
      </c>
      <c r="Q190" s="13" t="s">
        <v>34</v>
      </c>
      <c r="R190" s="13" t="s">
        <v>35</v>
      </c>
      <c r="S190" s="11" t="n">
        <v>1130101</v>
      </c>
      <c r="T190" s="13" t="s">
        <v>36</v>
      </c>
      <c r="U190" s="16" t="n">
        <v>1881.46</v>
      </c>
      <c r="V190" s="16"/>
      <c r="W190" s="17" t="n">
        <v>0</v>
      </c>
      <c r="X190" s="15" t="s">
        <v>286</v>
      </c>
      <c r="Y190" s="15"/>
      <c r="Z190" s="1" t="str">
        <f aca="false">IF($T190="","",IFERROR(INDEX('Resumo Grupos'!$AC$3:$AC$2000,MATCH($T190,'Resumo Grupos'!$AB$3:$AB$2000,0)),"n/d"))</f>
        <v>Mercadoria</v>
      </c>
    </row>
    <row r="191" customFormat="false" ht="57" hidden="false" customHeight="true" outlineLevel="0" collapsed="false">
      <c r="A191" s="11" t="n">
        <v>2</v>
      </c>
      <c r="B191" s="12" t="n">
        <v>46199</v>
      </c>
      <c r="C191" s="12" t="n">
        <v>46204</v>
      </c>
      <c r="D191" s="11" t="n">
        <v>1899</v>
      </c>
      <c r="E191" s="13" t="s">
        <v>287</v>
      </c>
      <c r="F191" s="11" t="n">
        <v>24</v>
      </c>
      <c r="G191" s="13" t="s">
        <v>30</v>
      </c>
      <c r="H191" s="11" t="n">
        <v>2110101</v>
      </c>
      <c r="I191" s="13" t="s">
        <v>31</v>
      </c>
      <c r="J191" s="14" t="n">
        <v>1310299</v>
      </c>
      <c r="K191" s="14"/>
      <c r="L191" s="11" t="n">
        <v>685</v>
      </c>
      <c r="M191" s="13" t="s">
        <v>105</v>
      </c>
      <c r="N191" s="15" t="s">
        <v>33</v>
      </c>
      <c r="O191" s="15"/>
      <c r="P191" s="11" t="n">
        <v>113</v>
      </c>
      <c r="Q191" s="13" t="s">
        <v>34</v>
      </c>
      <c r="R191" s="13" t="s">
        <v>35</v>
      </c>
      <c r="S191" s="11" t="n">
        <v>1130101</v>
      </c>
      <c r="T191" s="13" t="s">
        <v>36</v>
      </c>
      <c r="U191" s="16" t="n">
        <v>345.65</v>
      </c>
      <c r="V191" s="16"/>
      <c r="W191" s="17" t="n">
        <v>0</v>
      </c>
      <c r="X191" s="15" t="s">
        <v>288</v>
      </c>
      <c r="Y191" s="15"/>
      <c r="Z191" s="1" t="str">
        <f aca="false">IF($T191="","",IFERROR(INDEX('Resumo Grupos'!$AC$3:$AC$2000,MATCH($T191,'Resumo Grupos'!$AB$3:$AB$2000,0)),"n/d"))</f>
        <v>Mercadoria</v>
      </c>
    </row>
    <row r="192" customFormat="false" ht="39" hidden="false" customHeight="true" outlineLevel="0" collapsed="false">
      <c r="A192" s="11" t="n">
        <v>2</v>
      </c>
      <c r="B192" s="12" t="n">
        <v>46199</v>
      </c>
      <c r="C192" s="12" t="n">
        <v>46210</v>
      </c>
      <c r="D192" s="11" t="n">
        <v>10009</v>
      </c>
      <c r="E192" s="13" t="s">
        <v>138</v>
      </c>
      <c r="F192" s="11" t="n">
        <v>24</v>
      </c>
      <c r="G192" s="13" t="s">
        <v>30</v>
      </c>
      <c r="H192" s="11" t="n">
        <v>2110101</v>
      </c>
      <c r="I192" s="13" t="s">
        <v>31</v>
      </c>
      <c r="J192" s="14" t="n">
        <v>1310309</v>
      </c>
      <c r="K192" s="14"/>
      <c r="L192" s="11" t="n">
        <v>1420058</v>
      </c>
      <c r="M192" s="13" t="s">
        <v>105</v>
      </c>
      <c r="N192" s="15" t="s">
        <v>33</v>
      </c>
      <c r="O192" s="15"/>
      <c r="P192" s="11" t="n">
        <v>113</v>
      </c>
      <c r="Q192" s="13" t="s">
        <v>34</v>
      </c>
      <c r="R192" s="13" t="s">
        <v>35</v>
      </c>
      <c r="S192" s="11" t="n">
        <v>1130101</v>
      </c>
      <c r="T192" s="13" t="s">
        <v>36</v>
      </c>
      <c r="U192" s="16" t="n">
        <v>418.83</v>
      </c>
      <c r="V192" s="16"/>
      <c r="W192" s="17" t="n">
        <v>0</v>
      </c>
      <c r="X192" s="15" t="s">
        <v>289</v>
      </c>
      <c r="Y192" s="15"/>
      <c r="Z192" s="1" t="str">
        <f aca="false">IF($T192="","",IFERROR(INDEX('Resumo Grupos'!$AC$3:$AC$2000,MATCH($T192,'Resumo Grupos'!$AB$3:$AB$2000,0)),"n/d"))</f>
        <v>Mercadoria</v>
      </c>
    </row>
    <row r="193" customFormat="false" ht="66.75" hidden="false" customHeight="true" outlineLevel="0" collapsed="false">
      <c r="A193" s="11" t="n">
        <v>2</v>
      </c>
      <c r="B193" s="12" t="n">
        <v>46199</v>
      </c>
      <c r="C193" s="12" t="n">
        <v>46206</v>
      </c>
      <c r="D193" s="11" t="n">
        <v>1699</v>
      </c>
      <c r="E193" s="13" t="s">
        <v>290</v>
      </c>
      <c r="F193" s="11" t="n">
        <v>24</v>
      </c>
      <c r="G193" s="13" t="s">
        <v>30</v>
      </c>
      <c r="H193" s="11" t="n">
        <v>2110101</v>
      </c>
      <c r="I193" s="13" t="s">
        <v>31</v>
      </c>
      <c r="J193" s="14" t="n">
        <v>1310401</v>
      </c>
      <c r="K193" s="14"/>
      <c r="L193" s="11" t="n">
        <v>305929</v>
      </c>
      <c r="M193" s="13" t="s">
        <v>105</v>
      </c>
      <c r="N193" s="15" t="s">
        <v>33</v>
      </c>
      <c r="O193" s="15"/>
      <c r="P193" s="11" t="n">
        <v>113</v>
      </c>
      <c r="Q193" s="13" t="s">
        <v>34</v>
      </c>
      <c r="R193" s="13" t="s">
        <v>35</v>
      </c>
      <c r="S193" s="11" t="n">
        <v>1130101</v>
      </c>
      <c r="T193" s="13" t="s">
        <v>36</v>
      </c>
      <c r="U193" s="16" t="n">
        <v>1184.07</v>
      </c>
      <c r="V193" s="16"/>
      <c r="W193" s="17" t="n">
        <v>0</v>
      </c>
      <c r="X193" s="15" t="s">
        <v>291</v>
      </c>
      <c r="Y193" s="15"/>
      <c r="Z193" s="1" t="str">
        <f aca="false">IF($T193="","",IFERROR(INDEX('Resumo Grupos'!$AC$3:$AC$2000,MATCH($T193,'Resumo Grupos'!$AB$3:$AB$2000,0)),"n/d"))</f>
        <v>Mercadoria</v>
      </c>
    </row>
    <row r="194" customFormat="false" ht="66.75" hidden="false" customHeight="true" outlineLevel="0" collapsed="false">
      <c r="A194" s="11" t="n">
        <v>2</v>
      </c>
      <c r="B194" s="12" t="n">
        <v>46199</v>
      </c>
      <c r="C194" s="12" t="n">
        <v>46213</v>
      </c>
      <c r="D194" s="11" t="n">
        <v>1699</v>
      </c>
      <c r="E194" s="13" t="s">
        <v>290</v>
      </c>
      <c r="F194" s="11" t="n">
        <v>24</v>
      </c>
      <c r="G194" s="13" t="s">
        <v>30</v>
      </c>
      <c r="H194" s="11" t="n">
        <v>2110101</v>
      </c>
      <c r="I194" s="13" t="s">
        <v>31</v>
      </c>
      <c r="J194" s="14" t="n">
        <v>1310401</v>
      </c>
      <c r="K194" s="14"/>
      <c r="L194" s="11" t="n">
        <v>305929</v>
      </c>
      <c r="M194" s="13" t="s">
        <v>32</v>
      </c>
      <c r="N194" s="15" t="s">
        <v>33</v>
      </c>
      <c r="O194" s="15"/>
      <c r="P194" s="11" t="n">
        <v>113</v>
      </c>
      <c r="Q194" s="13" t="s">
        <v>34</v>
      </c>
      <c r="R194" s="13" t="s">
        <v>35</v>
      </c>
      <c r="S194" s="11" t="n">
        <v>1130101</v>
      </c>
      <c r="T194" s="13" t="s">
        <v>36</v>
      </c>
      <c r="U194" s="16" t="n">
        <v>1184.07</v>
      </c>
      <c r="V194" s="16"/>
      <c r="W194" s="17" t="n">
        <v>0</v>
      </c>
      <c r="X194" s="15" t="s">
        <v>291</v>
      </c>
      <c r="Y194" s="15"/>
      <c r="Z194" s="1" t="str">
        <f aca="false">IF($T194="","",IFERROR(INDEX('Resumo Grupos'!$AC$3:$AC$2000,MATCH($T194,'Resumo Grupos'!$AB$3:$AB$2000,0)),"n/d"))</f>
        <v>Mercadoria</v>
      </c>
    </row>
    <row r="195" customFormat="false" ht="66.75" hidden="false" customHeight="true" outlineLevel="0" collapsed="false">
      <c r="A195" s="11" t="n">
        <v>2</v>
      </c>
      <c r="B195" s="12" t="n">
        <v>46199</v>
      </c>
      <c r="C195" s="12" t="n">
        <v>46220</v>
      </c>
      <c r="D195" s="11" t="n">
        <v>1699</v>
      </c>
      <c r="E195" s="13" t="s">
        <v>290</v>
      </c>
      <c r="F195" s="11" t="n">
        <v>24</v>
      </c>
      <c r="G195" s="13" t="s">
        <v>30</v>
      </c>
      <c r="H195" s="11" t="n">
        <v>2110101</v>
      </c>
      <c r="I195" s="13" t="s">
        <v>31</v>
      </c>
      <c r="J195" s="14" t="n">
        <v>1310401</v>
      </c>
      <c r="K195" s="14"/>
      <c r="L195" s="11" t="n">
        <v>305929</v>
      </c>
      <c r="M195" s="13" t="s">
        <v>101</v>
      </c>
      <c r="N195" s="15" t="s">
        <v>33</v>
      </c>
      <c r="O195" s="15"/>
      <c r="P195" s="11" t="n">
        <v>113</v>
      </c>
      <c r="Q195" s="13" t="s">
        <v>34</v>
      </c>
      <c r="R195" s="13" t="s">
        <v>35</v>
      </c>
      <c r="S195" s="11" t="n">
        <v>1130101</v>
      </c>
      <c r="T195" s="13" t="s">
        <v>36</v>
      </c>
      <c r="U195" s="16" t="n">
        <v>1184.06</v>
      </c>
      <c r="V195" s="16"/>
      <c r="W195" s="17" t="n">
        <v>0</v>
      </c>
      <c r="X195" s="15" t="s">
        <v>291</v>
      </c>
      <c r="Y195" s="15"/>
      <c r="Z195" s="1" t="str">
        <f aca="false">IF($T195="","",IFERROR(INDEX('Resumo Grupos'!$AC$3:$AC$2000,MATCH($T195,'Resumo Grupos'!$AB$3:$AB$2000,0)),"n/d"))</f>
        <v>Mercadoria</v>
      </c>
    </row>
    <row r="196" customFormat="false" ht="39" hidden="false" customHeight="true" outlineLevel="0" collapsed="false">
      <c r="A196" s="11" t="n">
        <v>2</v>
      </c>
      <c r="B196" s="12" t="n">
        <v>46200</v>
      </c>
      <c r="C196" s="12" t="n">
        <v>46210</v>
      </c>
      <c r="D196" s="11" t="n">
        <v>1609</v>
      </c>
      <c r="E196" s="13" t="s">
        <v>292</v>
      </c>
      <c r="F196" s="11" t="n">
        <v>24</v>
      </c>
      <c r="G196" s="13" t="s">
        <v>30</v>
      </c>
      <c r="H196" s="11" t="n">
        <v>2110101</v>
      </c>
      <c r="I196" s="13" t="s">
        <v>31</v>
      </c>
      <c r="J196" s="14" t="n">
        <v>1312583</v>
      </c>
      <c r="K196" s="14"/>
      <c r="L196" s="11" t="n">
        <v>5720</v>
      </c>
      <c r="M196" s="13" t="s">
        <v>105</v>
      </c>
      <c r="N196" s="15" t="s">
        <v>33</v>
      </c>
      <c r="O196" s="15"/>
      <c r="P196" s="11" t="n">
        <v>113</v>
      </c>
      <c r="Q196" s="13" t="s">
        <v>34</v>
      </c>
      <c r="R196" s="13" t="s">
        <v>35</v>
      </c>
      <c r="S196" s="11" t="n">
        <v>1130101</v>
      </c>
      <c r="T196" s="13" t="s">
        <v>36</v>
      </c>
      <c r="U196" s="16" t="n">
        <v>358.65</v>
      </c>
      <c r="V196" s="16"/>
      <c r="W196" s="17" t="n">
        <v>0</v>
      </c>
      <c r="X196" s="15" t="s">
        <v>293</v>
      </c>
      <c r="Y196" s="15"/>
      <c r="Z196" s="1" t="str">
        <f aca="false">IF($T196="","",IFERROR(INDEX('Resumo Grupos'!$AC$3:$AC$2000,MATCH($T196,'Resumo Grupos'!$AB$3:$AB$2000,0)),"n/d"))</f>
        <v>Mercadoria</v>
      </c>
    </row>
    <row r="197" customFormat="false" ht="57" hidden="false" customHeight="true" outlineLevel="0" collapsed="false">
      <c r="A197" s="11" t="n">
        <v>2</v>
      </c>
      <c r="B197" s="12" t="n">
        <v>46200</v>
      </c>
      <c r="C197" s="12" t="n">
        <v>46212</v>
      </c>
      <c r="D197" s="11" t="n">
        <v>1664</v>
      </c>
      <c r="E197" s="13" t="s">
        <v>294</v>
      </c>
      <c r="F197" s="11" t="n">
        <v>24</v>
      </c>
      <c r="G197" s="13" t="s">
        <v>30</v>
      </c>
      <c r="H197" s="11" t="n">
        <v>2110101</v>
      </c>
      <c r="I197" s="13" t="s">
        <v>31</v>
      </c>
      <c r="J197" s="14" t="n">
        <v>1312612</v>
      </c>
      <c r="K197" s="14"/>
      <c r="L197" s="11" t="n">
        <v>77922</v>
      </c>
      <c r="M197" s="13" t="s">
        <v>105</v>
      </c>
      <c r="N197" s="15" t="s">
        <v>33</v>
      </c>
      <c r="O197" s="15"/>
      <c r="P197" s="11" t="n">
        <v>113</v>
      </c>
      <c r="Q197" s="13" t="s">
        <v>34</v>
      </c>
      <c r="R197" s="13" t="s">
        <v>35</v>
      </c>
      <c r="S197" s="11" t="n">
        <v>1130101</v>
      </c>
      <c r="T197" s="13" t="s">
        <v>36</v>
      </c>
      <c r="U197" s="16" t="n">
        <v>155.16</v>
      </c>
      <c r="V197" s="16"/>
      <c r="W197" s="17" t="n">
        <v>0</v>
      </c>
      <c r="X197" s="15" t="s">
        <v>295</v>
      </c>
      <c r="Y197" s="15"/>
      <c r="Z197" s="1" t="str">
        <f aca="false">IF($T197="","",IFERROR(INDEX('Resumo Grupos'!$AC$3:$AC$2000,MATCH($T197,'Resumo Grupos'!$AB$3:$AB$2000,0)),"n/d"))</f>
        <v>Mercadoria</v>
      </c>
    </row>
    <row r="198" customFormat="false" ht="39" hidden="false" customHeight="true" outlineLevel="0" collapsed="false">
      <c r="A198" s="11" t="n">
        <v>2</v>
      </c>
      <c r="B198" s="12" t="n">
        <v>46200</v>
      </c>
      <c r="C198" s="12" t="n">
        <v>46206</v>
      </c>
      <c r="D198" s="11" t="n">
        <v>1666</v>
      </c>
      <c r="E198" s="13" t="s">
        <v>296</v>
      </c>
      <c r="F198" s="11" t="n">
        <v>24</v>
      </c>
      <c r="G198" s="13" t="s">
        <v>30</v>
      </c>
      <c r="H198" s="11" t="n">
        <v>2110101</v>
      </c>
      <c r="I198" s="13" t="s">
        <v>31</v>
      </c>
      <c r="J198" s="14" t="n">
        <v>1312641</v>
      </c>
      <c r="K198" s="14"/>
      <c r="L198" s="11" t="n">
        <v>175251</v>
      </c>
      <c r="M198" s="13" t="s">
        <v>105</v>
      </c>
      <c r="N198" s="15" t="s">
        <v>41</v>
      </c>
      <c r="O198" s="15"/>
      <c r="P198" s="11" t="n">
        <v>113</v>
      </c>
      <c r="Q198" s="13" t="s">
        <v>34</v>
      </c>
      <c r="R198" s="13" t="s">
        <v>35</v>
      </c>
      <c r="S198" s="11" t="n">
        <v>1130101</v>
      </c>
      <c r="T198" s="13" t="s">
        <v>36</v>
      </c>
      <c r="U198" s="16" t="n">
        <v>5761.35</v>
      </c>
      <c r="V198" s="16"/>
      <c r="W198" s="17" t="n">
        <v>0</v>
      </c>
      <c r="X198" s="15" t="s">
        <v>297</v>
      </c>
      <c r="Y198" s="15"/>
      <c r="Z198" s="1" t="str">
        <f aca="false">IF($T198="","",IFERROR(INDEX('Resumo Grupos'!$AC$3:$AC$2000,MATCH($T198,'Resumo Grupos'!$AB$3:$AB$2000,0)),"n/d"))</f>
        <v>Mercadoria</v>
      </c>
    </row>
    <row r="199" customFormat="false" ht="39" hidden="false" customHeight="true" outlineLevel="0" collapsed="false">
      <c r="A199" s="11" t="n">
        <v>2</v>
      </c>
      <c r="B199" s="12" t="n">
        <v>46200</v>
      </c>
      <c r="C199" s="12" t="n">
        <v>46213</v>
      </c>
      <c r="D199" s="11" t="n">
        <v>1666</v>
      </c>
      <c r="E199" s="13" t="s">
        <v>296</v>
      </c>
      <c r="F199" s="11" t="n">
        <v>24</v>
      </c>
      <c r="G199" s="13" t="s">
        <v>30</v>
      </c>
      <c r="H199" s="11" t="n">
        <v>2110101</v>
      </c>
      <c r="I199" s="13" t="s">
        <v>31</v>
      </c>
      <c r="J199" s="14" t="n">
        <v>1312648</v>
      </c>
      <c r="K199" s="14"/>
      <c r="L199" s="11" t="n">
        <v>175252</v>
      </c>
      <c r="M199" s="13" t="s">
        <v>105</v>
      </c>
      <c r="N199" s="15" t="s">
        <v>41</v>
      </c>
      <c r="O199" s="15"/>
      <c r="P199" s="11" t="n">
        <v>113</v>
      </c>
      <c r="Q199" s="13" t="s">
        <v>34</v>
      </c>
      <c r="R199" s="13" t="s">
        <v>35</v>
      </c>
      <c r="S199" s="11" t="n">
        <v>1130101</v>
      </c>
      <c r="T199" s="13" t="s">
        <v>36</v>
      </c>
      <c r="U199" s="16" t="n">
        <v>5621.36</v>
      </c>
      <c r="V199" s="16"/>
      <c r="W199" s="17" t="n">
        <v>0</v>
      </c>
      <c r="X199" s="15" t="s">
        <v>297</v>
      </c>
      <c r="Y199" s="15"/>
      <c r="Z199" s="1" t="str">
        <f aca="false">IF($T199="","",IFERROR(INDEX('Resumo Grupos'!$AC$3:$AC$2000,MATCH($T199,'Resumo Grupos'!$AB$3:$AB$2000,0)),"n/d"))</f>
        <v>Mercadoria</v>
      </c>
    </row>
    <row r="200" customFormat="false" ht="39" hidden="false" customHeight="true" outlineLevel="0" collapsed="false">
      <c r="A200" s="11" t="n">
        <v>2</v>
      </c>
      <c r="B200" s="12" t="n">
        <v>46200</v>
      </c>
      <c r="C200" s="12" t="n">
        <v>46220</v>
      </c>
      <c r="D200" s="11" t="n">
        <v>1666</v>
      </c>
      <c r="E200" s="13" t="s">
        <v>296</v>
      </c>
      <c r="F200" s="11" t="n">
        <v>24</v>
      </c>
      <c r="G200" s="13" t="s">
        <v>30</v>
      </c>
      <c r="H200" s="11" t="n">
        <v>2110101</v>
      </c>
      <c r="I200" s="13" t="s">
        <v>31</v>
      </c>
      <c r="J200" s="14" t="n">
        <v>1312652</v>
      </c>
      <c r="K200" s="14"/>
      <c r="L200" s="11" t="n">
        <v>175253</v>
      </c>
      <c r="M200" s="13" t="s">
        <v>105</v>
      </c>
      <c r="N200" s="15" t="s">
        <v>41</v>
      </c>
      <c r="O200" s="15"/>
      <c r="P200" s="11" t="n">
        <v>113</v>
      </c>
      <c r="Q200" s="13" t="s">
        <v>34</v>
      </c>
      <c r="R200" s="13" t="s">
        <v>35</v>
      </c>
      <c r="S200" s="11" t="n">
        <v>1130101</v>
      </c>
      <c r="T200" s="13" t="s">
        <v>36</v>
      </c>
      <c r="U200" s="16" t="n">
        <v>5791.7</v>
      </c>
      <c r="V200" s="16"/>
      <c r="W200" s="17" t="n">
        <v>0</v>
      </c>
      <c r="X200" s="15" t="s">
        <v>297</v>
      </c>
      <c r="Y200" s="15"/>
      <c r="Z200" s="1" t="str">
        <f aca="false">IF($T200="","",IFERROR(INDEX('Resumo Grupos'!$AC$3:$AC$2000,MATCH($T200,'Resumo Grupos'!$AB$3:$AB$2000,0)),"n/d"))</f>
        <v>Mercadoria</v>
      </c>
    </row>
    <row r="201" customFormat="false" ht="39" hidden="false" customHeight="true" outlineLevel="0" collapsed="false">
      <c r="A201" s="11" t="n">
        <v>2</v>
      </c>
      <c r="B201" s="12" t="n">
        <v>46200</v>
      </c>
      <c r="C201" s="12" t="n">
        <v>46204</v>
      </c>
      <c r="D201" s="11" t="n">
        <v>10035</v>
      </c>
      <c r="E201" s="13" t="s">
        <v>298</v>
      </c>
      <c r="F201" s="11" t="n">
        <v>34</v>
      </c>
      <c r="G201" s="13" t="s">
        <v>87</v>
      </c>
      <c r="H201" s="11" t="n">
        <v>2110101</v>
      </c>
      <c r="I201" s="13" t="s">
        <v>31</v>
      </c>
      <c r="J201" s="14" t="n">
        <v>1312818</v>
      </c>
      <c r="K201" s="14"/>
      <c r="L201" s="11" t="n">
        <v>325</v>
      </c>
      <c r="M201" s="13" t="s">
        <v>105</v>
      </c>
      <c r="N201" s="15" t="s">
        <v>33</v>
      </c>
      <c r="O201" s="15"/>
      <c r="P201" s="11" t="n">
        <v>113</v>
      </c>
      <c r="Q201" s="13" t="s">
        <v>34</v>
      </c>
      <c r="R201" s="13" t="s">
        <v>35</v>
      </c>
      <c r="S201" s="11" t="n">
        <v>1130101</v>
      </c>
      <c r="T201" s="13" t="s">
        <v>36</v>
      </c>
      <c r="U201" s="16" t="n">
        <v>310</v>
      </c>
      <c r="V201" s="16"/>
      <c r="W201" s="17" t="n">
        <v>0</v>
      </c>
      <c r="X201" s="15" t="s">
        <v>299</v>
      </c>
      <c r="Y201" s="15"/>
      <c r="Z201" s="1" t="str">
        <f aca="false">IF($T201="","",IFERROR(INDEX('Resumo Grupos'!$AC$3:$AC$2000,MATCH($T201,'Resumo Grupos'!$AB$3:$AB$2000,0)),"n/d"))</f>
        <v>Mercadoria</v>
      </c>
    </row>
    <row r="202" customFormat="false" ht="28.5" hidden="false" customHeight="true" outlineLevel="0" collapsed="false">
      <c r="A202" s="11" t="n">
        <v>2</v>
      </c>
      <c r="B202" s="12" t="n">
        <v>46200</v>
      </c>
      <c r="C202" s="12" t="n">
        <v>46207</v>
      </c>
      <c r="D202" s="11" t="n">
        <v>10006</v>
      </c>
      <c r="E202" s="13" t="s">
        <v>115</v>
      </c>
      <c r="F202" s="11" t="n">
        <v>24</v>
      </c>
      <c r="G202" s="13" t="s">
        <v>30</v>
      </c>
      <c r="H202" s="11" t="n">
        <v>2110405</v>
      </c>
      <c r="I202" s="13" t="s">
        <v>51</v>
      </c>
      <c r="J202" s="14" t="n">
        <v>1312832</v>
      </c>
      <c r="K202" s="14"/>
      <c r="L202" s="11" t="n">
        <v>175254</v>
      </c>
      <c r="M202" s="13" t="s">
        <v>105</v>
      </c>
      <c r="N202" s="15" t="s">
        <v>41</v>
      </c>
      <c r="O202" s="15"/>
      <c r="P202" s="11" t="n">
        <v>101</v>
      </c>
      <c r="Q202" s="13" t="s">
        <v>52</v>
      </c>
      <c r="R202" s="13" t="s">
        <v>60</v>
      </c>
      <c r="S202" s="11" t="n">
        <v>4210233</v>
      </c>
      <c r="T202" s="13" t="s">
        <v>300</v>
      </c>
      <c r="U202" s="16" t="n">
        <v>258</v>
      </c>
      <c r="V202" s="16"/>
      <c r="W202" s="17" t="n">
        <v>0</v>
      </c>
      <c r="X202" s="15" t="s">
        <v>301</v>
      </c>
      <c r="Y202" s="15"/>
      <c r="Z202" s="1" t="str">
        <f aca="false">IF($T202="","",IFERROR(INDEX('Resumo Grupos'!$AC$3:$AC$2000,MATCH($T202,'Resumo Grupos'!$AB$3:$AB$2000,0)),"n/d"))</f>
        <v>Despesa</v>
      </c>
    </row>
    <row r="203" customFormat="false" ht="39" hidden="false" customHeight="true" outlineLevel="0" collapsed="false">
      <c r="A203" s="11" t="n">
        <v>2</v>
      </c>
      <c r="B203" s="12" t="n">
        <v>46200</v>
      </c>
      <c r="C203" s="12" t="n">
        <v>46206</v>
      </c>
      <c r="D203" s="11" t="n">
        <v>1695</v>
      </c>
      <c r="E203" s="13" t="s">
        <v>217</v>
      </c>
      <c r="F203" s="11" t="n">
        <v>24</v>
      </c>
      <c r="G203" s="13" t="s">
        <v>30</v>
      </c>
      <c r="H203" s="11" t="n">
        <v>2110101</v>
      </c>
      <c r="I203" s="13" t="s">
        <v>31</v>
      </c>
      <c r="J203" s="14" t="n">
        <v>1312835</v>
      </c>
      <c r="K203" s="14"/>
      <c r="L203" s="11" t="n">
        <v>18889</v>
      </c>
      <c r="M203" s="13" t="s">
        <v>105</v>
      </c>
      <c r="N203" s="15" t="s">
        <v>33</v>
      </c>
      <c r="O203" s="15"/>
      <c r="P203" s="11" t="n">
        <v>113</v>
      </c>
      <c r="Q203" s="13" t="s">
        <v>34</v>
      </c>
      <c r="R203" s="13" t="s">
        <v>35</v>
      </c>
      <c r="S203" s="11" t="n">
        <v>1130101</v>
      </c>
      <c r="T203" s="13" t="s">
        <v>36</v>
      </c>
      <c r="U203" s="16" t="n">
        <v>796.74</v>
      </c>
      <c r="V203" s="16"/>
      <c r="W203" s="17" t="n">
        <v>0</v>
      </c>
      <c r="X203" s="15" t="s">
        <v>302</v>
      </c>
      <c r="Y203" s="15"/>
      <c r="Z203" s="1" t="str">
        <f aca="false">IF($T203="","",IFERROR(INDEX('Resumo Grupos'!$AC$3:$AC$2000,MATCH($T203,'Resumo Grupos'!$AB$3:$AB$2000,0)),"n/d"))</f>
        <v>Mercadoria</v>
      </c>
    </row>
    <row r="204" customFormat="false" ht="39" hidden="false" customHeight="true" outlineLevel="0" collapsed="false">
      <c r="A204" s="11" t="n">
        <v>2</v>
      </c>
      <c r="B204" s="12" t="n">
        <v>46200</v>
      </c>
      <c r="C204" s="12" t="n">
        <v>46206</v>
      </c>
      <c r="D204" s="11" t="n">
        <v>1625</v>
      </c>
      <c r="E204" s="13" t="s">
        <v>303</v>
      </c>
      <c r="F204" s="11" t="n">
        <v>24</v>
      </c>
      <c r="G204" s="13" t="s">
        <v>30</v>
      </c>
      <c r="H204" s="11" t="n">
        <v>2110101</v>
      </c>
      <c r="I204" s="13" t="s">
        <v>31</v>
      </c>
      <c r="J204" s="14" t="n">
        <v>1313051</v>
      </c>
      <c r="K204" s="14"/>
      <c r="L204" s="11" t="n">
        <v>14560</v>
      </c>
      <c r="M204" s="13" t="s">
        <v>105</v>
      </c>
      <c r="N204" s="15" t="s">
        <v>33</v>
      </c>
      <c r="O204" s="15"/>
      <c r="P204" s="11" t="n">
        <v>113</v>
      </c>
      <c r="Q204" s="13" t="s">
        <v>34</v>
      </c>
      <c r="R204" s="13" t="s">
        <v>35</v>
      </c>
      <c r="S204" s="11" t="n">
        <v>1130101</v>
      </c>
      <c r="T204" s="13" t="s">
        <v>36</v>
      </c>
      <c r="U204" s="16" t="n">
        <v>1997.03</v>
      </c>
      <c r="V204" s="16"/>
      <c r="W204" s="17" t="n">
        <v>0</v>
      </c>
      <c r="X204" s="15" t="s">
        <v>304</v>
      </c>
      <c r="Y204" s="15"/>
      <c r="Z204" s="1" t="str">
        <f aca="false">IF($T204="","",IFERROR(INDEX('Resumo Grupos'!$AC$3:$AC$2000,MATCH($T204,'Resumo Grupos'!$AB$3:$AB$2000,0)),"n/d"))</f>
        <v>Mercadoria</v>
      </c>
    </row>
    <row r="205" customFormat="false" ht="57" hidden="false" customHeight="true" outlineLevel="0" collapsed="false">
      <c r="A205" s="11" t="n">
        <v>2</v>
      </c>
      <c r="B205" s="12" t="n">
        <v>46202</v>
      </c>
      <c r="C205" s="12" t="n">
        <v>46206</v>
      </c>
      <c r="D205" s="11" t="n">
        <v>1815</v>
      </c>
      <c r="E205" s="13" t="s">
        <v>178</v>
      </c>
      <c r="F205" s="11" t="n">
        <v>24</v>
      </c>
      <c r="G205" s="13" t="s">
        <v>30</v>
      </c>
      <c r="H205" s="11" t="n">
        <v>2110101</v>
      </c>
      <c r="I205" s="13" t="s">
        <v>31</v>
      </c>
      <c r="J205" s="14" t="n">
        <v>1321695</v>
      </c>
      <c r="K205" s="14"/>
      <c r="L205" s="11" t="n">
        <v>175255</v>
      </c>
      <c r="M205" s="13" t="s">
        <v>105</v>
      </c>
      <c r="N205" s="15" t="s">
        <v>41</v>
      </c>
      <c r="O205" s="15"/>
      <c r="P205" s="11" t="n">
        <v>113</v>
      </c>
      <c r="Q205" s="13" t="s">
        <v>34</v>
      </c>
      <c r="R205" s="13" t="s">
        <v>35</v>
      </c>
      <c r="S205" s="11" t="n">
        <v>1130101</v>
      </c>
      <c r="T205" s="13" t="s">
        <v>36</v>
      </c>
      <c r="U205" s="16" t="n">
        <v>371.88</v>
      </c>
      <c r="V205" s="16"/>
      <c r="W205" s="17" t="n">
        <v>0</v>
      </c>
      <c r="X205" s="15" t="s">
        <v>305</v>
      </c>
      <c r="Y205" s="15"/>
      <c r="Z205" s="1" t="str">
        <f aca="false">IF($T205="","",IFERROR(INDEX('Resumo Grupos'!$AC$3:$AC$2000,MATCH($T205,'Resumo Grupos'!$AB$3:$AB$2000,0)),"n/d"))</f>
        <v>Mercadoria</v>
      </c>
    </row>
    <row r="206" customFormat="false" ht="57" hidden="false" customHeight="true" outlineLevel="0" collapsed="false">
      <c r="A206" s="11" t="n">
        <v>2</v>
      </c>
      <c r="B206" s="12" t="n">
        <v>46202</v>
      </c>
      <c r="C206" s="12" t="n">
        <v>46213</v>
      </c>
      <c r="D206" s="11" t="n">
        <v>1815</v>
      </c>
      <c r="E206" s="13" t="s">
        <v>178</v>
      </c>
      <c r="F206" s="11" t="n">
        <v>24</v>
      </c>
      <c r="G206" s="13" t="s">
        <v>30</v>
      </c>
      <c r="H206" s="11" t="n">
        <v>2110101</v>
      </c>
      <c r="I206" s="13" t="s">
        <v>31</v>
      </c>
      <c r="J206" s="14" t="n">
        <v>1321697</v>
      </c>
      <c r="K206" s="14"/>
      <c r="L206" s="11" t="n">
        <v>175256</v>
      </c>
      <c r="M206" s="13" t="s">
        <v>105</v>
      </c>
      <c r="N206" s="15" t="s">
        <v>41</v>
      </c>
      <c r="O206" s="15"/>
      <c r="P206" s="11" t="n">
        <v>113</v>
      </c>
      <c r="Q206" s="13" t="s">
        <v>34</v>
      </c>
      <c r="R206" s="13" t="s">
        <v>35</v>
      </c>
      <c r="S206" s="11" t="n">
        <v>1130101</v>
      </c>
      <c r="T206" s="13" t="s">
        <v>36</v>
      </c>
      <c r="U206" s="16" t="n">
        <v>371.88</v>
      </c>
      <c r="V206" s="16"/>
      <c r="W206" s="17" t="n">
        <v>0</v>
      </c>
      <c r="X206" s="15"/>
      <c r="Y206" s="15"/>
      <c r="Z206" s="1" t="str">
        <f aca="false">IF($T206="","",IFERROR(INDEX('Resumo Grupos'!$AC$3:$AC$2000,MATCH($T206,'Resumo Grupos'!$AB$3:$AB$2000,0)),"n/d"))</f>
        <v>Mercadoria</v>
      </c>
    </row>
    <row r="207" customFormat="false" ht="39" hidden="false" customHeight="true" outlineLevel="0" collapsed="false">
      <c r="A207" s="11" t="n">
        <v>2</v>
      </c>
      <c r="B207" s="12" t="n">
        <v>46202</v>
      </c>
      <c r="C207" s="12" t="n">
        <v>46206</v>
      </c>
      <c r="D207" s="11" t="n">
        <v>1621</v>
      </c>
      <c r="E207" s="13" t="s">
        <v>209</v>
      </c>
      <c r="F207" s="11" t="n">
        <v>24</v>
      </c>
      <c r="G207" s="13" t="s">
        <v>30</v>
      </c>
      <c r="H207" s="11" t="n">
        <v>2110101</v>
      </c>
      <c r="I207" s="13" t="s">
        <v>31</v>
      </c>
      <c r="J207" s="14" t="n">
        <v>1321849</v>
      </c>
      <c r="K207" s="14"/>
      <c r="L207" s="11" t="n">
        <v>877177</v>
      </c>
      <c r="M207" s="13" t="s">
        <v>105</v>
      </c>
      <c r="N207" s="15" t="s">
        <v>33</v>
      </c>
      <c r="O207" s="15"/>
      <c r="P207" s="11" t="n">
        <v>113</v>
      </c>
      <c r="Q207" s="13" t="s">
        <v>34</v>
      </c>
      <c r="R207" s="13" t="s">
        <v>35</v>
      </c>
      <c r="S207" s="11" t="n">
        <v>1130101</v>
      </c>
      <c r="T207" s="13" t="s">
        <v>36</v>
      </c>
      <c r="U207" s="16" t="n">
        <v>2177.83</v>
      </c>
      <c r="V207" s="16"/>
      <c r="W207" s="17" t="n">
        <v>0</v>
      </c>
      <c r="X207" s="15" t="s">
        <v>306</v>
      </c>
      <c r="Y207" s="15"/>
      <c r="Z207" s="1" t="str">
        <f aca="false">IF($T207="","",IFERROR(INDEX('Resumo Grupos'!$AC$3:$AC$2000,MATCH($T207,'Resumo Grupos'!$AB$3:$AB$2000,0)),"n/d"))</f>
        <v>Mercadoria</v>
      </c>
    </row>
    <row r="208" customFormat="false" ht="39" hidden="false" customHeight="true" outlineLevel="0" collapsed="false">
      <c r="A208" s="11" t="n">
        <v>2</v>
      </c>
      <c r="B208" s="12" t="n">
        <v>46202</v>
      </c>
      <c r="C208" s="12" t="n">
        <v>46206</v>
      </c>
      <c r="D208" s="11" t="n">
        <v>1621</v>
      </c>
      <c r="E208" s="13" t="s">
        <v>209</v>
      </c>
      <c r="F208" s="11" t="n">
        <v>24</v>
      </c>
      <c r="G208" s="13" t="s">
        <v>30</v>
      </c>
      <c r="H208" s="11" t="n">
        <v>2110101</v>
      </c>
      <c r="I208" s="13" t="s">
        <v>31</v>
      </c>
      <c r="J208" s="14" t="n">
        <v>1321861</v>
      </c>
      <c r="K208" s="14"/>
      <c r="L208" s="11" t="n">
        <v>175257</v>
      </c>
      <c r="M208" s="13" t="s">
        <v>105</v>
      </c>
      <c r="N208" s="15" t="s">
        <v>41</v>
      </c>
      <c r="O208" s="15"/>
      <c r="P208" s="11" t="n">
        <v>113</v>
      </c>
      <c r="Q208" s="13" t="s">
        <v>34</v>
      </c>
      <c r="R208" s="13" t="s">
        <v>35</v>
      </c>
      <c r="S208" s="11" t="n">
        <v>1130101</v>
      </c>
      <c r="T208" s="13" t="s">
        <v>36</v>
      </c>
      <c r="U208" s="16" t="n">
        <v>1.55</v>
      </c>
      <c r="V208" s="16"/>
      <c r="W208" s="17" t="n">
        <v>0</v>
      </c>
      <c r="X208" s="15" t="s">
        <v>307</v>
      </c>
      <c r="Y208" s="15"/>
      <c r="Z208" s="1" t="str">
        <f aca="false">IF($T208="","",IFERROR(INDEX('Resumo Grupos'!$AC$3:$AC$2000,MATCH($T208,'Resumo Grupos'!$AB$3:$AB$2000,0)),"n/d"))</f>
        <v>Mercadoria</v>
      </c>
    </row>
    <row r="209" customFormat="false" ht="39" hidden="false" customHeight="true" outlineLevel="0" collapsed="false">
      <c r="A209" s="11" t="n">
        <v>2</v>
      </c>
      <c r="B209" s="12" t="n">
        <v>46202</v>
      </c>
      <c r="C209" s="12" t="n">
        <v>46207</v>
      </c>
      <c r="D209" s="11" t="n">
        <v>1625</v>
      </c>
      <c r="E209" s="13" t="s">
        <v>303</v>
      </c>
      <c r="F209" s="11" t="n">
        <v>24</v>
      </c>
      <c r="G209" s="13" t="s">
        <v>30</v>
      </c>
      <c r="H209" s="11" t="n">
        <v>2110101</v>
      </c>
      <c r="I209" s="13" t="s">
        <v>31</v>
      </c>
      <c r="J209" s="14" t="n">
        <v>1322010</v>
      </c>
      <c r="K209" s="14"/>
      <c r="L209" s="11" t="n">
        <v>14569</v>
      </c>
      <c r="M209" s="13" t="s">
        <v>105</v>
      </c>
      <c r="N209" s="15" t="s">
        <v>33</v>
      </c>
      <c r="O209" s="15"/>
      <c r="P209" s="11" t="n">
        <v>113</v>
      </c>
      <c r="Q209" s="13" t="s">
        <v>34</v>
      </c>
      <c r="R209" s="13" t="s">
        <v>35</v>
      </c>
      <c r="S209" s="11" t="n">
        <v>1130101</v>
      </c>
      <c r="T209" s="13" t="s">
        <v>36</v>
      </c>
      <c r="U209" s="16" t="n">
        <v>2606.5</v>
      </c>
      <c r="V209" s="16"/>
      <c r="W209" s="17" t="n">
        <v>0</v>
      </c>
      <c r="X209" s="15" t="s">
        <v>308</v>
      </c>
      <c r="Y209" s="15"/>
      <c r="Z209" s="1" t="str">
        <f aca="false">IF($T209="","",IFERROR(INDEX('Resumo Grupos'!$AC$3:$AC$2000,MATCH($T209,'Resumo Grupos'!$AB$3:$AB$2000,0)),"n/d"))</f>
        <v>Mercadoria</v>
      </c>
    </row>
    <row r="210" customFormat="false" ht="39" hidden="false" customHeight="true" outlineLevel="0" collapsed="false">
      <c r="A210" s="11" t="n">
        <v>2</v>
      </c>
      <c r="B210" s="12" t="n">
        <v>46202</v>
      </c>
      <c r="C210" s="12" t="n">
        <v>46217</v>
      </c>
      <c r="D210" s="11" t="n">
        <v>1705</v>
      </c>
      <c r="E210" s="13" t="s">
        <v>169</v>
      </c>
      <c r="F210" s="11" t="n">
        <v>24</v>
      </c>
      <c r="G210" s="13" t="s">
        <v>30</v>
      </c>
      <c r="H210" s="11" t="n">
        <v>2110101</v>
      </c>
      <c r="I210" s="13" t="s">
        <v>31</v>
      </c>
      <c r="J210" s="14" t="n">
        <v>1322169</v>
      </c>
      <c r="K210" s="14"/>
      <c r="L210" s="11" t="n">
        <v>1180339</v>
      </c>
      <c r="M210" s="13" t="s">
        <v>105</v>
      </c>
      <c r="N210" s="15" t="s">
        <v>33</v>
      </c>
      <c r="O210" s="15"/>
      <c r="P210" s="11" t="n">
        <v>113</v>
      </c>
      <c r="Q210" s="13" t="s">
        <v>34</v>
      </c>
      <c r="R210" s="13" t="s">
        <v>35</v>
      </c>
      <c r="S210" s="11" t="n">
        <v>1130101</v>
      </c>
      <c r="T210" s="13" t="s">
        <v>36</v>
      </c>
      <c r="U210" s="16" t="n">
        <v>29.3</v>
      </c>
      <c r="V210" s="16"/>
      <c r="W210" s="17" t="n">
        <v>0</v>
      </c>
      <c r="X210" s="15" t="s">
        <v>309</v>
      </c>
      <c r="Y210" s="15"/>
      <c r="Z210" s="1" t="str">
        <f aca="false">IF($T210="","",IFERROR(INDEX('Resumo Grupos'!$AC$3:$AC$2000,MATCH($T210,'Resumo Grupos'!$AB$3:$AB$2000,0)),"n/d"))</f>
        <v>Mercadoria</v>
      </c>
    </row>
    <row r="211" customFormat="false" ht="39" hidden="false" customHeight="true" outlineLevel="0" collapsed="false">
      <c r="A211" s="11" t="n">
        <v>2</v>
      </c>
      <c r="B211" s="12" t="n">
        <v>46202</v>
      </c>
      <c r="C211" s="12" t="n">
        <v>46217</v>
      </c>
      <c r="D211" s="11" t="n">
        <v>1705</v>
      </c>
      <c r="E211" s="13" t="s">
        <v>169</v>
      </c>
      <c r="F211" s="11" t="n">
        <v>24</v>
      </c>
      <c r="G211" s="13" t="s">
        <v>30</v>
      </c>
      <c r="H211" s="11" t="n">
        <v>2110101</v>
      </c>
      <c r="I211" s="13" t="s">
        <v>31</v>
      </c>
      <c r="J211" s="14" t="n">
        <v>1322180</v>
      </c>
      <c r="K211" s="14"/>
      <c r="L211" s="11" t="n">
        <v>1906318</v>
      </c>
      <c r="M211" s="13" t="s">
        <v>105</v>
      </c>
      <c r="N211" s="15" t="s">
        <v>33</v>
      </c>
      <c r="O211" s="15"/>
      <c r="P211" s="11" t="n">
        <v>113</v>
      </c>
      <c r="Q211" s="13" t="s">
        <v>34</v>
      </c>
      <c r="R211" s="13" t="s">
        <v>35</v>
      </c>
      <c r="S211" s="11" t="n">
        <v>1130101</v>
      </c>
      <c r="T211" s="13" t="s">
        <v>36</v>
      </c>
      <c r="U211" s="16" t="n">
        <v>156.29</v>
      </c>
      <c r="V211" s="16"/>
      <c r="W211" s="17" t="n">
        <v>0</v>
      </c>
      <c r="X211" s="15" t="s">
        <v>310</v>
      </c>
      <c r="Y211" s="15"/>
      <c r="Z211" s="1" t="str">
        <f aca="false">IF($T211="","",IFERROR(INDEX('Resumo Grupos'!$AC$3:$AC$2000,MATCH($T211,'Resumo Grupos'!$AB$3:$AB$2000,0)),"n/d"))</f>
        <v>Mercadoria</v>
      </c>
    </row>
    <row r="212" customFormat="false" ht="39" hidden="false" customHeight="true" outlineLevel="0" collapsed="false">
      <c r="A212" s="11" t="n">
        <v>2</v>
      </c>
      <c r="B212" s="12" t="n">
        <v>46202</v>
      </c>
      <c r="C212" s="12" t="n">
        <v>46217</v>
      </c>
      <c r="D212" s="11" t="n">
        <v>1705</v>
      </c>
      <c r="E212" s="13" t="s">
        <v>169</v>
      </c>
      <c r="F212" s="11" t="n">
        <v>24</v>
      </c>
      <c r="G212" s="13" t="s">
        <v>30</v>
      </c>
      <c r="H212" s="11" t="n">
        <v>2110101</v>
      </c>
      <c r="I212" s="13" t="s">
        <v>31</v>
      </c>
      <c r="J212" s="14" t="n">
        <v>1322190</v>
      </c>
      <c r="K212" s="14"/>
      <c r="L212" s="11" t="n">
        <v>1906109</v>
      </c>
      <c r="M212" s="13" t="s">
        <v>105</v>
      </c>
      <c r="N212" s="15" t="s">
        <v>33</v>
      </c>
      <c r="O212" s="15"/>
      <c r="P212" s="11" t="n">
        <v>113</v>
      </c>
      <c r="Q212" s="13" t="s">
        <v>34</v>
      </c>
      <c r="R212" s="13" t="s">
        <v>35</v>
      </c>
      <c r="S212" s="11" t="n">
        <v>1130101</v>
      </c>
      <c r="T212" s="13" t="s">
        <v>36</v>
      </c>
      <c r="U212" s="16" t="n">
        <v>974.53</v>
      </c>
      <c r="V212" s="16"/>
      <c r="W212" s="17" t="n">
        <v>0</v>
      </c>
      <c r="X212" s="15" t="s">
        <v>311</v>
      </c>
      <c r="Y212" s="15"/>
      <c r="Z212" s="1" t="str">
        <f aca="false">IF($T212="","",IFERROR(INDEX('Resumo Grupos'!$AC$3:$AC$2000,MATCH($T212,'Resumo Grupos'!$AB$3:$AB$2000,0)),"n/d"))</f>
        <v>Mercadoria</v>
      </c>
    </row>
    <row r="213" customFormat="false" ht="39" hidden="false" customHeight="true" outlineLevel="0" collapsed="false">
      <c r="A213" s="11" t="n">
        <v>2</v>
      </c>
      <c r="B213" s="12" t="n">
        <v>46203</v>
      </c>
      <c r="C213" s="12" t="n">
        <v>46206</v>
      </c>
      <c r="D213" s="11" t="n">
        <v>1695</v>
      </c>
      <c r="E213" s="13" t="s">
        <v>217</v>
      </c>
      <c r="F213" s="11" t="n">
        <v>34</v>
      </c>
      <c r="G213" s="13" t="s">
        <v>87</v>
      </c>
      <c r="H213" s="11" t="n">
        <v>2110101</v>
      </c>
      <c r="I213" s="13" t="s">
        <v>31</v>
      </c>
      <c r="J213" s="14" t="n">
        <v>1330221</v>
      </c>
      <c r="K213" s="14"/>
      <c r="L213" s="11" t="n">
        <v>178148</v>
      </c>
      <c r="M213" s="13" t="s">
        <v>105</v>
      </c>
      <c r="N213" s="15" t="s">
        <v>41</v>
      </c>
      <c r="O213" s="15"/>
      <c r="P213" s="11" t="n">
        <v>113</v>
      </c>
      <c r="Q213" s="13" t="s">
        <v>34</v>
      </c>
      <c r="R213" s="13" t="s">
        <v>35</v>
      </c>
      <c r="S213" s="11" t="n">
        <v>1130101</v>
      </c>
      <c r="T213" s="13" t="s">
        <v>36</v>
      </c>
      <c r="U213" s="16" t="n">
        <v>534.44</v>
      </c>
      <c r="V213" s="16"/>
      <c r="W213" s="17" t="n">
        <v>0</v>
      </c>
      <c r="X213" s="15" t="s">
        <v>312</v>
      </c>
      <c r="Y213" s="15"/>
      <c r="Z213" s="1" t="str">
        <f aca="false">IF($T213="","",IFERROR(INDEX('Resumo Grupos'!$AC$3:$AC$2000,MATCH($T213,'Resumo Grupos'!$AB$3:$AB$2000,0)),"n/d"))</f>
        <v>Mercadoria</v>
      </c>
    </row>
    <row r="214" customFormat="false" ht="57" hidden="false" customHeight="true" outlineLevel="0" collapsed="false">
      <c r="A214" s="11" t="n">
        <v>2</v>
      </c>
      <c r="B214" s="12" t="n">
        <v>46203</v>
      </c>
      <c r="C214" s="12" t="n">
        <v>46210</v>
      </c>
      <c r="D214" s="11" t="n">
        <v>1363</v>
      </c>
      <c r="E214" s="13" t="s">
        <v>313</v>
      </c>
      <c r="F214" s="11" t="n">
        <v>24</v>
      </c>
      <c r="G214" s="13" t="s">
        <v>30</v>
      </c>
      <c r="H214" s="11" t="n">
        <v>2110101</v>
      </c>
      <c r="I214" s="13" t="s">
        <v>31</v>
      </c>
      <c r="J214" s="14" t="n">
        <v>1330369</v>
      </c>
      <c r="K214" s="14"/>
      <c r="L214" s="11" t="n">
        <v>3453</v>
      </c>
      <c r="M214" s="13" t="s">
        <v>105</v>
      </c>
      <c r="N214" s="15" t="s">
        <v>33</v>
      </c>
      <c r="O214" s="15"/>
      <c r="P214" s="11" t="n">
        <v>113</v>
      </c>
      <c r="Q214" s="13" t="s">
        <v>34</v>
      </c>
      <c r="R214" s="13" t="s">
        <v>35</v>
      </c>
      <c r="S214" s="11" t="n">
        <v>1130101</v>
      </c>
      <c r="T214" s="13" t="s">
        <v>36</v>
      </c>
      <c r="U214" s="16" t="n">
        <v>122</v>
      </c>
      <c r="V214" s="16"/>
      <c r="W214" s="17" t="n">
        <v>0</v>
      </c>
      <c r="X214" s="15" t="s">
        <v>314</v>
      </c>
      <c r="Y214" s="15"/>
      <c r="Z214" s="1" t="str">
        <f aca="false">IF($T214="","",IFERROR(INDEX('Resumo Grupos'!$AC$3:$AC$2000,MATCH($T214,'Resumo Grupos'!$AB$3:$AB$2000,0)),"n/d"))</f>
        <v>Mercadoria</v>
      </c>
    </row>
    <row r="215" customFormat="false" ht="48" hidden="false" customHeight="true" outlineLevel="0" collapsed="false">
      <c r="A215" s="11" t="n">
        <v>2</v>
      </c>
      <c r="B215" s="12" t="n">
        <v>46203</v>
      </c>
      <c r="C215" s="12" t="n">
        <v>46205</v>
      </c>
      <c r="D215" s="11" t="n">
        <v>642</v>
      </c>
      <c r="E215" s="13" t="s">
        <v>315</v>
      </c>
      <c r="F215" s="11" t="n">
        <v>24</v>
      </c>
      <c r="G215" s="13" t="s">
        <v>30</v>
      </c>
      <c r="H215" s="11" t="n">
        <v>2110101</v>
      </c>
      <c r="I215" s="13" t="s">
        <v>31</v>
      </c>
      <c r="J215" s="14" t="n">
        <v>1330382</v>
      </c>
      <c r="K215" s="14"/>
      <c r="L215" s="11" t="n">
        <v>515</v>
      </c>
      <c r="M215" s="13" t="s">
        <v>105</v>
      </c>
      <c r="N215" s="15" t="s">
        <v>33</v>
      </c>
      <c r="O215" s="15"/>
      <c r="P215" s="11" t="n">
        <v>113</v>
      </c>
      <c r="Q215" s="13" t="s">
        <v>34</v>
      </c>
      <c r="R215" s="13" t="s">
        <v>35</v>
      </c>
      <c r="S215" s="11" t="n">
        <v>1130101</v>
      </c>
      <c r="T215" s="13" t="s">
        <v>36</v>
      </c>
      <c r="U215" s="16" t="n">
        <v>180</v>
      </c>
      <c r="V215" s="16"/>
      <c r="W215" s="17" t="n">
        <v>0</v>
      </c>
      <c r="X215" s="15" t="s">
        <v>316</v>
      </c>
      <c r="Y215" s="15"/>
      <c r="Z215" s="1" t="str">
        <f aca="false">IF($T215="","",IFERROR(INDEX('Resumo Grupos'!$AC$3:$AC$2000,MATCH($T215,'Resumo Grupos'!$AB$3:$AB$2000,0)),"n/d"))</f>
        <v>Mercadoria</v>
      </c>
    </row>
    <row r="216" customFormat="false" ht="48" hidden="false" customHeight="true" outlineLevel="0" collapsed="false">
      <c r="A216" s="11" t="n">
        <v>2</v>
      </c>
      <c r="B216" s="12" t="n">
        <v>46204</v>
      </c>
      <c r="C216" s="12" t="n">
        <v>46210</v>
      </c>
      <c r="D216" s="11" t="n">
        <v>1292</v>
      </c>
      <c r="E216" s="13" t="s">
        <v>317</v>
      </c>
      <c r="F216" s="11" t="n">
        <v>24</v>
      </c>
      <c r="G216" s="13" t="s">
        <v>30</v>
      </c>
      <c r="H216" s="11" t="n">
        <v>2110101</v>
      </c>
      <c r="I216" s="13" t="s">
        <v>31</v>
      </c>
      <c r="J216" s="14" t="n">
        <v>1333861</v>
      </c>
      <c r="K216" s="14"/>
      <c r="L216" s="11" t="n">
        <v>3507</v>
      </c>
      <c r="M216" s="13" t="s">
        <v>105</v>
      </c>
      <c r="N216" s="15" t="s">
        <v>33</v>
      </c>
      <c r="O216" s="15"/>
      <c r="P216" s="11" t="n">
        <v>113</v>
      </c>
      <c r="Q216" s="13" t="s">
        <v>34</v>
      </c>
      <c r="R216" s="13" t="s">
        <v>35</v>
      </c>
      <c r="S216" s="11" t="n">
        <v>1130101</v>
      </c>
      <c r="T216" s="13" t="s">
        <v>36</v>
      </c>
      <c r="U216" s="16" t="n">
        <v>589.5</v>
      </c>
      <c r="V216" s="16"/>
      <c r="W216" s="17" t="n">
        <v>0</v>
      </c>
      <c r="X216" s="15" t="s">
        <v>318</v>
      </c>
      <c r="Y216" s="15"/>
      <c r="Z216" s="1" t="str">
        <f aca="false">IF($T216="","",IFERROR(INDEX('Resumo Grupos'!$AC$3:$AC$2000,MATCH($T216,'Resumo Grupos'!$AB$3:$AB$2000,0)),"n/d"))</f>
        <v>Mercadoria</v>
      </c>
    </row>
    <row r="217" customFormat="false" ht="57" hidden="false" customHeight="true" outlineLevel="0" collapsed="false">
      <c r="A217" s="11" t="n">
        <v>2</v>
      </c>
      <c r="B217" s="12" t="n">
        <v>46204</v>
      </c>
      <c r="C217" s="12" t="n">
        <v>46209</v>
      </c>
      <c r="D217" s="11" t="n">
        <v>1899</v>
      </c>
      <c r="E217" s="13" t="s">
        <v>287</v>
      </c>
      <c r="F217" s="11" t="n">
        <v>24</v>
      </c>
      <c r="G217" s="13" t="s">
        <v>30</v>
      </c>
      <c r="H217" s="11" t="n">
        <v>2110101</v>
      </c>
      <c r="I217" s="13" t="s">
        <v>31</v>
      </c>
      <c r="J217" s="14" t="n">
        <v>1333879</v>
      </c>
      <c r="K217" s="14"/>
      <c r="L217" s="11" t="n">
        <v>690</v>
      </c>
      <c r="M217" s="13" t="s">
        <v>105</v>
      </c>
      <c r="N217" s="15" t="s">
        <v>33</v>
      </c>
      <c r="O217" s="15"/>
      <c r="P217" s="11" t="n">
        <v>113</v>
      </c>
      <c r="Q217" s="13" t="s">
        <v>34</v>
      </c>
      <c r="R217" s="13" t="s">
        <v>35</v>
      </c>
      <c r="S217" s="11" t="n">
        <v>1130101</v>
      </c>
      <c r="T217" s="13" t="s">
        <v>36</v>
      </c>
      <c r="U217" s="16" t="n">
        <v>304.75</v>
      </c>
      <c r="V217" s="16"/>
      <c r="W217" s="17" t="n">
        <v>0</v>
      </c>
      <c r="X217" s="15" t="s">
        <v>319</v>
      </c>
      <c r="Y217" s="15"/>
      <c r="Z217" s="1" t="str">
        <f aca="false">IF($T217="","",IFERROR(INDEX('Resumo Grupos'!$AC$3:$AC$2000,MATCH($T217,'Resumo Grupos'!$AB$3:$AB$2000,0)),"n/d"))</f>
        <v>Mercadoria</v>
      </c>
    </row>
    <row r="218" customFormat="false" ht="39" hidden="false" customHeight="true" outlineLevel="0" collapsed="false">
      <c r="A218" s="11" t="n">
        <v>2</v>
      </c>
      <c r="B218" s="12" t="n">
        <v>46204</v>
      </c>
      <c r="C218" s="12" t="n">
        <v>46217</v>
      </c>
      <c r="D218" s="11" t="n">
        <v>1611</v>
      </c>
      <c r="E218" s="13" t="s">
        <v>144</v>
      </c>
      <c r="F218" s="11" t="n">
        <v>24</v>
      </c>
      <c r="G218" s="13" t="s">
        <v>30</v>
      </c>
      <c r="H218" s="11" t="n">
        <v>2110101</v>
      </c>
      <c r="I218" s="13" t="s">
        <v>31</v>
      </c>
      <c r="J218" s="14" t="n">
        <v>1333898</v>
      </c>
      <c r="K218" s="14"/>
      <c r="L218" s="11" t="n">
        <v>1777487</v>
      </c>
      <c r="M218" s="13" t="s">
        <v>105</v>
      </c>
      <c r="N218" s="15" t="s">
        <v>33</v>
      </c>
      <c r="O218" s="15"/>
      <c r="P218" s="11" t="n">
        <v>113</v>
      </c>
      <c r="Q218" s="13" t="s">
        <v>34</v>
      </c>
      <c r="R218" s="13" t="s">
        <v>35</v>
      </c>
      <c r="S218" s="11" t="n">
        <v>1130101</v>
      </c>
      <c r="T218" s="13" t="s">
        <v>36</v>
      </c>
      <c r="U218" s="16" t="n">
        <v>542.11</v>
      </c>
      <c r="V218" s="16"/>
      <c r="W218" s="17" t="n">
        <v>0</v>
      </c>
      <c r="X218" s="15" t="s">
        <v>320</v>
      </c>
      <c r="Y218" s="15"/>
      <c r="Z218" s="1" t="str">
        <f aca="false">IF($T218="","",IFERROR(INDEX('Resumo Grupos'!$AC$3:$AC$2000,MATCH($T218,'Resumo Grupos'!$AB$3:$AB$2000,0)),"n/d"))</f>
        <v>Mercadoria</v>
      </c>
    </row>
    <row r="219" customFormat="false" ht="39" hidden="false" customHeight="true" outlineLevel="0" collapsed="false">
      <c r="A219" s="11" t="n">
        <v>2</v>
      </c>
      <c r="B219" s="12" t="n">
        <v>46204</v>
      </c>
      <c r="C219" s="12" t="n">
        <v>46224</v>
      </c>
      <c r="D219" s="11" t="n">
        <v>1611</v>
      </c>
      <c r="E219" s="13" t="s">
        <v>144</v>
      </c>
      <c r="F219" s="11" t="n">
        <v>24</v>
      </c>
      <c r="G219" s="13" t="s">
        <v>30</v>
      </c>
      <c r="H219" s="11" t="n">
        <v>2110101</v>
      </c>
      <c r="I219" s="13" t="s">
        <v>31</v>
      </c>
      <c r="J219" s="14" t="n">
        <v>1333898</v>
      </c>
      <c r="K219" s="14"/>
      <c r="L219" s="11" t="n">
        <v>1777487</v>
      </c>
      <c r="M219" s="13" t="s">
        <v>32</v>
      </c>
      <c r="N219" s="15" t="s">
        <v>33</v>
      </c>
      <c r="O219" s="15"/>
      <c r="P219" s="11" t="n">
        <v>113</v>
      </c>
      <c r="Q219" s="13" t="s">
        <v>34</v>
      </c>
      <c r="R219" s="13" t="s">
        <v>35</v>
      </c>
      <c r="S219" s="11" t="n">
        <v>1130101</v>
      </c>
      <c r="T219" s="13" t="s">
        <v>36</v>
      </c>
      <c r="U219" s="16" t="n">
        <v>542.11</v>
      </c>
      <c r="V219" s="16"/>
      <c r="W219" s="17" t="n">
        <v>0</v>
      </c>
      <c r="X219" s="15" t="s">
        <v>320</v>
      </c>
      <c r="Y219" s="15"/>
      <c r="Z219" s="1" t="str">
        <f aca="false">IF($T219="","",IFERROR(INDEX('Resumo Grupos'!$AC$3:$AC$2000,MATCH($T219,'Resumo Grupos'!$AB$3:$AB$2000,0)),"n/d"))</f>
        <v>Mercadoria</v>
      </c>
    </row>
    <row r="220" customFormat="false" ht="39" hidden="false" customHeight="true" outlineLevel="0" collapsed="false">
      <c r="A220" s="11" t="n">
        <v>2</v>
      </c>
      <c r="B220" s="12" t="n">
        <v>46204</v>
      </c>
      <c r="C220" s="12" t="n">
        <v>46231</v>
      </c>
      <c r="D220" s="11" t="n">
        <v>1611</v>
      </c>
      <c r="E220" s="13" t="s">
        <v>144</v>
      </c>
      <c r="F220" s="11" t="n">
        <v>24</v>
      </c>
      <c r="G220" s="13" t="s">
        <v>30</v>
      </c>
      <c r="H220" s="11" t="n">
        <v>2110101</v>
      </c>
      <c r="I220" s="13" t="s">
        <v>31</v>
      </c>
      <c r="J220" s="14" t="n">
        <v>1333898</v>
      </c>
      <c r="K220" s="14"/>
      <c r="L220" s="11" t="n">
        <v>1777487</v>
      </c>
      <c r="M220" s="13" t="s">
        <v>101</v>
      </c>
      <c r="N220" s="15" t="s">
        <v>33</v>
      </c>
      <c r="O220" s="15"/>
      <c r="P220" s="11" t="n">
        <v>113</v>
      </c>
      <c r="Q220" s="13" t="s">
        <v>34</v>
      </c>
      <c r="R220" s="13" t="s">
        <v>35</v>
      </c>
      <c r="S220" s="11" t="n">
        <v>1130101</v>
      </c>
      <c r="T220" s="13" t="s">
        <v>36</v>
      </c>
      <c r="U220" s="16" t="n">
        <v>542.11</v>
      </c>
      <c r="V220" s="16"/>
      <c r="W220" s="17" t="n">
        <v>0</v>
      </c>
      <c r="X220" s="15" t="s">
        <v>320</v>
      </c>
      <c r="Y220" s="15"/>
      <c r="Z220" s="1" t="str">
        <f aca="false">IF($T220="","",IFERROR(INDEX('Resumo Grupos'!$AC$3:$AC$2000,MATCH($T220,'Resumo Grupos'!$AB$3:$AB$2000,0)),"n/d"))</f>
        <v>Mercadoria</v>
      </c>
    </row>
    <row r="221" customFormat="false" ht="39" hidden="false" customHeight="true" outlineLevel="0" collapsed="false">
      <c r="A221" s="11" t="n">
        <v>2</v>
      </c>
      <c r="B221" s="12" t="n">
        <v>46204</v>
      </c>
      <c r="C221" s="12" t="n">
        <v>46210</v>
      </c>
      <c r="D221" s="11" t="n">
        <v>754</v>
      </c>
      <c r="E221" s="13" t="s">
        <v>321</v>
      </c>
      <c r="F221" s="11" t="n">
        <v>24</v>
      </c>
      <c r="G221" s="13" t="s">
        <v>30</v>
      </c>
      <c r="H221" s="11" t="n">
        <v>2110101</v>
      </c>
      <c r="I221" s="13" t="s">
        <v>31</v>
      </c>
      <c r="J221" s="14" t="n">
        <v>1334341</v>
      </c>
      <c r="K221" s="14"/>
      <c r="L221" s="11" t="n">
        <v>31492</v>
      </c>
      <c r="M221" s="13" t="s">
        <v>105</v>
      </c>
      <c r="N221" s="15" t="s">
        <v>33</v>
      </c>
      <c r="O221" s="15"/>
      <c r="P221" s="11" t="n">
        <v>113</v>
      </c>
      <c r="Q221" s="13" t="s">
        <v>34</v>
      </c>
      <c r="R221" s="13" t="s">
        <v>35</v>
      </c>
      <c r="S221" s="11" t="n">
        <v>1130101</v>
      </c>
      <c r="T221" s="13" t="s">
        <v>36</v>
      </c>
      <c r="U221" s="16" t="n">
        <v>3140</v>
      </c>
      <c r="V221" s="16"/>
      <c r="W221" s="17" t="n">
        <v>0</v>
      </c>
      <c r="X221" s="15" t="s">
        <v>322</v>
      </c>
      <c r="Y221" s="15"/>
      <c r="Z221" s="1" t="str">
        <f aca="false">IF($T221="","",IFERROR(INDEX('Resumo Grupos'!$AC$3:$AC$2000,MATCH($T221,'Resumo Grupos'!$AB$3:$AB$2000,0)),"n/d"))</f>
        <v>Mercadoria</v>
      </c>
    </row>
    <row r="222" customFormat="false" ht="39" hidden="false" customHeight="true" outlineLevel="0" collapsed="false">
      <c r="A222" s="11" t="n">
        <v>2</v>
      </c>
      <c r="B222" s="12" t="n">
        <v>46204</v>
      </c>
      <c r="C222" s="12" t="n">
        <v>46204</v>
      </c>
      <c r="D222" s="11" t="n">
        <v>48</v>
      </c>
      <c r="E222" s="13" t="s">
        <v>112</v>
      </c>
      <c r="F222" s="11" t="n">
        <v>13</v>
      </c>
      <c r="G222" s="13" t="s">
        <v>113</v>
      </c>
      <c r="H222" s="11" t="n">
        <v>2110101</v>
      </c>
      <c r="I222" s="13" t="s">
        <v>31</v>
      </c>
      <c r="J222" s="14" t="n">
        <v>1334970</v>
      </c>
      <c r="K222" s="14"/>
      <c r="L222" s="11" t="n">
        <v>2520</v>
      </c>
      <c r="M222" s="13" t="s">
        <v>105</v>
      </c>
      <c r="N222" s="15" t="s">
        <v>33</v>
      </c>
      <c r="O222" s="15"/>
      <c r="P222" s="11" t="n">
        <v>113</v>
      </c>
      <c r="Q222" s="13" t="s">
        <v>34</v>
      </c>
      <c r="R222" s="13" t="s">
        <v>35</v>
      </c>
      <c r="S222" s="11" t="n">
        <v>1130101</v>
      </c>
      <c r="T222" s="13" t="s">
        <v>36</v>
      </c>
      <c r="U222" s="16" t="n">
        <v>210</v>
      </c>
      <c r="V222" s="16"/>
      <c r="W222" s="17" t="n">
        <v>210</v>
      </c>
      <c r="X222" s="15" t="s">
        <v>323</v>
      </c>
      <c r="Y222" s="15"/>
      <c r="Z222" s="1" t="str">
        <f aca="false">IF($T222="","",IFERROR(INDEX('Resumo Grupos'!$AC$3:$AC$2000,MATCH($T222,'Resumo Grupos'!$AB$3:$AB$2000,0)),"n/d"))</f>
        <v>Mercadoria</v>
      </c>
    </row>
    <row r="223" customFormat="false" ht="57" hidden="false" customHeight="true" outlineLevel="0" collapsed="false">
      <c r="A223" s="11" t="n">
        <v>2</v>
      </c>
      <c r="B223" s="12" t="n">
        <v>46204</v>
      </c>
      <c r="C223" s="12" t="n">
        <v>46210</v>
      </c>
      <c r="D223" s="11" t="n">
        <v>1328</v>
      </c>
      <c r="E223" s="13" t="s">
        <v>324</v>
      </c>
      <c r="F223" s="11" t="n">
        <v>24</v>
      </c>
      <c r="G223" s="13" t="s">
        <v>30</v>
      </c>
      <c r="H223" s="11" t="n">
        <v>2110101</v>
      </c>
      <c r="I223" s="13" t="s">
        <v>31</v>
      </c>
      <c r="J223" s="14" t="n">
        <v>1335310</v>
      </c>
      <c r="K223" s="14"/>
      <c r="L223" s="11" t="n">
        <v>3933</v>
      </c>
      <c r="M223" s="13" t="s">
        <v>105</v>
      </c>
      <c r="N223" s="15" t="s">
        <v>33</v>
      </c>
      <c r="O223" s="15"/>
      <c r="P223" s="11" t="n">
        <v>113</v>
      </c>
      <c r="Q223" s="13" t="s">
        <v>34</v>
      </c>
      <c r="R223" s="13" t="s">
        <v>35</v>
      </c>
      <c r="S223" s="11" t="n">
        <v>1130101</v>
      </c>
      <c r="T223" s="13" t="s">
        <v>36</v>
      </c>
      <c r="U223" s="16" t="n">
        <v>236.18</v>
      </c>
      <c r="V223" s="16"/>
      <c r="W223" s="17" t="n">
        <v>0</v>
      </c>
      <c r="X223" s="15" t="s">
        <v>325</v>
      </c>
      <c r="Y223" s="15"/>
      <c r="Z223" s="1" t="str">
        <f aca="false">IF($T223="","",IFERROR(INDEX('Resumo Grupos'!$AC$3:$AC$2000,MATCH($T223,'Resumo Grupos'!$AB$3:$AB$2000,0)),"n/d"))</f>
        <v>Mercadoria</v>
      </c>
    </row>
    <row r="224" customFormat="false" ht="48" hidden="false" customHeight="true" outlineLevel="0" collapsed="false">
      <c r="A224" s="11" t="n">
        <v>2</v>
      </c>
      <c r="B224" s="12" t="n">
        <v>46204</v>
      </c>
      <c r="C224" s="12" t="n">
        <v>46218</v>
      </c>
      <c r="D224" s="11" t="n">
        <v>1671</v>
      </c>
      <c r="E224" s="13" t="s">
        <v>326</v>
      </c>
      <c r="F224" s="11" t="n">
        <v>24</v>
      </c>
      <c r="G224" s="13" t="s">
        <v>30</v>
      </c>
      <c r="H224" s="11" t="n">
        <v>2110101</v>
      </c>
      <c r="I224" s="13" t="s">
        <v>31</v>
      </c>
      <c r="J224" s="14" t="n">
        <v>1335414</v>
      </c>
      <c r="K224" s="14"/>
      <c r="L224" s="11" t="n">
        <v>576435</v>
      </c>
      <c r="M224" s="13" t="s">
        <v>105</v>
      </c>
      <c r="N224" s="15" t="s">
        <v>33</v>
      </c>
      <c r="O224" s="15"/>
      <c r="P224" s="11" t="n">
        <v>113</v>
      </c>
      <c r="Q224" s="13" t="s">
        <v>34</v>
      </c>
      <c r="R224" s="13" t="s">
        <v>35</v>
      </c>
      <c r="S224" s="11" t="n">
        <v>1130101</v>
      </c>
      <c r="T224" s="13" t="s">
        <v>36</v>
      </c>
      <c r="U224" s="16" t="n">
        <v>296</v>
      </c>
      <c r="V224" s="16"/>
      <c r="W224" s="17" t="n">
        <v>0</v>
      </c>
      <c r="X224" s="15" t="s">
        <v>327</v>
      </c>
      <c r="Y224" s="15"/>
      <c r="Z224" s="1" t="str">
        <f aca="false">IF($T224="","",IFERROR(INDEX('Resumo Grupos'!$AC$3:$AC$2000,MATCH($T224,'Resumo Grupos'!$AB$3:$AB$2000,0)),"n/d"))</f>
        <v>Mercadoria</v>
      </c>
    </row>
    <row r="225" customFormat="false" ht="39" hidden="false" customHeight="true" outlineLevel="0" collapsed="false">
      <c r="A225" s="11" t="n">
        <v>2</v>
      </c>
      <c r="B225" s="12" t="n">
        <v>46205</v>
      </c>
      <c r="C225" s="12" t="n">
        <v>46218</v>
      </c>
      <c r="D225" s="11" t="n">
        <v>1683</v>
      </c>
      <c r="E225" s="13" t="s">
        <v>328</v>
      </c>
      <c r="F225" s="11" t="n">
        <v>34</v>
      </c>
      <c r="G225" s="13" t="s">
        <v>87</v>
      </c>
      <c r="H225" s="11" t="n">
        <v>2110101</v>
      </c>
      <c r="I225" s="13" t="s">
        <v>31</v>
      </c>
      <c r="J225" s="14" t="n">
        <v>1338988</v>
      </c>
      <c r="K225" s="14"/>
      <c r="L225" s="11" t="n">
        <v>1640710</v>
      </c>
      <c r="M225" s="13" t="s">
        <v>105</v>
      </c>
      <c r="N225" s="15" t="s">
        <v>33</v>
      </c>
      <c r="O225" s="15"/>
      <c r="P225" s="11" t="n">
        <v>113</v>
      </c>
      <c r="Q225" s="13" t="s">
        <v>34</v>
      </c>
      <c r="R225" s="13" t="s">
        <v>35</v>
      </c>
      <c r="S225" s="11" t="n">
        <v>1130101</v>
      </c>
      <c r="T225" s="13" t="s">
        <v>36</v>
      </c>
      <c r="U225" s="16" t="n">
        <v>123</v>
      </c>
      <c r="V225" s="16"/>
      <c r="W225" s="17" t="n">
        <v>0</v>
      </c>
      <c r="X225" s="15" t="s">
        <v>329</v>
      </c>
      <c r="Y225" s="15"/>
      <c r="Z225" s="1" t="str">
        <f aca="false">IF($T225="","",IFERROR(INDEX('Resumo Grupos'!$AC$3:$AC$2000,MATCH($T225,'Resumo Grupos'!$AB$3:$AB$2000,0)),"n/d"))</f>
        <v>Mercadoria</v>
      </c>
    </row>
    <row r="226" customFormat="false" ht="39" hidden="false" customHeight="true" outlineLevel="0" collapsed="false">
      <c r="A226" s="11" t="n">
        <v>2</v>
      </c>
      <c r="B226" s="12" t="n">
        <v>46205</v>
      </c>
      <c r="C226" s="12" t="n">
        <v>46219</v>
      </c>
      <c r="D226" s="11" t="n">
        <v>10002</v>
      </c>
      <c r="E226" s="13" t="s">
        <v>330</v>
      </c>
      <c r="F226" s="11" t="n">
        <v>24</v>
      </c>
      <c r="G226" s="13" t="s">
        <v>30</v>
      </c>
      <c r="H226" s="11" t="n">
        <v>2110101</v>
      </c>
      <c r="I226" s="13" t="s">
        <v>31</v>
      </c>
      <c r="J226" s="14" t="n">
        <v>1339497</v>
      </c>
      <c r="K226" s="14"/>
      <c r="L226" s="11" t="n">
        <v>196323</v>
      </c>
      <c r="M226" s="13" t="s">
        <v>105</v>
      </c>
      <c r="N226" s="15" t="s">
        <v>33</v>
      </c>
      <c r="O226" s="15"/>
      <c r="P226" s="11" t="n">
        <v>113</v>
      </c>
      <c r="Q226" s="13" t="s">
        <v>34</v>
      </c>
      <c r="R226" s="13" t="s">
        <v>35</v>
      </c>
      <c r="S226" s="11" t="n">
        <v>1130101</v>
      </c>
      <c r="T226" s="13" t="s">
        <v>36</v>
      </c>
      <c r="U226" s="16" t="n">
        <v>652.4</v>
      </c>
      <c r="V226" s="16"/>
      <c r="W226" s="17" t="n">
        <v>0</v>
      </c>
      <c r="X226" s="15" t="s">
        <v>331</v>
      </c>
      <c r="Y226" s="15"/>
      <c r="Z226" s="1" t="str">
        <f aca="false">IF($T226="","",IFERROR(INDEX('Resumo Grupos'!$AC$3:$AC$2000,MATCH($T226,'Resumo Grupos'!$AB$3:$AB$2000,0)),"n/d"))</f>
        <v>Mercadoria</v>
      </c>
    </row>
    <row r="227" customFormat="false" ht="57" hidden="false" customHeight="true" outlineLevel="0" collapsed="false">
      <c r="A227" s="11" t="n">
        <v>2</v>
      </c>
      <c r="B227" s="12" t="n">
        <v>46205</v>
      </c>
      <c r="C227" s="12" t="n">
        <v>46212</v>
      </c>
      <c r="D227" s="11" t="n">
        <v>1815</v>
      </c>
      <c r="E227" s="13" t="s">
        <v>178</v>
      </c>
      <c r="F227" s="11" t="n">
        <v>24</v>
      </c>
      <c r="G227" s="13" t="s">
        <v>30</v>
      </c>
      <c r="H227" s="11" t="n">
        <v>2110101</v>
      </c>
      <c r="I227" s="13" t="s">
        <v>31</v>
      </c>
      <c r="J227" s="14" t="n">
        <v>1339618</v>
      </c>
      <c r="K227" s="14"/>
      <c r="L227" s="11" t="n">
        <v>390211</v>
      </c>
      <c r="M227" s="13" t="s">
        <v>105</v>
      </c>
      <c r="N227" s="15" t="s">
        <v>33</v>
      </c>
      <c r="O227" s="15"/>
      <c r="P227" s="11" t="n">
        <v>113</v>
      </c>
      <c r="Q227" s="13" t="s">
        <v>34</v>
      </c>
      <c r="R227" s="13" t="s">
        <v>35</v>
      </c>
      <c r="S227" s="11" t="n">
        <v>1130101</v>
      </c>
      <c r="T227" s="13" t="s">
        <v>36</v>
      </c>
      <c r="U227" s="16" t="n">
        <v>2005.45</v>
      </c>
      <c r="V227" s="16"/>
      <c r="W227" s="17" t="n">
        <v>0</v>
      </c>
      <c r="X227" s="15" t="s">
        <v>332</v>
      </c>
      <c r="Y227" s="15"/>
      <c r="Z227" s="1" t="str">
        <f aca="false">IF($T227="","",IFERROR(INDEX('Resumo Grupos'!$AC$3:$AC$2000,MATCH($T227,'Resumo Grupos'!$AB$3:$AB$2000,0)),"n/d"))</f>
        <v>Mercadoria</v>
      </c>
    </row>
    <row r="228" customFormat="false" ht="57" hidden="false" customHeight="true" outlineLevel="0" collapsed="false">
      <c r="A228" s="11" t="n">
        <v>2</v>
      </c>
      <c r="B228" s="12" t="n">
        <v>46205</v>
      </c>
      <c r="C228" s="12" t="n">
        <v>46219</v>
      </c>
      <c r="D228" s="11" t="n">
        <v>1815</v>
      </c>
      <c r="E228" s="13" t="s">
        <v>178</v>
      </c>
      <c r="F228" s="11" t="n">
        <v>24</v>
      </c>
      <c r="G228" s="13" t="s">
        <v>30</v>
      </c>
      <c r="H228" s="11" t="n">
        <v>2110101</v>
      </c>
      <c r="I228" s="13" t="s">
        <v>31</v>
      </c>
      <c r="J228" s="14" t="n">
        <v>1339618</v>
      </c>
      <c r="K228" s="14"/>
      <c r="L228" s="11" t="n">
        <v>390211</v>
      </c>
      <c r="M228" s="13" t="s">
        <v>32</v>
      </c>
      <c r="N228" s="15" t="s">
        <v>33</v>
      </c>
      <c r="O228" s="15"/>
      <c r="P228" s="11" t="n">
        <v>113</v>
      </c>
      <c r="Q228" s="13" t="s">
        <v>34</v>
      </c>
      <c r="R228" s="13" t="s">
        <v>35</v>
      </c>
      <c r="S228" s="11" t="n">
        <v>1130101</v>
      </c>
      <c r="T228" s="13" t="s">
        <v>36</v>
      </c>
      <c r="U228" s="16" t="n">
        <v>2005.45</v>
      </c>
      <c r="V228" s="16"/>
      <c r="W228" s="17" t="n">
        <v>0</v>
      </c>
      <c r="X228" s="15" t="s">
        <v>332</v>
      </c>
      <c r="Y228" s="15"/>
      <c r="Z228" s="1" t="str">
        <f aca="false">IF($T228="","",IFERROR(INDEX('Resumo Grupos'!$AC$3:$AC$2000,MATCH($T228,'Resumo Grupos'!$AB$3:$AB$2000,0)),"n/d"))</f>
        <v>Mercadoria</v>
      </c>
    </row>
    <row r="229" customFormat="false" ht="57" hidden="false" customHeight="true" outlineLevel="0" collapsed="false">
      <c r="A229" s="11" t="n">
        <v>2</v>
      </c>
      <c r="B229" s="12" t="n">
        <v>46205</v>
      </c>
      <c r="C229" s="12" t="n">
        <v>46226</v>
      </c>
      <c r="D229" s="11" t="n">
        <v>1815</v>
      </c>
      <c r="E229" s="13" t="s">
        <v>178</v>
      </c>
      <c r="F229" s="11" t="n">
        <v>24</v>
      </c>
      <c r="G229" s="13" t="s">
        <v>30</v>
      </c>
      <c r="H229" s="11" t="n">
        <v>2110101</v>
      </c>
      <c r="I229" s="13" t="s">
        <v>31</v>
      </c>
      <c r="J229" s="14" t="n">
        <v>1339618</v>
      </c>
      <c r="K229" s="14"/>
      <c r="L229" s="11" t="n">
        <v>390211</v>
      </c>
      <c r="M229" s="13" t="s">
        <v>101</v>
      </c>
      <c r="N229" s="15" t="s">
        <v>33</v>
      </c>
      <c r="O229" s="15"/>
      <c r="P229" s="11" t="n">
        <v>113</v>
      </c>
      <c r="Q229" s="13" t="s">
        <v>34</v>
      </c>
      <c r="R229" s="13" t="s">
        <v>35</v>
      </c>
      <c r="S229" s="11" t="n">
        <v>1130101</v>
      </c>
      <c r="T229" s="13" t="s">
        <v>36</v>
      </c>
      <c r="U229" s="16" t="n">
        <v>2005.44</v>
      </c>
      <c r="V229" s="16"/>
      <c r="W229" s="17" t="n">
        <v>0</v>
      </c>
      <c r="X229" s="15" t="s">
        <v>332</v>
      </c>
      <c r="Y229" s="15"/>
      <c r="Z229" s="1" t="str">
        <f aca="false">IF($T229="","",IFERROR(INDEX('Resumo Grupos'!$AC$3:$AC$2000,MATCH($T229,'Resumo Grupos'!$AB$3:$AB$2000,0)),"n/d"))</f>
        <v>Mercadoria</v>
      </c>
    </row>
    <row r="230" customFormat="false" ht="39" hidden="false" customHeight="true" outlineLevel="0" collapsed="false">
      <c r="A230" s="11" t="n">
        <v>2</v>
      </c>
      <c r="B230" s="12" t="n">
        <v>46205</v>
      </c>
      <c r="C230" s="12" t="n">
        <v>46218</v>
      </c>
      <c r="D230" s="11" t="n">
        <v>1734</v>
      </c>
      <c r="E230" s="13" t="s">
        <v>333</v>
      </c>
      <c r="F230" s="11" t="n">
        <v>24</v>
      </c>
      <c r="G230" s="13" t="s">
        <v>30</v>
      </c>
      <c r="H230" s="11" t="n">
        <v>2110101</v>
      </c>
      <c r="I230" s="13" t="s">
        <v>31</v>
      </c>
      <c r="J230" s="14" t="n">
        <v>1339667</v>
      </c>
      <c r="K230" s="14"/>
      <c r="L230" s="11" t="n">
        <v>254582</v>
      </c>
      <c r="M230" s="13" t="s">
        <v>105</v>
      </c>
      <c r="N230" s="15" t="s">
        <v>33</v>
      </c>
      <c r="O230" s="15"/>
      <c r="P230" s="11" t="n">
        <v>113</v>
      </c>
      <c r="Q230" s="13" t="s">
        <v>34</v>
      </c>
      <c r="R230" s="13" t="s">
        <v>35</v>
      </c>
      <c r="S230" s="11" t="n">
        <v>1130101</v>
      </c>
      <c r="T230" s="13" t="s">
        <v>36</v>
      </c>
      <c r="U230" s="16" t="n">
        <v>868.37</v>
      </c>
      <c r="V230" s="16"/>
      <c r="W230" s="17" t="n">
        <v>0</v>
      </c>
      <c r="X230" s="15" t="s">
        <v>334</v>
      </c>
      <c r="Y230" s="15"/>
      <c r="Z230" s="1" t="str">
        <f aca="false">IF($T230="","",IFERROR(INDEX('Resumo Grupos'!$AC$3:$AC$2000,MATCH($T230,'Resumo Grupos'!$AB$3:$AB$2000,0)),"n/d"))</f>
        <v>Mercadoria</v>
      </c>
    </row>
    <row r="231" customFormat="false" ht="66.75" hidden="false" customHeight="true" outlineLevel="0" collapsed="false">
      <c r="A231" s="11" t="n">
        <v>2</v>
      </c>
      <c r="B231" s="12" t="n">
        <v>46205</v>
      </c>
      <c r="C231" s="12" t="n">
        <v>46209</v>
      </c>
      <c r="D231" s="11" t="n">
        <v>1217</v>
      </c>
      <c r="E231" s="13" t="s">
        <v>335</v>
      </c>
      <c r="F231" s="11" t="n">
        <v>24</v>
      </c>
      <c r="G231" s="13" t="s">
        <v>30</v>
      </c>
      <c r="H231" s="11" t="n">
        <v>2110101</v>
      </c>
      <c r="I231" s="13" t="s">
        <v>31</v>
      </c>
      <c r="J231" s="14" t="n">
        <v>1339965</v>
      </c>
      <c r="K231" s="14"/>
      <c r="L231" s="11" t="n">
        <v>4467</v>
      </c>
      <c r="M231" s="13" t="s">
        <v>105</v>
      </c>
      <c r="N231" s="15" t="s">
        <v>33</v>
      </c>
      <c r="O231" s="15"/>
      <c r="P231" s="11" t="n">
        <v>113</v>
      </c>
      <c r="Q231" s="13" t="s">
        <v>34</v>
      </c>
      <c r="R231" s="13" t="s">
        <v>35</v>
      </c>
      <c r="S231" s="11" t="n">
        <v>1130101</v>
      </c>
      <c r="T231" s="13" t="s">
        <v>36</v>
      </c>
      <c r="U231" s="16" t="n">
        <v>819.53</v>
      </c>
      <c r="V231" s="16"/>
      <c r="W231" s="17" t="n">
        <v>0</v>
      </c>
      <c r="X231" s="15" t="s">
        <v>336</v>
      </c>
      <c r="Y231" s="15"/>
      <c r="Z231" s="1" t="str">
        <f aca="false">IF($T231="","",IFERROR(INDEX('Resumo Grupos'!$AC$3:$AC$2000,MATCH($T231,'Resumo Grupos'!$AB$3:$AB$2000,0)),"n/d"))</f>
        <v>Mercadoria</v>
      </c>
    </row>
    <row r="232" customFormat="false" ht="66.75" hidden="false" customHeight="true" outlineLevel="0" collapsed="false">
      <c r="A232" s="11" t="n">
        <v>2</v>
      </c>
      <c r="B232" s="12" t="n">
        <v>46205</v>
      </c>
      <c r="C232" s="12" t="n">
        <v>46219</v>
      </c>
      <c r="D232" s="11" t="n">
        <v>1217</v>
      </c>
      <c r="E232" s="13" t="s">
        <v>335</v>
      </c>
      <c r="F232" s="11" t="n">
        <v>24</v>
      </c>
      <c r="G232" s="13" t="s">
        <v>30</v>
      </c>
      <c r="H232" s="11" t="n">
        <v>2110101</v>
      </c>
      <c r="I232" s="13" t="s">
        <v>31</v>
      </c>
      <c r="J232" s="14" t="n">
        <v>1339965</v>
      </c>
      <c r="K232" s="14"/>
      <c r="L232" s="11" t="n">
        <v>4467</v>
      </c>
      <c r="M232" s="13" t="s">
        <v>32</v>
      </c>
      <c r="N232" s="15" t="s">
        <v>33</v>
      </c>
      <c r="O232" s="15"/>
      <c r="P232" s="11" t="n">
        <v>113</v>
      </c>
      <c r="Q232" s="13" t="s">
        <v>34</v>
      </c>
      <c r="R232" s="13" t="s">
        <v>35</v>
      </c>
      <c r="S232" s="11" t="n">
        <v>1130101</v>
      </c>
      <c r="T232" s="13" t="s">
        <v>36</v>
      </c>
      <c r="U232" s="16" t="n">
        <v>819.52</v>
      </c>
      <c r="V232" s="16"/>
      <c r="W232" s="17" t="n">
        <v>0</v>
      </c>
      <c r="X232" s="15" t="s">
        <v>336</v>
      </c>
      <c r="Y232" s="15"/>
      <c r="Z232" s="1" t="str">
        <f aca="false">IF($T232="","",IFERROR(INDEX('Resumo Grupos'!$AC$3:$AC$2000,MATCH($T232,'Resumo Grupos'!$AB$3:$AB$2000,0)),"n/d"))</f>
        <v>Mercadoria</v>
      </c>
    </row>
    <row r="233" customFormat="false" ht="66.75" hidden="false" customHeight="true" outlineLevel="0" collapsed="false">
      <c r="A233" s="11" t="n">
        <v>2</v>
      </c>
      <c r="B233" s="12" t="n">
        <v>46205</v>
      </c>
      <c r="C233" s="12" t="n">
        <v>46229</v>
      </c>
      <c r="D233" s="11" t="n">
        <v>1217</v>
      </c>
      <c r="E233" s="13" t="s">
        <v>335</v>
      </c>
      <c r="F233" s="11" t="n">
        <v>24</v>
      </c>
      <c r="G233" s="13" t="s">
        <v>30</v>
      </c>
      <c r="H233" s="11" t="n">
        <v>2110101</v>
      </c>
      <c r="I233" s="13" t="s">
        <v>31</v>
      </c>
      <c r="J233" s="14" t="n">
        <v>1339965</v>
      </c>
      <c r="K233" s="14"/>
      <c r="L233" s="11" t="n">
        <v>4467</v>
      </c>
      <c r="M233" s="13" t="s">
        <v>101</v>
      </c>
      <c r="N233" s="15" t="s">
        <v>33</v>
      </c>
      <c r="O233" s="15"/>
      <c r="P233" s="11" t="n">
        <v>113</v>
      </c>
      <c r="Q233" s="13" t="s">
        <v>34</v>
      </c>
      <c r="R233" s="13" t="s">
        <v>35</v>
      </c>
      <c r="S233" s="11" t="n">
        <v>1130101</v>
      </c>
      <c r="T233" s="13" t="s">
        <v>36</v>
      </c>
      <c r="U233" s="16" t="n">
        <v>819.53</v>
      </c>
      <c r="V233" s="16"/>
      <c r="W233" s="17" t="n">
        <v>0</v>
      </c>
      <c r="X233" s="15" t="s">
        <v>336</v>
      </c>
      <c r="Y233" s="15"/>
      <c r="Z233" s="1" t="str">
        <f aca="false">IF($T233="","",IFERROR(INDEX('Resumo Grupos'!$AC$3:$AC$2000,MATCH($T233,'Resumo Grupos'!$AB$3:$AB$2000,0)),"n/d"))</f>
        <v>Mercadoria</v>
      </c>
    </row>
    <row r="234" customFormat="false" ht="66.75" hidden="false" customHeight="true" outlineLevel="0" collapsed="false">
      <c r="A234" s="11" t="n">
        <v>2</v>
      </c>
      <c r="B234" s="12" t="n">
        <v>46205</v>
      </c>
      <c r="C234" s="12" t="n">
        <v>46239</v>
      </c>
      <c r="D234" s="11" t="n">
        <v>1217</v>
      </c>
      <c r="E234" s="13" t="s">
        <v>335</v>
      </c>
      <c r="F234" s="11" t="n">
        <v>24</v>
      </c>
      <c r="G234" s="13" t="s">
        <v>30</v>
      </c>
      <c r="H234" s="11" t="n">
        <v>2110101</v>
      </c>
      <c r="I234" s="13" t="s">
        <v>31</v>
      </c>
      <c r="J234" s="14" t="n">
        <v>1339965</v>
      </c>
      <c r="K234" s="14"/>
      <c r="L234" s="11" t="n">
        <v>4467</v>
      </c>
      <c r="M234" s="13" t="s">
        <v>80</v>
      </c>
      <c r="N234" s="15" t="s">
        <v>33</v>
      </c>
      <c r="O234" s="15"/>
      <c r="P234" s="11" t="n">
        <v>113</v>
      </c>
      <c r="Q234" s="13" t="s">
        <v>34</v>
      </c>
      <c r="R234" s="13" t="s">
        <v>35</v>
      </c>
      <c r="S234" s="11" t="n">
        <v>1130101</v>
      </c>
      <c r="T234" s="13" t="s">
        <v>36</v>
      </c>
      <c r="U234" s="16" t="n">
        <v>819.53</v>
      </c>
      <c r="V234" s="16"/>
      <c r="W234" s="17" t="n">
        <v>0</v>
      </c>
      <c r="X234" s="15" t="s">
        <v>336</v>
      </c>
      <c r="Y234" s="15"/>
      <c r="Z234" s="1" t="str">
        <f aca="false">IF($T234="","",IFERROR(INDEX('Resumo Grupos'!$AC$3:$AC$2000,MATCH($T234,'Resumo Grupos'!$AB$3:$AB$2000,0)),"n/d"))</f>
        <v>Mercadoria</v>
      </c>
    </row>
    <row r="235" customFormat="false" ht="66.75" hidden="false" customHeight="true" outlineLevel="0" collapsed="false">
      <c r="A235" s="11" t="n">
        <v>2</v>
      </c>
      <c r="B235" s="12" t="n">
        <v>46205</v>
      </c>
      <c r="C235" s="12" t="n">
        <v>46249</v>
      </c>
      <c r="D235" s="11" t="n">
        <v>1217</v>
      </c>
      <c r="E235" s="13" t="s">
        <v>335</v>
      </c>
      <c r="F235" s="11" t="n">
        <v>24</v>
      </c>
      <c r="G235" s="13" t="s">
        <v>30</v>
      </c>
      <c r="H235" s="11" t="n">
        <v>2110101</v>
      </c>
      <c r="I235" s="13" t="s">
        <v>31</v>
      </c>
      <c r="J235" s="14" t="n">
        <v>1339965</v>
      </c>
      <c r="K235" s="14"/>
      <c r="L235" s="11" t="n">
        <v>4467</v>
      </c>
      <c r="M235" s="13" t="s">
        <v>69</v>
      </c>
      <c r="N235" s="15" t="s">
        <v>33</v>
      </c>
      <c r="O235" s="15"/>
      <c r="P235" s="11" t="n">
        <v>113</v>
      </c>
      <c r="Q235" s="13" t="s">
        <v>34</v>
      </c>
      <c r="R235" s="13" t="s">
        <v>35</v>
      </c>
      <c r="S235" s="11" t="n">
        <v>1130101</v>
      </c>
      <c r="T235" s="13" t="s">
        <v>36</v>
      </c>
      <c r="U235" s="16" t="n">
        <v>819.53</v>
      </c>
      <c r="V235" s="16"/>
      <c r="W235" s="17" t="n">
        <v>0</v>
      </c>
      <c r="X235" s="15" t="s">
        <v>336</v>
      </c>
      <c r="Y235" s="15"/>
      <c r="Z235" s="1" t="str">
        <f aca="false">IF($T235="","",IFERROR(INDEX('Resumo Grupos'!$AC$3:$AC$2000,MATCH($T235,'Resumo Grupos'!$AB$3:$AB$2000,0)),"n/d"))</f>
        <v>Mercadoria</v>
      </c>
    </row>
    <row r="236" customFormat="false" ht="66.75" hidden="false" customHeight="true" outlineLevel="0" collapsed="false">
      <c r="A236" s="11" t="n">
        <v>2</v>
      </c>
      <c r="B236" s="12" t="n">
        <v>46205</v>
      </c>
      <c r="C236" s="12" t="n">
        <v>46259</v>
      </c>
      <c r="D236" s="11" t="n">
        <v>1217</v>
      </c>
      <c r="E236" s="13" t="s">
        <v>335</v>
      </c>
      <c r="F236" s="11" t="n">
        <v>24</v>
      </c>
      <c r="G236" s="13" t="s">
        <v>30</v>
      </c>
      <c r="H236" s="11" t="n">
        <v>2110101</v>
      </c>
      <c r="I236" s="13" t="s">
        <v>31</v>
      </c>
      <c r="J236" s="14" t="n">
        <v>1339965</v>
      </c>
      <c r="K236" s="14"/>
      <c r="L236" s="11" t="n">
        <v>4467</v>
      </c>
      <c r="M236" s="13" t="s">
        <v>58</v>
      </c>
      <c r="N236" s="15" t="s">
        <v>33</v>
      </c>
      <c r="O236" s="15"/>
      <c r="P236" s="11" t="n">
        <v>113</v>
      </c>
      <c r="Q236" s="13" t="s">
        <v>34</v>
      </c>
      <c r="R236" s="13" t="s">
        <v>35</v>
      </c>
      <c r="S236" s="11" t="n">
        <v>1130101</v>
      </c>
      <c r="T236" s="13" t="s">
        <v>36</v>
      </c>
      <c r="U236" s="16" t="n">
        <v>818.55</v>
      </c>
      <c r="V236" s="16"/>
      <c r="W236" s="17" t="n">
        <v>0</v>
      </c>
      <c r="X236" s="15" t="s">
        <v>336</v>
      </c>
      <c r="Y236" s="15"/>
      <c r="Z236" s="1" t="str">
        <f aca="false">IF($T236="","",IFERROR(INDEX('Resumo Grupos'!$AC$3:$AC$2000,MATCH($T236,'Resumo Grupos'!$AB$3:$AB$2000,0)),"n/d"))</f>
        <v>Mercadoria</v>
      </c>
    </row>
    <row r="237" customFormat="false" ht="28.5" hidden="false" customHeight="true" outlineLevel="0" collapsed="false">
      <c r="A237" s="11" t="n">
        <v>2</v>
      </c>
      <c r="B237" s="12" t="n">
        <v>46204</v>
      </c>
      <c r="C237" s="12" t="n">
        <v>46204</v>
      </c>
      <c r="D237" s="11" t="n">
        <v>73</v>
      </c>
      <c r="E237" s="13" t="s">
        <v>337</v>
      </c>
      <c r="F237" s="11" t="n">
        <v>34</v>
      </c>
      <c r="G237" s="13" t="s">
        <v>87</v>
      </c>
      <c r="H237" s="11" t="n">
        <v>2110405</v>
      </c>
      <c r="I237" s="13" t="s">
        <v>51</v>
      </c>
      <c r="J237" s="14" t="n">
        <v>1340183</v>
      </c>
      <c r="K237" s="14"/>
      <c r="L237" s="11" t="n">
        <v>179826</v>
      </c>
      <c r="M237" s="13" t="s">
        <v>105</v>
      </c>
      <c r="N237" s="15" t="s">
        <v>41</v>
      </c>
      <c r="O237" s="15"/>
      <c r="P237" s="11" t="n">
        <v>113</v>
      </c>
      <c r="Q237" s="13" t="s">
        <v>34</v>
      </c>
      <c r="R237" s="13" t="s">
        <v>191</v>
      </c>
      <c r="S237" s="11" t="n">
        <v>4210309</v>
      </c>
      <c r="T237" s="13" t="s">
        <v>338</v>
      </c>
      <c r="U237" s="16" t="n">
        <v>270</v>
      </c>
      <c r="V237" s="16"/>
      <c r="W237" s="17" t="n">
        <v>0</v>
      </c>
      <c r="X237" s="15" t="s">
        <v>339</v>
      </c>
      <c r="Y237" s="15"/>
      <c r="Z237" s="1" t="str">
        <f aca="false">IF($T237="","",IFERROR(INDEX('Resumo Grupos'!$AC$3:$AC$2000,MATCH($T237,'Resumo Grupos'!$AB$3:$AB$2000,0)),"n/d"))</f>
        <v>Salários</v>
      </c>
    </row>
    <row r="238" customFormat="false" ht="39" hidden="false" customHeight="true" outlineLevel="0" collapsed="false">
      <c r="A238" s="11" t="n">
        <v>2</v>
      </c>
      <c r="B238" s="12" t="n">
        <v>46204</v>
      </c>
      <c r="C238" s="12" t="n">
        <v>46204</v>
      </c>
      <c r="D238" s="11" t="n">
        <v>21</v>
      </c>
      <c r="E238" s="13" t="s">
        <v>340</v>
      </c>
      <c r="F238" s="11" t="n">
        <v>34</v>
      </c>
      <c r="G238" s="13" t="s">
        <v>87</v>
      </c>
      <c r="H238" s="11" t="n">
        <v>2110405</v>
      </c>
      <c r="I238" s="13" t="s">
        <v>51</v>
      </c>
      <c r="J238" s="14" t="n">
        <v>1340186</v>
      </c>
      <c r="K238" s="14"/>
      <c r="L238" s="11" t="n">
        <v>179827</v>
      </c>
      <c r="M238" s="13" t="s">
        <v>105</v>
      </c>
      <c r="N238" s="15" t="s">
        <v>41</v>
      </c>
      <c r="O238" s="15"/>
      <c r="P238" s="11" t="n">
        <v>113</v>
      </c>
      <c r="Q238" s="13" t="s">
        <v>34</v>
      </c>
      <c r="R238" s="13" t="s">
        <v>191</v>
      </c>
      <c r="S238" s="11" t="n">
        <v>4210309</v>
      </c>
      <c r="T238" s="13" t="s">
        <v>338</v>
      </c>
      <c r="U238" s="16" t="n">
        <v>270</v>
      </c>
      <c r="V238" s="16"/>
      <c r="W238" s="17" t="n">
        <v>0</v>
      </c>
      <c r="X238" s="15" t="s">
        <v>339</v>
      </c>
      <c r="Y238" s="15"/>
      <c r="Z238" s="1" t="str">
        <f aca="false">IF($T238="","",IFERROR(INDEX('Resumo Grupos'!$AC$3:$AC$2000,MATCH($T238,'Resumo Grupos'!$AB$3:$AB$2000,0)),"n/d"))</f>
        <v>Salários</v>
      </c>
    </row>
    <row r="239" customFormat="false" ht="28.5" hidden="false" customHeight="true" outlineLevel="0" collapsed="false">
      <c r="A239" s="11" t="n">
        <v>2</v>
      </c>
      <c r="B239" s="12" t="n">
        <v>46204</v>
      </c>
      <c r="C239" s="12" t="n">
        <v>46204</v>
      </c>
      <c r="D239" s="11" t="n">
        <v>18</v>
      </c>
      <c r="E239" s="13" t="s">
        <v>341</v>
      </c>
      <c r="F239" s="11" t="n">
        <v>34</v>
      </c>
      <c r="G239" s="13" t="s">
        <v>87</v>
      </c>
      <c r="H239" s="11" t="n">
        <v>2110405</v>
      </c>
      <c r="I239" s="13" t="s">
        <v>51</v>
      </c>
      <c r="J239" s="14" t="n">
        <v>1340190</v>
      </c>
      <c r="K239" s="14"/>
      <c r="L239" s="11" t="n">
        <v>179828</v>
      </c>
      <c r="M239" s="13" t="s">
        <v>105</v>
      </c>
      <c r="N239" s="15" t="s">
        <v>41</v>
      </c>
      <c r="O239" s="15"/>
      <c r="P239" s="11" t="n">
        <v>113</v>
      </c>
      <c r="Q239" s="13" t="s">
        <v>34</v>
      </c>
      <c r="R239" s="13" t="s">
        <v>191</v>
      </c>
      <c r="S239" s="11" t="n">
        <v>4210309</v>
      </c>
      <c r="T239" s="13" t="s">
        <v>338</v>
      </c>
      <c r="U239" s="16" t="n">
        <v>270</v>
      </c>
      <c r="V239" s="16"/>
      <c r="W239" s="17" t="n">
        <v>0</v>
      </c>
      <c r="X239" s="15" t="s">
        <v>339</v>
      </c>
      <c r="Y239" s="15"/>
      <c r="Z239" s="1" t="str">
        <f aca="false">IF($T239="","",IFERROR(INDEX('Resumo Grupos'!$AC$3:$AC$2000,MATCH($T239,'Resumo Grupos'!$AB$3:$AB$2000,0)),"n/d"))</f>
        <v>Salários</v>
      </c>
    </row>
    <row r="240" customFormat="false" ht="39" hidden="false" customHeight="true" outlineLevel="0" collapsed="false">
      <c r="A240" s="11" t="n">
        <v>2</v>
      </c>
      <c r="B240" s="12" t="n">
        <v>46206</v>
      </c>
      <c r="C240" s="12" t="n">
        <v>46214</v>
      </c>
      <c r="D240" s="11" t="n">
        <v>1608</v>
      </c>
      <c r="E240" s="13" t="s">
        <v>127</v>
      </c>
      <c r="F240" s="11" t="n">
        <v>24</v>
      </c>
      <c r="G240" s="13" t="s">
        <v>30</v>
      </c>
      <c r="H240" s="11" t="n">
        <v>2110101</v>
      </c>
      <c r="I240" s="13" t="s">
        <v>31</v>
      </c>
      <c r="J240" s="14" t="n">
        <v>1343779</v>
      </c>
      <c r="K240" s="14"/>
      <c r="L240" s="11" t="n">
        <v>1686081</v>
      </c>
      <c r="M240" s="13" t="s">
        <v>105</v>
      </c>
      <c r="N240" s="15" t="s">
        <v>33</v>
      </c>
      <c r="O240" s="15"/>
      <c r="P240" s="11" t="n">
        <v>113</v>
      </c>
      <c r="Q240" s="13" t="s">
        <v>34</v>
      </c>
      <c r="R240" s="13" t="s">
        <v>35</v>
      </c>
      <c r="S240" s="11" t="n">
        <v>1130101</v>
      </c>
      <c r="T240" s="13" t="s">
        <v>36</v>
      </c>
      <c r="U240" s="16" t="n">
        <v>832.51</v>
      </c>
      <c r="V240" s="16"/>
      <c r="W240" s="17" t="n">
        <v>0</v>
      </c>
      <c r="X240" s="15" t="s">
        <v>342</v>
      </c>
      <c r="Y240" s="15"/>
      <c r="Z240" s="1" t="str">
        <f aca="false">IF($T240="","",IFERROR(INDEX('Resumo Grupos'!$AC$3:$AC$2000,MATCH($T240,'Resumo Grupos'!$AB$3:$AB$2000,0)),"n/d"))</f>
        <v>Mercadoria</v>
      </c>
    </row>
    <row r="241" customFormat="false" ht="48" hidden="false" customHeight="true" outlineLevel="0" collapsed="false">
      <c r="A241" s="11" t="n">
        <v>2</v>
      </c>
      <c r="B241" s="12" t="n">
        <v>46206</v>
      </c>
      <c r="C241" s="12" t="n">
        <v>46213</v>
      </c>
      <c r="D241" s="11" t="n">
        <v>1642</v>
      </c>
      <c r="E241" s="13" t="s">
        <v>281</v>
      </c>
      <c r="F241" s="11" t="n">
        <v>24</v>
      </c>
      <c r="G241" s="13" t="s">
        <v>30</v>
      </c>
      <c r="H241" s="11" t="n">
        <v>2110101</v>
      </c>
      <c r="I241" s="13" t="s">
        <v>31</v>
      </c>
      <c r="J241" s="14" t="n">
        <v>1343794</v>
      </c>
      <c r="K241" s="14"/>
      <c r="L241" s="11" t="n">
        <v>1030058</v>
      </c>
      <c r="M241" s="13" t="s">
        <v>105</v>
      </c>
      <c r="N241" s="15" t="s">
        <v>33</v>
      </c>
      <c r="O241" s="15"/>
      <c r="P241" s="11" t="n">
        <v>113</v>
      </c>
      <c r="Q241" s="13" t="s">
        <v>34</v>
      </c>
      <c r="R241" s="13" t="s">
        <v>35</v>
      </c>
      <c r="S241" s="11" t="n">
        <v>1130101</v>
      </c>
      <c r="T241" s="13" t="s">
        <v>36</v>
      </c>
      <c r="U241" s="16" t="n">
        <v>279.82</v>
      </c>
      <c r="V241" s="16"/>
      <c r="W241" s="17" t="n">
        <v>0</v>
      </c>
      <c r="X241" s="15" t="s">
        <v>343</v>
      </c>
      <c r="Y241" s="15"/>
      <c r="Z241" s="1" t="str">
        <f aca="false">IF($T241="","",IFERROR(INDEX('Resumo Grupos'!$AC$3:$AC$2000,MATCH($T241,'Resumo Grupos'!$AB$3:$AB$2000,0)),"n/d"))</f>
        <v>Mercadoria</v>
      </c>
    </row>
    <row r="242" customFormat="false" ht="75.75" hidden="false" customHeight="true" outlineLevel="0" collapsed="false">
      <c r="A242" s="11" t="n">
        <v>2</v>
      </c>
      <c r="B242" s="12" t="n">
        <v>46206</v>
      </c>
      <c r="C242" s="12" t="n">
        <v>46224</v>
      </c>
      <c r="D242" s="11" t="n">
        <v>1672</v>
      </c>
      <c r="E242" s="13" t="s">
        <v>259</v>
      </c>
      <c r="F242" s="11" t="n">
        <v>24</v>
      </c>
      <c r="G242" s="13" t="s">
        <v>30</v>
      </c>
      <c r="H242" s="11" t="n">
        <v>2110101</v>
      </c>
      <c r="I242" s="13" t="s">
        <v>31</v>
      </c>
      <c r="J242" s="14" t="n">
        <v>1344368</v>
      </c>
      <c r="K242" s="14"/>
      <c r="L242" s="11" t="n">
        <v>1385251</v>
      </c>
      <c r="M242" s="13" t="s">
        <v>105</v>
      </c>
      <c r="N242" s="15" t="s">
        <v>33</v>
      </c>
      <c r="O242" s="15"/>
      <c r="P242" s="11" t="n">
        <v>113</v>
      </c>
      <c r="Q242" s="13" t="s">
        <v>34</v>
      </c>
      <c r="R242" s="13" t="s">
        <v>35</v>
      </c>
      <c r="S242" s="11" t="n">
        <v>1130101</v>
      </c>
      <c r="T242" s="13" t="s">
        <v>36</v>
      </c>
      <c r="U242" s="16" t="n">
        <v>1209.4</v>
      </c>
      <c r="V242" s="16"/>
      <c r="W242" s="17" t="n">
        <v>0</v>
      </c>
      <c r="X242" s="15" t="s">
        <v>344</v>
      </c>
      <c r="Y242" s="15"/>
      <c r="Z242" s="1" t="str">
        <f aca="false">IF($T242="","",IFERROR(INDEX('Resumo Grupos'!$AC$3:$AC$2000,MATCH($T242,'Resumo Grupos'!$AB$3:$AB$2000,0)),"n/d"))</f>
        <v>Mercadoria</v>
      </c>
    </row>
    <row r="243" customFormat="false" ht="28.5" hidden="false" customHeight="true" outlineLevel="0" collapsed="false">
      <c r="A243" s="11" t="n">
        <v>2</v>
      </c>
      <c r="B243" s="12" t="n">
        <v>46206</v>
      </c>
      <c r="C243" s="12" t="n">
        <v>46206</v>
      </c>
      <c r="D243" s="11" t="n">
        <v>34</v>
      </c>
      <c r="E243" s="13" t="s">
        <v>345</v>
      </c>
      <c r="F243" s="11" t="n">
        <v>11</v>
      </c>
      <c r="G243" s="13" t="s">
        <v>346</v>
      </c>
      <c r="H243" s="11" t="n">
        <v>2110405</v>
      </c>
      <c r="I243" s="13" t="s">
        <v>51</v>
      </c>
      <c r="J243" s="14" t="n">
        <v>1344469</v>
      </c>
      <c r="K243" s="14"/>
      <c r="L243" s="11" t="n">
        <v>180481</v>
      </c>
      <c r="M243" s="13" t="s">
        <v>105</v>
      </c>
      <c r="N243" s="15" t="s">
        <v>41</v>
      </c>
      <c r="O243" s="15"/>
      <c r="P243" s="11" t="n">
        <v>101</v>
      </c>
      <c r="Q243" s="13" t="s">
        <v>52</v>
      </c>
      <c r="R243" s="13" t="s">
        <v>60</v>
      </c>
      <c r="S243" s="11" t="n">
        <v>4210231</v>
      </c>
      <c r="T243" s="13" t="s">
        <v>347</v>
      </c>
      <c r="U243" s="16" t="n">
        <v>1217.33</v>
      </c>
      <c r="V243" s="16"/>
      <c r="W243" s="17" t="n">
        <v>0</v>
      </c>
      <c r="X243" s="15" t="s">
        <v>348</v>
      </c>
      <c r="Y243" s="15"/>
      <c r="Z243" s="1" t="str">
        <f aca="false">IF($T243="","",IFERROR(INDEX('Resumo Grupos'!$AC$3:$AC$2000,MATCH($T243,'Resumo Grupos'!$AB$3:$AB$2000,0)),"n/d"))</f>
        <v>Despesa</v>
      </c>
    </row>
    <row r="244" customFormat="false" ht="39" hidden="false" customHeight="true" outlineLevel="0" collapsed="false">
      <c r="A244" s="11" t="n">
        <v>2</v>
      </c>
      <c r="B244" s="12" t="n">
        <v>46206</v>
      </c>
      <c r="C244" s="12" t="n">
        <v>46213</v>
      </c>
      <c r="D244" s="11" t="n">
        <v>1609</v>
      </c>
      <c r="E244" s="13" t="s">
        <v>292</v>
      </c>
      <c r="F244" s="11" t="n">
        <v>24</v>
      </c>
      <c r="G244" s="13" t="s">
        <v>30</v>
      </c>
      <c r="H244" s="11" t="n">
        <v>2110101</v>
      </c>
      <c r="I244" s="13" t="s">
        <v>31</v>
      </c>
      <c r="J244" s="14" t="n">
        <v>1344581</v>
      </c>
      <c r="K244" s="14"/>
      <c r="L244" s="11" t="n">
        <v>5765</v>
      </c>
      <c r="M244" s="13" t="s">
        <v>105</v>
      </c>
      <c r="N244" s="15" t="s">
        <v>33</v>
      </c>
      <c r="O244" s="15"/>
      <c r="P244" s="11" t="n">
        <v>113</v>
      </c>
      <c r="Q244" s="13" t="s">
        <v>34</v>
      </c>
      <c r="R244" s="13" t="s">
        <v>35</v>
      </c>
      <c r="S244" s="11" t="n">
        <v>1130101</v>
      </c>
      <c r="T244" s="13" t="s">
        <v>36</v>
      </c>
      <c r="U244" s="16" t="n">
        <v>430.3</v>
      </c>
      <c r="V244" s="16"/>
      <c r="W244" s="17" t="n">
        <v>0</v>
      </c>
      <c r="X244" s="15" t="s">
        <v>349</v>
      </c>
      <c r="Y244" s="15"/>
      <c r="Z244" s="1" t="str">
        <f aca="false">IF($T244="","",IFERROR(INDEX('Resumo Grupos'!$AC$3:$AC$2000,MATCH($T244,'Resumo Grupos'!$AB$3:$AB$2000,0)),"n/d"))</f>
        <v>Mercadoria</v>
      </c>
    </row>
    <row r="245" customFormat="false" ht="39" hidden="false" customHeight="true" outlineLevel="0" collapsed="false">
      <c r="A245" s="11" t="n">
        <v>2</v>
      </c>
      <c r="B245" s="12" t="n">
        <v>46206</v>
      </c>
      <c r="C245" s="12" t="n">
        <v>46206</v>
      </c>
      <c r="D245" s="11" t="n">
        <v>48</v>
      </c>
      <c r="E245" s="13" t="s">
        <v>112</v>
      </c>
      <c r="F245" s="11" t="n">
        <v>13</v>
      </c>
      <c r="G245" s="13" t="s">
        <v>113</v>
      </c>
      <c r="H245" s="11" t="n">
        <v>2110101</v>
      </c>
      <c r="I245" s="13" t="s">
        <v>31</v>
      </c>
      <c r="J245" s="14" t="n">
        <v>1344644</v>
      </c>
      <c r="K245" s="14"/>
      <c r="L245" s="11" t="n">
        <v>2521</v>
      </c>
      <c r="M245" s="13" t="s">
        <v>105</v>
      </c>
      <c r="N245" s="15" t="s">
        <v>33</v>
      </c>
      <c r="O245" s="15"/>
      <c r="P245" s="11" t="n">
        <v>113</v>
      </c>
      <c r="Q245" s="13" t="s">
        <v>34</v>
      </c>
      <c r="R245" s="13" t="s">
        <v>35</v>
      </c>
      <c r="S245" s="11" t="n">
        <v>1130101</v>
      </c>
      <c r="T245" s="13" t="s">
        <v>36</v>
      </c>
      <c r="U245" s="16" t="n">
        <v>280</v>
      </c>
      <c r="V245" s="16"/>
      <c r="W245" s="17" t="n">
        <v>280</v>
      </c>
      <c r="X245" s="15" t="s">
        <v>350</v>
      </c>
      <c r="Y245" s="15"/>
      <c r="Z245" s="1" t="str">
        <f aca="false">IF($T245="","",IFERROR(INDEX('Resumo Grupos'!$AC$3:$AC$2000,MATCH($T245,'Resumo Grupos'!$AB$3:$AB$2000,0)),"n/d"))</f>
        <v>Mercadoria</v>
      </c>
    </row>
    <row r="246" customFormat="false" ht="39" hidden="false" customHeight="true" outlineLevel="0" collapsed="false">
      <c r="A246" s="11" t="n">
        <v>2</v>
      </c>
      <c r="B246" s="12" t="n">
        <v>46206</v>
      </c>
      <c r="C246" s="12" t="n">
        <v>46209</v>
      </c>
      <c r="D246" s="11" t="n">
        <v>10035</v>
      </c>
      <c r="E246" s="13" t="s">
        <v>298</v>
      </c>
      <c r="F246" s="11" t="n">
        <v>34</v>
      </c>
      <c r="G246" s="13" t="s">
        <v>87</v>
      </c>
      <c r="H246" s="11" t="n">
        <v>2110101</v>
      </c>
      <c r="I246" s="13" t="s">
        <v>31</v>
      </c>
      <c r="J246" s="14" t="n">
        <v>1344684</v>
      </c>
      <c r="K246" s="14"/>
      <c r="L246" s="11" t="n">
        <v>337</v>
      </c>
      <c r="M246" s="13" t="s">
        <v>105</v>
      </c>
      <c r="N246" s="15" t="s">
        <v>33</v>
      </c>
      <c r="O246" s="15"/>
      <c r="P246" s="11" t="n">
        <v>113</v>
      </c>
      <c r="Q246" s="13" t="s">
        <v>34</v>
      </c>
      <c r="R246" s="13" t="s">
        <v>35</v>
      </c>
      <c r="S246" s="11" t="n">
        <v>1130101</v>
      </c>
      <c r="T246" s="13" t="s">
        <v>36</v>
      </c>
      <c r="U246" s="16" t="n">
        <v>398</v>
      </c>
      <c r="V246" s="16"/>
      <c r="W246" s="17" t="n">
        <v>0</v>
      </c>
      <c r="X246" s="15" t="s">
        <v>351</v>
      </c>
      <c r="Y246" s="15"/>
      <c r="Z246" s="1" t="str">
        <f aca="false">IF($T246="","",IFERROR(INDEX('Resumo Grupos'!$AC$3:$AC$2000,MATCH($T246,'Resumo Grupos'!$AB$3:$AB$2000,0)),"n/d"))</f>
        <v>Mercadoria</v>
      </c>
    </row>
    <row r="247" customFormat="false" ht="28.5" hidden="false" customHeight="true" outlineLevel="0" collapsed="false">
      <c r="A247" s="11" t="n">
        <v>2</v>
      </c>
      <c r="B247" s="12" t="n">
        <v>46204</v>
      </c>
      <c r="C247" s="12" t="n">
        <v>46204</v>
      </c>
      <c r="D247" s="11" t="n">
        <v>10047</v>
      </c>
      <c r="E247" s="13" t="s">
        <v>352</v>
      </c>
      <c r="F247" s="11" t="n">
        <v>24</v>
      </c>
      <c r="G247" s="13" t="s">
        <v>30</v>
      </c>
      <c r="H247" s="11" t="n">
        <v>1110202</v>
      </c>
      <c r="I247" s="13" t="s">
        <v>353</v>
      </c>
      <c r="J247" s="14" t="n">
        <v>1345064</v>
      </c>
      <c r="K247" s="14"/>
      <c r="L247" s="11" t="n">
        <v>180636</v>
      </c>
      <c r="M247" s="13" t="s">
        <v>105</v>
      </c>
      <c r="N247" s="15" t="s">
        <v>41</v>
      </c>
      <c r="O247" s="15"/>
      <c r="P247" s="11" t="n">
        <v>102</v>
      </c>
      <c r="Q247" s="13" t="s">
        <v>354</v>
      </c>
      <c r="R247" s="13" t="s">
        <v>35</v>
      </c>
      <c r="S247" s="11" t="n">
        <v>1130101</v>
      </c>
      <c r="T247" s="13" t="s">
        <v>36</v>
      </c>
      <c r="U247" s="16" t="n">
        <v>70.33</v>
      </c>
      <c r="V247" s="16"/>
      <c r="W247" s="17" t="n">
        <v>0</v>
      </c>
      <c r="X247" s="15" t="s">
        <v>355</v>
      </c>
      <c r="Y247" s="15"/>
      <c r="Z247" s="1" t="str">
        <f aca="false">IF($T247="","",IFERROR(INDEX('Resumo Grupos'!$AC$3:$AC$2000,MATCH($T247,'Resumo Grupos'!$AB$3:$AB$2000,0)),"n/d"))</f>
        <v>Mercadoria</v>
      </c>
    </row>
    <row r="248" customFormat="false" ht="39" hidden="false" customHeight="true" outlineLevel="0" collapsed="false">
      <c r="A248" s="11" t="n">
        <v>2</v>
      </c>
      <c r="B248" s="12" t="n">
        <v>46206</v>
      </c>
      <c r="C248" s="12" t="n">
        <v>46212</v>
      </c>
      <c r="D248" s="11" t="n">
        <v>1695</v>
      </c>
      <c r="E248" s="13" t="s">
        <v>217</v>
      </c>
      <c r="F248" s="11" t="n">
        <v>24</v>
      </c>
      <c r="G248" s="13" t="s">
        <v>30</v>
      </c>
      <c r="H248" s="11" t="n">
        <v>2110101</v>
      </c>
      <c r="I248" s="13" t="s">
        <v>31</v>
      </c>
      <c r="J248" s="14" t="n">
        <v>1345083</v>
      </c>
      <c r="K248" s="14"/>
      <c r="L248" s="11" t="n">
        <v>18998</v>
      </c>
      <c r="M248" s="13" t="s">
        <v>105</v>
      </c>
      <c r="N248" s="15" t="s">
        <v>33</v>
      </c>
      <c r="O248" s="15"/>
      <c r="P248" s="11" t="n">
        <v>113</v>
      </c>
      <c r="Q248" s="13" t="s">
        <v>34</v>
      </c>
      <c r="R248" s="13" t="s">
        <v>35</v>
      </c>
      <c r="S248" s="11" t="n">
        <v>1130101</v>
      </c>
      <c r="T248" s="13" t="s">
        <v>36</v>
      </c>
      <c r="U248" s="16" t="n">
        <v>1073.2</v>
      </c>
      <c r="V248" s="16"/>
      <c r="W248" s="17" t="n">
        <v>0</v>
      </c>
      <c r="X248" s="15" t="s">
        <v>356</v>
      </c>
      <c r="Y248" s="15"/>
      <c r="Z248" s="1" t="str">
        <f aca="false">IF($T248="","",IFERROR(INDEX('Resumo Grupos'!$AC$3:$AC$2000,MATCH($T248,'Resumo Grupos'!$AB$3:$AB$2000,0)),"n/d"))</f>
        <v>Mercadoria</v>
      </c>
    </row>
    <row r="249" customFormat="false" ht="39" hidden="false" customHeight="true" outlineLevel="0" collapsed="false">
      <c r="A249" s="11" t="n">
        <v>2</v>
      </c>
      <c r="B249" s="12" t="n">
        <v>46206</v>
      </c>
      <c r="C249" s="12" t="n">
        <v>46219</v>
      </c>
      <c r="D249" s="11" t="n">
        <v>1695</v>
      </c>
      <c r="E249" s="13" t="s">
        <v>217</v>
      </c>
      <c r="F249" s="11" t="n">
        <v>24</v>
      </c>
      <c r="G249" s="13" t="s">
        <v>30</v>
      </c>
      <c r="H249" s="11" t="n">
        <v>2110101</v>
      </c>
      <c r="I249" s="13" t="s">
        <v>31</v>
      </c>
      <c r="J249" s="14" t="n">
        <v>1345083</v>
      </c>
      <c r="K249" s="14"/>
      <c r="L249" s="11" t="n">
        <v>18998</v>
      </c>
      <c r="M249" s="13" t="s">
        <v>32</v>
      </c>
      <c r="N249" s="15" t="s">
        <v>33</v>
      </c>
      <c r="O249" s="15"/>
      <c r="P249" s="11" t="n">
        <v>113</v>
      </c>
      <c r="Q249" s="13" t="s">
        <v>34</v>
      </c>
      <c r="R249" s="13" t="s">
        <v>35</v>
      </c>
      <c r="S249" s="11" t="n">
        <v>1130101</v>
      </c>
      <c r="T249" s="13" t="s">
        <v>36</v>
      </c>
      <c r="U249" s="16" t="n">
        <v>1073.2</v>
      </c>
      <c r="V249" s="16"/>
      <c r="W249" s="17" t="n">
        <v>0</v>
      </c>
      <c r="X249" s="15" t="s">
        <v>356</v>
      </c>
      <c r="Y249" s="15"/>
      <c r="Z249" s="1" t="str">
        <f aca="false">IF($T249="","",IFERROR(INDEX('Resumo Grupos'!$AC$3:$AC$2000,MATCH($T249,'Resumo Grupos'!$AB$3:$AB$2000,0)),"n/d"))</f>
        <v>Mercadoria</v>
      </c>
    </row>
    <row r="250" customFormat="false" ht="57" hidden="false" customHeight="true" outlineLevel="0" collapsed="false">
      <c r="A250" s="11" t="n">
        <v>2</v>
      </c>
      <c r="B250" s="12" t="n">
        <v>46206</v>
      </c>
      <c r="C250" s="12" t="n">
        <v>46213</v>
      </c>
      <c r="D250" s="11" t="n">
        <v>10089</v>
      </c>
      <c r="E250" s="13" t="s">
        <v>357</v>
      </c>
      <c r="F250" s="11" t="n">
        <v>24</v>
      </c>
      <c r="G250" s="13" t="s">
        <v>30</v>
      </c>
      <c r="H250" s="11" t="n">
        <v>2110101</v>
      </c>
      <c r="I250" s="13" t="s">
        <v>31</v>
      </c>
      <c r="J250" s="14" t="n">
        <v>1345178</v>
      </c>
      <c r="K250" s="14"/>
      <c r="L250" s="11" t="n">
        <v>890</v>
      </c>
      <c r="M250" s="13" t="s">
        <v>105</v>
      </c>
      <c r="N250" s="15" t="s">
        <v>33</v>
      </c>
      <c r="O250" s="15"/>
      <c r="P250" s="11" t="n">
        <v>113</v>
      </c>
      <c r="Q250" s="13" t="s">
        <v>34</v>
      </c>
      <c r="R250" s="13" t="s">
        <v>35</v>
      </c>
      <c r="S250" s="11" t="n">
        <v>1130101</v>
      </c>
      <c r="T250" s="13" t="s">
        <v>36</v>
      </c>
      <c r="U250" s="16" t="n">
        <v>368.4</v>
      </c>
      <c r="V250" s="16"/>
      <c r="W250" s="17" t="n">
        <v>0</v>
      </c>
      <c r="X250" s="15" t="s">
        <v>358</v>
      </c>
      <c r="Y250" s="15"/>
      <c r="Z250" s="1" t="str">
        <f aca="false">IF($T250="","",IFERROR(INDEX('Resumo Grupos'!$AC$3:$AC$2000,MATCH($T250,'Resumo Grupos'!$AB$3:$AB$2000,0)),"n/d"))</f>
        <v>Mercadoria</v>
      </c>
    </row>
    <row r="251" customFormat="false" ht="57" hidden="false" customHeight="true" outlineLevel="0" collapsed="false">
      <c r="A251" s="11" t="n">
        <v>2</v>
      </c>
      <c r="B251" s="12" t="n">
        <v>46206</v>
      </c>
      <c r="C251" s="12" t="n">
        <v>46220</v>
      </c>
      <c r="D251" s="11" t="n">
        <v>10089</v>
      </c>
      <c r="E251" s="13" t="s">
        <v>357</v>
      </c>
      <c r="F251" s="11" t="n">
        <v>24</v>
      </c>
      <c r="G251" s="13" t="s">
        <v>30</v>
      </c>
      <c r="H251" s="11" t="n">
        <v>2110101</v>
      </c>
      <c r="I251" s="13" t="s">
        <v>31</v>
      </c>
      <c r="J251" s="14" t="n">
        <v>1345178</v>
      </c>
      <c r="K251" s="14"/>
      <c r="L251" s="11" t="n">
        <v>890</v>
      </c>
      <c r="M251" s="13" t="s">
        <v>32</v>
      </c>
      <c r="N251" s="15" t="s">
        <v>33</v>
      </c>
      <c r="O251" s="15"/>
      <c r="P251" s="11" t="n">
        <v>113</v>
      </c>
      <c r="Q251" s="13" t="s">
        <v>34</v>
      </c>
      <c r="R251" s="13" t="s">
        <v>35</v>
      </c>
      <c r="S251" s="11" t="n">
        <v>1130101</v>
      </c>
      <c r="T251" s="13" t="s">
        <v>36</v>
      </c>
      <c r="U251" s="16" t="n">
        <v>368.4</v>
      </c>
      <c r="V251" s="16"/>
      <c r="W251" s="17" t="n">
        <v>0</v>
      </c>
      <c r="X251" s="15" t="s">
        <v>358</v>
      </c>
      <c r="Y251" s="15"/>
      <c r="Z251" s="1" t="str">
        <f aca="false">IF($T251="","",IFERROR(INDEX('Resumo Grupos'!$AC$3:$AC$2000,MATCH($T251,'Resumo Grupos'!$AB$3:$AB$2000,0)),"n/d"))</f>
        <v>Mercadoria</v>
      </c>
    </row>
    <row r="252" customFormat="false" ht="28.5" hidden="false" customHeight="true" outlineLevel="0" collapsed="false">
      <c r="A252" s="11" t="n">
        <v>2</v>
      </c>
      <c r="B252" s="12" t="n">
        <v>46205</v>
      </c>
      <c r="C252" s="12" t="n">
        <v>46205</v>
      </c>
      <c r="D252" s="11" t="n">
        <v>515</v>
      </c>
      <c r="E252" s="13" t="s">
        <v>91</v>
      </c>
      <c r="F252" s="11" t="n">
        <v>34</v>
      </c>
      <c r="G252" s="13" t="s">
        <v>87</v>
      </c>
      <c r="H252" s="11" t="n">
        <v>1110203</v>
      </c>
      <c r="I252" s="13" t="s">
        <v>100</v>
      </c>
      <c r="J252" s="14" t="n">
        <v>1345207</v>
      </c>
      <c r="K252" s="14"/>
      <c r="L252" s="11" t="n">
        <v>180658</v>
      </c>
      <c r="M252" s="13" t="s">
        <v>105</v>
      </c>
      <c r="N252" s="15" t="s">
        <v>41</v>
      </c>
      <c r="O252" s="15"/>
      <c r="P252" s="11" t="n">
        <v>102</v>
      </c>
      <c r="Q252" s="13" t="s">
        <v>354</v>
      </c>
      <c r="R252" s="13" t="s">
        <v>359</v>
      </c>
      <c r="S252" s="11" t="n">
        <v>4210504</v>
      </c>
      <c r="T252" s="13" t="s">
        <v>360</v>
      </c>
      <c r="U252" s="16" t="n">
        <v>0.85</v>
      </c>
      <c r="V252" s="16"/>
      <c r="W252" s="17" t="n">
        <v>0</v>
      </c>
      <c r="X252" s="15" t="s">
        <v>361</v>
      </c>
      <c r="Y252" s="15"/>
      <c r="Z252" s="1" t="str">
        <f aca="false">IF($T252="","",IFERROR(INDEX('Resumo Grupos'!$AC$3:$AC$2000,MATCH($T252,'Resumo Grupos'!$AB$3:$AB$2000,0)),"n/d"))</f>
        <v>Despesa</v>
      </c>
    </row>
    <row r="253" customFormat="false" ht="39" hidden="false" customHeight="true" outlineLevel="0" collapsed="false">
      <c r="A253" s="11" t="n">
        <v>2</v>
      </c>
      <c r="B253" s="12" t="n">
        <v>46205</v>
      </c>
      <c r="C253" s="12" t="n">
        <v>46205</v>
      </c>
      <c r="D253" s="11" t="n">
        <v>515</v>
      </c>
      <c r="E253" s="13" t="s">
        <v>91</v>
      </c>
      <c r="F253" s="11" t="n">
        <v>34</v>
      </c>
      <c r="G253" s="13" t="s">
        <v>87</v>
      </c>
      <c r="H253" s="11" t="n">
        <v>1110203</v>
      </c>
      <c r="I253" s="13" t="s">
        <v>100</v>
      </c>
      <c r="J253" s="14" t="n">
        <v>1345224</v>
      </c>
      <c r="K253" s="14"/>
      <c r="L253" s="11" t="n">
        <v>180661</v>
      </c>
      <c r="M253" s="13" t="s">
        <v>105</v>
      </c>
      <c r="N253" s="15" t="s">
        <v>41</v>
      </c>
      <c r="O253" s="15"/>
      <c r="P253" s="11" t="n">
        <v>102</v>
      </c>
      <c r="Q253" s="13" t="s">
        <v>354</v>
      </c>
      <c r="R253" s="13" t="s">
        <v>359</v>
      </c>
      <c r="S253" s="11" t="n">
        <v>4210505</v>
      </c>
      <c r="T253" s="13" t="s">
        <v>362</v>
      </c>
      <c r="U253" s="16" t="n">
        <v>135.43</v>
      </c>
      <c r="V253" s="16"/>
      <c r="W253" s="17" t="n">
        <v>0</v>
      </c>
      <c r="X253" s="15" t="s">
        <v>363</v>
      </c>
      <c r="Y253" s="15"/>
      <c r="Z253" s="1" t="str">
        <f aca="false">IF($T253="","",IFERROR(INDEX('Resumo Grupos'!$AC$3:$AC$2000,MATCH($T253,'Resumo Grupos'!$AB$3:$AB$2000,0)),"n/d"))</f>
        <v>Despesa</v>
      </c>
    </row>
    <row r="254" customFormat="false" ht="48" hidden="false" customHeight="true" outlineLevel="0" collapsed="false">
      <c r="A254" s="11" t="n">
        <v>2</v>
      </c>
      <c r="B254" s="12" t="n">
        <v>46206</v>
      </c>
      <c r="C254" s="12" t="n">
        <v>46206</v>
      </c>
      <c r="D254" s="11" t="n">
        <v>1037</v>
      </c>
      <c r="E254" s="13" t="s">
        <v>364</v>
      </c>
      <c r="F254" s="11" t="n">
        <v>34</v>
      </c>
      <c r="G254" s="13" t="s">
        <v>87</v>
      </c>
      <c r="H254" s="11" t="n">
        <v>1110203</v>
      </c>
      <c r="I254" s="13" t="s">
        <v>100</v>
      </c>
      <c r="J254" s="14" t="n">
        <v>1345240</v>
      </c>
      <c r="K254" s="14"/>
      <c r="L254" s="11" t="n">
        <v>180664</v>
      </c>
      <c r="M254" s="13" t="s">
        <v>105</v>
      </c>
      <c r="N254" s="15" t="s">
        <v>41</v>
      </c>
      <c r="O254" s="15"/>
      <c r="P254" s="11" t="n">
        <v>102</v>
      </c>
      <c r="Q254" s="13" t="s">
        <v>354</v>
      </c>
      <c r="R254" s="13" t="s">
        <v>53</v>
      </c>
      <c r="S254" s="11" t="n">
        <v>4220199</v>
      </c>
      <c r="T254" s="13" t="s">
        <v>54</v>
      </c>
      <c r="U254" s="16" t="n">
        <v>2875</v>
      </c>
      <c r="V254" s="16"/>
      <c r="W254" s="17" t="n">
        <v>0</v>
      </c>
      <c r="X254" s="15" t="s">
        <v>365</v>
      </c>
      <c r="Y254" s="15"/>
      <c r="Z254" s="1" t="str">
        <f aca="false">IF($T254="","",IFERROR(INDEX('Resumo Grupos'!$AC$3:$AC$2000,MATCH($T254,'Resumo Grupos'!$AB$3:$AB$2000,0)),"n/d"))</f>
        <v>Pagamentos outros não operacionais</v>
      </c>
    </row>
    <row r="255" customFormat="false" ht="39" hidden="false" customHeight="true" outlineLevel="0" collapsed="false">
      <c r="A255" s="11" t="n">
        <v>2</v>
      </c>
      <c r="B255" s="12" t="n">
        <v>46205</v>
      </c>
      <c r="C255" s="12" t="n">
        <v>46205</v>
      </c>
      <c r="D255" s="11" t="n">
        <v>515</v>
      </c>
      <c r="E255" s="13" t="s">
        <v>91</v>
      </c>
      <c r="F255" s="11" t="n">
        <v>34</v>
      </c>
      <c r="G255" s="13" t="s">
        <v>87</v>
      </c>
      <c r="H255" s="11" t="n">
        <v>1110203</v>
      </c>
      <c r="I255" s="13" t="s">
        <v>100</v>
      </c>
      <c r="J255" s="14" t="n">
        <v>1345255</v>
      </c>
      <c r="K255" s="14"/>
      <c r="L255" s="11" t="n">
        <v>180668</v>
      </c>
      <c r="M255" s="13" t="s">
        <v>105</v>
      </c>
      <c r="N255" s="15" t="s">
        <v>41</v>
      </c>
      <c r="O255" s="15"/>
      <c r="P255" s="11" t="n">
        <v>102</v>
      </c>
      <c r="Q255" s="13" t="s">
        <v>354</v>
      </c>
      <c r="R255" s="13" t="s">
        <v>359</v>
      </c>
      <c r="S255" s="11" t="n">
        <v>4210505</v>
      </c>
      <c r="T255" s="13" t="s">
        <v>362</v>
      </c>
      <c r="U255" s="16" t="n">
        <v>103.81</v>
      </c>
      <c r="V255" s="16"/>
      <c r="W255" s="17" t="n">
        <v>0</v>
      </c>
      <c r="X255" s="15" t="s">
        <v>366</v>
      </c>
      <c r="Y255" s="15"/>
      <c r="Z255" s="1" t="str">
        <f aca="false">IF($T255="","",IFERROR(INDEX('Resumo Grupos'!$AC$3:$AC$2000,MATCH($T255,'Resumo Grupos'!$AB$3:$AB$2000,0)),"n/d"))</f>
        <v>Despesa</v>
      </c>
    </row>
    <row r="256" customFormat="false" ht="28.5" hidden="false" customHeight="true" outlineLevel="0" collapsed="false">
      <c r="A256" s="11" t="n">
        <v>2</v>
      </c>
      <c r="B256" s="12" t="n">
        <v>46205</v>
      </c>
      <c r="C256" s="12" t="n">
        <v>46205</v>
      </c>
      <c r="D256" s="11" t="n">
        <v>515</v>
      </c>
      <c r="E256" s="13" t="s">
        <v>91</v>
      </c>
      <c r="F256" s="11" t="n">
        <v>34</v>
      </c>
      <c r="G256" s="13" t="s">
        <v>87</v>
      </c>
      <c r="H256" s="11" t="n">
        <v>1110203</v>
      </c>
      <c r="I256" s="13" t="s">
        <v>100</v>
      </c>
      <c r="J256" s="14" t="n">
        <v>1345267</v>
      </c>
      <c r="K256" s="14"/>
      <c r="L256" s="11" t="n">
        <v>180674</v>
      </c>
      <c r="M256" s="13" t="s">
        <v>105</v>
      </c>
      <c r="N256" s="15" t="s">
        <v>41</v>
      </c>
      <c r="O256" s="15"/>
      <c r="P256" s="11" t="n">
        <v>102</v>
      </c>
      <c r="Q256" s="13" t="s">
        <v>354</v>
      </c>
      <c r="R256" s="13" t="s">
        <v>359</v>
      </c>
      <c r="S256" s="11" t="n">
        <v>4210504</v>
      </c>
      <c r="T256" s="13" t="s">
        <v>360</v>
      </c>
      <c r="U256" s="16" t="n">
        <v>156.86</v>
      </c>
      <c r="V256" s="16"/>
      <c r="W256" s="17" t="n">
        <v>0</v>
      </c>
      <c r="X256" s="15" t="s">
        <v>367</v>
      </c>
      <c r="Y256" s="15"/>
      <c r="Z256" s="1" t="str">
        <f aca="false">IF($T256="","",IFERROR(INDEX('Resumo Grupos'!$AC$3:$AC$2000,MATCH($T256,'Resumo Grupos'!$AB$3:$AB$2000,0)),"n/d"))</f>
        <v>Despesa</v>
      </c>
    </row>
    <row r="257" customFormat="false" ht="39" hidden="false" customHeight="true" outlineLevel="0" collapsed="false">
      <c r="A257" s="11" t="n">
        <v>2</v>
      </c>
      <c r="B257" s="12" t="n">
        <v>46206</v>
      </c>
      <c r="C257" s="12" t="n">
        <v>46216</v>
      </c>
      <c r="D257" s="11" t="n">
        <v>10018</v>
      </c>
      <c r="E257" s="13" t="s">
        <v>368</v>
      </c>
      <c r="F257" s="11" t="n">
        <v>34</v>
      </c>
      <c r="G257" s="13" t="s">
        <v>87</v>
      </c>
      <c r="H257" s="11" t="n">
        <v>2110101</v>
      </c>
      <c r="I257" s="13" t="s">
        <v>31</v>
      </c>
      <c r="J257" s="14" t="n">
        <v>1345271</v>
      </c>
      <c r="K257" s="14"/>
      <c r="L257" s="11" t="n">
        <v>322</v>
      </c>
      <c r="M257" s="13" t="s">
        <v>105</v>
      </c>
      <c r="N257" s="15" t="s">
        <v>33</v>
      </c>
      <c r="O257" s="15"/>
      <c r="P257" s="11" t="n">
        <v>113</v>
      </c>
      <c r="Q257" s="13" t="s">
        <v>34</v>
      </c>
      <c r="R257" s="13" t="s">
        <v>35</v>
      </c>
      <c r="S257" s="11" t="n">
        <v>1130101</v>
      </c>
      <c r="T257" s="13" t="s">
        <v>36</v>
      </c>
      <c r="U257" s="16" t="n">
        <v>2388.97</v>
      </c>
      <c r="V257" s="16"/>
      <c r="W257" s="17" t="n">
        <v>0</v>
      </c>
      <c r="X257" s="15" t="s">
        <v>369</v>
      </c>
      <c r="Y257" s="15"/>
      <c r="Z257" s="1" t="str">
        <f aca="false">IF($T257="","",IFERROR(INDEX('Resumo Grupos'!$AC$3:$AC$2000,MATCH($T257,'Resumo Grupos'!$AB$3:$AB$2000,0)),"n/d"))</f>
        <v>Mercadoria</v>
      </c>
    </row>
    <row r="258" customFormat="false" ht="39" hidden="false" customHeight="true" outlineLevel="0" collapsed="false">
      <c r="A258" s="11" t="n">
        <v>2</v>
      </c>
      <c r="B258" s="12" t="n">
        <v>46206</v>
      </c>
      <c r="C258" s="12" t="n">
        <v>46206</v>
      </c>
      <c r="D258" s="11" t="n">
        <v>33</v>
      </c>
      <c r="E258" s="13" t="s">
        <v>199</v>
      </c>
      <c r="F258" s="11" t="n">
        <v>34</v>
      </c>
      <c r="G258" s="13" t="s">
        <v>87</v>
      </c>
      <c r="H258" s="11" t="n">
        <v>1110203</v>
      </c>
      <c r="I258" s="13" t="s">
        <v>100</v>
      </c>
      <c r="J258" s="14" t="n">
        <v>1345306</v>
      </c>
      <c r="K258" s="14"/>
      <c r="L258" s="11" t="n">
        <v>180688</v>
      </c>
      <c r="M258" s="13" t="s">
        <v>105</v>
      </c>
      <c r="N258" s="15" t="s">
        <v>41</v>
      </c>
      <c r="O258" s="15"/>
      <c r="P258" s="11" t="n">
        <v>101</v>
      </c>
      <c r="Q258" s="13" t="s">
        <v>52</v>
      </c>
      <c r="R258" s="13" t="s">
        <v>60</v>
      </c>
      <c r="S258" s="11" t="n">
        <v>4210203</v>
      </c>
      <c r="T258" s="13" t="s">
        <v>370</v>
      </c>
      <c r="U258" s="16" t="n">
        <v>741.81</v>
      </c>
      <c r="V258" s="16"/>
      <c r="W258" s="17" t="n">
        <v>0</v>
      </c>
      <c r="X258" s="15" t="s">
        <v>371</v>
      </c>
      <c r="Y258" s="15"/>
      <c r="Z258" s="1" t="str">
        <f aca="false">IF($T258="","",IFERROR(INDEX('Resumo Grupos'!$AC$3:$AC$2000,MATCH($T258,'Resumo Grupos'!$AB$3:$AB$2000,0)),"n/d"))</f>
        <v>Despesa</v>
      </c>
    </row>
    <row r="259" customFormat="false" ht="39" hidden="false" customHeight="true" outlineLevel="0" collapsed="false">
      <c r="A259" s="11" t="n">
        <v>2</v>
      </c>
      <c r="B259" s="12" t="n">
        <v>46206</v>
      </c>
      <c r="C259" s="12" t="n">
        <v>46221</v>
      </c>
      <c r="D259" s="11" t="n">
        <v>33</v>
      </c>
      <c r="E259" s="13" t="s">
        <v>199</v>
      </c>
      <c r="F259" s="11" t="n">
        <v>34</v>
      </c>
      <c r="G259" s="13" t="s">
        <v>87</v>
      </c>
      <c r="H259" s="11" t="n">
        <v>1110203</v>
      </c>
      <c r="I259" s="13" t="s">
        <v>100</v>
      </c>
      <c r="J259" s="14" t="n">
        <v>1345312</v>
      </c>
      <c r="K259" s="14"/>
      <c r="L259" s="11" t="n">
        <v>180690</v>
      </c>
      <c r="M259" s="13" t="s">
        <v>105</v>
      </c>
      <c r="N259" s="15" t="s">
        <v>41</v>
      </c>
      <c r="O259" s="15"/>
      <c r="P259" s="11" t="n">
        <v>101</v>
      </c>
      <c r="Q259" s="13" t="s">
        <v>52</v>
      </c>
      <c r="R259" s="13" t="s">
        <v>60</v>
      </c>
      <c r="S259" s="11" t="n">
        <v>4210203</v>
      </c>
      <c r="T259" s="13" t="s">
        <v>370</v>
      </c>
      <c r="U259" s="16" t="n">
        <v>247.27</v>
      </c>
      <c r="V259" s="16"/>
      <c r="W259" s="17" t="n">
        <v>0</v>
      </c>
      <c r="X259" s="15" t="s">
        <v>372</v>
      </c>
      <c r="Y259" s="15"/>
      <c r="Z259" s="1" t="str">
        <f aca="false">IF($T259="","",IFERROR(INDEX('Resumo Grupos'!$AC$3:$AC$2000,MATCH($T259,'Resumo Grupos'!$AB$3:$AB$2000,0)),"n/d"))</f>
        <v>Despesa</v>
      </c>
    </row>
    <row r="260" customFormat="false" ht="39" hidden="false" customHeight="true" outlineLevel="0" collapsed="false">
      <c r="A260" s="11" t="n">
        <v>2</v>
      </c>
      <c r="B260" s="12" t="n">
        <v>46206</v>
      </c>
      <c r="C260" s="12" t="n">
        <v>46252</v>
      </c>
      <c r="D260" s="11" t="n">
        <v>33</v>
      </c>
      <c r="E260" s="13" t="s">
        <v>199</v>
      </c>
      <c r="F260" s="11" t="n">
        <v>34</v>
      </c>
      <c r="G260" s="13" t="s">
        <v>87</v>
      </c>
      <c r="H260" s="11" t="n">
        <v>1110203</v>
      </c>
      <c r="I260" s="13" t="s">
        <v>100</v>
      </c>
      <c r="J260" s="14" t="n">
        <v>1345312</v>
      </c>
      <c r="K260" s="14"/>
      <c r="L260" s="11" t="n">
        <v>180690</v>
      </c>
      <c r="M260" s="13" t="s">
        <v>32</v>
      </c>
      <c r="N260" s="15" t="s">
        <v>41</v>
      </c>
      <c r="O260" s="15"/>
      <c r="P260" s="11" t="n">
        <v>101</v>
      </c>
      <c r="Q260" s="13" t="s">
        <v>52</v>
      </c>
      <c r="R260" s="13" t="s">
        <v>60</v>
      </c>
      <c r="S260" s="11" t="n">
        <v>4210203</v>
      </c>
      <c r="T260" s="13" t="s">
        <v>370</v>
      </c>
      <c r="U260" s="16" t="n">
        <v>247.27</v>
      </c>
      <c r="V260" s="16"/>
      <c r="W260" s="17" t="n">
        <v>0</v>
      </c>
      <c r="X260" s="15" t="s">
        <v>372</v>
      </c>
      <c r="Y260" s="15"/>
      <c r="Z260" s="1" t="str">
        <f aca="false">IF($T260="","",IFERROR(INDEX('Resumo Grupos'!$AC$3:$AC$2000,MATCH($T260,'Resumo Grupos'!$AB$3:$AB$2000,0)),"n/d"))</f>
        <v>Despesa</v>
      </c>
    </row>
    <row r="261" customFormat="false" ht="39" hidden="false" customHeight="true" outlineLevel="0" collapsed="false">
      <c r="A261" s="11" t="n">
        <v>2</v>
      </c>
      <c r="B261" s="12" t="n">
        <v>46206</v>
      </c>
      <c r="C261" s="12" t="n">
        <v>46283</v>
      </c>
      <c r="D261" s="11" t="n">
        <v>33</v>
      </c>
      <c r="E261" s="13" t="s">
        <v>199</v>
      </c>
      <c r="F261" s="11" t="n">
        <v>34</v>
      </c>
      <c r="G261" s="13" t="s">
        <v>87</v>
      </c>
      <c r="H261" s="11" t="n">
        <v>1110203</v>
      </c>
      <c r="I261" s="13" t="s">
        <v>100</v>
      </c>
      <c r="J261" s="14" t="n">
        <v>1345312</v>
      </c>
      <c r="K261" s="14"/>
      <c r="L261" s="11" t="n">
        <v>180690</v>
      </c>
      <c r="M261" s="13" t="s">
        <v>101</v>
      </c>
      <c r="N261" s="15" t="s">
        <v>41</v>
      </c>
      <c r="O261" s="15"/>
      <c r="P261" s="11" t="n">
        <v>101</v>
      </c>
      <c r="Q261" s="13" t="s">
        <v>52</v>
      </c>
      <c r="R261" s="13" t="s">
        <v>60</v>
      </c>
      <c r="S261" s="11" t="n">
        <v>4210203</v>
      </c>
      <c r="T261" s="13" t="s">
        <v>370</v>
      </c>
      <c r="U261" s="16" t="n">
        <v>247.27</v>
      </c>
      <c r="V261" s="16"/>
      <c r="W261" s="17" t="n">
        <v>0</v>
      </c>
      <c r="X261" s="15" t="s">
        <v>372</v>
      </c>
      <c r="Y261" s="15"/>
      <c r="Z261" s="1" t="str">
        <f aca="false">IF($T261="","",IFERROR(INDEX('Resumo Grupos'!$AC$3:$AC$2000,MATCH($T261,'Resumo Grupos'!$AB$3:$AB$2000,0)),"n/d"))</f>
        <v>Despesa</v>
      </c>
    </row>
    <row r="262" customFormat="false" ht="39" hidden="false" customHeight="true" outlineLevel="0" collapsed="false">
      <c r="A262" s="11" t="n">
        <v>2</v>
      </c>
      <c r="B262" s="12" t="n">
        <v>46206</v>
      </c>
      <c r="C262" s="12" t="n">
        <v>46206</v>
      </c>
      <c r="D262" s="11" t="n">
        <v>48</v>
      </c>
      <c r="E262" s="13" t="s">
        <v>112</v>
      </c>
      <c r="F262" s="11" t="n">
        <v>13</v>
      </c>
      <c r="G262" s="13" t="s">
        <v>113</v>
      </c>
      <c r="H262" s="11" t="n">
        <v>2110101</v>
      </c>
      <c r="I262" s="13" t="s">
        <v>31</v>
      </c>
      <c r="J262" s="14" t="n">
        <v>1345376</v>
      </c>
      <c r="K262" s="14"/>
      <c r="L262" s="11" t="n">
        <v>2522</v>
      </c>
      <c r="M262" s="13" t="s">
        <v>105</v>
      </c>
      <c r="N262" s="15" t="s">
        <v>33</v>
      </c>
      <c r="O262" s="15"/>
      <c r="P262" s="11" t="n">
        <v>113</v>
      </c>
      <c r="Q262" s="13" t="s">
        <v>34</v>
      </c>
      <c r="R262" s="13" t="s">
        <v>35</v>
      </c>
      <c r="S262" s="11" t="n">
        <v>1130101</v>
      </c>
      <c r="T262" s="13" t="s">
        <v>36</v>
      </c>
      <c r="U262" s="16" t="n">
        <v>1082.6</v>
      </c>
      <c r="V262" s="16"/>
      <c r="W262" s="17" t="n">
        <v>0</v>
      </c>
      <c r="X262" s="15" t="s">
        <v>373</v>
      </c>
      <c r="Y262" s="15"/>
      <c r="Z262" s="1" t="str">
        <f aca="false">IF($T262="","",IFERROR(INDEX('Resumo Grupos'!$AC$3:$AC$2000,MATCH($T262,'Resumo Grupos'!$AB$3:$AB$2000,0)),"n/d"))</f>
        <v>Mercadoria</v>
      </c>
    </row>
    <row r="263" customFormat="false" ht="39" hidden="false" customHeight="true" outlineLevel="0" collapsed="false">
      <c r="A263" s="11" t="n">
        <v>2</v>
      </c>
      <c r="B263" s="12" t="n">
        <v>46206</v>
      </c>
      <c r="C263" s="12" t="n">
        <v>46206</v>
      </c>
      <c r="D263" s="11" t="n">
        <v>1037</v>
      </c>
      <c r="E263" s="13" t="s">
        <v>364</v>
      </c>
      <c r="F263" s="11" t="n">
        <v>13</v>
      </c>
      <c r="G263" s="13" t="s">
        <v>113</v>
      </c>
      <c r="H263" s="11" t="n">
        <v>2110101</v>
      </c>
      <c r="I263" s="13" t="s">
        <v>31</v>
      </c>
      <c r="J263" s="14" t="n">
        <v>1345399</v>
      </c>
      <c r="K263" s="14"/>
      <c r="L263" s="11" t="n">
        <v>180710</v>
      </c>
      <c r="M263" s="13" t="s">
        <v>105</v>
      </c>
      <c r="N263" s="15" t="s">
        <v>41</v>
      </c>
      <c r="O263" s="15"/>
      <c r="P263" s="11" t="n">
        <v>113</v>
      </c>
      <c r="Q263" s="13" t="s">
        <v>34</v>
      </c>
      <c r="R263" s="13" t="s">
        <v>35</v>
      </c>
      <c r="S263" s="11" t="n">
        <v>1130101</v>
      </c>
      <c r="T263" s="13" t="s">
        <v>36</v>
      </c>
      <c r="U263" s="16" t="n">
        <v>280</v>
      </c>
      <c r="V263" s="16"/>
      <c r="W263" s="17" t="n">
        <v>0</v>
      </c>
      <c r="X263" s="15" t="s">
        <v>374</v>
      </c>
      <c r="Y263" s="15"/>
      <c r="Z263" s="1" t="str">
        <f aca="false">IF($T263="","",IFERROR(INDEX('Resumo Grupos'!$AC$3:$AC$2000,MATCH($T263,'Resumo Grupos'!$AB$3:$AB$2000,0)),"n/d"))</f>
        <v>Mercadoria</v>
      </c>
    </row>
    <row r="264" customFormat="false" ht="39" hidden="false" customHeight="true" outlineLevel="0" collapsed="false">
      <c r="A264" s="11" t="n">
        <v>2</v>
      </c>
      <c r="B264" s="12" t="n">
        <v>46206</v>
      </c>
      <c r="C264" s="12" t="n">
        <v>46218</v>
      </c>
      <c r="D264" s="11" t="n">
        <v>1683</v>
      </c>
      <c r="E264" s="13" t="s">
        <v>328</v>
      </c>
      <c r="F264" s="11" t="n">
        <v>34</v>
      </c>
      <c r="G264" s="13" t="s">
        <v>87</v>
      </c>
      <c r="H264" s="11" t="n">
        <v>2110101</v>
      </c>
      <c r="I264" s="13" t="s">
        <v>31</v>
      </c>
      <c r="J264" s="14" t="n">
        <v>1345413</v>
      </c>
      <c r="K264" s="14"/>
      <c r="L264" s="11" t="n">
        <v>1642191</v>
      </c>
      <c r="M264" s="13" t="s">
        <v>105</v>
      </c>
      <c r="N264" s="15" t="s">
        <v>33</v>
      </c>
      <c r="O264" s="15"/>
      <c r="P264" s="11" t="n">
        <v>113</v>
      </c>
      <c r="Q264" s="13" t="s">
        <v>34</v>
      </c>
      <c r="R264" s="13" t="s">
        <v>35</v>
      </c>
      <c r="S264" s="11" t="n">
        <v>1130101</v>
      </c>
      <c r="T264" s="13" t="s">
        <v>36</v>
      </c>
      <c r="U264" s="16" t="n">
        <v>89.5</v>
      </c>
      <c r="V264" s="16"/>
      <c r="W264" s="17" t="n">
        <v>0</v>
      </c>
      <c r="X264" s="15" t="s">
        <v>329</v>
      </c>
      <c r="Y264" s="15"/>
      <c r="Z264" s="1" t="str">
        <f aca="false">IF($T264="","",IFERROR(INDEX('Resumo Grupos'!$AC$3:$AC$2000,MATCH($T264,'Resumo Grupos'!$AB$3:$AB$2000,0)),"n/d"))</f>
        <v>Mercadoria</v>
      </c>
    </row>
    <row r="265" customFormat="false" ht="28.5" hidden="false" customHeight="true" outlineLevel="0" collapsed="false">
      <c r="A265" s="11" t="n">
        <v>2</v>
      </c>
      <c r="B265" s="12" t="n">
        <v>46205</v>
      </c>
      <c r="C265" s="12" t="n">
        <v>46205</v>
      </c>
      <c r="D265" s="11" t="n">
        <v>515</v>
      </c>
      <c r="E265" s="13" t="s">
        <v>91</v>
      </c>
      <c r="F265" s="11" t="n">
        <v>34</v>
      </c>
      <c r="G265" s="13" t="s">
        <v>87</v>
      </c>
      <c r="H265" s="11" t="n">
        <v>1110203</v>
      </c>
      <c r="I265" s="13" t="s">
        <v>100</v>
      </c>
      <c r="J265" s="14" t="n">
        <v>1345425</v>
      </c>
      <c r="K265" s="14"/>
      <c r="L265" s="11" t="n">
        <v>180715</v>
      </c>
      <c r="M265" s="13" t="s">
        <v>105</v>
      </c>
      <c r="N265" s="15" t="s">
        <v>41</v>
      </c>
      <c r="O265" s="15"/>
      <c r="P265" s="11" t="n">
        <v>102</v>
      </c>
      <c r="Q265" s="13" t="s">
        <v>354</v>
      </c>
      <c r="R265" s="13" t="s">
        <v>359</v>
      </c>
      <c r="S265" s="11" t="n">
        <v>4210504</v>
      </c>
      <c r="T265" s="13" t="s">
        <v>360</v>
      </c>
      <c r="U265" s="16" t="n">
        <v>370.75</v>
      </c>
      <c r="V265" s="16"/>
      <c r="W265" s="17" t="n">
        <v>0</v>
      </c>
      <c r="X265" s="15" t="s">
        <v>375</v>
      </c>
      <c r="Y265" s="15"/>
      <c r="Z265" s="1" t="str">
        <f aca="false">IF($T265="","",IFERROR(INDEX('Resumo Grupos'!$AC$3:$AC$2000,MATCH($T265,'Resumo Grupos'!$AB$3:$AB$2000,0)),"n/d"))</f>
        <v>Despesa</v>
      </c>
    </row>
    <row r="266" customFormat="false" ht="28.5" hidden="false" customHeight="true" outlineLevel="0" collapsed="false">
      <c r="A266" s="11" t="n">
        <v>2</v>
      </c>
      <c r="B266" s="12" t="n">
        <v>46205</v>
      </c>
      <c r="C266" s="12" t="n">
        <v>46205</v>
      </c>
      <c r="D266" s="11" t="n">
        <v>515</v>
      </c>
      <c r="E266" s="13" t="s">
        <v>91</v>
      </c>
      <c r="F266" s="11" t="n">
        <v>34</v>
      </c>
      <c r="G266" s="13" t="s">
        <v>87</v>
      </c>
      <c r="H266" s="11" t="n">
        <v>1110203</v>
      </c>
      <c r="I266" s="13" t="s">
        <v>100</v>
      </c>
      <c r="J266" s="14" t="n">
        <v>1345429</v>
      </c>
      <c r="K266" s="14"/>
      <c r="L266" s="11" t="n">
        <v>180716</v>
      </c>
      <c r="M266" s="13" t="s">
        <v>105</v>
      </c>
      <c r="N266" s="15" t="s">
        <v>41</v>
      </c>
      <c r="O266" s="15"/>
      <c r="P266" s="11" t="n">
        <v>102</v>
      </c>
      <c r="Q266" s="13" t="s">
        <v>354</v>
      </c>
      <c r="R266" s="13" t="s">
        <v>359</v>
      </c>
      <c r="S266" s="11" t="n">
        <v>4210504</v>
      </c>
      <c r="T266" s="13" t="s">
        <v>360</v>
      </c>
      <c r="U266" s="16" t="n">
        <v>487.31</v>
      </c>
      <c r="V266" s="16"/>
      <c r="W266" s="17" t="n">
        <v>0</v>
      </c>
      <c r="X266" s="15" t="s">
        <v>376</v>
      </c>
      <c r="Y266" s="15"/>
      <c r="Z266" s="1" t="str">
        <f aca="false">IF($T266="","",IFERROR(INDEX('Resumo Grupos'!$AC$3:$AC$2000,MATCH($T266,'Resumo Grupos'!$AB$3:$AB$2000,0)),"n/d"))</f>
        <v>Despesa</v>
      </c>
    </row>
    <row r="267" customFormat="false" ht="39" hidden="false" customHeight="true" outlineLevel="0" collapsed="false">
      <c r="A267" s="11" t="n">
        <v>2</v>
      </c>
      <c r="B267" s="12" t="n">
        <v>46206</v>
      </c>
      <c r="C267" s="12" t="n">
        <v>46213</v>
      </c>
      <c r="D267" s="11" t="n">
        <v>1621</v>
      </c>
      <c r="E267" s="13" t="s">
        <v>209</v>
      </c>
      <c r="F267" s="11" t="n">
        <v>24</v>
      </c>
      <c r="G267" s="13" t="s">
        <v>30</v>
      </c>
      <c r="H267" s="11" t="n">
        <v>2110101</v>
      </c>
      <c r="I267" s="13" t="s">
        <v>31</v>
      </c>
      <c r="J267" s="14" t="n">
        <v>1345469</v>
      </c>
      <c r="K267" s="14"/>
      <c r="L267" s="11" t="n">
        <v>888702</v>
      </c>
      <c r="M267" s="13" t="s">
        <v>105</v>
      </c>
      <c r="N267" s="15" t="s">
        <v>33</v>
      </c>
      <c r="O267" s="15"/>
      <c r="P267" s="11" t="n">
        <v>113</v>
      </c>
      <c r="Q267" s="13" t="s">
        <v>34</v>
      </c>
      <c r="R267" s="13" t="s">
        <v>35</v>
      </c>
      <c r="S267" s="11" t="n">
        <v>1130101</v>
      </c>
      <c r="T267" s="13" t="s">
        <v>36</v>
      </c>
      <c r="U267" s="16" t="n">
        <v>2293.67</v>
      </c>
      <c r="V267" s="16"/>
      <c r="W267" s="17" t="n">
        <v>0</v>
      </c>
      <c r="X267" s="15" t="s">
        <v>377</v>
      </c>
      <c r="Y267" s="15"/>
      <c r="Z267" s="1" t="str">
        <f aca="false">IF($T267="","",IFERROR(INDEX('Resumo Grupos'!$AC$3:$AC$2000,MATCH($T267,'Resumo Grupos'!$AB$3:$AB$2000,0)),"n/d"))</f>
        <v>Mercadoria</v>
      </c>
    </row>
    <row r="268" customFormat="false" ht="39" hidden="false" customHeight="true" outlineLevel="0" collapsed="false">
      <c r="A268" s="11" t="n">
        <v>2</v>
      </c>
      <c r="B268" s="12" t="n">
        <v>46206</v>
      </c>
      <c r="C268" s="12" t="n">
        <v>46213</v>
      </c>
      <c r="D268" s="11" t="n">
        <v>1621</v>
      </c>
      <c r="E268" s="13" t="s">
        <v>209</v>
      </c>
      <c r="F268" s="11" t="n">
        <v>24</v>
      </c>
      <c r="G268" s="13" t="s">
        <v>30</v>
      </c>
      <c r="H268" s="11" t="n">
        <v>2110101</v>
      </c>
      <c r="I268" s="13" t="s">
        <v>31</v>
      </c>
      <c r="J268" s="14" t="n">
        <v>1345477</v>
      </c>
      <c r="K268" s="14"/>
      <c r="L268" s="11" t="n">
        <v>180727</v>
      </c>
      <c r="M268" s="13" t="s">
        <v>105</v>
      </c>
      <c r="N268" s="15" t="s">
        <v>41</v>
      </c>
      <c r="O268" s="15"/>
      <c r="P268" s="11" t="n">
        <v>113</v>
      </c>
      <c r="Q268" s="13" t="s">
        <v>34</v>
      </c>
      <c r="R268" s="13" t="s">
        <v>35</v>
      </c>
      <c r="S268" s="11" t="n">
        <v>1130101</v>
      </c>
      <c r="T268" s="13" t="s">
        <v>36</v>
      </c>
      <c r="U268" s="16" t="n">
        <v>1.55</v>
      </c>
      <c r="V268" s="16"/>
      <c r="W268" s="17" t="n">
        <v>0</v>
      </c>
      <c r="X268" s="15" t="s">
        <v>378</v>
      </c>
      <c r="Y268" s="15"/>
      <c r="Z268" s="1" t="str">
        <f aca="false">IF($T268="","",IFERROR(INDEX('Resumo Grupos'!$AC$3:$AC$2000,MATCH($T268,'Resumo Grupos'!$AB$3:$AB$2000,0)),"n/d"))</f>
        <v>Mercadoria</v>
      </c>
    </row>
    <row r="269" customFormat="false" ht="39" hidden="false" customHeight="true" outlineLevel="0" collapsed="false">
      <c r="A269" s="11" t="n">
        <v>2</v>
      </c>
      <c r="B269" s="12" t="n">
        <v>46206</v>
      </c>
      <c r="C269" s="12" t="n">
        <v>46213</v>
      </c>
      <c r="D269" s="11" t="n">
        <v>1650</v>
      </c>
      <c r="E269" s="13" t="s">
        <v>379</v>
      </c>
      <c r="F269" s="11" t="n">
        <v>24</v>
      </c>
      <c r="G269" s="13" t="s">
        <v>30</v>
      </c>
      <c r="H269" s="11" t="n">
        <v>2110101</v>
      </c>
      <c r="I269" s="13" t="s">
        <v>31</v>
      </c>
      <c r="J269" s="14" t="n">
        <v>1345530</v>
      </c>
      <c r="K269" s="14"/>
      <c r="L269" s="11" t="n">
        <v>225160</v>
      </c>
      <c r="M269" s="13" t="s">
        <v>105</v>
      </c>
      <c r="N269" s="15" t="s">
        <v>33</v>
      </c>
      <c r="O269" s="15"/>
      <c r="P269" s="11" t="n">
        <v>113</v>
      </c>
      <c r="Q269" s="13" t="s">
        <v>34</v>
      </c>
      <c r="R269" s="13" t="s">
        <v>35</v>
      </c>
      <c r="S269" s="11" t="n">
        <v>1130101</v>
      </c>
      <c r="T269" s="13" t="s">
        <v>36</v>
      </c>
      <c r="U269" s="16" t="n">
        <v>393.86</v>
      </c>
      <c r="V269" s="16"/>
      <c r="W269" s="17" t="n">
        <v>0</v>
      </c>
      <c r="X269" s="15" t="s">
        <v>380</v>
      </c>
      <c r="Y269" s="15"/>
      <c r="Z269" s="1" t="str">
        <f aca="false">IF($T269="","",IFERROR(INDEX('Resumo Grupos'!$AC$3:$AC$2000,MATCH($T269,'Resumo Grupos'!$AB$3:$AB$2000,0)),"n/d"))</f>
        <v>Mercadoria</v>
      </c>
    </row>
    <row r="270" customFormat="false" ht="39" hidden="false" customHeight="true" outlineLevel="0" collapsed="false">
      <c r="A270" s="11" t="n">
        <v>2</v>
      </c>
      <c r="B270" s="12" t="n">
        <v>46206</v>
      </c>
      <c r="C270" s="12" t="n">
        <v>46213</v>
      </c>
      <c r="D270" s="11" t="n">
        <v>1123</v>
      </c>
      <c r="E270" s="13" t="s">
        <v>381</v>
      </c>
      <c r="F270" s="11" t="n">
        <v>24</v>
      </c>
      <c r="G270" s="13" t="s">
        <v>30</v>
      </c>
      <c r="H270" s="11" t="n">
        <v>2110101</v>
      </c>
      <c r="I270" s="13" t="s">
        <v>31</v>
      </c>
      <c r="J270" s="14" t="n">
        <v>1345621</v>
      </c>
      <c r="K270" s="14"/>
      <c r="L270" s="11" t="n">
        <v>42910</v>
      </c>
      <c r="M270" s="13" t="s">
        <v>105</v>
      </c>
      <c r="N270" s="15" t="s">
        <v>33</v>
      </c>
      <c r="O270" s="15"/>
      <c r="P270" s="11" t="n">
        <v>113</v>
      </c>
      <c r="Q270" s="13" t="s">
        <v>34</v>
      </c>
      <c r="R270" s="13" t="s">
        <v>35</v>
      </c>
      <c r="S270" s="11" t="n">
        <v>1130101</v>
      </c>
      <c r="T270" s="13" t="s">
        <v>36</v>
      </c>
      <c r="U270" s="16" t="n">
        <v>460</v>
      </c>
      <c r="V270" s="16"/>
      <c r="W270" s="17" t="n">
        <v>0</v>
      </c>
      <c r="X270" s="15" t="s">
        <v>382</v>
      </c>
      <c r="Y270" s="15"/>
      <c r="Z270" s="1" t="str">
        <f aca="false">IF($T270="","",IFERROR(INDEX('Resumo Grupos'!$AC$3:$AC$2000,MATCH($T270,'Resumo Grupos'!$AB$3:$AB$2000,0)),"n/d"))</f>
        <v>Mercadoria</v>
      </c>
    </row>
    <row r="271" customFormat="false" ht="57" hidden="false" customHeight="true" outlineLevel="0" collapsed="false">
      <c r="A271" s="11" t="n">
        <v>2</v>
      </c>
      <c r="B271" s="12" t="n">
        <v>46207</v>
      </c>
      <c r="C271" s="12" t="n">
        <v>46211</v>
      </c>
      <c r="D271" s="11" t="n">
        <v>1899</v>
      </c>
      <c r="E271" s="13" t="s">
        <v>287</v>
      </c>
      <c r="F271" s="11" t="n">
        <v>24</v>
      </c>
      <c r="G271" s="13" t="s">
        <v>30</v>
      </c>
      <c r="H271" s="11" t="n">
        <v>2110101</v>
      </c>
      <c r="I271" s="13" t="s">
        <v>31</v>
      </c>
      <c r="J271" s="14" t="n">
        <v>1348260</v>
      </c>
      <c r="K271" s="14"/>
      <c r="L271" s="11" t="n">
        <v>698</v>
      </c>
      <c r="M271" s="13" t="s">
        <v>105</v>
      </c>
      <c r="N271" s="15" t="s">
        <v>33</v>
      </c>
      <c r="O271" s="15"/>
      <c r="P271" s="11" t="n">
        <v>113</v>
      </c>
      <c r="Q271" s="13" t="s">
        <v>34</v>
      </c>
      <c r="R271" s="13" t="s">
        <v>35</v>
      </c>
      <c r="S271" s="11" t="n">
        <v>1130101</v>
      </c>
      <c r="T271" s="13" t="s">
        <v>36</v>
      </c>
      <c r="U271" s="16" t="n">
        <v>379.6</v>
      </c>
      <c r="V271" s="16"/>
      <c r="W271" s="17" t="n">
        <v>0</v>
      </c>
      <c r="X271" s="15" t="s">
        <v>383</v>
      </c>
      <c r="Y271" s="15"/>
      <c r="Z271" s="1" t="str">
        <f aca="false">IF($T271="","",IFERROR(INDEX('Resumo Grupos'!$AC$3:$AC$2000,MATCH($T271,'Resumo Grupos'!$AB$3:$AB$2000,0)),"n/d"))</f>
        <v>Mercadoria</v>
      </c>
    </row>
    <row r="272" customFormat="false" ht="39" hidden="false" customHeight="true" outlineLevel="0" collapsed="false">
      <c r="A272" s="11" t="n">
        <v>2</v>
      </c>
      <c r="B272" s="12" t="n">
        <v>46207</v>
      </c>
      <c r="C272" s="12" t="n">
        <v>46213</v>
      </c>
      <c r="D272" s="11" t="n">
        <v>1625</v>
      </c>
      <c r="E272" s="13" t="s">
        <v>303</v>
      </c>
      <c r="F272" s="11" t="n">
        <v>24</v>
      </c>
      <c r="G272" s="13" t="s">
        <v>30</v>
      </c>
      <c r="H272" s="11" t="n">
        <v>2110101</v>
      </c>
      <c r="I272" s="13" t="s">
        <v>31</v>
      </c>
      <c r="J272" s="14" t="n">
        <v>1348589</v>
      </c>
      <c r="K272" s="14"/>
      <c r="L272" s="11" t="n">
        <v>14615</v>
      </c>
      <c r="M272" s="13" t="s">
        <v>105</v>
      </c>
      <c r="N272" s="15" t="s">
        <v>33</v>
      </c>
      <c r="O272" s="15"/>
      <c r="P272" s="11" t="n">
        <v>113</v>
      </c>
      <c r="Q272" s="13" t="s">
        <v>34</v>
      </c>
      <c r="R272" s="13" t="s">
        <v>35</v>
      </c>
      <c r="S272" s="11" t="n">
        <v>1130101</v>
      </c>
      <c r="T272" s="13" t="s">
        <v>36</v>
      </c>
      <c r="U272" s="16" t="n">
        <v>5738.21</v>
      </c>
      <c r="V272" s="16"/>
      <c r="W272" s="17" t="n">
        <v>0</v>
      </c>
      <c r="X272" s="15" t="s">
        <v>384</v>
      </c>
      <c r="Y272" s="15"/>
      <c r="Z272" s="1" t="str">
        <f aca="false">IF($T272="","",IFERROR(INDEX('Resumo Grupos'!$AC$3:$AC$2000,MATCH($T272,'Resumo Grupos'!$AB$3:$AB$2000,0)),"n/d"))</f>
        <v>Mercadoria</v>
      </c>
    </row>
    <row r="273" customFormat="false" ht="48" hidden="false" customHeight="true" outlineLevel="0" collapsed="false">
      <c r="A273" s="11" t="n">
        <v>2</v>
      </c>
      <c r="B273" s="12" t="n">
        <v>46207</v>
      </c>
      <c r="C273" s="12" t="n">
        <v>46210</v>
      </c>
      <c r="D273" s="11" t="n">
        <v>642</v>
      </c>
      <c r="E273" s="13" t="s">
        <v>315</v>
      </c>
      <c r="F273" s="11" t="n">
        <v>24</v>
      </c>
      <c r="G273" s="13" t="s">
        <v>30</v>
      </c>
      <c r="H273" s="11" t="n">
        <v>2110101</v>
      </c>
      <c r="I273" s="13" t="s">
        <v>31</v>
      </c>
      <c r="J273" s="14" t="n">
        <v>1348633</v>
      </c>
      <c r="K273" s="14"/>
      <c r="L273" s="11" t="n">
        <v>520</v>
      </c>
      <c r="M273" s="13" t="s">
        <v>105</v>
      </c>
      <c r="N273" s="15" t="s">
        <v>33</v>
      </c>
      <c r="O273" s="15"/>
      <c r="P273" s="11" t="n">
        <v>113</v>
      </c>
      <c r="Q273" s="13" t="s">
        <v>34</v>
      </c>
      <c r="R273" s="13" t="s">
        <v>35</v>
      </c>
      <c r="S273" s="11" t="n">
        <v>1130101</v>
      </c>
      <c r="T273" s="13" t="s">
        <v>36</v>
      </c>
      <c r="U273" s="16" t="n">
        <v>240</v>
      </c>
      <c r="V273" s="16"/>
      <c r="W273" s="17" t="n">
        <v>0</v>
      </c>
      <c r="X273" s="15" t="s">
        <v>385</v>
      </c>
      <c r="Y273" s="15"/>
      <c r="Z273" s="1" t="str">
        <f aca="false">IF($T273="","",IFERROR(INDEX('Resumo Grupos'!$AC$3:$AC$2000,MATCH($T273,'Resumo Grupos'!$AB$3:$AB$2000,0)),"n/d"))</f>
        <v>Mercadoria</v>
      </c>
    </row>
    <row r="274" customFormat="false" ht="39" hidden="false" customHeight="true" outlineLevel="0" collapsed="false">
      <c r="A274" s="11" t="n">
        <v>2</v>
      </c>
      <c r="B274" s="12" t="n">
        <v>46209</v>
      </c>
      <c r="C274" s="12" t="n">
        <v>46218</v>
      </c>
      <c r="D274" s="11" t="n">
        <v>1683</v>
      </c>
      <c r="E274" s="13" t="s">
        <v>328</v>
      </c>
      <c r="F274" s="11" t="n">
        <v>34</v>
      </c>
      <c r="G274" s="13" t="s">
        <v>87</v>
      </c>
      <c r="H274" s="11" t="n">
        <v>2110101</v>
      </c>
      <c r="I274" s="13" t="s">
        <v>31</v>
      </c>
      <c r="J274" s="14" t="n">
        <v>1359513</v>
      </c>
      <c r="K274" s="14"/>
      <c r="L274" s="11" t="n">
        <v>1642710</v>
      </c>
      <c r="M274" s="13" t="s">
        <v>105</v>
      </c>
      <c r="N274" s="15" t="s">
        <v>33</v>
      </c>
      <c r="O274" s="15"/>
      <c r="P274" s="11" t="n">
        <v>113</v>
      </c>
      <c r="Q274" s="13" t="s">
        <v>34</v>
      </c>
      <c r="R274" s="13" t="s">
        <v>35</v>
      </c>
      <c r="S274" s="11" t="n">
        <v>1130101</v>
      </c>
      <c r="T274" s="13" t="s">
        <v>36</v>
      </c>
      <c r="U274" s="16" t="n">
        <v>140</v>
      </c>
      <c r="V274" s="16"/>
      <c r="W274" s="17" t="n">
        <v>0</v>
      </c>
      <c r="X274" s="15" t="s">
        <v>329</v>
      </c>
      <c r="Y274" s="15"/>
      <c r="Z274" s="1" t="str">
        <f aca="false">IF($T274="","",IFERROR(INDEX('Resumo Grupos'!$AC$3:$AC$2000,MATCH($T274,'Resumo Grupos'!$AB$3:$AB$2000,0)),"n/d"))</f>
        <v>Mercadoria</v>
      </c>
    </row>
    <row r="275" customFormat="false" ht="39" hidden="false" customHeight="true" outlineLevel="0" collapsed="false">
      <c r="A275" s="11" t="n">
        <v>2</v>
      </c>
      <c r="B275" s="12" t="n">
        <v>46209</v>
      </c>
      <c r="C275" s="12" t="n">
        <v>46217</v>
      </c>
      <c r="D275" s="11" t="n">
        <v>1723</v>
      </c>
      <c r="E275" s="13" t="s">
        <v>272</v>
      </c>
      <c r="F275" s="11" t="n">
        <v>24</v>
      </c>
      <c r="G275" s="13" t="s">
        <v>30</v>
      </c>
      <c r="H275" s="11" t="n">
        <v>2110101</v>
      </c>
      <c r="I275" s="13" t="s">
        <v>31</v>
      </c>
      <c r="J275" s="14" t="n">
        <v>1359593</v>
      </c>
      <c r="K275" s="14"/>
      <c r="L275" s="11" t="n">
        <v>172659</v>
      </c>
      <c r="M275" s="13" t="s">
        <v>105</v>
      </c>
      <c r="N275" s="15" t="s">
        <v>33</v>
      </c>
      <c r="O275" s="15"/>
      <c r="P275" s="11" t="n">
        <v>113</v>
      </c>
      <c r="Q275" s="13" t="s">
        <v>34</v>
      </c>
      <c r="R275" s="13" t="s">
        <v>35</v>
      </c>
      <c r="S275" s="11" t="n">
        <v>1130101</v>
      </c>
      <c r="T275" s="13" t="s">
        <v>36</v>
      </c>
      <c r="U275" s="16" t="n">
        <v>2243.2</v>
      </c>
      <c r="V275" s="16"/>
      <c r="W275" s="17" t="n">
        <v>0</v>
      </c>
      <c r="X275" s="15" t="s">
        <v>386</v>
      </c>
      <c r="Y275" s="15"/>
      <c r="Z275" s="1" t="str">
        <f aca="false">IF($T275="","",IFERROR(INDEX('Resumo Grupos'!$AC$3:$AC$2000,MATCH($T275,'Resumo Grupos'!$AB$3:$AB$2000,0)),"n/d"))</f>
        <v>Mercadoria</v>
      </c>
    </row>
    <row r="276" customFormat="false" ht="39" hidden="false" customHeight="true" outlineLevel="0" collapsed="false">
      <c r="A276" s="11" t="n">
        <v>2</v>
      </c>
      <c r="B276" s="12" t="n">
        <v>46209</v>
      </c>
      <c r="C276" s="12" t="n">
        <v>46224</v>
      </c>
      <c r="D276" s="11" t="n">
        <v>1705</v>
      </c>
      <c r="E276" s="13" t="s">
        <v>169</v>
      </c>
      <c r="F276" s="11" t="n">
        <v>24</v>
      </c>
      <c r="G276" s="13" t="s">
        <v>30</v>
      </c>
      <c r="H276" s="11" t="n">
        <v>2110101</v>
      </c>
      <c r="I276" s="13" t="s">
        <v>31</v>
      </c>
      <c r="J276" s="14" t="n">
        <v>1360155</v>
      </c>
      <c r="K276" s="14"/>
      <c r="L276" s="11" t="n">
        <v>1917880</v>
      </c>
      <c r="M276" s="13" t="s">
        <v>105</v>
      </c>
      <c r="N276" s="15" t="s">
        <v>33</v>
      </c>
      <c r="O276" s="15"/>
      <c r="P276" s="11" t="n">
        <v>113</v>
      </c>
      <c r="Q276" s="13" t="s">
        <v>34</v>
      </c>
      <c r="R276" s="13" t="s">
        <v>35</v>
      </c>
      <c r="S276" s="11" t="n">
        <v>1130101</v>
      </c>
      <c r="T276" s="13" t="s">
        <v>36</v>
      </c>
      <c r="U276" s="16" t="n">
        <v>205.13</v>
      </c>
      <c r="V276" s="16"/>
      <c r="W276" s="17" t="n">
        <v>0</v>
      </c>
      <c r="X276" s="15" t="s">
        <v>387</v>
      </c>
      <c r="Y276" s="15"/>
      <c r="Z276" s="1" t="str">
        <f aca="false">IF($T276="","",IFERROR(INDEX('Resumo Grupos'!$AC$3:$AC$2000,MATCH($T276,'Resumo Grupos'!$AB$3:$AB$2000,0)),"n/d"))</f>
        <v>Mercadoria</v>
      </c>
    </row>
    <row r="277" customFormat="false" ht="39" hidden="false" customHeight="true" outlineLevel="0" collapsed="false">
      <c r="A277" s="11" t="n">
        <v>2</v>
      </c>
      <c r="B277" s="12" t="n">
        <v>46209</v>
      </c>
      <c r="C277" s="12" t="n">
        <v>46224</v>
      </c>
      <c r="D277" s="11" t="n">
        <v>1705</v>
      </c>
      <c r="E277" s="13" t="s">
        <v>169</v>
      </c>
      <c r="F277" s="11" t="n">
        <v>24</v>
      </c>
      <c r="G277" s="13" t="s">
        <v>30</v>
      </c>
      <c r="H277" s="11" t="n">
        <v>2110101</v>
      </c>
      <c r="I277" s="13" t="s">
        <v>31</v>
      </c>
      <c r="J277" s="14" t="n">
        <v>1360170</v>
      </c>
      <c r="K277" s="14"/>
      <c r="L277" s="11" t="n">
        <v>1187912</v>
      </c>
      <c r="M277" s="13" t="s">
        <v>105</v>
      </c>
      <c r="N277" s="15" t="s">
        <v>33</v>
      </c>
      <c r="O277" s="15"/>
      <c r="P277" s="11" t="n">
        <v>113</v>
      </c>
      <c r="Q277" s="13" t="s">
        <v>34</v>
      </c>
      <c r="R277" s="13" t="s">
        <v>35</v>
      </c>
      <c r="S277" s="11" t="n">
        <v>1130101</v>
      </c>
      <c r="T277" s="13" t="s">
        <v>36</v>
      </c>
      <c r="U277" s="16" t="n">
        <v>63.37</v>
      </c>
      <c r="V277" s="16"/>
      <c r="W277" s="17" t="n">
        <v>0</v>
      </c>
      <c r="X277" s="15" t="s">
        <v>388</v>
      </c>
      <c r="Y277" s="15"/>
      <c r="Z277" s="1" t="str">
        <f aca="false">IF($T277="","",IFERROR(INDEX('Resumo Grupos'!$AC$3:$AC$2000,MATCH($T277,'Resumo Grupos'!$AB$3:$AB$2000,0)),"n/d"))</f>
        <v>Mercadoria</v>
      </c>
    </row>
    <row r="278" customFormat="false" ht="28.5" hidden="false" customHeight="true" outlineLevel="0" collapsed="false">
      <c r="A278" s="11" t="n">
        <v>2</v>
      </c>
      <c r="B278" s="12" t="n">
        <v>46209</v>
      </c>
      <c r="C278" s="12" t="n">
        <v>46209</v>
      </c>
      <c r="D278" s="11" t="n">
        <v>1768</v>
      </c>
      <c r="E278" s="13" t="s">
        <v>389</v>
      </c>
      <c r="F278" s="11" t="n">
        <v>34</v>
      </c>
      <c r="G278" s="13" t="s">
        <v>87</v>
      </c>
      <c r="H278" s="11" t="n">
        <v>1110202</v>
      </c>
      <c r="I278" s="13" t="s">
        <v>353</v>
      </c>
      <c r="J278" s="14" t="n">
        <v>628286</v>
      </c>
      <c r="K278" s="14"/>
      <c r="L278" s="11" t="n">
        <v>81552</v>
      </c>
      <c r="M278" s="13" t="s">
        <v>69</v>
      </c>
      <c r="N278" s="15" t="s">
        <v>41</v>
      </c>
      <c r="O278" s="15"/>
      <c r="P278" s="11" t="n">
        <v>102</v>
      </c>
      <c r="Q278" s="13" t="s">
        <v>354</v>
      </c>
      <c r="R278" s="13" t="s">
        <v>60</v>
      </c>
      <c r="S278" s="11" t="n">
        <v>4210202</v>
      </c>
      <c r="T278" s="13" t="s">
        <v>390</v>
      </c>
      <c r="U278" s="16" t="n">
        <v>2431.5</v>
      </c>
      <c r="V278" s="16"/>
      <c r="W278" s="17" t="n">
        <v>0</v>
      </c>
      <c r="X278" s="15" t="s">
        <v>391</v>
      </c>
      <c r="Y278" s="15"/>
      <c r="Z278" s="1" t="str">
        <f aca="false">IF($T278="","",IFERROR(INDEX('Resumo Grupos'!$AC$3:$AC$2000,MATCH($T278,'Resumo Grupos'!$AB$3:$AB$2000,0)),"n/d"))</f>
        <v>Despesa</v>
      </c>
    </row>
    <row r="279" customFormat="false" ht="28.5" hidden="false" customHeight="true" outlineLevel="0" collapsed="false">
      <c r="A279" s="11" t="n">
        <v>2</v>
      </c>
      <c r="B279" s="12" t="n">
        <v>46209</v>
      </c>
      <c r="C279" s="12" t="n">
        <v>46239</v>
      </c>
      <c r="D279" s="11" t="n">
        <v>1768</v>
      </c>
      <c r="E279" s="13" t="s">
        <v>389</v>
      </c>
      <c r="F279" s="11" t="n">
        <v>34</v>
      </c>
      <c r="G279" s="13" t="s">
        <v>87</v>
      </c>
      <c r="H279" s="11" t="n">
        <v>1110202</v>
      </c>
      <c r="I279" s="13" t="s">
        <v>353</v>
      </c>
      <c r="J279" s="14" t="n">
        <v>628286</v>
      </c>
      <c r="K279" s="14"/>
      <c r="L279" s="11" t="n">
        <v>81552</v>
      </c>
      <c r="M279" s="13" t="s">
        <v>58</v>
      </c>
      <c r="N279" s="15" t="s">
        <v>41</v>
      </c>
      <c r="O279" s="15"/>
      <c r="P279" s="11" t="n">
        <v>102</v>
      </c>
      <c r="Q279" s="13" t="s">
        <v>354</v>
      </c>
      <c r="R279" s="13" t="s">
        <v>60</v>
      </c>
      <c r="S279" s="11" t="n">
        <v>4210202</v>
      </c>
      <c r="T279" s="13" t="s">
        <v>390</v>
      </c>
      <c r="U279" s="16" t="n">
        <v>2431.5</v>
      </c>
      <c r="V279" s="16"/>
      <c r="W279" s="17" t="n">
        <v>0</v>
      </c>
      <c r="X279" s="15" t="s">
        <v>391</v>
      </c>
      <c r="Y279" s="15"/>
      <c r="Z279" s="1" t="str">
        <f aca="false">IF($T279="","",IFERROR(INDEX('Resumo Grupos'!$AC$3:$AC$2000,MATCH($T279,'Resumo Grupos'!$AB$3:$AB$2000,0)),"n/d"))</f>
        <v>Despesa</v>
      </c>
    </row>
    <row r="280" customFormat="false" ht="28.5" hidden="false" customHeight="true" outlineLevel="0" collapsed="false">
      <c r="A280" s="11" t="n">
        <v>2</v>
      </c>
      <c r="B280" s="12" t="n">
        <v>46209</v>
      </c>
      <c r="C280" s="12" t="n">
        <v>46269</v>
      </c>
      <c r="D280" s="11" t="n">
        <v>1768</v>
      </c>
      <c r="E280" s="13" t="s">
        <v>389</v>
      </c>
      <c r="F280" s="11" t="n">
        <v>34</v>
      </c>
      <c r="G280" s="13" t="s">
        <v>87</v>
      </c>
      <c r="H280" s="11" t="n">
        <v>1110202</v>
      </c>
      <c r="I280" s="13" t="s">
        <v>353</v>
      </c>
      <c r="J280" s="14" t="n">
        <v>628286</v>
      </c>
      <c r="K280" s="14"/>
      <c r="L280" s="11" t="n">
        <v>81552</v>
      </c>
      <c r="M280" s="13" t="s">
        <v>65</v>
      </c>
      <c r="N280" s="15" t="s">
        <v>41</v>
      </c>
      <c r="O280" s="15"/>
      <c r="P280" s="11" t="n">
        <v>102</v>
      </c>
      <c r="Q280" s="13" t="s">
        <v>354</v>
      </c>
      <c r="R280" s="13" t="s">
        <v>60</v>
      </c>
      <c r="S280" s="11" t="n">
        <v>4210202</v>
      </c>
      <c r="T280" s="13" t="s">
        <v>390</v>
      </c>
      <c r="U280" s="16" t="n">
        <v>2431.5</v>
      </c>
      <c r="V280" s="16"/>
      <c r="W280" s="17" t="n">
        <v>0</v>
      </c>
      <c r="X280" s="15" t="s">
        <v>391</v>
      </c>
      <c r="Y280" s="15"/>
      <c r="Z280" s="1" t="str">
        <f aca="false">IF($T280="","",IFERROR(INDEX('Resumo Grupos'!$AC$3:$AC$2000,MATCH($T280,'Resumo Grupos'!$AB$3:$AB$2000,0)),"n/d"))</f>
        <v>Despesa</v>
      </c>
    </row>
    <row r="281" customFormat="false" ht="39" hidden="false" customHeight="true" outlineLevel="0" collapsed="false">
      <c r="A281" s="11" t="n">
        <v>2</v>
      </c>
      <c r="B281" s="12" t="n">
        <v>46209</v>
      </c>
      <c r="C281" s="12" t="n">
        <v>46224</v>
      </c>
      <c r="D281" s="11" t="n">
        <v>1705</v>
      </c>
      <c r="E281" s="13" t="s">
        <v>169</v>
      </c>
      <c r="F281" s="11" t="n">
        <v>24</v>
      </c>
      <c r="G281" s="13" t="s">
        <v>30</v>
      </c>
      <c r="H281" s="11" t="n">
        <v>2110101</v>
      </c>
      <c r="I281" s="13" t="s">
        <v>31</v>
      </c>
      <c r="J281" s="14" t="n">
        <v>1360305</v>
      </c>
      <c r="K281" s="14"/>
      <c r="L281" s="11" t="n">
        <v>1187910</v>
      </c>
      <c r="M281" s="13" t="s">
        <v>105</v>
      </c>
      <c r="N281" s="15" t="s">
        <v>33</v>
      </c>
      <c r="O281" s="15"/>
      <c r="P281" s="11" t="n">
        <v>113</v>
      </c>
      <c r="Q281" s="13" t="s">
        <v>34</v>
      </c>
      <c r="R281" s="13" t="s">
        <v>35</v>
      </c>
      <c r="S281" s="11" t="n">
        <v>1130101</v>
      </c>
      <c r="T281" s="13" t="s">
        <v>36</v>
      </c>
      <c r="U281" s="16" t="n">
        <v>767.32</v>
      </c>
      <c r="V281" s="16"/>
      <c r="W281" s="17" t="n">
        <v>0</v>
      </c>
      <c r="X281" s="15" t="s">
        <v>392</v>
      </c>
      <c r="Y281" s="15"/>
      <c r="Z281" s="1" t="str">
        <f aca="false">IF($T281="","",IFERROR(INDEX('Resumo Grupos'!$AC$3:$AC$2000,MATCH($T281,'Resumo Grupos'!$AB$3:$AB$2000,0)),"n/d"))</f>
        <v>Mercadoria</v>
      </c>
    </row>
    <row r="282" customFormat="false" ht="39" hidden="false" customHeight="true" outlineLevel="0" collapsed="false">
      <c r="A282" s="11" t="n">
        <v>2</v>
      </c>
      <c r="B282" s="12" t="n">
        <v>46209</v>
      </c>
      <c r="C282" s="12" t="n">
        <v>46224</v>
      </c>
      <c r="D282" s="11" t="n">
        <v>1705</v>
      </c>
      <c r="E282" s="13" t="s">
        <v>169</v>
      </c>
      <c r="F282" s="11" t="n">
        <v>24</v>
      </c>
      <c r="G282" s="13" t="s">
        <v>30</v>
      </c>
      <c r="H282" s="11" t="n">
        <v>2110101</v>
      </c>
      <c r="I282" s="13" t="s">
        <v>31</v>
      </c>
      <c r="J282" s="14" t="n">
        <v>1360368</v>
      </c>
      <c r="K282" s="14"/>
      <c r="L282" s="11" t="n">
        <v>182678</v>
      </c>
      <c r="M282" s="13" t="s">
        <v>105</v>
      </c>
      <c r="N282" s="15" t="s">
        <v>41</v>
      </c>
      <c r="O282" s="15"/>
      <c r="P282" s="11" t="n">
        <v>113</v>
      </c>
      <c r="Q282" s="13" t="s">
        <v>34</v>
      </c>
      <c r="R282" s="13" t="s">
        <v>35</v>
      </c>
      <c r="S282" s="11" t="n">
        <v>1130101</v>
      </c>
      <c r="T282" s="13" t="s">
        <v>36</v>
      </c>
      <c r="U282" s="16" t="n">
        <v>3649.01</v>
      </c>
      <c r="V282" s="16"/>
      <c r="W282" s="17" t="n">
        <v>0</v>
      </c>
      <c r="X282" s="15" t="s">
        <v>393</v>
      </c>
      <c r="Y282" s="15"/>
      <c r="Z282" s="1" t="str">
        <f aca="false">IF($T282="","",IFERROR(INDEX('Resumo Grupos'!$AC$3:$AC$2000,MATCH($T282,'Resumo Grupos'!$AB$3:$AB$2000,0)),"n/d"))</f>
        <v>Mercadoria</v>
      </c>
    </row>
    <row r="283" customFormat="false" ht="39" hidden="false" customHeight="true" outlineLevel="0" collapsed="false">
      <c r="A283" s="11" t="n">
        <v>2</v>
      </c>
      <c r="B283" s="12" t="n">
        <v>46209</v>
      </c>
      <c r="C283" s="12" t="n">
        <v>46209</v>
      </c>
      <c r="D283" s="11" t="n">
        <v>48</v>
      </c>
      <c r="E283" s="13" t="s">
        <v>112</v>
      </c>
      <c r="F283" s="11" t="n">
        <v>13</v>
      </c>
      <c r="G283" s="13" t="s">
        <v>113</v>
      </c>
      <c r="H283" s="11" t="n">
        <v>2110101</v>
      </c>
      <c r="I283" s="13" t="s">
        <v>31</v>
      </c>
      <c r="J283" s="14" t="n">
        <v>1361277</v>
      </c>
      <c r="K283" s="14"/>
      <c r="L283" s="11" t="n">
        <v>2527</v>
      </c>
      <c r="M283" s="13" t="s">
        <v>105</v>
      </c>
      <c r="N283" s="15" t="s">
        <v>33</v>
      </c>
      <c r="O283" s="15"/>
      <c r="P283" s="11" t="n">
        <v>113</v>
      </c>
      <c r="Q283" s="13" t="s">
        <v>34</v>
      </c>
      <c r="R283" s="13" t="s">
        <v>35</v>
      </c>
      <c r="S283" s="11" t="n">
        <v>1130101</v>
      </c>
      <c r="T283" s="13" t="s">
        <v>36</v>
      </c>
      <c r="U283" s="16" t="n">
        <v>210</v>
      </c>
      <c r="V283" s="16"/>
      <c r="W283" s="17" t="n">
        <v>210</v>
      </c>
      <c r="X283" s="15" t="s">
        <v>394</v>
      </c>
      <c r="Y283" s="15"/>
      <c r="Z283" s="1" t="str">
        <f aca="false">IF($T283="","",IFERROR(INDEX('Resumo Grupos'!$AC$3:$AC$2000,MATCH($T283,'Resumo Grupos'!$AB$3:$AB$2000,0)),"n/d"))</f>
        <v>Mercadoria</v>
      </c>
    </row>
    <row r="284" customFormat="false" ht="57" hidden="false" customHeight="true" outlineLevel="0" collapsed="false">
      <c r="A284" s="11" t="n">
        <v>2</v>
      </c>
      <c r="B284" s="12" t="n">
        <v>46209</v>
      </c>
      <c r="C284" s="12" t="n">
        <v>46216</v>
      </c>
      <c r="D284" s="11" t="n">
        <v>1363</v>
      </c>
      <c r="E284" s="13" t="s">
        <v>313</v>
      </c>
      <c r="F284" s="11" t="n">
        <v>24</v>
      </c>
      <c r="G284" s="13" t="s">
        <v>30</v>
      </c>
      <c r="H284" s="11" t="n">
        <v>2110101</v>
      </c>
      <c r="I284" s="13" t="s">
        <v>31</v>
      </c>
      <c r="J284" s="14" t="n">
        <v>1361298</v>
      </c>
      <c r="K284" s="14"/>
      <c r="L284" s="11" t="n">
        <v>3500</v>
      </c>
      <c r="M284" s="13" t="s">
        <v>105</v>
      </c>
      <c r="N284" s="15" t="s">
        <v>33</v>
      </c>
      <c r="O284" s="15"/>
      <c r="P284" s="11" t="n">
        <v>113</v>
      </c>
      <c r="Q284" s="13" t="s">
        <v>34</v>
      </c>
      <c r="R284" s="13" t="s">
        <v>35</v>
      </c>
      <c r="S284" s="11" t="n">
        <v>1130101</v>
      </c>
      <c r="T284" s="13" t="s">
        <v>36</v>
      </c>
      <c r="U284" s="16" t="n">
        <v>142</v>
      </c>
      <c r="V284" s="16"/>
      <c r="W284" s="17" t="n">
        <v>0</v>
      </c>
      <c r="X284" s="15" t="s">
        <v>395</v>
      </c>
      <c r="Y284" s="15"/>
      <c r="Z284" s="1" t="str">
        <f aca="false">IF($T284="","",IFERROR(INDEX('Resumo Grupos'!$AC$3:$AC$2000,MATCH($T284,'Resumo Grupos'!$AB$3:$AB$2000,0)),"n/d"))</f>
        <v>Mercadoria</v>
      </c>
    </row>
    <row r="285" customFormat="false" ht="39" hidden="false" customHeight="true" outlineLevel="0" collapsed="false">
      <c r="A285" s="11" t="n">
        <v>2</v>
      </c>
      <c r="B285" s="12" t="n">
        <v>46217</v>
      </c>
      <c r="C285" s="12" t="n">
        <v>46217</v>
      </c>
      <c r="D285" s="11" t="n">
        <v>1037</v>
      </c>
      <c r="E285" s="13" t="s">
        <v>364</v>
      </c>
      <c r="F285" s="11" t="n">
        <v>34</v>
      </c>
      <c r="G285" s="13" t="s">
        <v>87</v>
      </c>
      <c r="H285" s="11" t="n">
        <v>1110203</v>
      </c>
      <c r="I285" s="13" t="s">
        <v>100</v>
      </c>
      <c r="J285" s="14" t="n">
        <v>1398234</v>
      </c>
      <c r="K285" s="14"/>
      <c r="L285" s="11" t="n">
        <v>188092</v>
      </c>
      <c r="M285" s="13" t="s">
        <v>105</v>
      </c>
      <c r="N285" s="15" t="s">
        <v>41</v>
      </c>
      <c r="O285" s="15"/>
      <c r="P285" s="11" t="n">
        <v>113</v>
      </c>
      <c r="Q285" s="13" t="s">
        <v>34</v>
      </c>
      <c r="R285" s="13" t="s">
        <v>35</v>
      </c>
      <c r="S285" s="11" t="n">
        <v>1130101</v>
      </c>
      <c r="T285" s="13" t="s">
        <v>36</v>
      </c>
      <c r="U285" s="16" t="n">
        <v>770</v>
      </c>
      <c r="V285" s="16"/>
      <c r="W285" s="17" t="n">
        <v>0</v>
      </c>
      <c r="X285" s="15" t="s">
        <v>396</v>
      </c>
      <c r="Y285" s="15"/>
      <c r="Z285" s="1" t="str">
        <f aca="false">IF($T285="","",IFERROR(INDEX('Resumo Grupos'!$AC$3:$AC$2000,MATCH($T285,'Resumo Grupos'!$AB$3:$AB$2000,0)),"n/d"))</f>
        <v>Mercadoria</v>
      </c>
    </row>
    <row r="286" customFormat="false" ht="39" hidden="false" customHeight="true" outlineLevel="0" collapsed="false">
      <c r="A286" s="11" t="n">
        <v>2</v>
      </c>
      <c r="B286" s="12" t="n">
        <v>46210</v>
      </c>
      <c r="C286" s="12" t="n">
        <v>46227</v>
      </c>
      <c r="D286" s="11" t="n">
        <v>1613</v>
      </c>
      <c r="E286" s="13" t="s">
        <v>133</v>
      </c>
      <c r="F286" s="11" t="n">
        <v>24</v>
      </c>
      <c r="G286" s="13" t="s">
        <v>30</v>
      </c>
      <c r="H286" s="11" t="n">
        <v>2110101</v>
      </c>
      <c r="I286" s="13" t="s">
        <v>31</v>
      </c>
      <c r="J286" s="14" t="n">
        <v>1364523</v>
      </c>
      <c r="K286" s="14"/>
      <c r="L286" s="11" t="n">
        <v>1604119</v>
      </c>
      <c r="M286" s="13" t="s">
        <v>32</v>
      </c>
      <c r="N286" s="15" t="s">
        <v>33</v>
      </c>
      <c r="O286" s="15"/>
      <c r="P286" s="11" t="n">
        <v>113</v>
      </c>
      <c r="Q286" s="13" t="s">
        <v>34</v>
      </c>
      <c r="R286" s="13" t="s">
        <v>35</v>
      </c>
      <c r="S286" s="11" t="n">
        <v>1130101</v>
      </c>
      <c r="T286" s="13" t="s">
        <v>36</v>
      </c>
      <c r="U286" s="16" t="n">
        <v>1031.77</v>
      </c>
      <c r="V286" s="16"/>
      <c r="W286" s="17" t="n">
        <v>0</v>
      </c>
      <c r="X286" s="15" t="s">
        <v>231</v>
      </c>
      <c r="Y286" s="15"/>
      <c r="Z286" s="1" t="str">
        <f aca="false">IF($T286="","",IFERROR(INDEX('Resumo Grupos'!$AC$3:$AC$2000,MATCH($T286,'Resumo Grupos'!$AB$3:$AB$2000,0)),"n/d"))</f>
        <v>Mercadoria</v>
      </c>
    </row>
    <row r="287" customFormat="false" ht="48" hidden="false" customHeight="true" outlineLevel="0" collapsed="false">
      <c r="A287" s="11" t="n">
        <v>2</v>
      </c>
      <c r="B287" s="12" t="n">
        <v>46210</v>
      </c>
      <c r="C287" s="12" t="n">
        <v>46217</v>
      </c>
      <c r="D287" s="11" t="n">
        <v>1642</v>
      </c>
      <c r="E287" s="13" t="s">
        <v>281</v>
      </c>
      <c r="F287" s="11" t="n">
        <v>24</v>
      </c>
      <c r="G287" s="13" t="s">
        <v>30</v>
      </c>
      <c r="H287" s="11" t="n">
        <v>2110101</v>
      </c>
      <c r="I287" s="13" t="s">
        <v>31</v>
      </c>
      <c r="J287" s="14" t="n">
        <v>1364546</v>
      </c>
      <c r="K287" s="14"/>
      <c r="L287" s="11" t="n">
        <v>1030653</v>
      </c>
      <c r="M287" s="13" t="s">
        <v>105</v>
      </c>
      <c r="N287" s="15" t="s">
        <v>33</v>
      </c>
      <c r="O287" s="15"/>
      <c r="P287" s="11" t="n">
        <v>113</v>
      </c>
      <c r="Q287" s="13" t="s">
        <v>34</v>
      </c>
      <c r="R287" s="13" t="s">
        <v>35</v>
      </c>
      <c r="S287" s="11" t="n">
        <v>1130101</v>
      </c>
      <c r="T287" s="13" t="s">
        <v>36</v>
      </c>
      <c r="U287" s="16" t="n">
        <v>248.78</v>
      </c>
      <c r="V287" s="16"/>
      <c r="W287" s="17" t="n">
        <v>0</v>
      </c>
      <c r="X287" s="15" t="s">
        <v>397</v>
      </c>
      <c r="Y287" s="15"/>
      <c r="Z287" s="1" t="str">
        <f aca="false">IF($T287="","",IFERROR(INDEX('Resumo Grupos'!$AC$3:$AC$2000,MATCH($T287,'Resumo Grupos'!$AB$3:$AB$2000,0)),"n/d"))</f>
        <v>Mercadoria</v>
      </c>
    </row>
    <row r="288" customFormat="false" ht="39" hidden="false" customHeight="true" outlineLevel="0" collapsed="false">
      <c r="A288" s="11" t="n">
        <v>2</v>
      </c>
      <c r="B288" s="12" t="n">
        <v>46210</v>
      </c>
      <c r="C288" s="12" t="n">
        <v>46223</v>
      </c>
      <c r="D288" s="11" t="n">
        <v>703</v>
      </c>
      <c r="E288" s="13" t="s">
        <v>398</v>
      </c>
      <c r="F288" s="11" t="n">
        <v>24</v>
      </c>
      <c r="G288" s="13" t="s">
        <v>30</v>
      </c>
      <c r="H288" s="11" t="n">
        <v>2110101</v>
      </c>
      <c r="I288" s="13" t="s">
        <v>31</v>
      </c>
      <c r="J288" s="14" t="n">
        <v>1365044</v>
      </c>
      <c r="K288" s="14"/>
      <c r="L288" s="11" t="n">
        <v>102073</v>
      </c>
      <c r="M288" s="13" t="s">
        <v>105</v>
      </c>
      <c r="N288" s="15" t="s">
        <v>33</v>
      </c>
      <c r="O288" s="15"/>
      <c r="P288" s="11" t="n">
        <v>113</v>
      </c>
      <c r="Q288" s="13" t="s">
        <v>34</v>
      </c>
      <c r="R288" s="13" t="s">
        <v>35</v>
      </c>
      <c r="S288" s="11" t="n">
        <v>1130101</v>
      </c>
      <c r="T288" s="13" t="s">
        <v>36</v>
      </c>
      <c r="U288" s="16" t="n">
        <v>374.1</v>
      </c>
      <c r="V288" s="16"/>
      <c r="W288" s="17" t="n">
        <v>0</v>
      </c>
      <c r="X288" s="15" t="s">
        <v>399</v>
      </c>
      <c r="Y288" s="15"/>
      <c r="Z288" s="1" t="str">
        <f aca="false">IF($T288="","",IFERROR(INDEX('Resumo Grupos'!$AC$3:$AC$2000,MATCH($T288,'Resumo Grupos'!$AB$3:$AB$2000,0)),"n/d"))</f>
        <v>Mercadoria</v>
      </c>
    </row>
    <row r="289" customFormat="false" ht="57" hidden="false" customHeight="true" outlineLevel="0" collapsed="false">
      <c r="A289" s="11" t="n">
        <v>2</v>
      </c>
      <c r="B289" s="12" t="n">
        <v>46210</v>
      </c>
      <c r="C289" s="12" t="n">
        <v>46216</v>
      </c>
      <c r="D289" s="11" t="n">
        <v>1328</v>
      </c>
      <c r="E289" s="13" t="s">
        <v>324</v>
      </c>
      <c r="F289" s="11" t="n">
        <v>24</v>
      </c>
      <c r="G289" s="13" t="s">
        <v>30</v>
      </c>
      <c r="H289" s="11" t="n">
        <v>2110101</v>
      </c>
      <c r="I289" s="13" t="s">
        <v>31</v>
      </c>
      <c r="J289" s="14" t="n">
        <v>1365074</v>
      </c>
      <c r="K289" s="14"/>
      <c r="L289" s="11" t="n">
        <v>3993</v>
      </c>
      <c r="M289" s="13" t="s">
        <v>105</v>
      </c>
      <c r="N289" s="15" t="s">
        <v>33</v>
      </c>
      <c r="O289" s="15"/>
      <c r="P289" s="11" t="n">
        <v>113</v>
      </c>
      <c r="Q289" s="13" t="s">
        <v>34</v>
      </c>
      <c r="R289" s="13" t="s">
        <v>35</v>
      </c>
      <c r="S289" s="11" t="n">
        <v>1130101</v>
      </c>
      <c r="T289" s="13" t="s">
        <v>36</v>
      </c>
      <c r="U289" s="16" t="n">
        <v>194.08</v>
      </c>
      <c r="V289" s="16"/>
      <c r="W289" s="17" t="n">
        <v>0</v>
      </c>
      <c r="X289" s="15" t="s">
        <v>400</v>
      </c>
      <c r="Y289" s="15"/>
      <c r="Z289" s="1" t="str">
        <f aca="false">IF($T289="","",IFERROR(INDEX('Resumo Grupos'!$AC$3:$AC$2000,MATCH($T289,'Resumo Grupos'!$AB$3:$AB$2000,0)),"n/d"))</f>
        <v>Mercadoria</v>
      </c>
    </row>
    <row r="290" customFormat="false" ht="48" hidden="false" customHeight="true" outlineLevel="0" collapsed="false">
      <c r="A290" s="11" t="n">
        <v>2</v>
      </c>
      <c r="B290" s="12" t="n">
        <v>46209</v>
      </c>
      <c r="C290" s="12" t="n">
        <v>46209</v>
      </c>
      <c r="D290" s="11" t="n">
        <v>1783</v>
      </c>
      <c r="E290" s="13" t="s">
        <v>401</v>
      </c>
      <c r="F290" s="11" t="n">
        <v>13</v>
      </c>
      <c r="G290" s="13" t="s">
        <v>113</v>
      </c>
      <c r="H290" s="11" t="n">
        <v>2110101</v>
      </c>
      <c r="I290" s="13" t="s">
        <v>31</v>
      </c>
      <c r="J290" s="14" t="n">
        <v>1365085</v>
      </c>
      <c r="K290" s="14"/>
      <c r="L290" s="11" t="n">
        <v>512</v>
      </c>
      <c r="M290" s="13" t="s">
        <v>105</v>
      </c>
      <c r="N290" s="15" t="s">
        <v>33</v>
      </c>
      <c r="O290" s="15"/>
      <c r="P290" s="11" t="n">
        <v>113</v>
      </c>
      <c r="Q290" s="13" t="s">
        <v>34</v>
      </c>
      <c r="R290" s="13" t="s">
        <v>35</v>
      </c>
      <c r="S290" s="11" t="n">
        <v>1130101</v>
      </c>
      <c r="T290" s="13" t="s">
        <v>36</v>
      </c>
      <c r="U290" s="16" t="n">
        <v>160.32</v>
      </c>
      <c r="V290" s="16"/>
      <c r="W290" s="17" t="n">
        <v>160.32</v>
      </c>
      <c r="X290" s="15" t="s">
        <v>402</v>
      </c>
      <c r="Y290" s="15"/>
      <c r="Z290" s="1" t="str">
        <f aca="false">IF($T290="","",IFERROR(INDEX('Resumo Grupos'!$AC$3:$AC$2000,MATCH($T290,'Resumo Grupos'!$AB$3:$AB$2000,0)),"n/d"))</f>
        <v>Mercadoria</v>
      </c>
    </row>
    <row r="291" customFormat="false" ht="39" hidden="false" customHeight="true" outlineLevel="0" collapsed="false">
      <c r="A291" s="11" t="n">
        <v>2</v>
      </c>
      <c r="B291" s="12" t="n">
        <v>46210</v>
      </c>
      <c r="C291" s="12" t="n">
        <v>46218</v>
      </c>
      <c r="D291" s="11" t="n">
        <v>1683</v>
      </c>
      <c r="E291" s="13" t="s">
        <v>328</v>
      </c>
      <c r="F291" s="11" t="n">
        <v>34</v>
      </c>
      <c r="G291" s="13" t="s">
        <v>87</v>
      </c>
      <c r="H291" s="11" t="n">
        <v>2110101</v>
      </c>
      <c r="I291" s="13" t="s">
        <v>31</v>
      </c>
      <c r="J291" s="14" t="n">
        <v>1365102</v>
      </c>
      <c r="K291" s="14"/>
      <c r="L291" s="11" t="n">
        <v>1643287</v>
      </c>
      <c r="M291" s="13" t="s">
        <v>105</v>
      </c>
      <c r="N291" s="15" t="s">
        <v>33</v>
      </c>
      <c r="O291" s="15"/>
      <c r="P291" s="11" t="n">
        <v>113</v>
      </c>
      <c r="Q291" s="13" t="s">
        <v>34</v>
      </c>
      <c r="R291" s="13" t="s">
        <v>35</v>
      </c>
      <c r="S291" s="11" t="n">
        <v>1130101</v>
      </c>
      <c r="T291" s="13" t="s">
        <v>36</v>
      </c>
      <c r="U291" s="16" t="n">
        <v>130</v>
      </c>
      <c r="V291" s="16"/>
      <c r="W291" s="17" t="n">
        <v>0</v>
      </c>
      <c r="X291" s="15" t="s">
        <v>329</v>
      </c>
      <c r="Y291" s="15"/>
      <c r="Z291" s="1" t="str">
        <f aca="false">IF($T291="","",IFERROR(INDEX('Resumo Grupos'!$AC$3:$AC$2000,MATCH($T291,'Resumo Grupos'!$AB$3:$AB$2000,0)),"n/d"))</f>
        <v>Mercadoria</v>
      </c>
    </row>
    <row r="292" customFormat="false" ht="39" hidden="false" customHeight="true" outlineLevel="0" collapsed="false">
      <c r="A292" s="11" t="n">
        <v>2</v>
      </c>
      <c r="B292" s="12" t="n">
        <v>46210</v>
      </c>
      <c r="C292" s="12" t="n">
        <v>46210</v>
      </c>
      <c r="D292" s="11" t="n">
        <v>48</v>
      </c>
      <c r="E292" s="13" t="s">
        <v>112</v>
      </c>
      <c r="F292" s="11" t="n">
        <v>34</v>
      </c>
      <c r="G292" s="13" t="s">
        <v>87</v>
      </c>
      <c r="H292" s="11" t="n">
        <v>2110101</v>
      </c>
      <c r="I292" s="13" t="s">
        <v>31</v>
      </c>
      <c r="J292" s="14" t="n">
        <v>1365847</v>
      </c>
      <c r="K292" s="14"/>
      <c r="L292" s="11" t="n">
        <v>2528</v>
      </c>
      <c r="M292" s="13" t="s">
        <v>105</v>
      </c>
      <c r="N292" s="15" t="s">
        <v>33</v>
      </c>
      <c r="O292" s="15"/>
      <c r="P292" s="11" t="n">
        <v>113</v>
      </c>
      <c r="Q292" s="13" t="s">
        <v>34</v>
      </c>
      <c r="R292" s="13" t="s">
        <v>35</v>
      </c>
      <c r="S292" s="11" t="n">
        <v>1130101</v>
      </c>
      <c r="T292" s="13" t="s">
        <v>36</v>
      </c>
      <c r="U292" s="16" t="n">
        <v>2024.65</v>
      </c>
      <c r="V292" s="16"/>
      <c r="W292" s="17" t="n">
        <v>0</v>
      </c>
      <c r="X292" s="15" t="s">
        <v>403</v>
      </c>
      <c r="Y292" s="15"/>
      <c r="Z292" s="1" t="str">
        <f aca="false">IF($T292="","",IFERROR(INDEX('Resumo Grupos'!$AC$3:$AC$2000,MATCH($T292,'Resumo Grupos'!$AB$3:$AB$2000,0)),"n/d"))</f>
        <v>Mercadoria</v>
      </c>
    </row>
    <row r="293" customFormat="false" ht="39" hidden="false" customHeight="true" outlineLevel="0" collapsed="false">
      <c r="A293" s="11" t="n">
        <v>2</v>
      </c>
      <c r="B293" s="12" t="n">
        <v>46210</v>
      </c>
      <c r="C293" s="12" t="n">
        <v>46210</v>
      </c>
      <c r="D293" s="11" t="n">
        <v>1037</v>
      </c>
      <c r="E293" s="13" t="s">
        <v>364</v>
      </c>
      <c r="F293" s="11" t="n">
        <v>34</v>
      </c>
      <c r="G293" s="13" t="s">
        <v>87</v>
      </c>
      <c r="H293" s="11" t="n">
        <v>2110101</v>
      </c>
      <c r="I293" s="13" t="s">
        <v>31</v>
      </c>
      <c r="J293" s="14" t="n">
        <v>1365898</v>
      </c>
      <c r="K293" s="14"/>
      <c r="L293" s="11" t="n">
        <v>183595</v>
      </c>
      <c r="M293" s="13" t="s">
        <v>105</v>
      </c>
      <c r="N293" s="15" t="s">
        <v>41</v>
      </c>
      <c r="O293" s="15"/>
      <c r="P293" s="11" t="n">
        <v>113</v>
      </c>
      <c r="Q293" s="13" t="s">
        <v>34</v>
      </c>
      <c r="R293" s="13" t="s">
        <v>35</v>
      </c>
      <c r="S293" s="11" t="n">
        <v>1130101</v>
      </c>
      <c r="T293" s="13" t="s">
        <v>36</v>
      </c>
      <c r="U293" s="16" t="n">
        <v>220</v>
      </c>
      <c r="V293" s="16"/>
      <c r="W293" s="17" t="n">
        <v>0</v>
      </c>
      <c r="X293" s="15" t="s">
        <v>404</v>
      </c>
      <c r="Y293" s="15"/>
      <c r="Z293" s="1" t="str">
        <f aca="false">IF($T293="","",IFERROR(INDEX('Resumo Grupos'!$AC$3:$AC$2000,MATCH($T293,'Resumo Grupos'!$AB$3:$AB$2000,0)),"n/d"))</f>
        <v>Mercadoria</v>
      </c>
    </row>
    <row r="294" customFormat="false" ht="39" hidden="false" customHeight="true" outlineLevel="0" collapsed="false">
      <c r="A294" s="11" t="n">
        <v>2</v>
      </c>
      <c r="B294" s="12" t="n">
        <v>46210</v>
      </c>
      <c r="C294" s="12" t="n">
        <v>46213</v>
      </c>
      <c r="D294" s="11" t="n">
        <v>1695</v>
      </c>
      <c r="E294" s="13" t="s">
        <v>217</v>
      </c>
      <c r="F294" s="11" t="n">
        <v>34</v>
      </c>
      <c r="G294" s="13" t="s">
        <v>87</v>
      </c>
      <c r="H294" s="11" t="n">
        <v>2110101</v>
      </c>
      <c r="I294" s="13" t="s">
        <v>31</v>
      </c>
      <c r="J294" s="14" t="n">
        <v>1366121</v>
      </c>
      <c r="K294" s="14"/>
      <c r="L294" s="11" t="n">
        <v>183613</v>
      </c>
      <c r="M294" s="13" t="s">
        <v>105</v>
      </c>
      <c r="N294" s="15" t="s">
        <v>41</v>
      </c>
      <c r="O294" s="15"/>
      <c r="P294" s="11" t="n">
        <v>113</v>
      </c>
      <c r="Q294" s="13" t="s">
        <v>34</v>
      </c>
      <c r="R294" s="13" t="s">
        <v>35</v>
      </c>
      <c r="S294" s="11" t="n">
        <v>1130101</v>
      </c>
      <c r="T294" s="13" t="s">
        <v>36</v>
      </c>
      <c r="U294" s="16" t="n">
        <v>148.2</v>
      </c>
      <c r="V294" s="16"/>
      <c r="W294" s="17" t="n">
        <v>0</v>
      </c>
      <c r="X294" s="15" t="s">
        <v>405</v>
      </c>
      <c r="Y294" s="15"/>
      <c r="Z294" s="1" t="str">
        <f aca="false">IF($T294="","",IFERROR(INDEX('Resumo Grupos'!$AC$3:$AC$2000,MATCH($T294,'Resumo Grupos'!$AB$3:$AB$2000,0)),"n/d"))</f>
        <v>Mercadoria</v>
      </c>
    </row>
    <row r="295" customFormat="false" ht="39" hidden="false" customHeight="true" outlineLevel="0" collapsed="false">
      <c r="A295" s="11" t="n">
        <v>2</v>
      </c>
      <c r="B295" s="12" t="n">
        <v>46211</v>
      </c>
      <c r="C295" s="12" t="n">
        <v>46226</v>
      </c>
      <c r="D295" s="11" t="n">
        <v>1705</v>
      </c>
      <c r="E295" s="13" t="s">
        <v>169</v>
      </c>
      <c r="F295" s="11" t="n">
        <v>24</v>
      </c>
      <c r="G295" s="13" t="s">
        <v>30</v>
      </c>
      <c r="H295" s="11" t="n">
        <v>2110101</v>
      </c>
      <c r="I295" s="13" t="s">
        <v>31</v>
      </c>
      <c r="J295" s="14" t="n">
        <v>1369053</v>
      </c>
      <c r="K295" s="14"/>
      <c r="L295" s="11" t="n">
        <v>1193391</v>
      </c>
      <c r="M295" s="13" t="s">
        <v>105</v>
      </c>
      <c r="N295" s="15" t="s">
        <v>33</v>
      </c>
      <c r="O295" s="15"/>
      <c r="P295" s="11" t="n">
        <v>113</v>
      </c>
      <c r="Q295" s="13" t="s">
        <v>34</v>
      </c>
      <c r="R295" s="13" t="s">
        <v>35</v>
      </c>
      <c r="S295" s="11" t="n">
        <v>1130101</v>
      </c>
      <c r="T295" s="13" t="s">
        <v>36</v>
      </c>
      <c r="U295" s="16" t="n">
        <v>636.39</v>
      </c>
      <c r="V295" s="16"/>
      <c r="W295" s="17" t="n">
        <v>0</v>
      </c>
      <c r="X295" s="15" t="s">
        <v>406</v>
      </c>
      <c r="Y295" s="15"/>
      <c r="Z295" s="1" t="str">
        <f aca="false">IF($T295="","",IFERROR(INDEX('Resumo Grupos'!$AC$3:$AC$2000,MATCH($T295,'Resumo Grupos'!$AB$3:$AB$2000,0)),"n/d"))</f>
        <v>Mercadoria</v>
      </c>
    </row>
    <row r="296" customFormat="false" ht="39" hidden="false" customHeight="true" outlineLevel="0" collapsed="false">
      <c r="A296" s="11" t="n">
        <v>2</v>
      </c>
      <c r="B296" s="12" t="n">
        <v>46211</v>
      </c>
      <c r="C296" s="12" t="n">
        <v>46226</v>
      </c>
      <c r="D296" s="11" t="n">
        <v>1705</v>
      </c>
      <c r="E296" s="13" t="s">
        <v>169</v>
      </c>
      <c r="F296" s="11" t="n">
        <v>24</v>
      </c>
      <c r="G296" s="13" t="s">
        <v>30</v>
      </c>
      <c r="H296" s="11" t="n">
        <v>2110101</v>
      </c>
      <c r="I296" s="13" t="s">
        <v>31</v>
      </c>
      <c r="J296" s="14" t="n">
        <v>1369061</v>
      </c>
      <c r="K296" s="14"/>
      <c r="L296" s="11" t="n">
        <v>1193333</v>
      </c>
      <c r="M296" s="13" t="s">
        <v>105</v>
      </c>
      <c r="N296" s="15" t="s">
        <v>33</v>
      </c>
      <c r="O296" s="15"/>
      <c r="P296" s="11" t="n">
        <v>113</v>
      </c>
      <c r="Q296" s="13" t="s">
        <v>34</v>
      </c>
      <c r="R296" s="13" t="s">
        <v>35</v>
      </c>
      <c r="S296" s="11" t="n">
        <v>1130101</v>
      </c>
      <c r="T296" s="13" t="s">
        <v>36</v>
      </c>
      <c r="U296" s="16" t="n">
        <v>636.39</v>
      </c>
      <c r="V296" s="16"/>
      <c r="W296" s="17" t="n">
        <v>0</v>
      </c>
      <c r="X296" s="15" t="s">
        <v>407</v>
      </c>
      <c r="Y296" s="15"/>
      <c r="Z296" s="1" t="str">
        <f aca="false">IF($T296="","",IFERROR(INDEX('Resumo Grupos'!$AC$3:$AC$2000,MATCH($T296,'Resumo Grupos'!$AB$3:$AB$2000,0)),"n/d"))</f>
        <v>Mercadoria</v>
      </c>
    </row>
    <row r="297" customFormat="false" ht="39" hidden="false" customHeight="true" outlineLevel="0" collapsed="false">
      <c r="A297" s="11" t="n">
        <v>2</v>
      </c>
      <c r="B297" s="12" t="n">
        <v>46211</v>
      </c>
      <c r="C297" s="12" t="n">
        <v>46226</v>
      </c>
      <c r="D297" s="11" t="n">
        <v>1705</v>
      </c>
      <c r="E297" s="13" t="s">
        <v>169</v>
      </c>
      <c r="F297" s="11" t="n">
        <v>24</v>
      </c>
      <c r="G297" s="13" t="s">
        <v>30</v>
      </c>
      <c r="H297" s="11" t="n">
        <v>2110101</v>
      </c>
      <c r="I297" s="13" t="s">
        <v>31</v>
      </c>
      <c r="J297" s="14" t="n">
        <v>1369069</v>
      </c>
      <c r="K297" s="14"/>
      <c r="L297" s="11" t="n">
        <v>1923967</v>
      </c>
      <c r="M297" s="13" t="s">
        <v>105</v>
      </c>
      <c r="N297" s="15" t="s">
        <v>33</v>
      </c>
      <c r="O297" s="15"/>
      <c r="P297" s="11" t="n">
        <v>113</v>
      </c>
      <c r="Q297" s="13" t="s">
        <v>34</v>
      </c>
      <c r="R297" s="13" t="s">
        <v>35</v>
      </c>
      <c r="S297" s="11" t="n">
        <v>1130101</v>
      </c>
      <c r="T297" s="13" t="s">
        <v>36</v>
      </c>
      <c r="U297" s="16" t="n">
        <v>76.19</v>
      </c>
      <c r="V297" s="16"/>
      <c r="W297" s="17" t="n">
        <v>0</v>
      </c>
      <c r="X297" s="15" t="s">
        <v>408</v>
      </c>
      <c r="Y297" s="15"/>
      <c r="Z297" s="1" t="str">
        <f aca="false">IF($T297="","",IFERROR(INDEX('Resumo Grupos'!$AC$3:$AC$2000,MATCH($T297,'Resumo Grupos'!$AB$3:$AB$2000,0)),"n/d"))</f>
        <v>Mercadoria</v>
      </c>
    </row>
    <row r="298" customFormat="false" ht="39" hidden="false" customHeight="true" outlineLevel="0" collapsed="false">
      <c r="A298" s="11" t="n">
        <v>2</v>
      </c>
      <c r="B298" s="12" t="n">
        <v>46211</v>
      </c>
      <c r="C298" s="12" t="n">
        <v>46226</v>
      </c>
      <c r="D298" s="11" t="n">
        <v>1705</v>
      </c>
      <c r="E298" s="13" t="s">
        <v>169</v>
      </c>
      <c r="F298" s="11" t="n">
        <v>24</v>
      </c>
      <c r="G298" s="13" t="s">
        <v>30</v>
      </c>
      <c r="H298" s="11" t="n">
        <v>2110101</v>
      </c>
      <c r="I298" s="13" t="s">
        <v>31</v>
      </c>
      <c r="J298" s="14" t="n">
        <v>1369169</v>
      </c>
      <c r="K298" s="14"/>
      <c r="L298" s="11" t="n">
        <v>1923963</v>
      </c>
      <c r="M298" s="13" t="s">
        <v>105</v>
      </c>
      <c r="N298" s="15" t="s">
        <v>33</v>
      </c>
      <c r="O298" s="15"/>
      <c r="P298" s="11" t="n">
        <v>113</v>
      </c>
      <c r="Q298" s="13" t="s">
        <v>34</v>
      </c>
      <c r="R298" s="13" t="s">
        <v>35</v>
      </c>
      <c r="S298" s="11" t="n">
        <v>1130101</v>
      </c>
      <c r="T298" s="13" t="s">
        <v>36</v>
      </c>
      <c r="U298" s="16" t="n">
        <v>225.5</v>
      </c>
      <c r="V298" s="16"/>
      <c r="W298" s="17" t="n">
        <v>0</v>
      </c>
      <c r="X298" s="15" t="s">
        <v>409</v>
      </c>
      <c r="Y298" s="15"/>
      <c r="Z298" s="1" t="str">
        <f aca="false">IF($T298="","",IFERROR(INDEX('Resumo Grupos'!$AC$3:$AC$2000,MATCH($T298,'Resumo Grupos'!$AB$3:$AB$2000,0)),"n/d"))</f>
        <v>Mercadoria</v>
      </c>
    </row>
    <row r="299" customFormat="false" ht="39" hidden="false" customHeight="true" outlineLevel="0" collapsed="false">
      <c r="A299" s="11" t="n">
        <v>2</v>
      </c>
      <c r="B299" s="12" t="n">
        <v>46211</v>
      </c>
      <c r="C299" s="12" t="n">
        <v>46226</v>
      </c>
      <c r="D299" s="11" t="n">
        <v>1705</v>
      </c>
      <c r="E299" s="13" t="s">
        <v>169</v>
      </c>
      <c r="F299" s="11" t="n">
        <v>24</v>
      </c>
      <c r="G299" s="13" t="s">
        <v>30</v>
      </c>
      <c r="H299" s="11" t="n">
        <v>2110101</v>
      </c>
      <c r="I299" s="13" t="s">
        <v>31</v>
      </c>
      <c r="J299" s="14" t="n">
        <v>1369182</v>
      </c>
      <c r="K299" s="14"/>
      <c r="L299" s="11" t="n">
        <v>1923964</v>
      </c>
      <c r="M299" s="13" t="s">
        <v>105</v>
      </c>
      <c r="N299" s="15" t="s">
        <v>33</v>
      </c>
      <c r="O299" s="15"/>
      <c r="P299" s="11" t="n">
        <v>113</v>
      </c>
      <c r="Q299" s="13" t="s">
        <v>34</v>
      </c>
      <c r="R299" s="13" t="s">
        <v>35</v>
      </c>
      <c r="S299" s="11" t="n">
        <v>1130101</v>
      </c>
      <c r="T299" s="13" t="s">
        <v>36</v>
      </c>
      <c r="U299" s="16" t="n">
        <v>221</v>
      </c>
      <c r="V299" s="16"/>
      <c r="W299" s="17" t="n">
        <v>0</v>
      </c>
      <c r="X299" s="15" t="s">
        <v>410</v>
      </c>
      <c r="Y299" s="15"/>
      <c r="Z299" s="1" t="str">
        <f aca="false">IF($T299="","",IFERROR(INDEX('Resumo Grupos'!$AC$3:$AC$2000,MATCH($T299,'Resumo Grupos'!$AB$3:$AB$2000,0)),"n/d"))</f>
        <v>Mercadoria</v>
      </c>
    </row>
    <row r="300" customFormat="false" ht="28.5" hidden="false" customHeight="true" outlineLevel="0" collapsed="false">
      <c r="A300" s="11" t="n">
        <v>2</v>
      </c>
      <c r="B300" s="12" t="n">
        <v>46211</v>
      </c>
      <c r="C300" s="12" t="n">
        <v>46211</v>
      </c>
      <c r="D300" s="11" t="n">
        <v>218</v>
      </c>
      <c r="E300" s="13" t="s">
        <v>411</v>
      </c>
      <c r="F300" s="11" t="n">
        <v>34</v>
      </c>
      <c r="G300" s="13" t="s">
        <v>87</v>
      </c>
      <c r="H300" s="11" t="n">
        <v>1110203</v>
      </c>
      <c r="I300" s="13" t="s">
        <v>100</v>
      </c>
      <c r="J300" s="14" t="n">
        <v>1369192</v>
      </c>
      <c r="K300" s="14"/>
      <c r="L300" s="11" t="n">
        <v>184047</v>
      </c>
      <c r="M300" s="13" t="s">
        <v>105</v>
      </c>
      <c r="N300" s="15" t="s">
        <v>41</v>
      </c>
      <c r="O300" s="15"/>
      <c r="P300" s="11" t="n">
        <v>101</v>
      </c>
      <c r="Q300" s="13" t="s">
        <v>52</v>
      </c>
      <c r="R300" s="13" t="s">
        <v>60</v>
      </c>
      <c r="S300" s="11" t="n">
        <v>4210227</v>
      </c>
      <c r="T300" s="13" t="s">
        <v>70</v>
      </c>
      <c r="U300" s="16" t="n">
        <v>96.97</v>
      </c>
      <c r="V300" s="16"/>
      <c r="W300" s="17" t="n">
        <v>0</v>
      </c>
      <c r="X300" s="15" t="s">
        <v>412</v>
      </c>
      <c r="Y300" s="15"/>
      <c r="Z300" s="1" t="str">
        <f aca="false">IF($T300="","",IFERROR(INDEX('Resumo Grupos'!$AC$3:$AC$2000,MATCH($T300,'Resumo Grupos'!$AB$3:$AB$2000,0)),"n/d"))</f>
        <v>Despesa</v>
      </c>
    </row>
    <row r="301" customFormat="false" ht="39" hidden="false" customHeight="true" outlineLevel="0" collapsed="false">
      <c r="A301" s="11" t="n">
        <v>2</v>
      </c>
      <c r="B301" s="12" t="n">
        <v>46211</v>
      </c>
      <c r="C301" s="12" t="n">
        <v>46211</v>
      </c>
      <c r="D301" s="11" t="n">
        <v>10092</v>
      </c>
      <c r="E301" s="13" t="s">
        <v>413</v>
      </c>
      <c r="F301" s="11" t="n">
        <v>13</v>
      </c>
      <c r="G301" s="13" t="s">
        <v>113</v>
      </c>
      <c r="H301" s="11" t="n">
        <v>2110101</v>
      </c>
      <c r="I301" s="13" t="s">
        <v>31</v>
      </c>
      <c r="J301" s="14" t="n">
        <v>1369398</v>
      </c>
      <c r="K301" s="14"/>
      <c r="L301" s="11" t="n">
        <v>294</v>
      </c>
      <c r="M301" s="13" t="s">
        <v>105</v>
      </c>
      <c r="N301" s="15" t="s">
        <v>33</v>
      </c>
      <c r="O301" s="15"/>
      <c r="P301" s="11" t="n">
        <v>113</v>
      </c>
      <c r="Q301" s="13" t="s">
        <v>34</v>
      </c>
      <c r="R301" s="13" t="s">
        <v>35</v>
      </c>
      <c r="S301" s="11" t="n">
        <v>1130101</v>
      </c>
      <c r="T301" s="13" t="s">
        <v>36</v>
      </c>
      <c r="U301" s="16" t="n">
        <v>164.5</v>
      </c>
      <c r="V301" s="16"/>
      <c r="W301" s="17" t="n">
        <v>164.5</v>
      </c>
      <c r="X301" s="15" t="s">
        <v>414</v>
      </c>
      <c r="Y301" s="15"/>
      <c r="Z301" s="1" t="str">
        <f aca="false">IF($T301="","",IFERROR(INDEX('Resumo Grupos'!$AC$3:$AC$2000,MATCH($T301,'Resumo Grupos'!$AB$3:$AB$2000,0)),"n/d"))</f>
        <v>Mercadoria</v>
      </c>
    </row>
    <row r="302" customFormat="false" ht="39" hidden="false" customHeight="true" outlineLevel="0" collapsed="false">
      <c r="A302" s="11" t="n">
        <v>2</v>
      </c>
      <c r="B302" s="12" t="n">
        <v>46211</v>
      </c>
      <c r="C302" s="12" t="n">
        <v>46226</v>
      </c>
      <c r="D302" s="11" t="n">
        <v>1705</v>
      </c>
      <c r="E302" s="13" t="s">
        <v>169</v>
      </c>
      <c r="F302" s="11" t="n">
        <v>24</v>
      </c>
      <c r="G302" s="13" t="s">
        <v>30</v>
      </c>
      <c r="H302" s="11" t="n">
        <v>2110101</v>
      </c>
      <c r="I302" s="13" t="s">
        <v>31</v>
      </c>
      <c r="J302" s="14" t="n">
        <v>1369445</v>
      </c>
      <c r="K302" s="14"/>
      <c r="L302" s="11" t="n">
        <v>1193336</v>
      </c>
      <c r="M302" s="13" t="s">
        <v>105</v>
      </c>
      <c r="N302" s="15" t="s">
        <v>33</v>
      </c>
      <c r="O302" s="15"/>
      <c r="P302" s="11" t="n">
        <v>113</v>
      </c>
      <c r="Q302" s="13" t="s">
        <v>34</v>
      </c>
      <c r="R302" s="13" t="s">
        <v>35</v>
      </c>
      <c r="S302" s="11" t="n">
        <v>1130101</v>
      </c>
      <c r="T302" s="13" t="s">
        <v>36</v>
      </c>
      <c r="U302" s="16" t="n">
        <v>104.51</v>
      </c>
      <c r="V302" s="16"/>
      <c r="W302" s="17" t="n">
        <v>0</v>
      </c>
      <c r="X302" s="15" t="s">
        <v>415</v>
      </c>
      <c r="Y302" s="15"/>
      <c r="Z302" s="1" t="str">
        <f aca="false">IF($T302="","",IFERROR(INDEX('Resumo Grupos'!$AC$3:$AC$2000,MATCH($T302,'Resumo Grupos'!$AB$3:$AB$2000,0)),"n/d"))</f>
        <v>Mercadoria</v>
      </c>
    </row>
    <row r="303" customFormat="false" ht="39" hidden="false" customHeight="true" outlineLevel="0" collapsed="false">
      <c r="A303" s="11" t="n">
        <v>2</v>
      </c>
      <c r="B303" s="12" t="n">
        <v>46211</v>
      </c>
      <c r="C303" s="12" t="n">
        <v>46217</v>
      </c>
      <c r="D303" s="11" t="n">
        <v>48</v>
      </c>
      <c r="E303" s="13" t="s">
        <v>112</v>
      </c>
      <c r="F303" s="11" t="n">
        <v>34</v>
      </c>
      <c r="G303" s="13" t="s">
        <v>87</v>
      </c>
      <c r="H303" s="11" t="n">
        <v>2110101</v>
      </c>
      <c r="I303" s="13" t="s">
        <v>31</v>
      </c>
      <c r="J303" s="14" t="n">
        <v>1369655</v>
      </c>
      <c r="K303" s="14"/>
      <c r="L303" s="11" t="n">
        <v>2529</v>
      </c>
      <c r="M303" s="13" t="s">
        <v>105</v>
      </c>
      <c r="N303" s="15" t="s">
        <v>33</v>
      </c>
      <c r="O303" s="15"/>
      <c r="P303" s="11" t="n">
        <v>113</v>
      </c>
      <c r="Q303" s="13" t="s">
        <v>34</v>
      </c>
      <c r="R303" s="13" t="s">
        <v>35</v>
      </c>
      <c r="S303" s="11" t="n">
        <v>1130101</v>
      </c>
      <c r="T303" s="13" t="s">
        <v>36</v>
      </c>
      <c r="U303" s="16" t="n">
        <v>1046</v>
      </c>
      <c r="V303" s="16"/>
      <c r="W303" s="17" t="n">
        <v>0</v>
      </c>
      <c r="X303" s="15" t="s">
        <v>416</v>
      </c>
      <c r="Y303" s="15"/>
      <c r="Z303" s="1" t="str">
        <f aca="false">IF($T303="","",IFERROR(INDEX('Resumo Grupos'!$AC$3:$AC$2000,MATCH($T303,'Resumo Grupos'!$AB$3:$AB$2000,0)),"n/d"))</f>
        <v>Mercadoria</v>
      </c>
    </row>
    <row r="304" customFormat="false" ht="57" hidden="false" customHeight="true" outlineLevel="0" collapsed="false">
      <c r="A304" s="11" t="n">
        <v>2</v>
      </c>
      <c r="B304" s="12" t="n">
        <v>46211</v>
      </c>
      <c r="C304" s="12" t="n">
        <v>46232</v>
      </c>
      <c r="D304" s="11" t="n">
        <v>1921</v>
      </c>
      <c r="E304" s="13" t="s">
        <v>110</v>
      </c>
      <c r="F304" s="11" t="n">
        <v>24</v>
      </c>
      <c r="G304" s="13" t="s">
        <v>30</v>
      </c>
      <c r="H304" s="11" t="n">
        <v>2110101</v>
      </c>
      <c r="I304" s="13" t="s">
        <v>31</v>
      </c>
      <c r="J304" s="14" t="n">
        <v>1370224</v>
      </c>
      <c r="K304" s="14"/>
      <c r="L304" s="11" t="n">
        <v>21032</v>
      </c>
      <c r="M304" s="13" t="s">
        <v>105</v>
      </c>
      <c r="N304" s="15" t="s">
        <v>33</v>
      </c>
      <c r="O304" s="15"/>
      <c r="P304" s="11" t="n">
        <v>113</v>
      </c>
      <c r="Q304" s="13" t="s">
        <v>34</v>
      </c>
      <c r="R304" s="13" t="s">
        <v>35</v>
      </c>
      <c r="S304" s="11" t="n">
        <v>1130101</v>
      </c>
      <c r="T304" s="13" t="s">
        <v>36</v>
      </c>
      <c r="U304" s="16" t="n">
        <v>1213.69</v>
      </c>
      <c r="V304" s="16"/>
      <c r="W304" s="17" t="n">
        <v>0</v>
      </c>
      <c r="X304" s="15" t="s">
        <v>417</v>
      </c>
      <c r="Y304" s="15"/>
      <c r="Z304" s="1" t="str">
        <f aca="false">IF($T304="","",IFERROR(INDEX('Resumo Grupos'!$AC$3:$AC$2000,MATCH($T304,'Resumo Grupos'!$AB$3:$AB$2000,0)),"n/d"))</f>
        <v>Mercadoria</v>
      </c>
    </row>
    <row r="305" customFormat="false" ht="39" hidden="false" customHeight="true" outlineLevel="0" collapsed="false">
      <c r="A305" s="11" t="n">
        <v>2</v>
      </c>
      <c r="B305" s="12" t="n">
        <v>46211</v>
      </c>
      <c r="C305" s="12" t="n">
        <v>46216</v>
      </c>
      <c r="D305" s="11" t="n">
        <v>48</v>
      </c>
      <c r="E305" s="13" t="s">
        <v>112</v>
      </c>
      <c r="F305" s="11" t="n">
        <v>34</v>
      </c>
      <c r="G305" s="13" t="s">
        <v>87</v>
      </c>
      <c r="H305" s="11" t="n">
        <v>2110101</v>
      </c>
      <c r="I305" s="13" t="s">
        <v>31</v>
      </c>
      <c r="J305" s="14" t="n">
        <v>1370406</v>
      </c>
      <c r="K305" s="14"/>
      <c r="L305" s="11" t="n">
        <v>2530</v>
      </c>
      <c r="M305" s="13" t="s">
        <v>105</v>
      </c>
      <c r="N305" s="15" t="s">
        <v>33</v>
      </c>
      <c r="O305" s="15"/>
      <c r="P305" s="11" t="n">
        <v>113</v>
      </c>
      <c r="Q305" s="13" t="s">
        <v>34</v>
      </c>
      <c r="R305" s="13" t="s">
        <v>35</v>
      </c>
      <c r="S305" s="11" t="n">
        <v>1130101</v>
      </c>
      <c r="T305" s="13" t="s">
        <v>36</v>
      </c>
      <c r="U305" s="16" t="n">
        <v>560</v>
      </c>
      <c r="V305" s="16"/>
      <c r="W305" s="17" t="n">
        <v>0</v>
      </c>
      <c r="X305" s="15" t="s">
        <v>418</v>
      </c>
      <c r="Y305" s="15"/>
      <c r="Z305" s="1" t="str">
        <f aca="false">IF($T305="","",IFERROR(INDEX('Resumo Grupos'!$AC$3:$AC$2000,MATCH($T305,'Resumo Grupos'!$AB$3:$AB$2000,0)),"n/d"))</f>
        <v>Mercadoria</v>
      </c>
    </row>
    <row r="306" customFormat="false" ht="28.5" hidden="false" customHeight="true" outlineLevel="0" collapsed="false">
      <c r="A306" s="11" t="n">
        <v>2</v>
      </c>
      <c r="B306" s="12" t="n">
        <v>46206</v>
      </c>
      <c r="C306" s="12" t="n">
        <v>46206</v>
      </c>
      <c r="D306" s="11" t="n">
        <v>52</v>
      </c>
      <c r="E306" s="13" t="s">
        <v>419</v>
      </c>
      <c r="F306" s="11" t="n">
        <v>34</v>
      </c>
      <c r="G306" s="13" t="s">
        <v>87</v>
      </c>
      <c r="H306" s="11" t="n">
        <v>2110405</v>
      </c>
      <c r="I306" s="13" t="s">
        <v>51</v>
      </c>
      <c r="J306" s="14" t="n">
        <v>1370446</v>
      </c>
      <c r="K306" s="14"/>
      <c r="L306" s="11" t="n">
        <v>184273</v>
      </c>
      <c r="M306" s="13" t="s">
        <v>105</v>
      </c>
      <c r="N306" s="15" t="s">
        <v>41</v>
      </c>
      <c r="O306" s="15"/>
      <c r="P306" s="11" t="n">
        <v>113</v>
      </c>
      <c r="Q306" s="13" t="s">
        <v>34</v>
      </c>
      <c r="R306" s="13" t="s">
        <v>191</v>
      </c>
      <c r="S306" s="11" t="n">
        <v>4210301</v>
      </c>
      <c r="T306" s="13" t="s">
        <v>420</v>
      </c>
      <c r="U306" s="16" t="n">
        <v>609.34</v>
      </c>
      <c r="V306" s="16"/>
      <c r="W306" s="17" t="n">
        <v>0</v>
      </c>
      <c r="X306" s="15" t="s">
        <v>421</v>
      </c>
      <c r="Y306" s="15"/>
      <c r="Z306" s="1" t="str">
        <f aca="false">IF($T306="","",IFERROR(INDEX('Resumo Grupos'!$AC$3:$AC$2000,MATCH($T306,'Resumo Grupos'!$AB$3:$AB$2000,0)),"n/d"))</f>
        <v>Salários</v>
      </c>
    </row>
    <row r="307" customFormat="false" ht="28.5" hidden="false" customHeight="true" outlineLevel="0" collapsed="false">
      <c r="A307" s="11" t="n">
        <v>2</v>
      </c>
      <c r="B307" s="12" t="n">
        <v>46206</v>
      </c>
      <c r="C307" s="12" t="n">
        <v>46206</v>
      </c>
      <c r="D307" s="11" t="n">
        <v>52</v>
      </c>
      <c r="E307" s="13" t="s">
        <v>419</v>
      </c>
      <c r="F307" s="11" t="n">
        <v>7</v>
      </c>
      <c r="G307" s="13" t="s">
        <v>422</v>
      </c>
      <c r="H307" s="11" t="n">
        <v>2110405</v>
      </c>
      <c r="I307" s="13" t="s">
        <v>51</v>
      </c>
      <c r="J307" s="14" t="n">
        <v>1370448</v>
      </c>
      <c r="K307" s="14"/>
      <c r="L307" s="11" t="n">
        <v>184274</v>
      </c>
      <c r="M307" s="13" t="s">
        <v>105</v>
      </c>
      <c r="N307" s="15" t="s">
        <v>41</v>
      </c>
      <c r="O307" s="15"/>
      <c r="P307" s="11" t="n">
        <v>113</v>
      </c>
      <c r="Q307" s="13" t="s">
        <v>34</v>
      </c>
      <c r="R307" s="13" t="s">
        <v>191</v>
      </c>
      <c r="S307" s="11" t="n">
        <v>4210301</v>
      </c>
      <c r="T307" s="13" t="s">
        <v>420</v>
      </c>
      <c r="U307" s="16" t="n">
        <v>399.37</v>
      </c>
      <c r="V307" s="16"/>
      <c r="W307" s="17" t="n">
        <v>0</v>
      </c>
      <c r="X307" s="15" t="s">
        <v>423</v>
      </c>
      <c r="Y307" s="15"/>
      <c r="Z307" s="1" t="str">
        <f aca="false">IF($T307="","",IFERROR(INDEX('Resumo Grupos'!$AC$3:$AC$2000,MATCH($T307,'Resumo Grupos'!$AB$3:$AB$2000,0)),"n/d"))</f>
        <v>Salários</v>
      </c>
    </row>
    <row r="308" customFormat="false" ht="28.5" hidden="false" customHeight="true" outlineLevel="0" collapsed="false">
      <c r="A308" s="11" t="n">
        <v>2</v>
      </c>
      <c r="B308" s="12" t="n">
        <v>46206</v>
      </c>
      <c r="C308" s="12" t="n">
        <v>46206</v>
      </c>
      <c r="D308" s="11" t="n">
        <v>340</v>
      </c>
      <c r="E308" s="13" t="s">
        <v>424</v>
      </c>
      <c r="F308" s="11" t="n">
        <v>34</v>
      </c>
      <c r="G308" s="13" t="s">
        <v>87</v>
      </c>
      <c r="H308" s="11" t="n">
        <v>2110405</v>
      </c>
      <c r="I308" s="13" t="s">
        <v>51</v>
      </c>
      <c r="J308" s="14" t="n">
        <v>1370455</v>
      </c>
      <c r="K308" s="14"/>
      <c r="L308" s="11" t="n">
        <v>184276</v>
      </c>
      <c r="M308" s="13" t="s">
        <v>105</v>
      </c>
      <c r="N308" s="15" t="s">
        <v>41</v>
      </c>
      <c r="O308" s="15"/>
      <c r="P308" s="11" t="n">
        <v>113</v>
      </c>
      <c r="Q308" s="13" t="s">
        <v>34</v>
      </c>
      <c r="R308" s="13" t="s">
        <v>191</v>
      </c>
      <c r="S308" s="11" t="n">
        <v>4210301</v>
      </c>
      <c r="T308" s="13" t="s">
        <v>420</v>
      </c>
      <c r="U308" s="16" t="n">
        <v>1514.86</v>
      </c>
      <c r="V308" s="16"/>
      <c r="W308" s="17" t="n">
        <v>0</v>
      </c>
      <c r="X308" s="15" t="s">
        <v>421</v>
      </c>
      <c r="Y308" s="15"/>
      <c r="Z308" s="1" t="str">
        <f aca="false">IF($T308="","",IFERROR(INDEX('Resumo Grupos'!$AC$3:$AC$2000,MATCH($T308,'Resumo Grupos'!$AB$3:$AB$2000,0)),"n/d"))</f>
        <v>Salários</v>
      </c>
    </row>
    <row r="309" customFormat="false" ht="28.5" hidden="false" customHeight="true" outlineLevel="0" collapsed="false">
      <c r="A309" s="11" t="n">
        <v>2</v>
      </c>
      <c r="B309" s="12" t="n">
        <v>46206</v>
      </c>
      <c r="C309" s="12" t="n">
        <v>46206</v>
      </c>
      <c r="D309" s="11" t="n">
        <v>340</v>
      </c>
      <c r="E309" s="13" t="s">
        <v>424</v>
      </c>
      <c r="F309" s="11" t="n">
        <v>7</v>
      </c>
      <c r="G309" s="13" t="s">
        <v>422</v>
      </c>
      <c r="H309" s="11" t="n">
        <v>2110405</v>
      </c>
      <c r="I309" s="13" t="s">
        <v>51</v>
      </c>
      <c r="J309" s="14" t="n">
        <v>1370456</v>
      </c>
      <c r="K309" s="14"/>
      <c r="L309" s="11" t="n">
        <v>184277</v>
      </c>
      <c r="M309" s="13" t="s">
        <v>105</v>
      </c>
      <c r="N309" s="15" t="s">
        <v>41</v>
      </c>
      <c r="O309" s="15"/>
      <c r="P309" s="11" t="n">
        <v>113</v>
      </c>
      <c r="Q309" s="13" t="s">
        <v>34</v>
      </c>
      <c r="R309" s="13" t="s">
        <v>191</v>
      </c>
      <c r="S309" s="11" t="n">
        <v>4210301</v>
      </c>
      <c r="T309" s="13" t="s">
        <v>420</v>
      </c>
      <c r="U309" s="16" t="n">
        <v>93.06</v>
      </c>
      <c r="V309" s="16"/>
      <c r="W309" s="17" t="n">
        <v>0</v>
      </c>
      <c r="X309" s="15" t="s">
        <v>423</v>
      </c>
      <c r="Y309" s="15"/>
      <c r="Z309" s="1" t="str">
        <f aca="false">IF($T309="","",IFERROR(INDEX('Resumo Grupos'!$AC$3:$AC$2000,MATCH($T309,'Resumo Grupos'!$AB$3:$AB$2000,0)),"n/d"))</f>
        <v>Salários</v>
      </c>
    </row>
    <row r="310" customFormat="false" ht="28.5" hidden="false" customHeight="true" outlineLevel="0" collapsed="false">
      <c r="A310" s="11" t="n">
        <v>2</v>
      </c>
      <c r="B310" s="12" t="n">
        <v>46206</v>
      </c>
      <c r="C310" s="12" t="n">
        <v>46206</v>
      </c>
      <c r="D310" s="11" t="n">
        <v>23</v>
      </c>
      <c r="E310" s="13" t="s">
        <v>425</v>
      </c>
      <c r="F310" s="11" t="n">
        <v>7</v>
      </c>
      <c r="G310" s="13" t="s">
        <v>422</v>
      </c>
      <c r="H310" s="11" t="n">
        <v>2110405</v>
      </c>
      <c r="I310" s="13" t="s">
        <v>51</v>
      </c>
      <c r="J310" s="14" t="n">
        <v>1370463</v>
      </c>
      <c r="K310" s="14"/>
      <c r="L310" s="11" t="n">
        <v>184279</v>
      </c>
      <c r="M310" s="13" t="s">
        <v>105</v>
      </c>
      <c r="N310" s="15" t="s">
        <v>41</v>
      </c>
      <c r="O310" s="15"/>
      <c r="P310" s="11" t="n">
        <v>113</v>
      </c>
      <c r="Q310" s="13" t="s">
        <v>34</v>
      </c>
      <c r="R310" s="13" t="s">
        <v>191</v>
      </c>
      <c r="S310" s="11" t="n">
        <v>4210301</v>
      </c>
      <c r="T310" s="13" t="s">
        <v>420</v>
      </c>
      <c r="U310" s="16" t="n">
        <v>999.58</v>
      </c>
      <c r="V310" s="16"/>
      <c r="W310" s="17" t="n">
        <v>0</v>
      </c>
      <c r="X310" s="15" t="s">
        <v>426</v>
      </c>
      <c r="Y310" s="15"/>
      <c r="Z310" s="1" t="str">
        <f aca="false">IF($T310="","",IFERROR(INDEX('Resumo Grupos'!$AC$3:$AC$2000,MATCH($T310,'Resumo Grupos'!$AB$3:$AB$2000,0)),"n/d"))</f>
        <v>Salários</v>
      </c>
    </row>
    <row r="311" customFormat="false" ht="28.5" hidden="false" customHeight="true" outlineLevel="0" collapsed="false">
      <c r="A311" s="11" t="n">
        <v>2</v>
      </c>
      <c r="B311" s="12" t="n">
        <v>46206</v>
      </c>
      <c r="C311" s="12" t="n">
        <v>46206</v>
      </c>
      <c r="D311" s="11" t="n">
        <v>23</v>
      </c>
      <c r="E311" s="13" t="s">
        <v>425</v>
      </c>
      <c r="F311" s="11" t="n">
        <v>34</v>
      </c>
      <c r="G311" s="13" t="s">
        <v>87</v>
      </c>
      <c r="H311" s="11" t="n">
        <v>2110405</v>
      </c>
      <c r="I311" s="13" t="s">
        <v>51</v>
      </c>
      <c r="J311" s="14" t="n">
        <v>1370482</v>
      </c>
      <c r="K311" s="14"/>
      <c r="L311" s="11" t="n">
        <v>184280</v>
      </c>
      <c r="M311" s="13" t="s">
        <v>105</v>
      </c>
      <c r="N311" s="15" t="s">
        <v>41</v>
      </c>
      <c r="O311" s="15"/>
      <c r="P311" s="11" t="n">
        <v>113</v>
      </c>
      <c r="Q311" s="13" t="s">
        <v>34</v>
      </c>
      <c r="R311" s="13" t="s">
        <v>191</v>
      </c>
      <c r="S311" s="11" t="n">
        <v>4210301</v>
      </c>
      <c r="T311" s="13" t="s">
        <v>420</v>
      </c>
      <c r="U311" s="16" t="n">
        <v>350.42</v>
      </c>
      <c r="V311" s="16"/>
      <c r="W311" s="17" t="n">
        <v>0</v>
      </c>
      <c r="X311" s="15" t="s">
        <v>421</v>
      </c>
      <c r="Y311" s="15"/>
      <c r="Z311" s="1" t="str">
        <f aca="false">IF($T311="","",IFERROR(INDEX('Resumo Grupos'!$AC$3:$AC$2000,MATCH($T311,'Resumo Grupos'!$AB$3:$AB$2000,0)),"n/d"))</f>
        <v>Salários</v>
      </c>
    </row>
    <row r="312" customFormat="false" ht="28.5" hidden="false" customHeight="true" outlineLevel="0" collapsed="false">
      <c r="A312" s="11" t="n">
        <v>2</v>
      </c>
      <c r="B312" s="12" t="n">
        <v>46206</v>
      </c>
      <c r="C312" s="12" t="n">
        <v>46206</v>
      </c>
      <c r="D312" s="11" t="n">
        <v>73</v>
      </c>
      <c r="E312" s="13" t="s">
        <v>337</v>
      </c>
      <c r="F312" s="11" t="n">
        <v>34</v>
      </c>
      <c r="G312" s="13" t="s">
        <v>87</v>
      </c>
      <c r="H312" s="11" t="n">
        <v>2110405</v>
      </c>
      <c r="I312" s="13" t="s">
        <v>51</v>
      </c>
      <c r="J312" s="14" t="n">
        <v>1370496</v>
      </c>
      <c r="K312" s="14"/>
      <c r="L312" s="11" t="n">
        <v>184281</v>
      </c>
      <c r="M312" s="13" t="s">
        <v>105</v>
      </c>
      <c r="N312" s="15" t="s">
        <v>41</v>
      </c>
      <c r="O312" s="15"/>
      <c r="P312" s="11" t="n">
        <v>113</v>
      </c>
      <c r="Q312" s="13" t="s">
        <v>34</v>
      </c>
      <c r="R312" s="13" t="s">
        <v>191</v>
      </c>
      <c r="S312" s="11" t="n">
        <v>4210301</v>
      </c>
      <c r="T312" s="13" t="s">
        <v>420</v>
      </c>
      <c r="U312" s="16" t="n">
        <v>1122.72</v>
      </c>
      <c r="V312" s="16"/>
      <c r="W312" s="17" t="n">
        <v>0</v>
      </c>
      <c r="X312" s="15" t="s">
        <v>421</v>
      </c>
      <c r="Y312" s="15"/>
      <c r="Z312" s="1" t="str">
        <f aca="false">IF($T312="","",IFERROR(INDEX('Resumo Grupos'!$AC$3:$AC$2000,MATCH($T312,'Resumo Grupos'!$AB$3:$AB$2000,0)),"n/d"))</f>
        <v>Salários</v>
      </c>
    </row>
    <row r="313" customFormat="false" ht="28.5" hidden="false" customHeight="true" outlineLevel="0" collapsed="false">
      <c r="A313" s="11" t="n">
        <v>2</v>
      </c>
      <c r="B313" s="12" t="n">
        <v>46206</v>
      </c>
      <c r="C313" s="12" t="n">
        <v>46206</v>
      </c>
      <c r="D313" s="11" t="n">
        <v>73</v>
      </c>
      <c r="E313" s="13" t="s">
        <v>337</v>
      </c>
      <c r="F313" s="11" t="n">
        <v>7</v>
      </c>
      <c r="G313" s="13" t="s">
        <v>422</v>
      </c>
      <c r="H313" s="11" t="n">
        <v>2110405</v>
      </c>
      <c r="I313" s="13" t="s">
        <v>51</v>
      </c>
      <c r="J313" s="14" t="n">
        <v>1370502</v>
      </c>
      <c r="K313" s="14"/>
      <c r="L313" s="11" t="n">
        <v>184282</v>
      </c>
      <c r="M313" s="13" t="s">
        <v>105</v>
      </c>
      <c r="N313" s="15" t="s">
        <v>41</v>
      </c>
      <c r="O313" s="15"/>
      <c r="P313" s="11" t="n">
        <v>113</v>
      </c>
      <c r="Q313" s="13" t="s">
        <v>34</v>
      </c>
      <c r="R313" s="13" t="s">
        <v>191</v>
      </c>
      <c r="S313" s="11" t="n">
        <v>4210301</v>
      </c>
      <c r="T313" s="13" t="s">
        <v>420</v>
      </c>
      <c r="U313" s="16" t="n">
        <v>48.67</v>
      </c>
      <c r="V313" s="16"/>
      <c r="W313" s="17" t="n">
        <v>0</v>
      </c>
      <c r="X313" s="15" t="s">
        <v>423</v>
      </c>
      <c r="Y313" s="15"/>
      <c r="Z313" s="1" t="str">
        <f aca="false">IF($T313="","",IFERROR(INDEX('Resumo Grupos'!$AC$3:$AC$2000,MATCH($T313,'Resumo Grupos'!$AB$3:$AB$2000,0)),"n/d"))</f>
        <v>Salários</v>
      </c>
    </row>
    <row r="314" customFormat="false" ht="39" hidden="false" customHeight="true" outlineLevel="0" collapsed="false">
      <c r="A314" s="11" t="n">
        <v>2</v>
      </c>
      <c r="B314" s="12" t="n">
        <v>46206</v>
      </c>
      <c r="C314" s="12" t="n">
        <v>46206</v>
      </c>
      <c r="D314" s="11" t="n">
        <v>12</v>
      </c>
      <c r="E314" s="13" t="s">
        <v>427</v>
      </c>
      <c r="F314" s="11" t="n">
        <v>34</v>
      </c>
      <c r="G314" s="13" t="s">
        <v>87</v>
      </c>
      <c r="H314" s="11" t="n">
        <v>2110405</v>
      </c>
      <c r="I314" s="13" t="s">
        <v>51</v>
      </c>
      <c r="J314" s="14" t="n">
        <v>1370507</v>
      </c>
      <c r="K314" s="14"/>
      <c r="L314" s="11" t="n">
        <v>184284</v>
      </c>
      <c r="M314" s="13" t="s">
        <v>105</v>
      </c>
      <c r="N314" s="15" t="s">
        <v>41</v>
      </c>
      <c r="O314" s="15"/>
      <c r="P314" s="11" t="n">
        <v>113</v>
      </c>
      <c r="Q314" s="13" t="s">
        <v>34</v>
      </c>
      <c r="R314" s="13" t="s">
        <v>191</v>
      </c>
      <c r="S314" s="11" t="n">
        <v>4210301</v>
      </c>
      <c r="T314" s="13" t="s">
        <v>420</v>
      </c>
      <c r="U314" s="16" t="n">
        <v>753.77</v>
      </c>
      <c r="V314" s="16"/>
      <c r="W314" s="17" t="n">
        <v>0</v>
      </c>
      <c r="X314" s="15" t="s">
        <v>421</v>
      </c>
      <c r="Y314" s="15"/>
      <c r="Z314" s="1" t="str">
        <f aca="false">IF($T314="","",IFERROR(INDEX('Resumo Grupos'!$AC$3:$AC$2000,MATCH($T314,'Resumo Grupos'!$AB$3:$AB$2000,0)),"n/d"))</f>
        <v>Salários</v>
      </c>
    </row>
    <row r="315" customFormat="false" ht="39" hidden="false" customHeight="true" outlineLevel="0" collapsed="false">
      <c r="A315" s="11" t="n">
        <v>2</v>
      </c>
      <c r="B315" s="12" t="n">
        <v>46206</v>
      </c>
      <c r="C315" s="12" t="n">
        <v>46206</v>
      </c>
      <c r="D315" s="11" t="n">
        <v>12</v>
      </c>
      <c r="E315" s="13" t="s">
        <v>427</v>
      </c>
      <c r="F315" s="11" t="n">
        <v>7</v>
      </c>
      <c r="G315" s="13" t="s">
        <v>422</v>
      </c>
      <c r="H315" s="11" t="n">
        <v>2110405</v>
      </c>
      <c r="I315" s="13" t="s">
        <v>51</v>
      </c>
      <c r="J315" s="14" t="n">
        <v>1370511</v>
      </c>
      <c r="K315" s="14"/>
      <c r="L315" s="11" t="n">
        <v>184286</v>
      </c>
      <c r="M315" s="13" t="s">
        <v>105</v>
      </c>
      <c r="N315" s="15" t="s">
        <v>41</v>
      </c>
      <c r="O315" s="15"/>
      <c r="P315" s="11" t="n">
        <v>113</v>
      </c>
      <c r="Q315" s="13" t="s">
        <v>34</v>
      </c>
      <c r="R315" s="13" t="s">
        <v>191</v>
      </c>
      <c r="S315" s="11" t="n">
        <v>4210301</v>
      </c>
      <c r="T315" s="13" t="s">
        <v>420</v>
      </c>
      <c r="U315" s="16" t="n">
        <v>615.49</v>
      </c>
      <c r="V315" s="16"/>
      <c r="W315" s="17" t="n">
        <v>0</v>
      </c>
      <c r="X315" s="15" t="s">
        <v>428</v>
      </c>
      <c r="Y315" s="15"/>
      <c r="Z315" s="1" t="str">
        <f aca="false">IF($T315="","",IFERROR(INDEX('Resumo Grupos'!$AC$3:$AC$2000,MATCH($T315,'Resumo Grupos'!$AB$3:$AB$2000,0)),"n/d"))</f>
        <v>Salários</v>
      </c>
    </row>
    <row r="316" customFormat="false" ht="28.5" hidden="false" customHeight="true" outlineLevel="0" collapsed="false">
      <c r="A316" s="11" t="n">
        <v>2</v>
      </c>
      <c r="B316" s="12" t="n">
        <v>46206</v>
      </c>
      <c r="C316" s="12" t="n">
        <v>46206</v>
      </c>
      <c r="D316" s="11" t="n">
        <v>22</v>
      </c>
      <c r="E316" s="13" t="s">
        <v>429</v>
      </c>
      <c r="F316" s="11" t="n">
        <v>34</v>
      </c>
      <c r="G316" s="13" t="s">
        <v>87</v>
      </c>
      <c r="H316" s="11" t="n">
        <v>2110405</v>
      </c>
      <c r="I316" s="13" t="s">
        <v>51</v>
      </c>
      <c r="J316" s="14" t="n">
        <v>1370526</v>
      </c>
      <c r="K316" s="14"/>
      <c r="L316" s="11" t="n">
        <v>184292</v>
      </c>
      <c r="M316" s="13" t="s">
        <v>105</v>
      </c>
      <c r="N316" s="15" t="s">
        <v>41</v>
      </c>
      <c r="O316" s="15"/>
      <c r="P316" s="11" t="n">
        <v>113</v>
      </c>
      <c r="Q316" s="13" t="s">
        <v>34</v>
      </c>
      <c r="R316" s="13" t="s">
        <v>191</v>
      </c>
      <c r="S316" s="11" t="n">
        <v>4210301</v>
      </c>
      <c r="T316" s="13" t="s">
        <v>420</v>
      </c>
      <c r="U316" s="16" t="n">
        <v>988.46</v>
      </c>
      <c r="V316" s="16"/>
      <c r="W316" s="17" t="n">
        <v>0</v>
      </c>
      <c r="X316" s="15" t="s">
        <v>421</v>
      </c>
      <c r="Y316" s="15"/>
      <c r="Z316" s="1" t="str">
        <f aca="false">IF($T316="","",IFERROR(INDEX('Resumo Grupos'!$AC$3:$AC$2000,MATCH($T316,'Resumo Grupos'!$AB$3:$AB$2000,0)),"n/d"))</f>
        <v>Salários</v>
      </c>
    </row>
    <row r="317" customFormat="false" ht="28.5" hidden="false" customHeight="true" outlineLevel="0" collapsed="false">
      <c r="A317" s="11" t="n">
        <v>2</v>
      </c>
      <c r="B317" s="12" t="n">
        <v>46206</v>
      </c>
      <c r="C317" s="12" t="n">
        <v>46206</v>
      </c>
      <c r="D317" s="11" t="n">
        <v>22</v>
      </c>
      <c r="E317" s="13" t="s">
        <v>429</v>
      </c>
      <c r="F317" s="11" t="n">
        <v>7</v>
      </c>
      <c r="G317" s="13" t="s">
        <v>422</v>
      </c>
      <c r="H317" s="11" t="n">
        <v>2110405</v>
      </c>
      <c r="I317" s="13" t="s">
        <v>51</v>
      </c>
      <c r="J317" s="14" t="n">
        <v>1370530</v>
      </c>
      <c r="K317" s="14"/>
      <c r="L317" s="11" t="n">
        <v>184295</v>
      </c>
      <c r="M317" s="13" t="s">
        <v>105</v>
      </c>
      <c r="N317" s="15" t="s">
        <v>41</v>
      </c>
      <c r="O317" s="15"/>
      <c r="P317" s="11" t="n">
        <v>113</v>
      </c>
      <c r="Q317" s="13" t="s">
        <v>34</v>
      </c>
      <c r="R317" s="13" t="s">
        <v>191</v>
      </c>
      <c r="S317" s="11" t="n">
        <v>4210301</v>
      </c>
      <c r="T317" s="13" t="s">
        <v>420</v>
      </c>
      <c r="U317" s="16" t="n">
        <v>369.07</v>
      </c>
      <c r="V317" s="16"/>
      <c r="W317" s="17" t="n">
        <v>0</v>
      </c>
      <c r="X317" s="15" t="s">
        <v>430</v>
      </c>
      <c r="Y317" s="15"/>
      <c r="Z317" s="1" t="str">
        <f aca="false">IF($T317="","",IFERROR(INDEX('Resumo Grupos'!$AC$3:$AC$2000,MATCH($T317,'Resumo Grupos'!$AB$3:$AB$2000,0)),"n/d"))</f>
        <v>Salários</v>
      </c>
    </row>
    <row r="318" customFormat="false" ht="39" hidden="false" customHeight="true" outlineLevel="0" collapsed="false">
      <c r="A318" s="11" t="n">
        <v>2</v>
      </c>
      <c r="B318" s="12" t="n">
        <v>46206</v>
      </c>
      <c r="C318" s="12" t="n">
        <v>46206</v>
      </c>
      <c r="D318" s="11" t="n">
        <v>1979</v>
      </c>
      <c r="E318" s="13" t="s">
        <v>431</v>
      </c>
      <c r="F318" s="11" t="n">
        <v>34</v>
      </c>
      <c r="G318" s="13" t="s">
        <v>87</v>
      </c>
      <c r="H318" s="11" t="n">
        <v>2110405</v>
      </c>
      <c r="I318" s="13" t="s">
        <v>51</v>
      </c>
      <c r="J318" s="14" t="n">
        <v>1370543</v>
      </c>
      <c r="K318" s="14"/>
      <c r="L318" s="11" t="n">
        <v>184299</v>
      </c>
      <c r="M318" s="13" t="s">
        <v>105</v>
      </c>
      <c r="N318" s="15" t="s">
        <v>41</v>
      </c>
      <c r="O318" s="15"/>
      <c r="P318" s="11" t="n">
        <v>113</v>
      </c>
      <c r="Q318" s="13" t="s">
        <v>34</v>
      </c>
      <c r="R318" s="13" t="s">
        <v>191</v>
      </c>
      <c r="S318" s="11" t="n">
        <v>4210301</v>
      </c>
      <c r="T318" s="13" t="s">
        <v>420</v>
      </c>
      <c r="U318" s="16" t="n">
        <v>986.6</v>
      </c>
      <c r="V318" s="16"/>
      <c r="W318" s="17" t="n">
        <v>0</v>
      </c>
      <c r="X318" s="15" t="s">
        <v>421</v>
      </c>
      <c r="Y318" s="15"/>
      <c r="Z318" s="1" t="str">
        <f aca="false">IF($T318="","",IFERROR(INDEX('Resumo Grupos'!$AC$3:$AC$2000,MATCH($T318,'Resumo Grupos'!$AB$3:$AB$2000,0)),"n/d"))</f>
        <v>Salários</v>
      </c>
    </row>
    <row r="319" customFormat="false" ht="39" hidden="false" customHeight="true" outlineLevel="0" collapsed="false">
      <c r="A319" s="11" t="n">
        <v>2</v>
      </c>
      <c r="B319" s="12" t="n">
        <v>46206</v>
      </c>
      <c r="C319" s="12" t="n">
        <v>46206</v>
      </c>
      <c r="D319" s="11" t="n">
        <v>1979</v>
      </c>
      <c r="E319" s="13" t="s">
        <v>431</v>
      </c>
      <c r="F319" s="11" t="n">
        <v>7</v>
      </c>
      <c r="G319" s="13" t="s">
        <v>422</v>
      </c>
      <c r="H319" s="11" t="n">
        <v>2110405</v>
      </c>
      <c r="I319" s="13" t="s">
        <v>51</v>
      </c>
      <c r="J319" s="14" t="n">
        <v>1370547</v>
      </c>
      <c r="K319" s="14"/>
      <c r="L319" s="11" t="n">
        <v>184300</v>
      </c>
      <c r="M319" s="13" t="s">
        <v>105</v>
      </c>
      <c r="N319" s="15" t="s">
        <v>41</v>
      </c>
      <c r="O319" s="15"/>
      <c r="P319" s="11" t="n">
        <v>113</v>
      </c>
      <c r="Q319" s="13" t="s">
        <v>34</v>
      </c>
      <c r="R319" s="13" t="s">
        <v>191</v>
      </c>
      <c r="S319" s="11" t="n">
        <v>4210301</v>
      </c>
      <c r="T319" s="13" t="s">
        <v>420</v>
      </c>
      <c r="U319" s="16" t="n">
        <v>226.5</v>
      </c>
      <c r="V319" s="16"/>
      <c r="W319" s="17" t="n">
        <v>0</v>
      </c>
      <c r="X319" s="15" t="s">
        <v>423</v>
      </c>
      <c r="Y319" s="15"/>
      <c r="Z319" s="1" t="str">
        <f aca="false">IF($T319="","",IFERROR(INDEX('Resumo Grupos'!$AC$3:$AC$2000,MATCH($T319,'Resumo Grupos'!$AB$3:$AB$2000,0)),"n/d"))</f>
        <v>Salários</v>
      </c>
    </row>
    <row r="320" customFormat="false" ht="39" hidden="false" customHeight="true" outlineLevel="0" collapsed="false">
      <c r="A320" s="11" t="n">
        <v>2</v>
      </c>
      <c r="B320" s="12" t="n">
        <v>46206</v>
      </c>
      <c r="C320" s="12" t="n">
        <v>46206</v>
      </c>
      <c r="D320" s="11" t="n">
        <v>21</v>
      </c>
      <c r="E320" s="13" t="s">
        <v>340</v>
      </c>
      <c r="F320" s="11" t="n">
        <v>34</v>
      </c>
      <c r="G320" s="13" t="s">
        <v>87</v>
      </c>
      <c r="H320" s="11" t="n">
        <v>2110405</v>
      </c>
      <c r="I320" s="13" t="s">
        <v>51</v>
      </c>
      <c r="J320" s="14" t="n">
        <v>1370552</v>
      </c>
      <c r="K320" s="14"/>
      <c r="L320" s="11" t="n">
        <v>184302</v>
      </c>
      <c r="M320" s="13" t="s">
        <v>105</v>
      </c>
      <c r="N320" s="15" t="s">
        <v>41</v>
      </c>
      <c r="O320" s="15"/>
      <c r="P320" s="11" t="n">
        <v>113</v>
      </c>
      <c r="Q320" s="13" t="s">
        <v>34</v>
      </c>
      <c r="R320" s="13" t="s">
        <v>191</v>
      </c>
      <c r="S320" s="11" t="n">
        <v>4210301</v>
      </c>
      <c r="T320" s="13" t="s">
        <v>420</v>
      </c>
      <c r="U320" s="16" t="n">
        <v>451.03</v>
      </c>
      <c r="V320" s="16"/>
      <c r="W320" s="17" t="n">
        <v>0</v>
      </c>
      <c r="X320" s="15" t="s">
        <v>421</v>
      </c>
      <c r="Y320" s="15"/>
      <c r="Z320" s="1" t="str">
        <f aca="false">IF($T320="","",IFERROR(INDEX('Resumo Grupos'!$AC$3:$AC$2000,MATCH($T320,'Resumo Grupos'!$AB$3:$AB$2000,0)),"n/d"))</f>
        <v>Salários</v>
      </c>
    </row>
    <row r="321" customFormat="false" ht="39" hidden="false" customHeight="true" outlineLevel="0" collapsed="false">
      <c r="A321" s="11" t="n">
        <v>2</v>
      </c>
      <c r="B321" s="12" t="n">
        <v>46206</v>
      </c>
      <c r="C321" s="12" t="n">
        <v>46206</v>
      </c>
      <c r="D321" s="11" t="n">
        <v>21</v>
      </c>
      <c r="E321" s="13" t="s">
        <v>340</v>
      </c>
      <c r="F321" s="11" t="n">
        <v>7</v>
      </c>
      <c r="G321" s="13" t="s">
        <v>422</v>
      </c>
      <c r="H321" s="11" t="n">
        <v>2110405</v>
      </c>
      <c r="I321" s="13" t="s">
        <v>51</v>
      </c>
      <c r="J321" s="14" t="n">
        <v>1370555</v>
      </c>
      <c r="K321" s="14"/>
      <c r="L321" s="11" t="n">
        <v>184304</v>
      </c>
      <c r="M321" s="13" t="s">
        <v>105</v>
      </c>
      <c r="N321" s="15" t="s">
        <v>41</v>
      </c>
      <c r="O321" s="15"/>
      <c r="P321" s="11" t="n">
        <v>113</v>
      </c>
      <c r="Q321" s="13" t="s">
        <v>34</v>
      </c>
      <c r="R321" s="13" t="s">
        <v>191</v>
      </c>
      <c r="S321" s="11" t="n">
        <v>4210301</v>
      </c>
      <c r="T321" s="13" t="s">
        <v>420</v>
      </c>
      <c r="U321" s="16" t="n">
        <v>291.6</v>
      </c>
      <c r="V321" s="16"/>
      <c r="W321" s="17" t="n">
        <v>0</v>
      </c>
      <c r="X321" s="15" t="s">
        <v>423</v>
      </c>
      <c r="Y321" s="15"/>
      <c r="Z321" s="1" t="str">
        <f aca="false">IF($T321="","",IFERROR(INDEX('Resumo Grupos'!$AC$3:$AC$2000,MATCH($T321,'Resumo Grupos'!$AB$3:$AB$2000,0)),"n/d"))</f>
        <v>Salários</v>
      </c>
    </row>
    <row r="322" customFormat="false" ht="28.5" hidden="false" customHeight="true" outlineLevel="0" collapsed="false">
      <c r="A322" s="11" t="n">
        <v>2</v>
      </c>
      <c r="B322" s="12" t="n">
        <v>46206</v>
      </c>
      <c r="C322" s="12" t="n">
        <v>46206</v>
      </c>
      <c r="D322" s="11" t="n">
        <v>18</v>
      </c>
      <c r="E322" s="13" t="s">
        <v>341</v>
      </c>
      <c r="F322" s="11" t="n">
        <v>34</v>
      </c>
      <c r="G322" s="13" t="s">
        <v>87</v>
      </c>
      <c r="H322" s="11" t="n">
        <v>2110405</v>
      </c>
      <c r="I322" s="13" t="s">
        <v>51</v>
      </c>
      <c r="J322" s="14" t="n">
        <v>1370560</v>
      </c>
      <c r="K322" s="14"/>
      <c r="L322" s="11" t="n">
        <v>184306</v>
      </c>
      <c r="M322" s="13" t="s">
        <v>105</v>
      </c>
      <c r="N322" s="15" t="s">
        <v>41</v>
      </c>
      <c r="O322" s="15"/>
      <c r="P322" s="11" t="n">
        <v>113</v>
      </c>
      <c r="Q322" s="13" t="s">
        <v>34</v>
      </c>
      <c r="R322" s="13" t="s">
        <v>191</v>
      </c>
      <c r="S322" s="11" t="n">
        <v>4210301</v>
      </c>
      <c r="T322" s="13" t="s">
        <v>420</v>
      </c>
      <c r="U322" s="16" t="n">
        <v>272.38</v>
      </c>
      <c r="V322" s="16"/>
      <c r="W322" s="17" t="n">
        <v>0</v>
      </c>
      <c r="X322" s="15" t="s">
        <v>421</v>
      </c>
      <c r="Y322" s="15"/>
      <c r="Z322" s="1" t="str">
        <f aca="false">IF($T322="","",IFERROR(INDEX('Resumo Grupos'!$AC$3:$AC$2000,MATCH($T322,'Resumo Grupos'!$AB$3:$AB$2000,0)),"n/d"))</f>
        <v>Salários</v>
      </c>
    </row>
    <row r="323" customFormat="false" ht="28.5" hidden="false" customHeight="true" outlineLevel="0" collapsed="false">
      <c r="A323" s="11" t="n">
        <v>2</v>
      </c>
      <c r="B323" s="12" t="n">
        <v>46206</v>
      </c>
      <c r="C323" s="12" t="n">
        <v>46206</v>
      </c>
      <c r="D323" s="11" t="n">
        <v>18</v>
      </c>
      <c r="E323" s="13" t="s">
        <v>341</v>
      </c>
      <c r="F323" s="11" t="n">
        <v>7</v>
      </c>
      <c r="G323" s="13" t="s">
        <v>422</v>
      </c>
      <c r="H323" s="11" t="n">
        <v>2110405</v>
      </c>
      <c r="I323" s="13" t="s">
        <v>51</v>
      </c>
      <c r="J323" s="14" t="n">
        <v>1370570</v>
      </c>
      <c r="K323" s="14"/>
      <c r="L323" s="11" t="n">
        <v>184307</v>
      </c>
      <c r="M323" s="13" t="s">
        <v>105</v>
      </c>
      <c r="N323" s="15" t="s">
        <v>41</v>
      </c>
      <c r="O323" s="15"/>
      <c r="P323" s="11" t="n">
        <v>113</v>
      </c>
      <c r="Q323" s="13" t="s">
        <v>34</v>
      </c>
      <c r="R323" s="13" t="s">
        <v>191</v>
      </c>
      <c r="S323" s="11" t="n">
        <v>4210301</v>
      </c>
      <c r="T323" s="13" t="s">
        <v>420</v>
      </c>
      <c r="U323" s="16" t="n">
        <v>353.47</v>
      </c>
      <c r="V323" s="16"/>
      <c r="W323" s="17" t="n">
        <v>0</v>
      </c>
      <c r="X323" s="15" t="s">
        <v>423</v>
      </c>
      <c r="Y323" s="15"/>
      <c r="Z323" s="1" t="str">
        <f aca="false">IF($T323="","",IFERROR(INDEX('Resumo Grupos'!$AC$3:$AC$2000,MATCH($T323,'Resumo Grupos'!$AB$3:$AB$2000,0)),"n/d"))</f>
        <v>Salários</v>
      </c>
    </row>
    <row r="324" customFormat="false" ht="28.5" hidden="false" customHeight="true" outlineLevel="0" collapsed="false">
      <c r="A324" s="11" t="n">
        <v>2</v>
      </c>
      <c r="B324" s="12" t="n">
        <v>46206</v>
      </c>
      <c r="C324" s="12" t="n">
        <v>46206</v>
      </c>
      <c r="D324" s="11" t="n">
        <v>16</v>
      </c>
      <c r="E324" s="13" t="s">
        <v>432</v>
      </c>
      <c r="F324" s="11" t="n">
        <v>7</v>
      </c>
      <c r="G324" s="13" t="s">
        <v>422</v>
      </c>
      <c r="H324" s="11" t="n">
        <v>2110405</v>
      </c>
      <c r="I324" s="13" t="s">
        <v>51</v>
      </c>
      <c r="J324" s="14" t="n">
        <v>1370572</v>
      </c>
      <c r="K324" s="14"/>
      <c r="L324" s="11" t="n">
        <v>184311</v>
      </c>
      <c r="M324" s="13" t="s">
        <v>105</v>
      </c>
      <c r="N324" s="15" t="s">
        <v>41</v>
      </c>
      <c r="O324" s="15"/>
      <c r="P324" s="11" t="n">
        <v>113</v>
      </c>
      <c r="Q324" s="13" t="s">
        <v>34</v>
      </c>
      <c r="R324" s="13" t="s">
        <v>191</v>
      </c>
      <c r="S324" s="11" t="n">
        <v>4210301</v>
      </c>
      <c r="T324" s="13" t="s">
        <v>420</v>
      </c>
      <c r="U324" s="16" t="n">
        <v>729.05</v>
      </c>
      <c r="V324" s="16"/>
      <c r="W324" s="17" t="n">
        <v>0</v>
      </c>
      <c r="X324" s="15" t="s">
        <v>423</v>
      </c>
      <c r="Y324" s="15"/>
      <c r="Z324" s="1" t="str">
        <f aca="false">IF($T324="","",IFERROR(INDEX('Resumo Grupos'!$AC$3:$AC$2000,MATCH($T324,'Resumo Grupos'!$AB$3:$AB$2000,0)),"n/d"))</f>
        <v>Salários</v>
      </c>
    </row>
    <row r="325" customFormat="false" ht="28.5" hidden="false" customHeight="true" outlineLevel="0" collapsed="false">
      <c r="A325" s="11" t="n">
        <v>2</v>
      </c>
      <c r="B325" s="12" t="n">
        <v>46206</v>
      </c>
      <c r="C325" s="12" t="n">
        <v>46206</v>
      </c>
      <c r="D325" s="11" t="n">
        <v>17</v>
      </c>
      <c r="E325" s="13" t="s">
        <v>49</v>
      </c>
      <c r="F325" s="11" t="n">
        <v>7</v>
      </c>
      <c r="G325" s="13" t="s">
        <v>422</v>
      </c>
      <c r="H325" s="11" t="n">
        <v>2110405</v>
      </c>
      <c r="I325" s="13" t="s">
        <v>51</v>
      </c>
      <c r="J325" s="14" t="n">
        <v>1370574</v>
      </c>
      <c r="K325" s="14"/>
      <c r="L325" s="11" t="n">
        <v>184312</v>
      </c>
      <c r="M325" s="13" t="s">
        <v>105</v>
      </c>
      <c r="N325" s="15" t="s">
        <v>41</v>
      </c>
      <c r="O325" s="15"/>
      <c r="P325" s="11" t="n">
        <v>113</v>
      </c>
      <c r="Q325" s="13" t="s">
        <v>34</v>
      </c>
      <c r="R325" s="13" t="s">
        <v>191</v>
      </c>
      <c r="S325" s="11" t="n">
        <v>4210301</v>
      </c>
      <c r="T325" s="13" t="s">
        <v>420</v>
      </c>
      <c r="U325" s="16" t="n">
        <v>6.99</v>
      </c>
      <c r="V325" s="16"/>
      <c r="W325" s="17" t="n">
        <v>0</v>
      </c>
      <c r="X325" s="15"/>
      <c r="Y325" s="15"/>
      <c r="Z325" s="1" t="str">
        <f aca="false">IF($T325="","",IFERROR(INDEX('Resumo Grupos'!$AC$3:$AC$2000,MATCH($T325,'Resumo Grupos'!$AB$3:$AB$2000,0)),"n/d"))</f>
        <v>Salários</v>
      </c>
    </row>
    <row r="326" customFormat="false" ht="28.5" hidden="false" customHeight="true" outlineLevel="0" collapsed="false">
      <c r="A326" s="11" t="n">
        <v>2</v>
      </c>
      <c r="B326" s="12" t="n">
        <v>46206</v>
      </c>
      <c r="C326" s="12" t="n">
        <v>46206</v>
      </c>
      <c r="D326" s="11" t="n">
        <v>34</v>
      </c>
      <c r="E326" s="13" t="s">
        <v>345</v>
      </c>
      <c r="F326" s="11" t="n">
        <v>7</v>
      </c>
      <c r="G326" s="13" t="s">
        <v>422</v>
      </c>
      <c r="H326" s="11" t="n">
        <v>2110405</v>
      </c>
      <c r="I326" s="13" t="s">
        <v>51</v>
      </c>
      <c r="J326" s="14" t="n">
        <v>1370577</v>
      </c>
      <c r="K326" s="14"/>
      <c r="L326" s="11" t="n">
        <v>184313</v>
      </c>
      <c r="M326" s="13" t="s">
        <v>105</v>
      </c>
      <c r="N326" s="15" t="s">
        <v>41</v>
      </c>
      <c r="O326" s="15"/>
      <c r="P326" s="11" t="n">
        <v>113</v>
      </c>
      <c r="Q326" s="13" t="s">
        <v>34</v>
      </c>
      <c r="R326" s="13" t="s">
        <v>191</v>
      </c>
      <c r="S326" s="11" t="n">
        <v>4210301</v>
      </c>
      <c r="T326" s="13" t="s">
        <v>420</v>
      </c>
      <c r="U326" s="16" t="n">
        <v>1217.33</v>
      </c>
      <c r="V326" s="16"/>
      <c r="W326" s="17" t="n">
        <v>0</v>
      </c>
      <c r="X326" s="15" t="s">
        <v>423</v>
      </c>
      <c r="Y326" s="15"/>
      <c r="Z326" s="1" t="str">
        <f aca="false">IF($T326="","",IFERROR(INDEX('Resumo Grupos'!$AC$3:$AC$2000,MATCH($T326,'Resumo Grupos'!$AB$3:$AB$2000,0)),"n/d"))</f>
        <v>Salários</v>
      </c>
    </row>
    <row r="327" customFormat="false" ht="48" hidden="false" customHeight="true" outlineLevel="0" collapsed="false">
      <c r="A327" s="11" t="n">
        <v>2</v>
      </c>
      <c r="B327" s="12" t="n">
        <v>46211</v>
      </c>
      <c r="C327" s="12" t="n">
        <v>46212</v>
      </c>
      <c r="D327" s="11" t="n">
        <v>642</v>
      </c>
      <c r="E327" s="13" t="s">
        <v>315</v>
      </c>
      <c r="F327" s="11" t="n">
        <v>24</v>
      </c>
      <c r="G327" s="13" t="s">
        <v>30</v>
      </c>
      <c r="H327" s="11" t="n">
        <v>2110101</v>
      </c>
      <c r="I327" s="13" t="s">
        <v>31</v>
      </c>
      <c r="J327" s="14" t="n">
        <v>1370587</v>
      </c>
      <c r="K327" s="14"/>
      <c r="L327" s="11" t="n">
        <v>524</v>
      </c>
      <c r="M327" s="13" t="s">
        <v>105</v>
      </c>
      <c r="N327" s="15" t="s">
        <v>33</v>
      </c>
      <c r="O327" s="15"/>
      <c r="P327" s="11" t="n">
        <v>113</v>
      </c>
      <c r="Q327" s="13" t="s">
        <v>34</v>
      </c>
      <c r="R327" s="13" t="s">
        <v>35</v>
      </c>
      <c r="S327" s="11" t="n">
        <v>1130101</v>
      </c>
      <c r="T327" s="13" t="s">
        <v>36</v>
      </c>
      <c r="U327" s="16" t="n">
        <v>240</v>
      </c>
      <c r="V327" s="16"/>
      <c r="W327" s="17" t="n">
        <v>0</v>
      </c>
      <c r="X327" s="15" t="s">
        <v>433</v>
      </c>
      <c r="Y327" s="15"/>
      <c r="Z327" s="1" t="str">
        <f aca="false">IF($T327="","",IFERROR(INDEX('Resumo Grupos'!$AC$3:$AC$2000,MATCH($T327,'Resumo Grupos'!$AB$3:$AB$2000,0)),"n/d"))</f>
        <v>Mercadoria</v>
      </c>
    </row>
    <row r="328" customFormat="false" ht="48" hidden="false" customHeight="true" outlineLevel="0" collapsed="false">
      <c r="A328" s="11" t="n">
        <v>2</v>
      </c>
      <c r="B328" s="12" t="n">
        <v>46211</v>
      </c>
      <c r="C328" s="12" t="n">
        <v>46218</v>
      </c>
      <c r="D328" s="11" t="n">
        <v>1292</v>
      </c>
      <c r="E328" s="13" t="s">
        <v>317</v>
      </c>
      <c r="F328" s="11" t="n">
        <v>24</v>
      </c>
      <c r="G328" s="13" t="s">
        <v>30</v>
      </c>
      <c r="H328" s="11" t="n">
        <v>2110101</v>
      </c>
      <c r="I328" s="13" t="s">
        <v>31</v>
      </c>
      <c r="J328" s="14" t="n">
        <v>1370597</v>
      </c>
      <c r="K328" s="14"/>
      <c r="L328" s="11" t="n">
        <v>3570</v>
      </c>
      <c r="M328" s="13" t="s">
        <v>105</v>
      </c>
      <c r="N328" s="15" t="s">
        <v>33</v>
      </c>
      <c r="O328" s="15"/>
      <c r="P328" s="11" t="n">
        <v>113</v>
      </c>
      <c r="Q328" s="13" t="s">
        <v>34</v>
      </c>
      <c r="R328" s="13" t="s">
        <v>35</v>
      </c>
      <c r="S328" s="11" t="n">
        <v>1130101</v>
      </c>
      <c r="T328" s="13" t="s">
        <v>36</v>
      </c>
      <c r="U328" s="16" t="n">
        <v>505.5</v>
      </c>
      <c r="V328" s="16"/>
      <c r="W328" s="17" t="n">
        <v>0</v>
      </c>
      <c r="X328" s="15" t="s">
        <v>434</v>
      </c>
      <c r="Y328" s="15"/>
      <c r="Z328" s="1" t="str">
        <f aca="false">IF($T328="","",IFERROR(INDEX('Resumo Grupos'!$AC$3:$AC$2000,MATCH($T328,'Resumo Grupos'!$AB$3:$AB$2000,0)),"n/d"))</f>
        <v>Mercadoria</v>
      </c>
    </row>
    <row r="329" customFormat="false" ht="57" hidden="false" customHeight="true" outlineLevel="0" collapsed="false">
      <c r="A329" s="11" t="n">
        <v>2</v>
      </c>
      <c r="B329" s="12" t="n">
        <v>46211</v>
      </c>
      <c r="C329" s="12" t="n">
        <v>46216</v>
      </c>
      <c r="D329" s="11" t="n">
        <v>1899</v>
      </c>
      <c r="E329" s="13" t="s">
        <v>287</v>
      </c>
      <c r="F329" s="11" t="n">
        <v>24</v>
      </c>
      <c r="G329" s="13" t="s">
        <v>30</v>
      </c>
      <c r="H329" s="11" t="n">
        <v>2110101</v>
      </c>
      <c r="I329" s="13" t="s">
        <v>31</v>
      </c>
      <c r="J329" s="14" t="n">
        <v>1370613</v>
      </c>
      <c r="K329" s="14"/>
      <c r="L329" s="11" t="n">
        <v>704</v>
      </c>
      <c r="M329" s="13" t="s">
        <v>105</v>
      </c>
      <c r="N329" s="15" t="s">
        <v>33</v>
      </c>
      <c r="O329" s="15"/>
      <c r="P329" s="11" t="n">
        <v>113</v>
      </c>
      <c r="Q329" s="13" t="s">
        <v>34</v>
      </c>
      <c r="R329" s="13" t="s">
        <v>35</v>
      </c>
      <c r="S329" s="11" t="n">
        <v>1130101</v>
      </c>
      <c r="T329" s="13" t="s">
        <v>36</v>
      </c>
      <c r="U329" s="16" t="n">
        <v>259.75</v>
      </c>
      <c r="V329" s="16"/>
      <c r="W329" s="17" t="n">
        <v>0</v>
      </c>
      <c r="X329" s="15" t="s">
        <v>435</v>
      </c>
      <c r="Y329" s="15"/>
      <c r="Z329" s="1" t="str">
        <f aca="false">IF($T329="","",IFERROR(INDEX('Resumo Grupos'!$AC$3:$AC$2000,MATCH($T329,'Resumo Grupos'!$AB$3:$AB$2000,0)),"n/d"))</f>
        <v>Mercadoria</v>
      </c>
    </row>
    <row r="330" customFormat="false" ht="39" hidden="false" customHeight="true" outlineLevel="0" collapsed="false">
      <c r="A330" s="11" t="n">
        <v>2</v>
      </c>
      <c r="B330" s="12" t="n">
        <v>46211</v>
      </c>
      <c r="C330" s="12" t="n">
        <v>46218</v>
      </c>
      <c r="D330" s="11" t="n">
        <v>1683</v>
      </c>
      <c r="E330" s="13" t="s">
        <v>328</v>
      </c>
      <c r="F330" s="11" t="n">
        <v>34</v>
      </c>
      <c r="G330" s="13" t="s">
        <v>87</v>
      </c>
      <c r="H330" s="11" t="n">
        <v>2110101</v>
      </c>
      <c r="I330" s="13" t="s">
        <v>31</v>
      </c>
      <c r="J330" s="14" t="n">
        <v>1370616</v>
      </c>
      <c r="K330" s="14"/>
      <c r="L330" s="11" t="n">
        <v>1644345</v>
      </c>
      <c r="M330" s="13" t="s">
        <v>105</v>
      </c>
      <c r="N330" s="15" t="s">
        <v>33</v>
      </c>
      <c r="O330" s="15"/>
      <c r="P330" s="11" t="n">
        <v>113</v>
      </c>
      <c r="Q330" s="13" t="s">
        <v>34</v>
      </c>
      <c r="R330" s="13" t="s">
        <v>35</v>
      </c>
      <c r="S330" s="11" t="n">
        <v>1130101</v>
      </c>
      <c r="T330" s="13" t="s">
        <v>36</v>
      </c>
      <c r="U330" s="16" t="n">
        <v>129.5</v>
      </c>
      <c r="V330" s="16"/>
      <c r="W330" s="17" t="n">
        <v>0</v>
      </c>
      <c r="X330" s="15" t="s">
        <v>329</v>
      </c>
      <c r="Y330" s="15"/>
      <c r="Z330" s="1" t="str">
        <f aca="false">IF($T330="","",IFERROR(INDEX('Resumo Grupos'!$AC$3:$AC$2000,MATCH($T330,'Resumo Grupos'!$AB$3:$AB$2000,0)),"n/d"))</f>
        <v>Mercadoria</v>
      </c>
    </row>
    <row r="331" customFormat="false" ht="39" hidden="false" customHeight="true" outlineLevel="0" collapsed="false">
      <c r="A331" s="11" t="n">
        <v>2</v>
      </c>
      <c r="B331" s="12" t="n">
        <v>46211</v>
      </c>
      <c r="C331" s="12" t="n">
        <v>46244</v>
      </c>
      <c r="D331" s="11" t="n">
        <v>33</v>
      </c>
      <c r="E331" s="13" t="s">
        <v>199</v>
      </c>
      <c r="F331" s="11" t="n">
        <v>34</v>
      </c>
      <c r="G331" s="13" t="s">
        <v>87</v>
      </c>
      <c r="H331" s="11" t="n">
        <v>1110203</v>
      </c>
      <c r="I331" s="13" t="s">
        <v>100</v>
      </c>
      <c r="J331" s="14" t="n">
        <v>1370733</v>
      </c>
      <c r="K331" s="14"/>
      <c r="L331" s="11" t="n">
        <v>184338</v>
      </c>
      <c r="M331" s="13" t="s">
        <v>105</v>
      </c>
      <c r="N331" s="15" t="s">
        <v>41</v>
      </c>
      <c r="O331" s="15"/>
      <c r="P331" s="11" t="n">
        <v>101</v>
      </c>
      <c r="Q331" s="13" t="s">
        <v>52</v>
      </c>
      <c r="R331" s="13" t="s">
        <v>60</v>
      </c>
      <c r="S331" s="11" t="n">
        <v>4210222</v>
      </c>
      <c r="T331" s="13" t="s">
        <v>436</v>
      </c>
      <c r="U331" s="16" t="n">
        <v>666.67</v>
      </c>
      <c r="V331" s="16"/>
      <c r="W331" s="17" t="n">
        <v>0</v>
      </c>
      <c r="X331" s="15" t="s">
        <v>437</v>
      </c>
      <c r="Y331" s="15"/>
      <c r="Z331" s="1" t="str">
        <f aca="false">IF($T331="","",IFERROR(INDEX('Resumo Grupos'!$AC$3:$AC$2000,MATCH($T331,'Resumo Grupos'!$AB$3:$AB$2000,0)),"n/d"))</f>
        <v>Despesa</v>
      </c>
    </row>
    <row r="332" customFormat="false" ht="39" hidden="false" customHeight="true" outlineLevel="0" collapsed="false">
      <c r="A332" s="11" t="n">
        <v>2</v>
      </c>
      <c r="B332" s="12" t="n">
        <v>46211</v>
      </c>
      <c r="C332" s="12" t="n">
        <v>46275</v>
      </c>
      <c r="D332" s="11" t="n">
        <v>33</v>
      </c>
      <c r="E332" s="13" t="s">
        <v>199</v>
      </c>
      <c r="F332" s="11" t="n">
        <v>34</v>
      </c>
      <c r="G332" s="13" t="s">
        <v>87</v>
      </c>
      <c r="H332" s="11" t="n">
        <v>1110203</v>
      </c>
      <c r="I332" s="13" t="s">
        <v>100</v>
      </c>
      <c r="J332" s="14" t="n">
        <v>1370733</v>
      </c>
      <c r="K332" s="14"/>
      <c r="L332" s="11" t="n">
        <v>184338</v>
      </c>
      <c r="M332" s="13" t="s">
        <v>32</v>
      </c>
      <c r="N332" s="15" t="s">
        <v>41</v>
      </c>
      <c r="O332" s="15"/>
      <c r="P332" s="11" t="n">
        <v>101</v>
      </c>
      <c r="Q332" s="13" t="s">
        <v>52</v>
      </c>
      <c r="R332" s="13" t="s">
        <v>60</v>
      </c>
      <c r="S332" s="11" t="n">
        <v>4210222</v>
      </c>
      <c r="T332" s="13" t="s">
        <v>436</v>
      </c>
      <c r="U332" s="16" t="n">
        <v>666.67</v>
      </c>
      <c r="V332" s="16"/>
      <c r="W332" s="17" t="n">
        <v>0</v>
      </c>
      <c r="X332" s="15" t="s">
        <v>437</v>
      </c>
      <c r="Y332" s="15"/>
      <c r="Z332" s="1" t="str">
        <f aca="false">IF($T332="","",IFERROR(INDEX('Resumo Grupos'!$AC$3:$AC$2000,MATCH($T332,'Resumo Grupos'!$AB$3:$AB$2000,0)),"n/d"))</f>
        <v>Despesa</v>
      </c>
    </row>
    <row r="333" customFormat="false" ht="57" hidden="false" customHeight="true" outlineLevel="0" collapsed="false">
      <c r="A333" s="11" t="n">
        <v>2</v>
      </c>
      <c r="B333" s="12" t="n">
        <v>46211</v>
      </c>
      <c r="C333" s="12" t="n">
        <v>46223</v>
      </c>
      <c r="D333" s="11" t="n">
        <v>10028</v>
      </c>
      <c r="E333" s="13" t="s">
        <v>438</v>
      </c>
      <c r="F333" s="11" t="n">
        <v>24</v>
      </c>
      <c r="G333" s="13" t="s">
        <v>30</v>
      </c>
      <c r="H333" s="11" t="n">
        <v>1110203</v>
      </c>
      <c r="I333" s="13" t="s">
        <v>100</v>
      </c>
      <c r="J333" s="14" t="n">
        <v>1370757</v>
      </c>
      <c r="K333" s="14"/>
      <c r="L333" s="11" t="n">
        <v>184341</v>
      </c>
      <c r="M333" s="13" t="s">
        <v>105</v>
      </c>
      <c r="N333" s="15" t="s">
        <v>41</v>
      </c>
      <c r="O333" s="15"/>
      <c r="P333" s="11" t="n">
        <v>101</v>
      </c>
      <c r="Q333" s="13" t="s">
        <v>52</v>
      </c>
      <c r="R333" s="13" t="s">
        <v>191</v>
      </c>
      <c r="S333" s="11" t="n">
        <v>4210315</v>
      </c>
      <c r="T333" s="13" t="s">
        <v>192</v>
      </c>
      <c r="U333" s="16" t="n">
        <v>595.9</v>
      </c>
      <c r="V333" s="16"/>
      <c r="W333" s="17" t="n">
        <v>0</v>
      </c>
      <c r="X333" s="15" t="s">
        <v>439</v>
      </c>
      <c r="Y333" s="15"/>
      <c r="Z333" s="1" t="str">
        <f aca="false">IF($T333="","",IFERROR(INDEX('Resumo Grupos'!$AC$3:$AC$2000,MATCH($T333,'Resumo Grupos'!$AB$3:$AB$2000,0)),"n/d"))</f>
        <v>Despesa</v>
      </c>
    </row>
    <row r="334" customFormat="false" ht="39" hidden="false" customHeight="true" outlineLevel="0" collapsed="false">
      <c r="A334" s="11" t="n">
        <v>2</v>
      </c>
      <c r="B334" s="12" t="n">
        <v>46211</v>
      </c>
      <c r="C334" s="12" t="n">
        <v>46217</v>
      </c>
      <c r="D334" s="11" t="n">
        <v>754</v>
      </c>
      <c r="E334" s="13" t="s">
        <v>321</v>
      </c>
      <c r="F334" s="11" t="n">
        <v>24</v>
      </c>
      <c r="G334" s="13" t="s">
        <v>30</v>
      </c>
      <c r="H334" s="11" t="n">
        <v>2110101</v>
      </c>
      <c r="I334" s="13" t="s">
        <v>31</v>
      </c>
      <c r="J334" s="14" t="n">
        <v>1370823</v>
      </c>
      <c r="K334" s="14"/>
      <c r="L334" s="11" t="n">
        <v>31674</v>
      </c>
      <c r="M334" s="13" t="s">
        <v>105</v>
      </c>
      <c r="N334" s="15" t="s">
        <v>33</v>
      </c>
      <c r="O334" s="15"/>
      <c r="P334" s="11" t="n">
        <v>113</v>
      </c>
      <c r="Q334" s="13" t="s">
        <v>34</v>
      </c>
      <c r="R334" s="13" t="s">
        <v>35</v>
      </c>
      <c r="S334" s="11" t="n">
        <v>1130101</v>
      </c>
      <c r="T334" s="13" t="s">
        <v>36</v>
      </c>
      <c r="U334" s="16" t="n">
        <v>1411.05</v>
      </c>
      <c r="V334" s="16"/>
      <c r="W334" s="17" t="n">
        <v>0</v>
      </c>
      <c r="X334" s="15" t="s">
        <v>440</v>
      </c>
      <c r="Y334" s="15"/>
      <c r="Z334" s="1" t="str">
        <f aca="false">IF($T334="","",IFERROR(INDEX('Resumo Grupos'!$AC$3:$AC$2000,MATCH($T334,'Resumo Grupos'!$AB$3:$AB$2000,0)),"n/d"))</f>
        <v>Mercadoria</v>
      </c>
    </row>
    <row r="335" customFormat="false" ht="39" hidden="false" customHeight="true" outlineLevel="0" collapsed="false">
      <c r="A335" s="11" t="n">
        <v>2</v>
      </c>
      <c r="B335" s="12" t="n">
        <v>46212</v>
      </c>
      <c r="C335" s="12" t="n">
        <v>46218</v>
      </c>
      <c r="D335" s="11" t="n">
        <v>911</v>
      </c>
      <c r="E335" s="13" t="s">
        <v>441</v>
      </c>
      <c r="F335" s="11" t="n">
        <v>24</v>
      </c>
      <c r="G335" s="13" t="s">
        <v>30</v>
      </c>
      <c r="H335" s="11" t="n">
        <v>2110101</v>
      </c>
      <c r="I335" s="13" t="s">
        <v>31</v>
      </c>
      <c r="J335" s="14" t="n">
        <v>1373506</v>
      </c>
      <c r="K335" s="14"/>
      <c r="L335" s="11" t="n">
        <v>53410</v>
      </c>
      <c r="M335" s="13" t="s">
        <v>105</v>
      </c>
      <c r="N335" s="15" t="s">
        <v>33</v>
      </c>
      <c r="O335" s="15"/>
      <c r="P335" s="11" t="n">
        <v>113</v>
      </c>
      <c r="Q335" s="13" t="s">
        <v>34</v>
      </c>
      <c r="R335" s="13" t="s">
        <v>35</v>
      </c>
      <c r="S335" s="11" t="n">
        <v>1130101</v>
      </c>
      <c r="T335" s="13" t="s">
        <v>36</v>
      </c>
      <c r="U335" s="16" t="n">
        <v>316.08</v>
      </c>
      <c r="V335" s="16"/>
      <c r="W335" s="17" t="n">
        <v>0</v>
      </c>
      <c r="X335" s="15" t="s">
        <v>442</v>
      </c>
      <c r="Y335" s="15"/>
      <c r="Z335" s="1" t="str">
        <f aca="false">IF($T335="","",IFERROR(INDEX('Resumo Grupos'!$AC$3:$AC$2000,MATCH($T335,'Resumo Grupos'!$AB$3:$AB$2000,0)),"n/d"))</f>
        <v>Mercadoria</v>
      </c>
    </row>
    <row r="336" customFormat="false" ht="39" hidden="false" customHeight="true" outlineLevel="0" collapsed="false">
      <c r="A336" s="11" t="n">
        <v>2</v>
      </c>
      <c r="B336" s="12" t="n">
        <v>46212</v>
      </c>
      <c r="C336" s="12" t="n">
        <v>46219</v>
      </c>
      <c r="D336" s="11" t="n">
        <v>1608</v>
      </c>
      <c r="E336" s="13" t="s">
        <v>127</v>
      </c>
      <c r="F336" s="11" t="n">
        <v>24</v>
      </c>
      <c r="G336" s="13" t="s">
        <v>30</v>
      </c>
      <c r="H336" s="11" t="n">
        <v>2110101</v>
      </c>
      <c r="I336" s="13" t="s">
        <v>31</v>
      </c>
      <c r="J336" s="14" t="n">
        <v>1373707</v>
      </c>
      <c r="K336" s="14"/>
      <c r="L336" s="11" t="n">
        <v>1688844</v>
      </c>
      <c r="M336" s="13" t="s">
        <v>105</v>
      </c>
      <c r="N336" s="15" t="s">
        <v>33</v>
      </c>
      <c r="O336" s="15"/>
      <c r="P336" s="11" t="n">
        <v>113</v>
      </c>
      <c r="Q336" s="13" t="s">
        <v>34</v>
      </c>
      <c r="R336" s="13" t="s">
        <v>35</v>
      </c>
      <c r="S336" s="11" t="n">
        <v>1130101</v>
      </c>
      <c r="T336" s="13" t="s">
        <v>36</v>
      </c>
      <c r="U336" s="16" t="n">
        <v>197.37</v>
      </c>
      <c r="V336" s="16"/>
      <c r="W336" s="17" t="n">
        <v>0</v>
      </c>
      <c r="X336" s="15" t="s">
        <v>443</v>
      </c>
      <c r="Y336" s="15"/>
      <c r="Z336" s="1" t="str">
        <f aca="false">IF($T336="","",IFERROR(INDEX('Resumo Grupos'!$AC$3:$AC$2000,MATCH($T336,'Resumo Grupos'!$AB$3:$AB$2000,0)),"n/d"))</f>
        <v>Mercadoria</v>
      </c>
    </row>
    <row r="337" customFormat="false" ht="48" hidden="false" customHeight="true" outlineLevel="0" collapsed="false">
      <c r="A337" s="11" t="n">
        <v>2</v>
      </c>
      <c r="B337" s="12" t="n">
        <v>46212</v>
      </c>
      <c r="C337" s="12" t="n">
        <v>46226</v>
      </c>
      <c r="D337" s="11" t="n">
        <v>1601</v>
      </c>
      <c r="E337" s="13" t="s">
        <v>129</v>
      </c>
      <c r="F337" s="11" t="n">
        <v>24</v>
      </c>
      <c r="G337" s="13" t="s">
        <v>30</v>
      </c>
      <c r="H337" s="11" t="n">
        <v>2110101</v>
      </c>
      <c r="I337" s="13" t="s">
        <v>31</v>
      </c>
      <c r="J337" s="14" t="n">
        <v>1373725</v>
      </c>
      <c r="K337" s="14"/>
      <c r="L337" s="11" t="n">
        <v>851821</v>
      </c>
      <c r="M337" s="13" t="s">
        <v>105</v>
      </c>
      <c r="N337" s="15" t="s">
        <v>33</v>
      </c>
      <c r="O337" s="15"/>
      <c r="P337" s="11" t="n">
        <v>113</v>
      </c>
      <c r="Q337" s="13" t="s">
        <v>34</v>
      </c>
      <c r="R337" s="13" t="s">
        <v>35</v>
      </c>
      <c r="S337" s="11" t="n">
        <v>1130101</v>
      </c>
      <c r="T337" s="13" t="s">
        <v>36</v>
      </c>
      <c r="U337" s="16" t="n">
        <v>426.95</v>
      </c>
      <c r="V337" s="16"/>
      <c r="W337" s="17" t="n">
        <v>0</v>
      </c>
      <c r="X337" s="15" t="s">
        <v>444</v>
      </c>
      <c r="Y337" s="15"/>
      <c r="Z337" s="1" t="str">
        <f aca="false">IF($T337="","",IFERROR(INDEX('Resumo Grupos'!$AC$3:$AC$2000,MATCH($T337,'Resumo Grupos'!$AB$3:$AB$2000,0)),"n/d"))</f>
        <v>Mercadoria</v>
      </c>
    </row>
    <row r="338" customFormat="false" ht="39" hidden="false" customHeight="true" outlineLevel="0" collapsed="false">
      <c r="A338" s="11" t="n">
        <v>2</v>
      </c>
      <c r="B338" s="12" t="n">
        <v>46212</v>
      </c>
      <c r="C338" s="12" t="n">
        <v>46217</v>
      </c>
      <c r="D338" s="11" t="n">
        <v>48</v>
      </c>
      <c r="E338" s="13" t="s">
        <v>112</v>
      </c>
      <c r="F338" s="11" t="n">
        <v>24</v>
      </c>
      <c r="G338" s="13" t="s">
        <v>30</v>
      </c>
      <c r="H338" s="11" t="n">
        <v>2110101</v>
      </c>
      <c r="I338" s="13" t="s">
        <v>31</v>
      </c>
      <c r="J338" s="14" t="n">
        <v>1373788</v>
      </c>
      <c r="K338" s="14"/>
      <c r="L338" s="11" t="n">
        <v>2533</v>
      </c>
      <c r="M338" s="13" t="s">
        <v>105</v>
      </c>
      <c r="N338" s="15" t="s">
        <v>33</v>
      </c>
      <c r="O338" s="15"/>
      <c r="P338" s="11" t="n">
        <v>113</v>
      </c>
      <c r="Q338" s="13" t="s">
        <v>34</v>
      </c>
      <c r="R338" s="13" t="s">
        <v>35</v>
      </c>
      <c r="S338" s="11" t="n">
        <v>1130101</v>
      </c>
      <c r="T338" s="13" t="s">
        <v>36</v>
      </c>
      <c r="U338" s="16" t="n">
        <v>290</v>
      </c>
      <c r="V338" s="16"/>
      <c r="W338" s="17" t="n">
        <v>0</v>
      </c>
      <c r="X338" s="15" t="s">
        <v>445</v>
      </c>
      <c r="Y338" s="15"/>
      <c r="Z338" s="1" t="str">
        <f aca="false">IF($T338="","",IFERROR(INDEX('Resumo Grupos'!$AC$3:$AC$2000,MATCH($T338,'Resumo Grupos'!$AB$3:$AB$2000,0)),"n/d"))</f>
        <v>Mercadoria</v>
      </c>
    </row>
    <row r="339" customFormat="false" ht="39" hidden="false" customHeight="true" outlineLevel="0" collapsed="false">
      <c r="A339" s="11" t="n">
        <v>2</v>
      </c>
      <c r="B339" s="12" t="n">
        <v>46212</v>
      </c>
      <c r="C339" s="12" t="n">
        <v>46218</v>
      </c>
      <c r="D339" s="11" t="n">
        <v>10018</v>
      </c>
      <c r="E339" s="13" t="s">
        <v>368</v>
      </c>
      <c r="F339" s="11" t="n">
        <v>34</v>
      </c>
      <c r="G339" s="13" t="s">
        <v>87</v>
      </c>
      <c r="H339" s="11" t="n">
        <v>2110101</v>
      </c>
      <c r="I339" s="13" t="s">
        <v>31</v>
      </c>
      <c r="J339" s="14" t="n">
        <v>1373839</v>
      </c>
      <c r="K339" s="14"/>
      <c r="L339" s="11" t="n">
        <v>331</v>
      </c>
      <c r="M339" s="13" t="s">
        <v>105</v>
      </c>
      <c r="N339" s="15" t="s">
        <v>33</v>
      </c>
      <c r="O339" s="15"/>
      <c r="P339" s="11" t="n">
        <v>113</v>
      </c>
      <c r="Q339" s="13" t="s">
        <v>34</v>
      </c>
      <c r="R339" s="13" t="s">
        <v>35</v>
      </c>
      <c r="S339" s="11" t="n">
        <v>1130101</v>
      </c>
      <c r="T339" s="13" t="s">
        <v>36</v>
      </c>
      <c r="U339" s="16" t="n">
        <v>915</v>
      </c>
      <c r="V339" s="16"/>
      <c r="W339" s="17" t="n">
        <v>0</v>
      </c>
      <c r="X339" s="15" t="s">
        <v>446</v>
      </c>
      <c r="Y339" s="15"/>
      <c r="Z339" s="1" t="str">
        <f aca="false">IF($T339="","",IFERROR(INDEX('Resumo Grupos'!$AC$3:$AC$2000,MATCH($T339,'Resumo Grupos'!$AB$3:$AB$2000,0)),"n/d"))</f>
        <v>Mercadoria</v>
      </c>
    </row>
    <row r="340" customFormat="false" ht="48" hidden="false" customHeight="true" outlineLevel="0" collapsed="false">
      <c r="A340" s="11" t="n">
        <v>2</v>
      </c>
      <c r="B340" s="12" t="n">
        <v>46212</v>
      </c>
      <c r="C340" s="12" t="n">
        <v>46226</v>
      </c>
      <c r="D340" s="11" t="n">
        <v>1612</v>
      </c>
      <c r="E340" s="13" t="s">
        <v>447</v>
      </c>
      <c r="F340" s="11" t="n">
        <v>24</v>
      </c>
      <c r="G340" s="13" t="s">
        <v>30</v>
      </c>
      <c r="H340" s="11" t="n">
        <v>2110101</v>
      </c>
      <c r="I340" s="13" t="s">
        <v>31</v>
      </c>
      <c r="J340" s="14" t="n">
        <v>1374035</v>
      </c>
      <c r="K340" s="14"/>
      <c r="L340" s="11" t="n">
        <v>2299705</v>
      </c>
      <c r="M340" s="13" t="s">
        <v>105</v>
      </c>
      <c r="N340" s="15" t="s">
        <v>33</v>
      </c>
      <c r="O340" s="15"/>
      <c r="P340" s="11" t="n">
        <v>113</v>
      </c>
      <c r="Q340" s="13" t="s">
        <v>34</v>
      </c>
      <c r="R340" s="13" t="s">
        <v>35</v>
      </c>
      <c r="S340" s="11" t="n">
        <v>1130101</v>
      </c>
      <c r="T340" s="13" t="s">
        <v>36</v>
      </c>
      <c r="U340" s="16" t="n">
        <v>658.61</v>
      </c>
      <c r="V340" s="16"/>
      <c r="W340" s="17" t="n">
        <v>0</v>
      </c>
      <c r="X340" s="15" t="s">
        <v>448</v>
      </c>
      <c r="Y340" s="15"/>
      <c r="Z340" s="1" t="str">
        <f aca="false">IF($T340="","",IFERROR(INDEX('Resumo Grupos'!$AC$3:$AC$2000,MATCH($T340,'Resumo Grupos'!$AB$3:$AB$2000,0)),"n/d"))</f>
        <v>Mercadoria</v>
      </c>
    </row>
    <row r="341" customFormat="false" ht="48" hidden="false" customHeight="true" outlineLevel="0" collapsed="false">
      <c r="A341" s="11" t="n">
        <v>2</v>
      </c>
      <c r="B341" s="12" t="n">
        <v>46212</v>
      </c>
      <c r="C341" s="12" t="n">
        <v>46233</v>
      </c>
      <c r="D341" s="11" t="n">
        <v>1612</v>
      </c>
      <c r="E341" s="13" t="s">
        <v>447</v>
      </c>
      <c r="F341" s="11" t="n">
        <v>24</v>
      </c>
      <c r="G341" s="13" t="s">
        <v>30</v>
      </c>
      <c r="H341" s="11" t="n">
        <v>2110101</v>
      </c>
      <c r="I341" s="13" t="s">
        <v>31</v>
      </c>
      <c r="J341" s="14" t="n">
        <v>1374035</v>
      </c>
      <c r="K341" s="14"/>
      <c r="L341" s="11" t="n">
        <v>2299705</v>
      </c>
      <c r="M341" s="13" t="s">
        <v>32</v>
      </c>
      <c r="N341" s="15" t="s">
        <v>33</v>
      </c>
      <c r="O341" s="15"/>
      <c r="P341" s="11" t="n">
        <v>113</v>
      </c>
      <c r="Q341" s="13" t="s">
        <v>34</v>
      </c>
      <c r="R341" s="13" t="s">
        <v>35</v>
      </c>
      <c r="S341" s="11" t="n">
        <v>1130101</v>
      </c>
      <c r="T341" s="13" t="s">
        <v>36</v>
      </c>
      <c r="U341" s="16" t="n">
        <v>658.6</v>
      </c>
      <c r="V341" s="16"/>
      <c r="W341" s="17" t="n">
        <v>0</v>
      </c>
      <c r="X341" s="15" t="s">
        <v>448</v>
      </c>
      <c r="Y341" s="15"/>
      <c r="Z341" s="1" t="str">
        <f aca="false">IF($T341="","",IFERROR(INDEX('Resumo Grupos'!$AC$3:$AC$2000,MATCH($T341,'Resumo Grupos'!$AB$3:$AB$2000,0)),"n/d"))</f>
        <v>Mercadoria</v>
      </c>
    </row>
    <row r="342" customFormat="false" ht="48" hidden="false" customHeight="true" outlineLevel="0" collapsed="false">
      <c r="A342" s="11" t="n">
        <v>2</v>
      </c>
      <c r="B342" s="12" t="n">
        <v>46212</v>
      </c>
      <c r="C342" s="12" t="n">
        <v>46240</v>
      </c>
      <c r="D342" s="11" t="n">
        <v>1612</v>
      </c>
      <c r="E342" s="13" t="s">
        <v>447</v>
      </c>
      <c r="F342" s="11" t="n">
        <v>24</v>
      </c>
      <c r="G342" s="13" t="s">
        <v>30</v>
      </c>
      <c r="H342" s="11" t="n">
        <v>2110101</v>
      </c>
      <c r="I342" s="13" t="s">
        <v>31</v>
      </c>
      <c r="J342" s="14" t="n">
        <v>1374035</v>
      </c>
      <c r="K342" s="14"/>
      <c r="L342" s="11" t="n">
        <v>2299705</v>
      </c>
      <c r="M342" s="13" t="s">
        <v>101</v>
      </c>
      <c r="N342" s="15" t="s">
        <v>33</v>
      </c>
      <c r="O342" s="15"/>
      <c r="P342" s="11" t="n">
        <v>113</v>
      </c>
      <c r="Q342" s="13" t="s">
        <v>34</v>
      </c>
      <c r="R342" s="13" t="s">
        <v>35</v>
      </c>
      <c r="S342" s="11" t="n">
        <v>1130101</v>
      </c>
      <c r="T342" s="13" t="s">
        <v>36</v>
      </c>
      <c r="U342" s="16" t="n">
        <v>658.6</v>
      </c>
      <c r="V342" s="16"/>
      <c r="W342" s="17" t="n">
        <v>0</v>
      </c>
      <c r="X342" s="15" t="s">
        <v>448</v>
      </c>
      <c r="Y342" s="15"/>
      <c r="Z342" s="1" t="str">
        <f aca="false">IF($T342="","",IFERROR(INDEX('Resumo Grupos'!$AC$3:$AC$2000,MATCH($T342,'Resumo Grupos'!$AB$3:$AB$2000,0)),"n/d"))</f>
        <v>Mercadoria</v>
      </c>
    </row>
    <row r="343" customFormat="false" ht="48" hidden="false" customHeight="true" outlineLevel="0" collapsed="false">
      <c r="A343" s="11" t="n">
        <v>2</v>
      </c>
      <c r="B343" s="12" t="n">
        <v>46212</v>
      </c>
      <c r="C343" s="12" t="n">
        <v>46226</v>
      </c>
      <c r="D343" s="11" t="n">
        <v>1612</v>
      </c>
      <c r="E343" s="13" t="s">
        <v>447</v>
      </c>
      <c r="F343" s="11" t="n">
        <v>24</v>
      </c>
      <c r="G343" s="13" t="s">
        <v>30</v>
      </c>
      <c r="H343" s="11" t="n">
        <v>2110101</v>
      </c>
      <c r="I343" s="13" t="s">
        <v>31</v>
      </c>
      <c r="J343" s="14" t="n">
        <v>1374249</v>
      </c>
      <c r="K343" s="14"/>
      <c r="L343" s="11" t="n">
        <v>2299703</v>
      </c>
      <c r="M343" s="13" t="s">
        <v>105</v>
      </c>
      <c r="N343" s="15" t="s">
        <v>33</v>
      </c>
      <c r="O343" s="15"/>
      <c r="P343" s="11" t="n">
        <v>113</v>
      </c>
      <c r="Q343" s="13" t="s">
        <v>34</v>
      </c>
      <c r="R343" s="13" t="s">
        <v>35</v>
      </c>
      <c r="S343" s="11" t="n">
        <v>1130101</v>
      </c>
      <c r="T343" s="13" t="s">
        <v>36</v>
      </c>
      <c r="U343" s="16" t="n">
        <v>377.45</v>
      </c>
      <c r="V343" s="16"/>
      <c r="W343" s="17" t="n">
        <v>0</v>
      </c>
      <c r="X343" s="15" t="s">
        <v>449</v>
      </c>
      <c r="Y343" s="15"/>
      <c r="Z343" s="1" t="str">
        <f aca="false">IF($T343="","",IFERROR(INDEX('Resumo Grupos'!$AC$3:$AC$2000,MATCH($T343,'Resumo Grupos'!$AB$3:$AB$2000,0)),"n/d"))</f>
        <v>Mercadoria</v>
      </c>
    </row>
    <row r="344" customFormat="false" ht="48" hidden="false" customHeight="true" outlineLevel="0" collapsed="false">
      <c r="A344" s="11" t="n">
        <v>2</v>
      </c>
      <c r="B344" s="12" t="n">
        <v>46212</v>
      </c>
      <c r="C344" s="12" t="n">
        <v>46233</v>
      </c>
      <c r="D344" s="11" t="n">
        <v>1612</v>
      </c>
      <c r="E344" s="13" t="s">
        <v>447</v>
      </c>
      <c r="F344" s="11" t="n">
        <v>24</v>
      </c>
      <c r="G344" s="13" t="s">
        <v>30</v>
      </c>
      <c r="H344" s="11" t="n">
        <v>2110101</v>
      </c>
      <c r="I344" s="13" t="s">
        <v>31</v>
      </c>
      <c r="J344" s="14" t="n">
        <v>1374249</v>
      </c>
      <c r="K344" s="14"/>
      <c r="L344" s="11" t="n">
        <v>2299703</v>
      </c>
      <c r="M344" s="13" t="s">
        <v>32</v>
      </c>
      <c r="N344" s="15" t="s">
        <v>33</v>
      </c>
      <c r="O344" s="15"/>
      <c r="P344" s="11" t="n">
        <v>113</v>
      </c>
      <c r="Q344" s="13" t="s">
        <v>34</v>
      </c>
      <c r="R344" s="13" t="s">
        <v>35</v>
      </c>
      <c r="S344" s="11" t="n">
        <v>1130101</v>
      </c>
      <c r="T344" s="13" t="s">
        <v>36</v>
      </c>
      <c r="U344" s="16" t="n">
        <v>377.46</v>
      </c>
      <c r="V344" s="16"/>
      <c r="W344" s="17" t="n">
        <v>0</v>
      </c>
      <c r="X344" s="15" t="s">
        <v>449</v>
      </c>
      <c r="Y344" s="15"/>
      <c r="Z344" s="1" t="str">
        <f aca="false">IF($T344="","",IFERROR(INDEX('Resumo Grupos'!$AC$3:$AC$2000,MATCH($T344,'Resumo Grupos'!$AB$3:$AB$2000,0)),"n/d"))</f>
        <v>Mercadoria</v>
      </c>
    </row>
    <row r="345" customFormat="false" ht="48" hidden="false" customHeight="true" outlineLevel="0" collapsed="false">
      <c r="A345" s="11" t="n">
        <v>2</v>
      </c>
      <c r="B345" s="12" t="n">
        <v>46212</v>
      </c>
      <c r="C345" s="12" t="n">
        <v>46240</v>
      </c>
      <c r="D345" s="11" t="n">
        <v>1612</v>
      </c>
      <c r="E345" s="13" t="s">
        <v>447</v>
      </c>
      <c r="F345" s="11" t="n">
        <v>24</v>
      </c>
      <c r="G345" s="13" t="s">
        <v>30</v>
      </c>
      <c r="H345" s="11" t="n">
        <v>2110101</v>
      </c>
      <c r="I345" s="13" t="s">
        <v>31</v>
      </c>
      <c r="J345" s="14" t="n">
        <v>1374249</v>
      </c>
      <c r="K345" s="14"/>
      <c r="L345" s="11" t="n">
        <v>2299703</v>
      </c>
      <c r="M345" s="13" t="s">
        <v>101</v>
      </c>
      <c r="N345" s="15" t="s">
        <v>33</v>
      </c>
      <c r="O345" s="15"/>
      <c r="P345" s="11" t="n">
        <v>113</v>
      </c>
      <c r="Q345" s="13" t="s">
        <v>34</v>
      </c>
      <c r="R345" s="13" t="s">
        <v>35</v>
      </c>
      <c r="S345" s="11" t="n">
        <v>1130101</v>
      </c>
      <c r="T345" s="13" t="s">
        <v>36</v>
      </c>
      <c r="U345" s="16" t="n">
        <v>377.46</v>
      </c>
      <c r="V345" s="16"/>
      <c r="W345" s="17" t="n">
        <v>0</v>
      </c>
      <c r="X345" s="15" t="s">
        <v>449</v>
      </c>
      <c r="Y345" s="15"/>
      <c r="Z345" s="1" t="str">
        <f aca="false">IF($T345="","",IFERROR(INDEX('Resumo Grupos'!$AC$3:$AC$2000,MATCH($T345,'Resumo Grupos'!$AB$3:$AB$2000,0)),"n/d"))</f>
        <v>Mercadoria</v>
      </c>
    </row>
    <row r="346" customFormat="false" ht="48" hidden="false" customHeight="true" outlineLevel="0" collapsed="false">
      <c r="A346" s="11" t="n">
        <v>2</v>
      </c>
      <c r="B346" s="12" t="n">
        <v>46206</v>
      </c>
      <c r="C346" s="12" t="n">
        <v>46206</v>
      </c>
      <c r="D346" s="11" t="n">
        <v>514</v>
      </c>
      <c r="E346" s="13" t="s">
        <v>450</v>
      </c>
      <c r="F346" s="11" t="n">
        <v>34</v>
      </c>
      <c r="G346" s="13" t="s">
        <v>87</v>
      </c>
      <c r="H346" s="11" t="n">
        <v>1110202</v>
      </c>
      <c r="I346" s="13" t="s">
        <v>353</v>
      </c>
      <c r="J346" s="14" t="n">
        <v>1374654</v>
      </c>
      <c r="K346" s="14"/>
      <c r="L346" s="11" t="n">
        <v>184904</v>
      </c>
      <c r="M346" s="13" t="s">
        <v>105</v>
      </c>
      <c r="N346" s="15" t="s">
        <v>41</v>
      </c>
      <c r="O346" s="15"/>
      <c r="P346" s="11" t="n">
        <v>102</v>
      </c>
      <c r="Q346" s="13" t="s">
        <v>354</v>
      </c>
      <c r="R346" s="13" t="s">
        <v>53</v>
      </c>
      <c r="S346" s="11" t="n">
        <v>4220199</v>
      </c>
      <c r="T346" s="13" t="s">
        <v>54</v>
      </c>
      <c r="U346" s="16" t="n">
        <v>110</v>
      </c>
      <c r="V346" s="16"/>
      <c r="W346" s="17" t="n">
        <v>0</v>
      </c>
      <c r="X346" s="15" t="s">
        <v>451</v>
      </c>
      <c r="Y346" s="15"/>
      <c r="Z346" s="1" t="str">
        <f aca="false">IF($T346="","",IFERROR(INDEX('Resumo Grupos'!$AC$3:$AC$2000,MATCH($T346,'Resumo Grupos'!$AB$3:$AB$2000,0)),"n/d"))</f>
        <v>Pagamentos outros não operacionais</v>
      </c>
    </row>
    <row r="347" customFormat="false" ht="57" hidden="false" customHeight="true" outlineLevel="0" collapsed="false">
      <c r="A347" s="11" t="n">
        <v>2</v>
      </c>
      <c r="B347" s="12" t="n">
        <v>46212</v>
      </c>
      <c r="C347" s="12" t="n">
        <v>46218</v>
      </c>
      <c r="D347" s="11" t="n">
        <v>581</v>
      </c>
      <c r="E347" s="13" t="s">
        <v>279</v>
      </c>
      <c r="F347" s="11" t="n">
        <v>24</v>
      </c>
      <c r="G347" s="13" t="s">
        <v>30</v>
      </c>
      <c r="H347" s="11" t="n">
        <v>2110101</v>
      </c>
      <c r="I347" s="13" t="s">
        <v>31</v>
      </c>
      <c r="J347" s="14" t="n">
        <v>1374667</v>
      </c>
      <c r="K347" s="14"/>
      <c r="L347" s="11" t="n">
        <v>31344</v>
      </c>
      <c r="M347" s="13" t="s">
        <v>105</v>
      </c>
      <c r="N347" s="15" t="s">
        <v>33</v>
      </c>
      <c r="O347" s="15"/>
      <c r="P347" s="11" t="n">
        <v>113</v>
      </c>
      <c r="Q347" s="13" t="s">
        <v>34</v>
      </c>
      <c r="R347" s="13" t="s">
        <v>35</v>
      </c>
      <c r="S347" s="11" t="n">
        <v>1130101</v>
      </c>
      <c r="T347" s="13" t="s">
        <v>36</v>
      </c>
      <c r="U347" s="16" t="n">
        <v>329</v>
      </c>
      <c r="V347" s="16"/>
      <c r="W347" s="17" t="n">
        <v>0</v>
      </c>
      <c r="X347" s="15" t="s">
        <v>452</v>
      </c>
      <c r="Y347" s="15"/>
      <c r="Z347" s="1" t="str">
        <f aca="false">IF($T347="","",IFERROR(INDEX('Resumo Grupos'!$AC$3:$AC$2000,MATCH($T347,'Resumo Grupos'!$AB$3:$AB$2000,0)),"n/d"))</f>
        <v>Mercadoria</v>
      </c>
    </row>
    <row r="348" customFormat="false" ht="39" hidden="false" customHeight="true" outlineLevel="0" collapsed="false">
      <c r="A348" s="11" t="n">
        <v>2</v>
      </c>
      <c r="B348" s="12" t="n">
        <v>46212</v>
      </c>
      <c r="C348" s="12" t="n">
        <v>46226</v>
      </c>
      <c r="D348" s="11" t="n">
        <v>1740</v>
      </c>
      <c r="E348" s="13" t="s">
        <v>453</v>
      </c>
      <c r="F348" s="11" t="n">
        <v>24</v>
      </c>
      <c r="G348" s="13" t="s">
        <v>30</v>
      </c>
      <c r="H348" s="11" t="n">
        <v>2110101</v>
      </c>
      <c r="I348" s="13" t="s">
        <v>31</v>
      </c>
      <c r="J348" s="14" t="n">
        <v>1374749</v>
      </c>
      <c r="K348" s="14"/>
      <c r="L348" s="11" t="n">
        <v>1245696</v>
      </c>
      <c r="M348" s="13" t="s">
        <v>105</v>
      </c>
      <c r="N348" s="15" t="s">
        <v>33</v>
      </c>
      <c r="O348" s="15"/>
      <c r="P348" s="11" t="n">
        <v>113</v>
      </c>
      <c r="Q348" s="13" t="s">
        <v>34</v>
      </c>
      <c r="R348" s="13" t="s">
        <v>35</v>
      </c>
      <c r="S348" s="11" t="n">
        <v>1130101</v>
      </c>
      <c r="T348" s="13" t="s">
        <v>36</v>
      </c>
      <c r="U348" s="16" t="n">
        <v>335.35</v>
      </c>
      <c r="V348" s="16"/>
      <c r="W348" s="17" t="n">
        <v>0</v>
      </c>
      <c r="X348" s="15" t="s">
        <v>454</v>
      </c>
      <c r="Y348" s="15"/>
      <c r="Z348" s="1" t="str">
        <f aca="false">IF($T348="","",IFERROR(INDEX('Resumo Grupos'!$AC$3:$AC$2000,MATCH($T348,'Resumo Grupos'!$AB$3:$AB$2000,0)),"n/d"))</f>
        <v>Mercadoria</v>
      </c>
    </row>
    <row r="349" customFormat="false" ht="39" hidden="false" customHeight="true" outlineLevel="0" collapsed="false">
      <c r="A349" s="11" t="n">
        <v>2</v>
      </c>
      <c r="B349" s="12" t="n">
        <v>46212</v>
      </c>
      <c r="C349" s="12" t="n">
        <v>46227</v>
      </c>
      <c r="D349" s="11" t="n">
        <v>1705</v>
      </c>
      <c r="E349" s="13" t="s">
        <v>169</v>
      </c>
      <c r="F349" s="11" t="n">
        <v>24</v>
      </c>
      <c r="G349" s="13" t="s">
        <v>30</v>
      </c>
      <c r="H349" s="11" t="n">
        <v>2110101</v>
      </c>
      <c r="I349" s="13" t="s">
        <v>31</v>
      </c>
      <c r="J349" s="14" t="n">
        <v>1374769</v>
      </c>
      <c r="K349" s="14"/>
      <c r="L349" s="11" t="n">
        <v>1194626</v>
      </c>
      <c r="M349" s="13" t="s">
        <v>105</v>
      </c>
      <c r="N349" s="15" t="s">
        <v>33</v>
      </c>
      <c r="O349" s="15"/>
      <c r="P349" s="11" t="n">
        <v>113</v>
      </c>
      <c r="Q349" s="13" t="s">
        <v>34</v>
      </c>
      <c r="R349" s="13" t="s">
        <v>35</v>
      </c>
      <c r="S349" s="11" t="n">
        <v>1130101</v>
      </c>
      <c r="T349" s="13" t="s">
        <v>36</v>
      </c>
      <c r="U349" s="16" t="n">
        <v>659.34</v>
      </c>
      <c r="V349" s="16"/>
      <c r="W349" s="17" t="n">
        <v>0</v>
      </c>
      <c r="X349" s="15" t="s">
        <v>455</v>
      </c>
      <c r="Y349" s="15"/>
      <c r="Z349" s="1" t="str">
        <f aca="false">IF($T349="","",IFERROR(INDEX('Resumo Grupos'!$AC$3:$AC$2000,MATCH($T349,'Resumo Grupos'!$AB$3:$AB$2000,0)),"n/d"))</f>
        <v>Mercadoria</v>
      </c>
    </row>
    <row r="350" customFormat="false" ht="39" hidden="false" customHeight="true" outlineLevel="0" collapsed="false">
      <c r="A350" s="11" t="n">
        <v>2</v>
      </c>
      <c r="B350" s="12" t="n">
        <v>46212</v>
      </c>
      <c r="C350" s="12" t="n">
        <v>46227</v>
      </c>
      <c r="D350" s="11" t="n">
        <v>1705</v>
      </c>
      <c r="E350" s="13" t="s">
        <v>169</v>
      </c>
      <c r="F350" s="11" t="n">
        <v>24</v>
      </c>
      <c r="G350" s="13" t="s">
        <v>30</v>
      </c>
      <c r="H350" s="11" t="n">
        <v>2110101</v>
      </c>
      <c r="I350" s="13" t="s">
        <v>31</v>
      </c>
      <c r="J350" s="14" t="n">
        <v>1374773</v>
      </c>
      <c r="K350" s="14"/>
      <c r="L350" s="11" t="n">
        <v>1926959</v>
      </c>
      <c r="M350" s="13" t="s">
        <v>105</v>
      </c>
      <c r="N350" s="15" t="s">
        <v>33</v>
      </c>
      <c r="O350" s="15"/>
      <c r="P350" s="11" t="n">
        <v>113</v>
      </c>
      <c r="Q350" s="13" t="s">
        <v>34</v>
      </c>
      <c r="R350" s="13" t="s">
        <v>35</v>
      </c>
      <c r="S350" s="11" t="n">
        <v>1130101</v>
      </c>
      <c r="T350" s="13" t="s">
        <v>36</v>
      </c>
      <c r="U350" s="16" t="n">
        <v>190.48</v>
      </c>
      <c r="V350" s="16"/>
      <c r="W350" s="17" t="n">
        <v>0</v>
      </c>
      <c r="X350" s="15" t="s">
        <v>456</v>
      </c>
      <c r="Y350" s="15"/>
      <c r="Z350" s="1" t="str">
        <f aca="false">IF($T350="","",IFERROR(INDEX('Resumo Grupos'!$AC$3:$AC$2000,MATCH($T350,'Resumo Grupos'!$AB$3:$AB$2000,0)),"n/d"))</f>
        <v>Mercadoria</v>
      </c>
    </row>
    <row r="351" customFormat="false" ht="39" hidden="false" customHeight="true" outlineLevel="0" collapsed="false">
      <c r="A351" s="11" t="n">
        <v>2</v>
      </c>
      <c r="B351" s="12" t="n">
        <v>46212</v>
      </c>
      <c r="C351" s="12" t="n">
        <v>46227</v>
      </c>
      <c r="D351" s="11" t="n">
        <v>1705</v>
      </c>
      <c r="E351" s="13" t="s">
        <v>169</v>
      </c>
      <c r="F351" s="11" t="n">
        <v>24</v>
      </c>
      <c r="G351" s="13" t="s">
        <v>30</v>
      </c>
      <c r="H351" s="11" t="n">
        <v>2110101</v>
      </c>
      <c r="I351" s="13" t="s">
        <v>31</v>
      </c>
      <c r="J351" s="14" t="n">
        <v>1374788</v>
      </c>
      <c r="K351" s="14"/>
      <c r="L351" s="11" t="n">
        <v>184920</v>
      </c>
      <c r="M351" s="13" t="s">
        <v>105</v>
      </c>
      <c r="N351" s="15" t="s">
        <v>41</v>
      </c>
      <c r="O351" s="15"/>
      <c r="P351" s="11" t="n">
        <v>113</v>
      </c>
      <c r="Q351" s="13" t="s">
        <v>34</v>
      </c>
      <c r="R351" s="13" t="s">
        <v>35</v>
      </c>
      <c r="S351" s="11" t="n">
        <v>1130101</v>
      </c>
      <c r="T351" s="13" t="s">
        <v>36</v>
      </c>
      <c r="U351" s="16" t="n">
        <v>156.88</v>
      </c>
      <c r="V351" s="16"/>
      <c r="W351" s="17" t="n">
        <v>0</v>
      </c>
      <c r="X351" s="15" t="s">
        <v>457</v>
      </c>
      <c r="Y351" s="15"/>
      <c r="Z351" s="1" t="str">
        <f aca="false">IF($T351="","",IFERROR(INDEX('Resumo Grupos'!$AC$3:$AC$2000,MATCH($T351,'Resumo Grupos'!$AB$3:$AB$2000,0)),"n/d"))</f>
        <v>Mercadoria</v>
      </c>
    </row>
    <row r="352" customFormat="false" ht="28.5" hidden="false" customHeight="true" outlineLevel="0" collapsed="false">
      <c r="A352" s="11" t="n">
        <v>2</v>
      </c>
      <c r="B352" s="12" t="n">
        <v>46209</v>
      </c>
      <c r="C352" s="12" t="n">
        <v>46209</v>
      </c>
      <c r="D352" s="11" t="n">
        <v>515</v>
      </c>
      <c r="E352" s="13" t="s">
        <v>91</v>
      </c>
      <c r="F352" s="11" t="n">
        <v>34</v>
      </c>
      <c r="G352" s="13" t="s">
        <v>87</v>
      </c>
      <c r="H352" s="11" t="n">
        <v>1110203</v>
      </c>
      <c r="I352" s="13" t="s">
        <v>100</v>
      </c>
      <c r="J352" s="14" t="n">
        <v>1374828</v>
      </c>
      <c r="K352" s="14"/>
      <c r="L352" s="11" t="n">
        <v>184926</v>
      </c>
      <c r="M352" s="13" t="s">
        <v>105</v>
      </c>
      <c r="N352" s="15" t="s">
        <v>41</v>
      </c>
      <c r="O352" s="15"/>
      <c r="P352" s="11" t="n">
        <v>102</v>
      </c>
      <c r="Q352" s="13" t="s">
        <v>354</v>
      </c>
      <c r="R352" s="13" t="s">
        <v>359</v>
      </c>
      <c r="S352" s="11" t="n">
        <v>4210504</v>
      </c>
      <c r="T352" s="13" t="s">
        <v>360</v>
      </c>
      <c r="U352" s="16" t="n">
        <v>839.14</v>
      </c>
      <c r="V352" s="16"/>
      <c r="W352" s="17" t="n">
        <v>0</v>
      </c>
      <c r="X352" s="15" t="s">
        <v>458</v>
      </c>
      <c r="Y352" s="15"/>
      <c r="Z352" s="1" t="str">
        <f aca="false">IF($T352="","",IFERROR(INDEX('Resumo Grupos'!$AC$3:$AC$2000,MATCH($T352,'Resumo Grupos'!$AB$3:$AB$2000,0)),"n/d"))</f>
        <v>Despesa</v>
      </c>
    </row>
    <row r="353" customFormat="false" ht="39" hidden="false" customHeight="true" outlineLevel="0" collapsed="false">
      <c r="A353" s="11" t="n">
        <v>2</v>
      </c>
      <c r="B353" s="12" t="n">
        <v>46212</v>
      </c>
      <c r="C353" s="12" t="n">
        <v>46212</v>
      </c>
      <c r="D353" s="11" t="n">
        <v>48</v>
      </c>
      <c r="E353" s="13" t="s">
        <v>112</v>
      </c>
      <c r="F353" s="11" t="n">
        <v>13</v>
      </c>
      <c r="G353" s="13" t="s">
        <v>113</v>
      </c>
      <c r="H353" s="11" t="n">
        <v>2110101</v>
      </c>
      <c r="I353" s="13" t="s">
        <v>31</v>
      </c>
      <c r="J353" s="14" t="n">
        <v>1374877</v>
      </c>
      <c r="K353" s="14"/>
      <c r="L353" s="11" t="n">
        <v>2535</v>
      </c>
      <c r="M353" s="13" t="s">
        <v>105</v>
      </c>
      <c r="N353" s="15" t="s">
        <v>33</v>
      </c>
      <c r="O353" s="15"/>
      <c r="P353" s="11" t="n">
        <v>113</v>
      </c>
      <c r="Q353" s="13" t="s">
        <v>34</v>
      </c>
      <c r="R353" s="13" t="s">
        <v>35</v>
      </c>
      <c r="S353" s="11" t="n">
        <v>1130101</v>
      </c>
      <c r="T353" s="13" t="s">
        <v>36</v>
      </c>
      <c r="U353" s="16" t="n">
        <v>210</v>
      </c>
      <c r="V353" s="16"/>
      <c r="W353" s="17" t="n">
        <v>210</v>
      </c>
      <c r="X353" s="15" t="s">
        <v>459</v>
      </c>
      <c r="Y353" s="15"/>
      <c r="Z353" s="1" t="str">
        <f aca="false">IF($T353="","",IFERROR(INDEX('Resumo Grupos'!$AC$3:$AC$2000,MATCH($T353,'Resumo Grupos'!$AB$3:$AB$2000,0)),"n/d"))</f>
        <v>Mercadoria</v>
      </c>
    </row>
    <row r="354" customFormat="false" ht="28.5" hidden="false" customHeight="true" outlineLevel="0" collapsed="false">
      <c r="A354" s="11" t="n">
        <v>2</v>
      </c>
      <c r="B354" s="12" t="n">
        <v>46209</v>
      </c>
      <c r="C354" s="12" t="n">
        <v>46209</v>
      </c>
      <c r="D354" s="11" t="n">
        <v>16</v>
      </c>
      <c r="E354" s="13" t="s">
        <v>432</v>
      </c>
      <c r="F354" s="11" t="n">
        <v>34</v>
      </c>
      <c r="G354" s="13" t="s">
        <v>87</v>
      </c>
      <c r="H354" s="11" t="n">
        <v>1110203</v>
      </c>
      <c r="I354" s="13" t="s">
        <v>100</v>
      </c>
      <c r="J354" s="14" t="n">
        <v>1374894</v>
      </c>
      <c r="K354" s="14"/>
      <c r="L354" s="11" t="n">
        <v>184938</v>
      </c>
      <c r="M354" s="13" t="s">
        <v>105</v>
      </c>
      <c r="N354" s="15" t="s">
        <v>41</v>
      </c>
      <c r="O354" s="15"/>
      <c r="P354" s="11" t="n">
        <v>102</v>
      </c>
      <c r="Q354" s="13" t="s">
        <v>354</v>
      </c>
      <c r="R354" s="13" t="s">
        <v>191</v>
      </c>
      <c r="S354" s="11" t="n">
        <v>4210301</v>
      </c>
      <c r="T354" s="13" t="s">
        <v>420</v>
      </c>
      <c r="U354" s="16" t="n">
        <v>500</v>
      </c>
      <c r="V354" s="16"/>
      <c r="W354" s="17" t="n">
        <v>0</v>
      </c>
      <c r="X354" s="15" t="s">
        <v>460</v>
      </c>
      <c r="Y354" s="15"/>
      <c r="Z354" s="1" t="str">
        <f aca="false">IF($T354="","",IFERROR(INDEX('Resumo Grupos'!$AC$3:$AC$2000,MATCH($T354,'Resumo Grupos'!$AB$3:$AB$2000,0)),"n/d"))</f>
        <v>Salários</v>
      </c>
    </row>
    <row r="355" customFormat="false" ht="39" hidden="false" customHeight="true" outlineLevel="0" collapsed="false">
      <c r="A355" s="11" t="n">
        <v>2</v>
      </c>
      <c r="B355" s="12" t="n">
        <v>46212</v>
      </c>
      <c r="C355" s="12" t="n">
        <v>46227</v>
      </c>
      <c r="D355" s="11" t="n">
        <v>1718</v>
      </c>
      <c r="E355" s="13" t="s">
        <v>180</v>
      </c>
      <c r="F355" s="11" t="n">
        <v>24</v>
      </c>
      <c r="G355" s="13" t="s">
        <v>30</v>
      </c>
      <c r="H355" s="11" t="n">
        <v>2110101</v>
      </c>
      <c r="I355" s="13" t="s">
        <v>31</v>
      </c>
      <c r="J355" s="14" t="n">
        <v>1374907</v>
      </c>
      <c r="K355" s="14"/>
      <c r="L355" s="11" t="n">
        <v>681127</v>
      </c>
      <c r="M355" s="13" t="s">
        <v>105</v>
      </c>
      <c r="N355" s="15" t="s">
        <v>33</v>
      </c>
      <c r="O355" s="15"/>
      <c r="P355" s="11" t="n">
        <v>113</v>
      </c>
      <c r="Q355" s="13" t="s">
        <v>34</v>
      </c>
      <c r="R355" s="13" t="s">
        <v>35</v>
      </c>
      <c r="S355" s="11" t="n">
        <v>1130101</v>
      </c>
      <c r="T355" s="13" t="s">
        <v>36</v>
      </c>
      <c r="U355" s="16" t="n">
        <v>509.25</v>
      </c>
      <c r="V355" s="16"/>
      <c r="W355" s="17" t="n">
        <v>0</v>
      </c>
      <c r="X355" s="15" t="s">
        <v>461</v>
      </c>
      <c r="Y355" s="15"/>
      <c r="Z355" s="1" t="str">
        <f aca="false">IF($T355="","",IFERROR(INDEX('Resumo Grupos'!$AC$3:$AC$2000,MATCH($T355,'Resumo Grupos'!$AB$3:$AB$2000,0)),"n/d"))</f>
        <v>Mercadoria</v>
      </c>
    </row>
    <row r="356" customFormat="false" ht="39" hidden="false" customHeight="true" outlineLevel="0" collapsed="false">
      <c r="A356" s="11" t="n">
        <v>2</v>
      </c>
      <c r="B356" s="12" t="n">
        <v>46212</v>
      </c>
      <c r="C356" s="12" t="n">
        <v>46234</v>
      </c>
      <c r="D356" s="11" t="n">
        <v>1718</v>
      </c>
      <c r="E356" s="13" t="s">
        <v>180</v>
      </c>
      <c r="F356" s="11" t="n">
        <v>24</v>
      </c>
      <c r="G356" s="13" t="s">
        <v>30</v>
      </c>
      <c r="H356" s="11" t="n">
        <v>2110101</v>
      </c>
      <c r="I356" s="13" t="s">
        <v>31</v>
      </c>
      <c r="J356" s="14" t="n">
        <v>1374907</v>
      </c>
      <c r="K356" s="14"/>
      <c r="L356" s="11" t="n">
        <v>681127</v>
      </c>
      <c r="M356" s="13" t="s">
        <v>32</v>
      </c>
      <c r="N356" s="15" t="s">
        <v>33</v>
      </c>
      <c r="O356" s="15"/>
      <c r="P356" s="11" t="n">
        <v>113</v>
      </c>
      <c r="Q356" s="13" t="s">
        <v>34</v>
      </c>
      <c r="R356" s="13" t="s">
        <v>35</v>
      </c>
      <c r="S356" s="11" t="n">
        <v>1130101</v>
      </c>
      <c r="T356" s="13" t="s">
        <v>36</v>
      </c>
      <c r="U356" s="16" t="n">
        <v>509.25</v>
      </c>
      <c r="V356" s="16"/>
      <c r="W356" s="17" t="n">
        <v>0</v>
      </c>
      <c r="X356" s="15" t="s">
        <v>461</v>
      </c>
      <c r="Y356" s="15"/>
      <c r="Z356" s="1" t="str">
        <f aca="false">IF($T356="","",IFERROR(INDEX('Resumo Grupos'!$AC$3:$AC$2000,MATCH($T356,'Resumo Grupos'!$AB$3:$AB$2000,0)),"n/d"))</f>
        <v>Mercadoria</v>
      </c>
    </row>
    <row r="357" customFormat="false" ht="39" hidden="false" customHeight="true" outlineLevel="0" collapsed="false">
      <c r="A357" s="11" t="n">
        <v>2</v>
      </c>
      <c r="B357" s="12" t="n">
        <v>46212</v>
      </c>
      <c r="C357" s="12" t="n">
        <v>46241</v>
      </c>
      <c r="D357" s="11" t="n">
        <v>1718</v>
      </c>
      <c r="E357" s="13" t="s">
        <v>180</v>
      </c>
      <c r="F357" s="11" t="n">
        <v>24</v>
      </c>
      <c r="G357" s="13" t="s">
        <v>30</v>
      </c>
      <c r="H357" s="11" t="n">
        <v>2110101</v>
      </c>
      <c r="I357" s="13" t="s">
        <v>31</v>
      </c>
      <c r="J357" s="14" t="n">
        <v>1374907</v>
      </c>
      <c r="K357" s="14"/>
      <c r="L357" s="11" t="n">
        <v>681127</v>
      </c>
      <c r="M357" s="13" t="s">
        <v>101</v>
      </c>
      <c r="N357" s="15" t="s">
        <v>33</v>
      </c>
      <c r="O357" s="15"/>
      <c r="P357" s="11" t="n">
        <v>113</v>
      </c>
      <c r="Q357" s="13" t="s">
        <v>34</v>
      </c>
      <c r="R357" s="13" t="s">
        <v>35</v>
      </c>
      <c r="S357" s="11" t="n">
        <v>1130101</v>
      </c>
      <c r="T357" s="13" t="s">
        <v>36</v>
      </c>
      <c r="U357" s="16" t="n">
        <v>509.25</v>
      </c>
      <c r="V357" s="16"/>
      <c r="W357" s="17" t="n">
        <v>0</v>
      </c>
      <c r="X357" s="15" t="s">
        <v>461</v>
      </c>
      <c r="Y357" s="15"/>
      <c r="Z357" s="1" t="str">
        <f aca="false">IF($T357="","",IFERROR(INDEX('Resumo Grupos'!$AC$3:$AC$2000,MATCH($T357,'Resumo Grupos'!$AB$3:$AB$2000,0)),"n/d"))</f>
        <v>Mercadoria</v>
      </c>
    </row>
    <row r="358" customFormat="false" ht="39" hidden="false" customHeight="true" outlineLevel="0" collapsed="false">
      <c r="A358" s="11" t="n">
        <v>2</v>
      </c>
      <c r="B358" s="12" t="n">
        <v>46212</v>
      </c>
      <c r="C358" s="12" t="n">
        <v>46209</v>
      </c>
      <c r="D358" s="11" t="n">
        <v>33</v>
      </c>
      <c r="E358" s="13" t="s">
        <v>199</v>
      </c>
      <c r="F358" s="11" t="n">
        <v>34</v>
      </c>
      <c r="G358" s="13" t="s">
        <v>87</v>
      </c>
      <c r="H358" s="11" t="n">
        <v>1110203</v>
      </c>
      <c r="I358" s="13" t="s">
        <v>100</v>
      </c>
      <c r="J358" s="14" t="n">
        <v>910921</v>
      </c>
      <c r="K358" s="14"/>
      <c r="L358" s="11" t="n">
        <v>120198</v>
      </c>
      <c r="M358" s="13" t="s">
        <v>101</v>
      </c>
      <c r="N358" s="15" t="s">
        <v>41</v>
      </c>
      <c r="O358" s="15"/>
      <c r="P358" s="11" t="n">
        <v>102</v>
      </c>
      <c r="Q358" s="13" t="s">
        <v>354</v>
      </c>
      <c r="R358" s="13" t="s">
        <v>191</v>
      </c>
      <c r="S358" s="11" t="n">
        <v>4210301</v>
      </c>
      <c r="T358" s="13" t="s">
        <v>420</v>
      </c>
      <c r="U358" s="16" t="n">
        <v>222.91</v>
      </c>
      <c r="V358" s="16"/>
      <c r="W358" s="17" t="n">
        <v>0</v>
      </c>
      <c r="X358" s="15" t="s">
        <v>462</v>
      </c>
      <c r="Y358" s="15"/>
      <c r="Z358" s="1" t="str">
        <f aca="false">IF($T358="","",IFERROR(INDEX('Resumo Grupos'!$AC$3:$AC$2000,MATCH($T358,'Resumo Grupos'!$AB$3:$AB$2000,0)),"n/d"))</f>
        <v>Salários</v>
      </c>
    </row>
    <row r="359" customFormat="false" ht="39" hidden="false" customHeight="true" outlineLevel="0" collapsed="false">
      <c r="A359" s="11" t="n">
        <v>2</v>
      </c>
      <c r="B359" s="12" t="n">
        <v>46212</v>
      </c>
      <c r="C359" s="12" t="n">
        <v>46239</v>
      </c>
      <c r="D359" s="11" t="n">
        <v>33</v>
      </c>
      <c r="E359" s="13" t="s">
        <v>199</v>
      </c>
      <c r="F359" s="11" t="n">
        <v>34</v>
      </c>
      <c r="G359" s="13" t="s">
        <v>87</v>
      </c>
      <c r="H359" s="11" t="n">
        <v>1110203</v>
      </c>
      <c r="I359" s="13" t="s">
        <v>100</v>
      </c>
      <c r="J359" s="14" t="n">
        <v>910921</v>
      </c>
      <c r="K359" s="14"/>
      <c r="L359" s="11" t="n">
        <v>120198</v>
      </c>
      <c r="M359" s="13" t="s">
        <v>80</v>
      </c>
      <c r="N359" s="15" t="s">
        <v>41</v>
      </c>
      <c r="O359" s="15"/>
      <c r="P359" s="11" t="n">
        <v>102</v>
      </c>
      <c r="Q359" s="13" t="s">
        <v>354</v>
      </c>
      <c r="R359" s="13" t="s">
        <v>191</v>
      </c>
      <c r="S359" s="11" t="n">
        <v>4210301</v>
      </c>
      <c r="T359" s="13" t="s">
        <v>420</v>
      </c>
      <c r="U359" s="16" t="n">
        <v>222.91</v>
      </c>
      <c r="V359" s="16"/>
      <c r="W359" s="17" t="n">
        <v>0</v>
      </c>
      <c r="X359" s="15" t="s">
        <v>463</v>
      </c>
      <c r="Y359" s="15"/>
      <c r="Z359" s="1" t="str">
        <f aca="false">IF($T359="","",IFERROR(INDEX('Resumo Grupos'!$AC$3:$AC$2000,MATCH($T359,'Resumo Grupos'!$AB$3:$AB$2000,0)),"n/d"))</f>
        <v>Salários</v>
      </c>
    </row>
    <row r="360" customFormat="false" ht="39" hidden="false" customHeight="true" outlineLevel="0" collapsed="false">
      <c r="A360" s="11" t="n">
        <v>2</v>
      </c>
      <c r="B360" s="12" t="n">
        <v>46212</v>
      </c>
      <c r="C360" s="12" t="n">
        <v>46219</v>
      </c>
      <c r="D360" s="11" t="n">
        <v>754</v>
      </c>
      <c r="E360" s="13" t="s">
        <v>321</v>
      </c>
      <c r="F360" s="11" t="n">
        <v>24</v>
      </c>
      <c r="G360" s="13" t="s">
        <v>30</v>
      </c>
      <c r="H360" s="11" t="n">
        <v>2110101</v>
      </c>
      <c r="I360" s="13" t="s">
        <v>31</v>
      </c>
      <c r="J360" s="14" t="n">
        <v>1375062</v>
      </c>
      <c r="K360" s="14"/>
      <c r="L360" s="11" t="n">
        <v>31703</v>
      </c>
      <c r="M360" s="13" t="s">
        <v>105</v>
      </c>
      <c r="N360" s="15" t="s">
        <v>33</v>
      </c>
      <c r="O360" s="15"/>
      <c r="P360" s="11" t="n">
        <v>113</v>
      </c>
      <c r="Q360" s="13" t="s">
        <v>34</v>
      </c>
      <c r="R360" s="13" t="s">
        <v>35</v>
      </c>
      <c r="S360" s="11" t="n">
        <v>1130101</v>
      </c>
      <c r="T360" s="13" t="s">
        <v>36</v>
      </c>
      <c r="U360" s="16" t="n">
        <v>3640</v>
      </c>
      <c r="V360" s="16"/>
      <c r="W360" s="17" t="n">
        <v>0</v>
      </c>
      <c r="X360" s="15" t="s">
        <v>464</v>
      </c>
      <c r="Y360" s="15"/>
      <c r="Z360" s="1" t="str">
        <f aca="false">IF($T360="","",IFERROR(INDEX('Resumo Grupos'!$AC$3:$AC$2000,MATCH($T360,'Resumo Grupos'!$AB$3:$AB$2000,0)),"n/d"))</f>
        <v>Mercadoria</v>
      </c>
    </row>
    <row r="361" customFormat="false" ht="39" hidden="false" customHeight="true" outlineLevel="0" collapsed="false">
      <c r="A361" s="11" t="n">
        <v>2</v>
      </c>
      <c r="B361" s="12" t="n">
        <v>46213</v>
      </c>
      <c r="C361" s="12" t="n">
        <v>46220</v>
      </c>
      <c r="D361" s="11" t="n">
        <v>1609</v>
      </c>
      <c r="E361" s="13" t="s">
        <v>292</v>
      </c>
      <c r="F361" s="11" t="n">
        <v>24</v>
      </c>
      <c r="G361" s="13" t="s">
        <v>30</v>
      </c>
      <c r="H361" s="11" t="n">
        <v>2110101</v>
      </c>
      <c r="I361" s="13" t="s">
        <v>31</v>
      </c>
      <c r="J361" s="14" t="n">
        <v>1376630</v>
      </c>
      <c r="K361" s="14"/>
      <c r="L361" s="11" t="n">
        <v>5786</v>
      </c>
      <c r="M361" s="13" t="s">
        <v>105</v>
      </c>
      <c r="N361" s="15" t="s">
        <v>33</v>
      </c>
      <c r="O361" s="15"/>
      <c r="P361" s="11" t="n">
        <v>113</v>
      </c>
      <c r="Q361" s="13" t="s">
        <v>34</v>
      </c>
      <c r="R361" s="13" t="s">
        <v>35</v>
      </c>
      <c r="S361" s="11" t="n">
        <v>1130101</v>
      </c>
      <c r="T361" s="13" t="s">
        <v>36</v>
      </c>
      <c r="U361" s="16" t="n">
        <v>519.65</v>
      </c>
      <c r="V361" s="16"/>
      <c r="W361" s="17" t="n">
        <v>0</v>
      </c>
      <c r="X361" s="15" t="s">
        <v>465</v>
      </c>
      <c r="Y361" s="15"/>
      <c r="Z361" s="1" t="str">
        <f aca="false">IF($T361="","",IFERROR(INDEX('Resumo Grupos'!$AC$3:$AC$2000,MATCH($T361,'Resumo Grupos'!$AB$3:$AB$2000,0)),"n/d"))</f>
        <v>Mercadoria</v>
      </c>
    </row>
    <row r="362" customFormat="false" ht="39" hidden="false" customHeight="true" outlineLevel="0" collapsed="false">
      <c r="A362" s="11" t="n">
        <v>2</v>
      </c>
      <c r="B362" s="12" t="n">
        <v>46213</v>
      </c>
      <c r="C362" s="12" t="n">
        <v>46225</v>
      </c>
      <c r="D362" s="11" t="n">
        <v>1613</v>
      </c>
      <c r="E362" s="13" t="s">
        <v>133</v>
      </c>
      <c r="F362" s="11" t="n">
        <v>24</v>
      </c>
      <c r="G362" s="13" t="s">
        <v>30</v>
      </c>
      <c r="H362" s="11" t="n">
        <v>2110101</v>
      </c>
      <c r="I362" s="13" t="s">
        <v>31</v>
      </c>
      <c r="J362" s="14" t="n">
        <v>1376659</v>
      </c>
      <c r="K362" s="14"/>
      <c r="L362" s="11" t="n">
        <v>1605936</v>
      </c>
      <c r="M362" s="13" t="s">
        <v>105</v>
      </c>
      <c r="N362" s="15" t="s">
        <v>33</v>
      </c>
      <c r="O362" s="15"/>
      <c r="P362" s="11" t="n">
        <v>113</v>
      </c>
      <c r="Q362" s="13" t="s">
        <v>34</v>
      </c>
      <c r="R362" s="13" t="s">
        <v>35</v>
      </c>
      <c r="S362" s="11" t="n">
        <v>1130101</v>
      </c>
      <c r="T362" s="13" t="s">
        <v>36</v>
      </c>
      <c r="U362" s="16" t="n">
        <v>1025.07</v>
      </c>
      <c r="V362" s="16"/>
      <c r="W362" s="17" t="n">
        <v>0</v>
      </c>
      <c r="X362" s="15" t="s">
        <v>466</v>
      </c>
      <c r="Y362" s="15"/>
      <c r="Z362" s="1" t="str">
        <f aca="false">IF($T362="","",IFERROR(INDEX('Resumo Grupos'!$AC$3:$AC$2000,MATCH($T362,'Resumo Grupos'!$AB$3:$AB$2000,0)),"n/d"))</f>
        <v>Mercadoria</v>
      </c>
    </row>
    <row r="363" customFormat="false" ht="39" hidden="false" customHeight="true" outlineLevel="0" collapsed="false">
      <c r="A363" s="11" t="n">
        <v>2</v>
      </c>
      <c r="B363" s="12" t="n">
        <v>46213</v>
      </c>
      <c r="C363" s="12" t="n">
        <v>46232</v>
      </c>
      <c r="D363" s="11" t="n">
        <v>1613</v>
      </c>
      <c r="E363" s="13" t="s">
        <v>133</v>
      </c>
      <c r="F363" s="11" t="n">
        <v>24</v>
      </c>
      <c r="G363" s="13" t="s">
        <v>30</v>
      </c>
      <c r="H363" s="11" t="n">
        <v>2110101</v>
      </c>
      <c r="I363" s="13" t="s">
        <v>31</v>
      </c>
      <c r="J363" s="14" t="n">
        <v>1376659</v>
      </c>
      <c r="K363" s="14"/>
      <c r="L363" s="11" t="n">
        <v>1605936</v>
      </c>
      <c r="M363" s="13" t="s">
        <v>32</v>
      </c>
      <c r="N363" s="15" t="s">
        <v>33</v>
      </c>
      <c r="O363" s="15"/>
      <c r="P363" s="11" t="n">
        <v>113</v>
      </c>
      <c r="Q363" s="13" t="s">
        <v>34</v>
      </c>
      <c r="R363" s="13" t="s">
        <v>35</v>
      </c>
      <c r="S363" s="11" t="n">
        <v>1130101</v>
      </c>
      <c r="T363" s="13" t="s">
        <v>36</v>
      </c>
      <c r="U363" s="16" t="n">
        <v>1025.06</v>
      </c>
      <c r="V363" s="16"/>
      <c r="W363" s="17" t="n">
        <v>0</v>
      </c>
      <c r="X363" s="15" t="s">
        <v>466</v>
      </c>
      <c r="Y363" s="15"/>
      <c r="Z363" s="1" t="str">
        <f aca="false">IF($T363="","",IFERROR(INDEX('Resumo Grupos'!$AC$3:$AC$2000,MATCH($T363,'Resumo Grupos'!$AB$3:$AB$2000,0)),"n/d"))</f>
        <v>Mercadoria</v>
      </c>
    </row>
    <row r="364" customFormat="false" ht="48" hidden="false" customHeight="true" outlineLevel="0" collapsed="false">
      <c r="A364" s="11" t="n">
        <v>2</v>
      </c>
      <c r="B364" s="12" t="n">
        <v>46213</v>
      </c>
      <c r="C364" s="12" t="n">
        <v>46220</v>
      </c>
      <c r="D364" s="11" t="n">
        <v>1642</v>
      </c>
      <c r="E364" s="13" t="s">
        <v>281</v>
      </c>
      <c r="F364" s="11" t="n">
        <v>24</v>
      </c>
      <c r="G364" s="13" t="s">
        <v>30</v>
      </c>
      <c r="H364" s="11" t="n">
        <v>2110101</v>
      </c>
      <c r="I364" s="13" t="s">
        <v>31</v>
      </c>
      <c r="J364" s="14" t="n">
        <v>1376676</v>
      </c>
      <c r="K364" s="14"/>
      <c r="L364" s="11" t="n">
        <v>1031214</v>
      </c>
      <c r="M364" s="13" t="s">
        <v>105</v>
      </c>
      <c r="N364" s="15" t="s">
        <v>33</v>
      </c>
      <c r="O364" s="15"/>
      <c r="P364" s="11" t="n">
        <v>113</v>
      </c>
      <c r="Q364" s="13" t="s">
        <v>34</v>
      </c>
      <c r="R364" s="13" t="s">
        <v>35</v>
      </c>
      <c r="S364" s="11" t="n">
        <v>1130101</v>
      </c>
      <c r="T364" s="13" t="s">
        <v>36</v>
      </c>
      <c r="U364" s="16" t="n">
        <v>250.08</v>
      </c>
      <c r="V364" s="16"/>
      <c r="W364" s="17" t="n">
        <v>0</v>
      </c>
      <c r="X364" s="15" t="s">
        <v>467</v>
      </c>
      <c r="Y364" s="15"/>
      <c r="Z364" s="1" t="str">
        <f aca="false">IF($T364="","",IFERROR(INDEX('Resumo Grupos'!$AC$3:$AC$2000,MATCH($T364,'Resumo Grupos'!$AB$3:$AB$2000,0)),"n/d"))</f>
        <v>Mercadoria</v>
      </c>
    </row>
    <row r="365" customFormat="false" ht="39" hidden="false" customHeight="true" outlineLevel="0" collapsed="false">
      <c r="A365" s="11" t="n">
        <v>2</v>
      </c>
      <c r="B365" s="12" t="n">
        <v>46213</v>
      </c>
      <c r="C365" s="12" t="n">
        <v>46219</v>
      </c>
      <c r="D365" s="11" t="n">
        <v>1024</v>
      </c>
      <c r="E365" s="13" t="s">
        <v>277</v>
      </c>
      <c r="F365" s="11" t="n">
        <v>24</v>
      </c>
      <c r="G365" s="13" t="s">
        <v>30</v>
      </c>
      <c r="H365" s="11" t="n">
        <v>2110101</v>
      </c>
      <c r="I365" s="13" t="s">
        <v>31</v>
      </c>
      <c r="J365" s="14" t="n">
        <v>1376782</v>
      </c>
      <c r="K365" s="14"/>
      <c r="L365" s="11" t="n">
        <v>599833</v>
      </c>
      <c r="M365" s="13" t="s">
        <v>105</v>
      </c>
      <c r="N365" s="15" t="s">
        <v>33</v>
      </c>
      <c r="O365" s="15"/>
      <c r="P365" s="11" t="n">
        <v>113</v>
      </c>
      <c r="Q365" s="13" t="s">
        <v>34</v>
      </c>
      <c r="R365" s="13" t="s">
        <v>35</v>
      </c>
      <c r="S365" s="11" t="n">
        <v>1130101</v>
      </c>
      <c r="T365" s="13" t="s">
        <v>36</v>
      </c>
      <c r="U365" s="16" t="n">
        <v>280</v>
      </c>
      <c r="V365" s="16"/>
      <c r="W365" s="17" t="n">
        <v>0</v>
      </c>
      <c r="X365" s="15" t="s">
        <v>468</v>
      </c>
      <c r="Y365" s="15"/>
      <c r="Z365" s="1" t="str">
        <f aca="false">IF($T365="","",IFERROR(INDEX('Resumo Grupos'!$AC$3:$AC$2000,MATCH($T365,'Resumo Grupos'!$AB$3:$AB$2000,0)),"n/d"))</f>
        <v>Mercadoria</v>
      </c>
    </row>
    <row r="366" customFormat="false" ht="48" hidden="false" customHeight="true" outlineLevel="0" collapsed="false">
      <c r="A366" s="11" t="n">
        <v>2</v>
      </c>
      <c r="B366" s="12" t="n">
        <v>46213</v>
      </c>
      <c r="C366" s="12" t="n">
        <v>46226</v>
      </c>
      <c r="D366" s="11" t="n">
        <v>1667</v>
      </c>
      <c r="E366" s="13" t="s">
        <v>135</v>
      </c>
      <c r="F366" s="11" t="n">
        <v>24</v>
      </c>
      <c r="G366" s="13" t="s">
        <v>30</v>
      </c>
      <c r="H366" s="11" t="n">
        <v>2110101</v>
      </c>
      <c r="I366" s="13" t="s">
        <v>31</v>
      </c>
      <c r="J366" s="14" t="n">
        <v>1376812</v>
      </c>
      <c r="K366" s="14"/>
      <c r="L366" s="11" t="n">
        <v>396261</v>
      </c>
      <c r="M366" s="13" t="s">
        <v>105</v>
      </c>
      <c r="N366" s="15" t="s">
        <v>33</v>
      </c>
      <c r="O366" s="15"/>
      <c r="P366" s="11" t="n">
        <v>113</v>
      </c>
      <c r="Q366" s="13" t="s">
        <v>34</v>
      </c>
      <c r="R366" s="13" t="s">
        <v>35</v>
      </c>
      <c r="S366" s="11" t="n">
        <v>1130101</v>
      </c>
      <c r="T366" s="13" t="s">
        <v>36</v>
      </c>
      <c r="U366" s="16" t="n">
        <v>321.76</v>
      </c>
      <c r="V366" s="16"/>
      <c r="W366" s="17" t="n">
        <v>0</v>
      </c>
      <c r="X366" s="15" t="s">
        <v>469</v>
      </c>
      <c r="Y366" s="15"/>
      <c r="Z366" s="1" t="str">
        <f aca="false">IF($T366="","",IFERROR(INDEX('Resumo Grupos'!$AC$3:$AC$2000,MATCH($T366,'Resumo Grupos'!$AB$3:$AB$2000,0)),"n/d"))</f>
        <v>Mercadoria</v>
      </c>
    </row>
    <row r="367" customFormat="false" ht="48" hidden="false" customHeight="true" outlineLevel="0" collapsed="false">
      <c r="A367" s="11" t="n">
        <v>2</v>
      </c>
      <c r="B367" s="12" t="n">
        <v>46213</v>
      </c>
      <c r="C367" s="12" t="n">
        <v>46233</v>
      </c>
      <c r="D367" s="11" t="n">
        <v>1667</v>
      </c>
      <c r="E367" s="13" t="s">
        <v>135</v>
      </c>
      <c r="F367" s="11" t="n">
        <v>24</v>
      </c>
      <c r="G367" s="13" t="s">
        <v>30</v>
      </c>
      <c r="H367" s="11" t="n">
        <v>2110101</v>
      </c>
      <c r="I367" s="13" t="s">
        <v>31</v>
      </c>
      <c r="J367" s="14" t="n">
        <v>1376812</v>
      </c>
      <c r="K367" s="14"/>
      <c r="L367" s="11" t="n">
        <v>396261</v>
      </c>
      <c r="M367" s="13" t="s">
        <v>32</v>
      </c>
      <c r="N367" s="15" t="s">
        <v>33</v>
      </c>
      <c r="O367" s="15"/>
      <c r="P367" s="11" t="n">
        <v>113</v>
      </c>
      <c r="Q367" s="13" t="s">
        <v>34</v>
      </c>
      <c r="R367" s="13" t="s">
        <v>35</v>
      </c>
      <c r="S367" s="11" t="n">
        <v>1130101</v>
      </c>
      <c r="T367" s="13" t="s">
        <v>36</v>
      </c>
      <c r="U367" s="16" t="n">
        <v>321.77</v>
      </c>
      <c r="V367" s="16"/>
      <c r="W367" s="17" t="n">
        <v>0</v>
      </c>
      <c r="X367" s="15" t="s">
        <v>469</v>
      </c>
      <c r="Y367" s="15"/>
      <c r="Z367" s="1" t="str">
        <f aca="false">IF($T367="","",IFERROR(INDEX('Resumo Grupos'!$AC$3:$AC$2000,MATCH($T367,'Resumo Grupos'!$AB$3:$AB$2000,0)),"n/d"))</f>
        <v>Mercadoria</v>
      </c>
    </row>
    <row r="368" customFormat="false" ht="39" hidden="false" customHeight="true" outlineLevel="0" collapsed="false">
      <c r="A368" s="11" t="n">
        <v>2</v>
      </c>
      <c r="B368" s="12" t="n">
        <v>46213</v>
      </c>
      <c r="C368" s="12" t="n">
        <v>46226</v>
      </c>
      <c r="D368" s="11" t="n">
        <v>1107</v>
      </c>
      <c r="E368" s="13" t="s">
        <v>159</v>
      </c>
      <c r="F368" s="11" t="n">
        <v>24</v>
      </c>
      <c r="G368" s="13" t="s">
        <v>30</v>
      </c>
      <c r="H368" s="11" t="n">
        <v>2110101</v>
      </c>
      <c r="I368" s="13" t="s">
        <v>31</v>
      </c>
      <c r="J368" s="14" t="n">
        <v>1376909</v>
      </c>
      <c r="K368" s="14"/>
      <c r="L368" s="11" t="n">
        <v>426652</v>
      </c>
      <c r="M368" s="13" t="s">
        <v>105</v>
      </c>
      <c r="N368" s="15" t="s">
        <v>33</v>
      </c>
      <c r="O368" s="15"/>
      <c r="P368" s="11" t="n">
        <v>113</v>
      </c>
      <c r="Q368" s="13" t="s">
        <v>34</v>
      </c>
      <c r="R368" s="13" t="s">
        <v>35</v>
      </c>
      <c r="S368" s="11" t="n">
        <v>1130101</v>
      </c>
      <c r="T368" s="13" t="s">
        <v>36</v>
      </c>
      <c r="U368" s="16" t="n">
        <v>682.64</v>
      </c>
      <c r="V368" s="16"/>
      <c r="W368" s="17" t="n">
        <v>0</v>
      </c>
      <c r="X368" s="15" t="s">
        <v>470</v>
      </c>
      <c r="Y368" s="15"/>
      <c r="Z368" s="1" t="str">
        <f aca="false">IF($T368="","",IFERROR(INDEX('Resumo Grupos'!$AC$3:$AC$2000,MATCH($T368,'Resumo Grupos'!$AB$3:$AB$2000,0)),"n/d"))</f>
        <v>Mercadoria</v>
      </c>
    </row>
    <row r="369" customFormat="false" ht="39" hidden="false" customHeight="true" outlineLevel="0" collapsed="false">
      <c r="A369" s="11" t="n">
        <v>2</v>
      </c>
      <c r="B369" s="12" t="n">
        <v>46213</v>
      </c>
      <c r="C369" s="12" t="n">
        <v>46233</v>
      </c>
      <c r="D369" s="11" t="n">
        <v>1107</v>
      </c>
      <c r="E369" s="13" t="s">
        <v>159</v>
      </c>
      <c r="F369" s="11" t="n">
        <v>24</v>
      </c>
      <c r="G369" s="13" t="s">
        <v>30</v>
      </c>
      <c r="H369" s="11" t="n">
        <v>2110101</v>
      </c>
      <c r="I369" s="13" t="s">
        <v>31</v>
      </c>
      <c r="J369" s="14" t="n">
        <v>1376909</v>
      </c>
      <c r="K369" s="14"/>
      <c r="L369" s="11" t="n">
        <v>426652</v>
      </c>
      <c r="M369" s="13" t="s">
        <v>32</v>
      </c>
      <c r="N369" s="15" t="s">
        <v>33</v>
      </c>
      <c r="O369" s="15"/>
      <c r="P369" s="11" t="n">
        <v>113</v>
      </c>
      <c r="Q369" s="13" t="s">
        <v>34</v>
      </c>
      <c r="R369" s="13" t="s">
        <v>35</v>
      </c>
      <c r="S369" s="11" t="n">
        <v>1130101</v>
      </c>
      <c r="T369" s="13" t="s">
        <v>36</v>
      </c>
      <c r="U369" s="16" t="n">
        <v>682.63</v>
      </c>
      <c r="V369" s="16"/>
      <c r="W369" s="17" t="n">
        <v>0</v>
      </c>
      <c r="X369" s="15" t="s">
        <v>470</v>
      </c>
      <c r="Y369" s="15"/>
      <c r="Z369" s="1" t="str">
        <f aca="false">IF($T369="","",IFERROR(INDEX('Resumo Grupos'!$AC$3:$AC$2000,MATCH($T369,'Resumo Grupos'!$AB$3:$AB$2000,0)),"n/d"))</f>
        <v>Mercadoria</v>
      </c>
    </row>
    <row r="370" customFormat="false" ht="39" hidden="false" customHeight="true" outlineLevel="0" collapsed="false">
      <c r="A370" s="11" t="n">
        <v>2</v>
      </c>
      <c r="B370" s="12" t="n">
        <v>46213</v>
      </c>
      <c r="C370" s="12" t="n">
        <v>46240</v>
      </c>
      <c r="D370" s="11" t="n">
        <v>1107</v>
      </c>
      <c r="E370" s="13" t="s">
        <v>159</v>
      </c>
      <c r="F370" s="11" t="n">
        <v>24</v>
      </c>
      <c r="G370" s="13" t="s">
        <v>30</v>
      </c>
      <c r="H370" s="11" t="n">
        <v>2110101</v>
      </c>
      <c r="I370" s="13" t="s">
        <v>31</v>
      </c>
      <c r="J370" s="14" t="n">
        <v>1376909</v>
      </c>
      <c r="K370" s="14"/>
      <c r="L370" s="11" t="n">
        <v>426652</v>
      </c>
      <c r="M370" s="13" t="s">
        <v>101</v>
      </c>
      <c r="N370" s="15" t="s">
        <v>33</v>
      </c>
      <c r="O370" s="15"/>
      <c r="P370" s="11" t="n">
        <v>113</v>
      </c>
      <c r="Q370" s="13" t="s">
        <v>34</v>
      </c>
      <c r="R370" s="13" t="s">
        <v>35</v>
      </c>
      <c r="S370" s="11" t="n">
        <v>1130101</v>
      </c>
      <c r="T370" s="13" t="s">
        <v>36</v>
      </c>
      <c r="U370" s="16" t="n">
        <v>682.63</v>
      </c>
      <c r="V370" s="16"/>
      <c r="W370" s="17" t="n">
        <v>0</v>
      </c>
      <c r="X370" s="15" t="s">
        <v>470</v>
      </c>
      <c r="Y370" s="15"/>
      <c r="Z370" s="1" t="str">
        <f aca="false">IF($T370="","",IFERROR(INDEX('Resumo Grupos'!$AC$3:$AC$2000,MATCH($T370,'Resumo Grupos'!$AB$3:$AB$2000,0)),"n/d"))</f>
        <v>Mercadoria</v>
      </c>
    </row>
    <row r="371" customFormat="false" ht="39" hidden="false" customHeight="true" outlineLevel="0" collapsed="false">
      <c r="A371" s="11" t="n">
        <v>2</v>
      </c>
      <c r="B371" s="12" t="n">
        <v>46213</v>
      </c>
      <c r="C371" s="12" t="n">
        <v>46216</v>
      </c>
      <c r="D371" s="11" t="n">
        <v>10035</v>
      </c>
      <c r="E371" s="13" t="s">
        <v>298</v>
      </c>
      <c r="F371" s="11" t="n">
        <v>34</v>
      </c>
      <c r="G371" s="13" t="s">
        <v>87</v>
      </c>
      <c r="H371" s="11" t="n">
        <v>2110101</v>
      </c>
      <c r="I371" s="13" t="s">
        <v>31</v>
      </c>
      <c r="J371" s="14" t="n">
        <v>1377076</v>
      </c>
      <c r="K371" s="14"/>
      <c r="L371" s="11" t="n">
        <v>351</v>
      </c>
      <c r="M371" s="13" t="s">
        <v>105</v>
      </c>
      <c r="N371" s="15" t="s">
        <v>33</v>
      </c>
      <c r="O371" s="15"/>
      <c r="P371" s="11" t="n">
        <v>113</v>
      </c>
      <c r="Q371" s="13" t="s">
        <v>34</v>
      </c>
      <c r="R371" s="13" t="s">
        <v>35</v>
      </c>
      <c r="S371" s="11" t="n">
        <v>1130101</v>
      </c>
      <c r="T371" s="13" t="s">
        <v>36</v>
      </c>
      <c r="U371" s="16" t="n">
        <v>225</v>
      </c>
      <c r="V371" s="16"/>
      <c r="W371" s="17" t="n">
        <v>0</v>
      </c>
      <c r="X371" s="15" t="s">
        <v>471</v>
      </c>
      <c r="Y371" s="15"/>
      <c r="Z371" s="1" t="str">
        <f aca="false">IF($T371="","",IFERROR(INDEX('Resumo Grupos'!$AC$3:$AC$2000,MATCH($T371,'Resumo Grupos'!$AB$3:$AB$2000,0)),"n/d"))</f>
        <v>Mercadoria</v>
      </c>
    </row>
    <row r="372" customFormat="false" ht="39" hidden="false" customHeight="true" outlineLevel="0" collapsed="false">
      <c r="A372" s="11" t="n">
        <v>2</v>
      </c>
      <c r="B372" s="12" t="n">
        <v>46213</v>
      </c>
      <c r="C372" s="12" t="n">
        <v>46219</v>
      </c>
      <c r="D372" s="11" t="n">
        <v>901</v>
      </c>
      <c r="E372" s="13" t="s">
        <v>472</v>
      </c>
      <c r="F372" s="11" t="n">
        <v>24</v>
      </c>
      <c r="G372" s="13" t="s">
        <v>30</v>
      </c>
      <c r="H372" s="11" t="n">
        <v>2110101</v>
      </c>
      <c r="I372" s="13" t="s">
        <v>31</v>
      </c>
      <c r="J372" s="14" t="n">
        <v>1377084</v>
      </c>
      <c r="K372" s="14"/>
      <c r="L372" s="11" t="n">
        <v>462</v>
      </c>
      <c r="M372" s="13" t="s">
        <v>105</v>
      </c>
      <c r="N372" s="15" t="s">
        <v>33</v>
      </c>
      <c r="O372" s="15"/>
      <c r="P372" s="11" t="n">
        <v>113</v>
      </c>
      <c r="Q372" s="13" t="s">
        <v>34</v>
      </c>
      <c r="R372" s="13" t="s">
        <v>35</v>
      </c>
      <c r="S372" s="11" t="n">
        <v>1130101</v>
      </c>
      <c r="T372" s="13" t="s">
        <v>36</v>
      </c>
      <c r="U372" s="16" t="n">
        <v>435</v>
      </c>
      <c r="V372" s="16"/>
      <c r="W372" s="17" t="n">
        <v>0</v>
      </c>
      <c r="X372" s="15" t="s">
        <v>473</v>
      </c>
      <c r="Y372" s="15"/>
      <c r="Z372" s="1" t="str">
        <f aca="false">IF($T372="","",IFERROR(INDEX('Resumo Grupos'!$AC$3:$AC$2000,MATCH($T372,'Resumo Grupos'!$AB$3:$AB$2000,0)),"n/d"))</f>
        <v>Mercadoria</v>
      </c>
    </row>
    <row r="373" customFormat="false" ht="28.5" hidden="false" customHeight="true" outlineLevel="0" collapsed="false">
      <c r="A373" s="11" t="n">
        <v>2</v>
      </c>
      <c r="B373" s="12" t="n">
        <v>46213</v>
      </c>
      <c r="C373" s="12" t="n">
        <v>46226</v>
      </c>
      <c r="D373" s="11" t="n">
        <v>1789</v>
      </c>
      <c r="E373" s="13" t="s">
        <v>474</v>
      </c>
      <c r="F373" s="11" t="n">
        <v>24</v>
      </c>
      <c r="G373" s="13" t="s">
        <v>30</v>
      </c>
      <c r="H373" s="11" t="n">
        <v>2110405</v>
      </c>
      <c r="I373" s="13" t="s">
        <v>51</v>
      </c>
      <c r="J373" s="14" t="n">
        <v>1377106</v>
      </c>
      <c r="K373" s="14"/>
      <c r="L373" s="11" t="n">
        <v>185546</v>
      </c>
      <c r="M373" s="13" t="s">
        <v>105</v>
      </c>
      <c r="N373" s="15" t="s">
        <v>41</v>
      </c>
      <c r="O373" s="15"/>
      <c r="P373" s="11" t="n">
        <v>113</v>
      </c>
      <c r="Q373" s="13" t="s">
        <v>34</v>
      </c>
      <c r="R373" s="13" t="s">
        <v>88</v>
      </c>
      <c r="S373" s="11" t="n">
        <v>4210112</v>
      </c>
      <c r="T373" s="13" t="s">
        <v>475</v>
      </c>
      <c r="U373" s="16" t="n">
        <v>8621.9</v>
      </c>
      <c r="V373" s="16"/>
      <c r="W373" s="17" t="n">
        <v>0</v>
      </c>
      <c r="X373" s="15" t="s">
        <v>476</v>
      </c>
      <c r="Y373" s="15"/>
      <c r="Z373" s="1" t="str">
        <f aca="false">IF($T373="","",IFERROR(INDEX('Resumo Grupos'!$AC$3:$AC$2000,MATCH($T373,'Resumo Grupos'!$AB$3:$AB$2000,0)),"n/d"))</f>
        <v>Despesa</v>
      </c>
    </row>
    <row r="374" customFormat="false" ht="39" hidden="false" customHeight="true" outlineLevel="0" collapsed="false">
      <c r="A374" s="11" t="n">
        <v>2</v>
      </c>
      <c r="B374" s="12" t="n">
        <v>46213</v>
      </c>
      <c r="C374" s="12" t="n">
        <v>46219</v>
      </c>
      <c r="D374" s="11" t="n">
        <v>10065</v>
      </c>
      <c r="E374" s="13" t="s">
        <v>477</v>
      </c>
      <c r="F374" s="11" t="n">
        <v>24</v>
      </c>
      <c r="G374" s="13" t="s">
        <v>30</v>
      </c>
      <c r="H374" s="11" t="n">
        <v>2110101</v>
      </c>
      <c r="I374" s="13" t="s">
        <v>31</v>
      </c>
      <c r="J374" s="14" t="n">
        <v>1377153</v>
      </c>
      <c r="K374" s="14"/>
      <c r="L374" s="11" t="n">
        <v>66</v>
      </c>
      <c r="M374" s="13" t="s">
        <v>105</v>
      </c>
      <c r="N374" s="15" t="s">
        <v>33</v>
      </c>
      <c r="O374" s="15"/>
      <c r="P374" s="11" t="n">
        <v>113</v>
      </c>
      <c r="Q374" s="13" t="s">
        <v>34</v>
      </c>
      <c r="R374" s="13" t="s">
        <v>35</v>
      </c>
      <c r="S374" s="11" t="n">
        <v>1130101</v>
      </c>
      <c r="T374" s="13" t="s">
        <v>36</v>
      </c>
      <c r="U374" s="16" t="n">
        <v>432</v>
      </c>
      <c r="V374" s="16"/>
      <c r="W374" s="17" t="n">
        <v>0</v>
      </c>
      <c r="X374" s="15" t="s">
        <v>478</v>
      </c>
      <c r="Y374" s="15"/>
      <c r="Z374" s="1" t="str">
        <f aca="false">IF($T374="","",IFERROR(INDEX('Resumo Grupos'!$AC$3:$AC$2000,MATCH($T374,'Resumo Grupos'!$AB$3:$AB$2000,0)),"n/d"))</f>
        <v>Mercadoria</v>
      </c>
    </row>
    <row r="375" customFormat="false" ht="39" hidden="false" customHeight="true" outlineLevel="0" collapsed="false">
      <c r="A375" s="11" t="n">
        <v>2</v>
      </c>
      <c r="B375" s="12" t="n">
        <v>46213</v>
      </c>
      <c r="C375" s="12" t="n">
        <v>46226</v>
      </c>
      <c r="D375" s="11" t="n">
        <v>1734</v>
      </c>
      <c r="E375" s="13" t="s">
        <v>333</v>
      </c>
      <c r="F375" s="11" t="n">
        <v>24</v>
      </c>
      <c r="G375" s="13" t="s">
        <v>30</v>
      </c>
      <c r="H375" s="11" t="n">
        <v>2110101</v>
      </c>
      <c r="I375" s="13" t="s">
        <v>31</v>
      </c>
      <c r="J375" s="14" t="n">
        <v>1377204</v>
      </c>
      <c r="K375" s="14"/>
      <c r="L375" s="11" t="n">
        <v>255191</v>
      </c>
      <c r="M375" s="13" t="s">
        <v>105</v>
      </c>
      <c r="N375" s="15" t="s">
        <v>33</v>
      </c>
      <c r="O375" s="15"/>
      <c r="P375" s="11" t="n">
        <v>113</v>
      </c>
      <c r="Q375" s="13" t="s">
        <v>34</v>
      </c>
      <c r="R375" s="13" t="s">
        <v>35</v>
      </c>
      <c r="S375" s="11" t="n">
        <v>1130101</v>
      </c>
      <c r="T375" s="13" t="s">
        <v>36</v>
      </c>
      <c r="U375" s="16" t="n">
        <v>771.01</v>
      </c>
      <c r="V375" s="16"/>
      <c r="W375" s="17" t="n">
        <v>0</v>
      </c>
      <c r="X375" s="15" t="s">
        <v>479</v>
      </c>
      <c r="Y375" s="15"/>
      <c r="Z375" s="1" t="str">
        <f aca="false">IF($T375="","",IFERROR(INDEX('Resumo Grupos'!$AC$3:$AC$2000,MATCH($T375,'Resumo Grupos'!$AB$3:$AB$2000,0)),"n/d"))</f>
        <v>Mercadoria</v>
      </c>
    </row>
    <row r="376" customFormat="false" ht="39" hidden="false" customHeight="true" outlineLevel="0" collapsed="false">
      <c r="A376" s="11" t="n">
        <v>2</v>
      </c>
      <c r="B376" s="12" t="n">
        <v>46213</v>
      </c>
      <c r="C376" s="12" t="n">
        <v>46220</v>
      </c>
      <c r="D376" s="11" t="n">
        <v>1270</v>
      </c>
      <c r="E376" s="13" t="s">
        <v>480</v>
      </c>
      <c r="F376" s="11" t="n">
        <v>24</v>
      </c>
      <c r="G376" s="13" t="s">
        <v>30</v>
      </c>
      <c r="H376" s="11" t="n">
        <v>2110101</v>
      </c>
      <c r="I376" s="13" t="s">
        <v>31</v>
      </c>
      <c r="J376" s="14" t="n">
        <v>1377247</v>
      </c>
      <c r="K376" s="14"/>
      <c r="L376" s="11" t="n">
        <v>2635</v>
      </c>
      <c r="M376" s="13" t="s">
        <v>105</v>
      </c>
      <c r="N376" s="15" t="s">
        <v>33</v>
      </c>
      <c r="O376" s="15"/>
      <c r="P376" s="11" t="n">
        <v>113</v>
      </c>
      <c r="Q376" s="13" t="s">
        <v>34</v>
      </c>
      <c r="R376" s="13" t="s">
        <v>35</v>
      </c>
      <c r="S376" s="11" t="n">
        <v>1130101</v>
      </c>
      <c r="T376" s="13" t="s">
        <v>36</v>
      </c>
      <c r="U376" s="16" t="n">
        <v>150</v>
      </c>
      <c r="V376" s="16"/>
      <c r="W376" s="17" t="n">
        <v>0</v>
      </c>
      <c r="X376" s="15" t="s">
        <v>481</v>
      </c>
      <c r="Y376" s="15"/>
      <c r="Z376" s="1" t="str">
        <f aca="false">IF($T376="","",IFERROR(INDEX('Resumo Grupos'!$AC$3:$AC$2000,MATCH($T376,'Resumo Grupos'!$AB$3:$AB$2000,0)),"n/d"))</f>
        <v>Mercadoria</v>
      </c>
    </row>
    <row r="377" customFormat="false" ht="39" hidden="false" customHeight="true" outlineLevel="0" collapsed="false">
      <c r="A377" s="11" t="n">
        <v>2</v>
      </c>
      <c r="B377" s="12" t="n">
        <v>46213</v>
      </c>
      <c r="C377" s="12" t="n">
        <v>46223</v>
      </c>
      <c r="D377" s="11" t="n">
        <v>1621</v>
      </c>
      <c r="E377" s="13" t="s">
        <v>209</v>
      </c>
      <c r="F377" s="11" t="n">
        <v>24</v>
      </c>
      <c r="G377" s="13" t="s">
        <v>30</v>
      </c>
      <c r="H377" s="11" t="n">
        <v>2110101</v>
      </c>
      <c r="I377" s="13" t="s">
        <v>31</v>
      </c>
      <c r="J377" s="14" t="n">
        <v>1377254</v>
      </c>
      <c r="K377" s="14"/>
      <c r="L377" s="11" t="n">
        <v>899238</v>
      </c>
      <c r="M377" s="13" t="s">
        <v>105</v>
      </c>
      <c r="N377" s="15" t="s">
        <v>33</v>
      </c>
      <c r="O377" s="15"/>
      <c r="P377" s="11" t="n">
        <v>113</v>
      </c>
      <c r="Q377" s="13" t="s">
        <v>34</v>
      </c>
      <c r="R377" s="13" t="s">
        <v>35</v>
      </c>
      <c r="S377" s="11" t="n">
        <v>1130101</v>
      </c>
      <c r="T377" s="13" t="s">
        <v>36</v>
      </c>
      <c r="U377" s="16" t="n">
        <v>661.73</v>
      </c>
      <c r="V377" s="16"/>
      <c r="W377" s="17" t="n">
        <v>0</v>
      </c>
      <c r="X377" s="15" t="s">
        <v>482</v>
      </c>
      <c r="Y377" s="15"/>
      <c r="Z377" s="1" t="str">
        <f aca="false">IF($T377="","",IFERROR(INDEX('Resumo Grupos'!$AC$3:$AC$2000,MATCH($T377,'Resumo Grupos'!$AB$3:$AB$2000,0)),"n/d"))</f>
        <v>Mercadoria</v>
      </c>
    </row>
    <row r="378" customFormat="false" ht="28.5" hidden="false" customHeight="true" outlineLevel="0" collapsed="false">
      <c r="A378" s="11" t="n">
        <v>2</v>
      </c>
      <c r="B378" s="12" t="n">
        <v>46213</v>
      </c>
      <c r="C378" s="12" t="n">
        <v>46213</v>
      </c>
      <c r="D378" s="11" t="n">
        <v>513</v>
      </c>
      <c r="E378" s="13" t="s">
        <v>190</v>
      </c>
      <c r="F378" s="11" t="n">
        <v>24</v>
      </c>
      <c r="G378" s="13" t="s">
        <v>30</v>
      </c>
      <c r="H378" s="11" t="n">
        <v>1110203</v>
      </c>
      <c r="I378" s="13" t="s">
        <v>100</v>
      </c>
      <c r="J378" s="14" t="n">
        <v>1377314</v>
      </c>
      <c r="K378" s="14"/>
      <c r="L378" s="11" t="n">
        <v>185631</v>
      </c>
      <c r="M378" s="13" t="s">
        <v>105</v>
      </c>
      <c r="N378" s="15" t="s">
        <v>41</v>
      </c>
      <c r="O378" s="15"/>
      <c r="P378" s="11" t="n">
        <v>101</v>
      </c>
      <c r="Q378" s="13" t="s">
        <v>52</v>
      </c>
      <c r="R378" s="13" t="s">
        <v>191</v>
      </c>
      <c r="S378" s="11" t="n">
        <v>4210315</v>
      </c>
      <c r="T378" s="13" t="s">
        <v>192</v>
      </c>
      <c r="U378" s="16" t="n">
        <v>160</v>
      </c>
      <c r="V378" s="16"/>
      <c r="W378" s="17" t="n">
        <v>0</v>
      </c>
      <c r="X378" s="15" t="s">
        <v>483</v>
      </c>
      <c r="Y378" s="15"/>
      <c r="Z378" s="1" t="str">
        <f aca="false">IF($T378="","",IFERROR(INDEX('Resumo Grupos'!$AC$3:$AC$2000,MATCH($T378,'Resumo Grupos'!$AB$3:$AB$2000,0)),"n/d"))</f>
        <v>Despesa</v>
      </c>
    </row>
    <row r="379" customFormat="false" ht="39" hidden="false" customHeight="true" outlineLevel="0" collapsed="false">
      <c r="A379" s="11" t="n">
        <v>2</v>
      </c>
      <c r="B379" s="12" t="n">
        <v>46213</v>
      </c>
      <c r="C379" s="12" t="n">
        <v>46220</v>
      </c>
      <c r="D379" s="11" t="n">
        <v>10018</v>
      </c>
      <c r="E379" s="13" t="s">
        <v>368</v>
      </c>
      <c r="F379" s="11" t="n">
        <v>34</v>
      </c>
      <c r="G379" s="13" t="s">
        <v>87</v>
      </c>
      <c r="H379" s="11" t="n">
        <v>2110101</v>
      </c>
      <c r="I379" s="13" t="s">
        <v>31</v>
      </c>
      <c r="J379" s="14" t="n">
        <v>1377315</v>
      </c>
      <c r="K379" s="14"/>
      <c r="L379" s="11" t="n">
        <v>333</v>
      </c>
      <c r="M379" s="13" t="s">
        <v>105</v>
      </c>
      <c r="N379" s="15" t="s">
        <v>33</v>
      </c>
      <c r="O379" s="15"/>
      <c r="P379" s="11" t="n">
        <v>113</v>
      </c>
      <c r="Q379" s="13" t="s">
        <v>34</v>
      </c>
      <c r="R379" s="13" t="s">
        <v>35</v>
      </c>
      <c r="S379" s="11" t="n">
        <v>1130101</v>
      </c>
      <c r="T379" s="13" t="s">
        <v>36</v>
      </c>
      <c r="U379" s="16" t="n">
        <v>1171.37</v>
      </c>
      <c r="V379" s="16"/>
      <c r="W379" s="17" t="n">
        <v>0</v>
      </c>
      <c r="X379" s="15" t="s">
        <v>484</v>
      </c>
      <c r="Y379" s="15"/>
      <c r="Z379" s="1" t="str">
        <f aca="false">IF($T379="","",IFERROR(INDEX('Resumo Grupos'!$AC$3:$AC$2000,MATCH($T379,'Resumo Grupos'!$AB$3:$AB$2000,0)),"n/d"))</f>
        <v>Mercadoria</v>
      </c>
    </row>
    <row r="380" customFormat="false" ht="57" hidden="false" customHeight="true" outlineLevel="0" collapsed="false">
      <c r="A380" s="11" t="n">
        <v>2</v>
      </c>
      <c r="B380" s="12" t="n">
        <v>46213</v>
      </c>
      <c r="C380" s="12" t="n">
        <v>46234</v>
      </c>
      <c r="D380" s="11" t="n">
        <v>1708</v>
      </c>
      <c r="E380" s="13" t="s">
        <v>485</v>
      </c>
      <c r="F380" s="11" t="n">
        <v>24</v>
      </c>
      <c r="G380" s="13" t="s">
        <v>30</v>
      </c>
      <c r="H380" s="11" t="n">
        <v>2110101</v>
      </c>
      <c r="I380" s="13" t="s">
        <v>31</v>
      </c>
      <c r="J380" s="14" t="n">
        <v>1377397</v>
      </c>
      <c r="K380" s="14"/>
      <c r="L380" s="11" t="n">
        <v>262932</v>
      </c>
      <c r="M380" s="13" t="s">
        <v>105</v>
      </c>
      <c r="N380" s="15" t="s">
        <v>33</v>
      </c>
      <c r="O380" s="15"/>
      <c r="P380" s="11" t="n">
        <v>113</v>
      </c>
      <c r="Q380" s="13" t="s">
        <v>34</v>
      </c>
      <c r="R380" s="13" t="s">
        <v>35</v>
      </c>
      <c r="S380" s="11" t="n">
        <v>1130101</v>
      </c>
      <c r="T380" s="13" t="s">
        <v>36</v>
      </c>
      <c r="U380" s="16" t="n">
        <v>1123.86</v>
      </c>
      <c r="V380" s="16"/>
      <c r="W380" s="17" t="n">
        <v>0</v>
      </c>
      <c r="X380" s="15" t="s">
        <v>486</v>
      </c>
      <c r="Y380" s="15"/>
      <c r="Z380" s="1" t="str">
        <f aca="false">IF($T380="","",IFERROR(INDEX('Resumo Grupos'!$AC$3:$AC$2000,MATCH($T380,'Resumo Grupos'!$AB$3:$AB$2000,0)),"n/d"))</f>
        <v>Mercadoria</v>
      </c>
    </row>
    <row r="381" customFormat="false" ht="39" hidden="false" customHeight="true" outlineLevel="0" collapsed="false">
      <c r="A381" s="11" t="n">
        <v>2</v>
      </c>
      <c r="B381" s="12" t="n">
        <v>46213</v>
      </c>
      <c r="C381" s="12" t="n">
        <v>46213</v>
      </c>
      <c r="D381" s="11" t="n">
        <v>48</v>
      </c>
      <c r="E381" s="13" t="s">
        <v>112</v>
      </c>
      <c r="F381" s="11" t="n">
        <v>34</v>
      </c>
      <c r="G381" s="13" t="s">
        <v>87</v>
      </c>
      <c r="H381" s="11" t="n">
        <v>2110101</v>
      </c>
      <c r="I381" s="13" t="s">
        <v>31</v>
      </c>
      <c r="J381" s="14" t="n">
        <v>1377467</v>
      </c>
      <c r="K381" s="14"/>
      <c r="L381" s="11" t="n">
        <v>2538</v>
      </c>
      <c r="M381" s="13" t="s">
        <v>105</v>
      </c>
      <c r="N381" s="15" t="s">
        <v>33</v>
      </c>
      <c r="O381" s="15"/>
      <c r="P381" s="11" t="n">
        <v>113</v>
      </c>
      <c r="Q381" s="13" t="s">
        <v>34</v>
      </c>
      <c r="R381" s="13" t="s">
        <v>35</v>
      </c>
      <c r="S381" s="11" t="n">
        <v>1130101</v>
      </c>
      <c r="T381" s="13" t="s">
        <v>36</v>
      </c>
      <c r="U381" s="16" t="n">
        <v>1838.6</v>
      </c>
      <c r="V381" s="16"/>
      <c r="W381" s="17" t="n">
        <v>0</v>
      </c>
      <c r="X381" s="15" t="s">
        <v>403</v>
      </c>
      <c r="Y381" s="15"/>
      <c r="Z381" s="1" t="str">
        <f aca="false">IF($T381="","",IFERROR(INDEX('Resumo Grupos'!$AC$3:$AC$2000,MATCH($T381,'Resumo Grupos'!$AB$3:$AB$2000,0)),"n/d"))</f>
        <v>Mercadoria</v>
      </c>
    </row>
    <row r="382" customFormat="false" ht="39" hidden="false" customHeight="true" outlineLevel="0" collapsed="false">
      <c r="A382" s="11" t="n">
        <v>2</v>
      </c>
      <c r="B382" s="12" t="n">
        <v>46214</v>
      </c>
      <c r="C382" s="12" t="n">
        <v>46220</v>
      </c>
      <c r="D382" s="11" t="n">
        <v>1666</v>
      </c>
      <c r="E382" s="13" t="s">
        <v>296</v>
      </c>
      <c r="F382" s="11" t="n">
        <v>24</v>
      </c>
      <c r="G382" s="13" t="s">
        <v>30</v>
      </c>
      <c r="H382" s="11" t="n">
        <v>2110101</v>
      </c>
      <c r="I382" s="13" t="s">
        <v>31</v>
      </c>
      <c r="J382" s="14" t="n">
        <v>1381638</v>
      </c>
      <c r="K382" s="14"/>
      <c r="L382" s="11" t="n">
        <v>566541</v>
      </c>
      <c r="M382" s="13" t="s">
        <v>105</v>
      </c>
      <c r="N382" s="15" t="s">
        <v>33</v>
      </c>
      <c r="O382" s="15"/>
      <c r="P382" s="11" t="n">
        <v>113</v>
      </c>
      <c r="Q382" s="13" t="s">
        <v>34</v>
      </c>
      <c r="R382" s="13" t="s">
        <v>35</v>
      </c>
      <c r="S382" s="11" t="n">
        <v>1130101</v>
      </c>
      <c r="T382" s="13" t="s">
        <v>36</v>
      </c>
      <c r="U382" s="16" t="n">
        <v>4572.86</v>
      </c>
      <c r="V382" s="16"/>
      <c r="W382" s="17" t="n">
        <v>0</v>
      </c>
      <c r="X382" s="15" t="s">
        <v>487</v>
      </c>
      <c r="Y382" s="15"/>
      <c r="Z382" s="1" t="str">
        <f aca="false">IF($T382="","",IFERROR(INDEX('Resumo Grupos'!$AC$3:$AC$2000,MATCH($T382,'Resumo Grupos'!$AB$3:$AB$2000,0)),"n/d"))</f>
        <v>Mercadoria</v>
      </c>
    </row>
    <row r="383" customFormat="false" ht="39" hidden="false" customHeight="true" outlineLevel="0" collapsed="false">
      <c r="A383" s="11" t="n">
        <v>2</v>
      </c>
      <c r="B383" s="12" t="n">
        <v>46214</v>
      </c>
      <c r="C383" s="12" t="n">
        <v>46227</v>
      </c>
      <c r="D383" s="11" t="n">
        <v>1666</v>
      </c>
      <c r="E383" s="13" t="s">
        <v>296</v>
      </c>
      <c r="F383" s="11" t="n">
        <v>24</v>
      </c>
      <c r="G383" s="13" t="s">
        <v>30</v>
      </c>
      <c r="H383" s="11" t="n">
        <v>2110101</v>
      </c>
      <c r="I383" s="13" t="s">
        <v>31</v>
      </c>
      <c r="J383" s="14" t="n">
        <v>1381638</v>
      </c>
      <c r="K383" s="14"/>
      <c r="L383" s="11" t="n">
        <v>566541</v>
      </c>
      <c r="M383" s="13" t="s">
        <v>32</v>
      </c>
      <c r="N383" s="15" t="s">
        <v>33</v>
      </c>
      <c r="O383" s="15"/>
      <c r="P383" s="11" t="n">
        <v>113</v>
      </c>
      <c r="Q383" s="13" t="s">
        <v>34</v>
      </c>
      <c r="R383" s="13" t="s">
        <v>35</v>
      </c>
      <c r="S383" s="11" t="n">
        <v>1130101</v>
      </c>
      <c r="T383" s="13" t="s">
        <v>36</v>
      </c>
      <c r="U383" s="16" t="n">
        <v>4572.86</v>
      </c>
      <c r="V383" s="16"/>
      <c r="W383" s="17" t="n">
        <v>0</v>
      </c>
      <c r="X383" s="15" t="s">
        <v>487</v>
      </c>
      <c r="Y383" s="15"/>
      <c r="Z383" s="1" t="str">
        <f aca="false">IF($T383="","",IFERROR(INDEX('Resumo Grupos'!$AC$3:$AC$2000,MATCH($T383,'Resumo Grupos'!$AB$3:$AB$2000,0)),"n/d"))</f>
        <v>Mercadoria</v>
      </c>
    </row>
    <row r="384" customFormat="false" ht="48" hidden="false" customHeight="true" outlineLevel="0" collapsed="false">
      <c r="A384" s="11" t="n">
        <v>2</v>
      </c>
      <c r="B384" s="12" t="n">
        <v>46214</v>
      </c>
      <c r="C384" s="12" t="n">
        <v>46217</v>
      </c>
      <c r="D384" s="11" t="n">
        <v>642</v>
      </c>
      <c r="E384" s="13" t="s">
        <v>315</v>
      </c>
      <c r="F384" s="11" t="n">
        <v>24</v>
      </c>
      <c r="G384" s="13" t="s">
        <v>30</v>
      </c>
      <c r="H384" s="11" t="n">
        <v>2110101</v>
      </c>
      <c r="I384" s="13" t="s">
        <v>31</v>
      </c>
      <c r="J384" s="14" t="n">
        <v>1381699</v>
      </c>
      <c r="K384" s="14"/>
      <c r="L384" s="11" t="n">
        <v>527</v>
      </c>
      <c r="M384" s="13" t="s">
        <v>105</v>
      </c>
      <c r="N384" s="15" t="s">
        <v>33</v>
      </c>
      <c r="O384" s="15"/>
      <c r="P384" s="11" t="n">
        <v>113</v>
      </c>
      <c r="Q384" s="13" t="s">
        <v>34</v>
      </c>
      <c r="R384" s="13" t="s">
        <v>35</v>
      </c>
      <c r="S384" s="11" t="n">
        <v>1130101</v>
      </c>
      <c r="T384" s="13" t="s">
        <v>36</v>
      </c>
      <c r="U384" s="16" t="n">
        <v>180</v>
      </c>
      <c r="V384" s="16"/>
      <c r="W384" s="17" t="n">
        <v>0</v>
      </c>
      <c r="X384" s="15" t="s">
        <v>488</v>
      </c>
      <c r="Y384" s="15"/>
      <c r="Z384" s="1" t="str">
        <f aca="false">IF($T384="","",IFERROR(INDEX('Resumo Grupos'!$AC$3:$AC$2000,MATCH($T384,'Resumo Grupos'!$AB$3:$AB$2000,0)),"n/d"))</f>
        <v>Mercadoria</v>
      </c>
    </row>
    <row r="385" customFormat="false" ht="57" hidden="false" customHeight="true" outlineLevel="0" collapsed="false">
      <c r="A385" s="11" t="n">
        <v>2</v>
      </c>
      <c r="B385" s="12" t="n">
        <v>46214</v>
      </c>
      <c r="C385" s="12" t="n">
        <v>46217</v>
      </c>
      <c r="D385" s="11" t="n">
        <v>1899</v>
      </c>
      <c r="E385" s="13" t="s">
        <v>287</v>
      </c>
      <c r="F385" s="11" t="n">
        <v>24</v>
      </c>
      <c r="G385" s="13" t="s">
        <v>30</v>
      </c>
      <c r="H385" s="11" t="n">
        <v>2110101</v>
      </c>
      <c r="I385" s="13" t="s">
        <v>31</v>
      </c>
      <c r="J385" s="14" t="n">
        <v>1381714</v>
      </c>
      <c r="K385" s="14"/>
      <c r="L385" s="11" t="n">
        <v>708</v>
      </c>
      <c r="M385" s="13" t="s">
        <v>105</v>
      </c>
      <c r="N385" s="15" t="s">
        <v>33</v>
      </c>
      <c r="O385" s="15"/>
      <c r="P385" s="11" t="n">
        <v>113</v>
      </c>
      <c r="Q385" s="13" t="s">
        <v>34</v>
      </c>
      <c r="R385" s="13" t="s">
        <v>35</v>
      </c>
      <c r="S385" s="11" t="n">
        <v>1130101</v>
      </c>
      <c r="T385" s="13" t="s">
        <v>36</v>
      </c>
      <c r="U385" s="16" t="n">
        <v>307.11</v>
      </c>
      <c r="V385" s="16"/>
      <c r="W385" s="17" t="n">
        <v>0</v>
      </c>
      <c r="X385" s="15" t="s">
        <v>489</v>
      </c>
      <c r="Y385" s="15"/>
      <c r="Z385" s="1" t="str">
        <f aca="false">IF($T385="","",IFERROR(INDEX('Resumo Grupos'!$AC$3:$AC$2000,MATCH($T385,'Resumo Grupos'!$AB$3:$AB$2000,0)),"n/d"))</f>
        <v>Mercadoria</v>
      </c>
    </row>
    <row r="386" customFormat="false" ht="57" hidden="false" customHeight="true" outlineLevel="0" collapsed="false">
      <c r="A386" s="11" t="n">
        <v>2</v>
      </c>
      <c r="B386" s="12" t="n">
        <v>46214</v>
      </c>
      <c r="C386" s="12" t="n">
        <v>46233</v>
      </c>
      <c r="D386" s="11" t="n">
        <v>1842</v>
      </c>
      <c r="E386" s="13" t="s">
        <v>490</v>
      </c>
      <c r="F386" s="11" t="n">
        <v>24</v>
      </c>
      <c r="G386" s="13" t="s">
        <v>30</v>
      </c>
      <c r="H386" s="11" t="n">
        <v>1110203</v>
      </c>
      <c r="I386" s="13" t="s">
        <v>100</v>
      </c>
      <c r="J386" s="14" t="n">
        <v>1381793</v>
      </c>
      <c r="K386" s="14"/>
      <c r="L386" s="11" t="n">
        <v>186023</v>
      </c>
      <c r="M386" s="13" t="s">
        <v>105</v>
      </c>
      <c r="N386" s="15" t="s">
        <v>41</v>
      </c>
      <c r="O386" s="15"/>
      <c r="P386" s="11" t="n">
        <v>113</v>
      </c>
      <c r="Q386" s="13" t="s">
        <v>34</v>
      </c>
      <c r="R386" s="13" t="s">
        <v>60</v>
      </c>
      <c r="S386" s="11" t="n">
        <v>4210229</v>
      </c>
      <c r="T386" s="13" t="s">
        <v>491</v>
      </c>
      <c r="U386" s="16" t="n">
        <v>215</v>
      </c>
      <c r="V386" s="16"/>
      <c r="W386" s="17" t="n">
        <v>0</v>
      </c>
      <c r="X386" s="15" t="s">
        <v>492</v>
      </c>
      <c r="Y386" s="15"/>
      <c r="Z386" s="1" t="str">
        <f aca="false">IF($T386="","",IFERROR(INDEX('Resumo Grupos'!$AC$3:$AC$2000,MATCH($T386,'Resumo Grupos'!$AB$3:$AB$2000,0)),"n/d"))</f>
        <v>Despesa</v>
      </c>
    </row>
    <row r="387" customFormat="false" ht="39" hidden="false" customHeight="true" outlineLevel="0" collapsed="false">
      <c r="A387" s="11" t="n">
        <v>2</v>
      </c>
      <c r="B387" s="12" t="n">
        <v>46214</v>
      </c>
      <c r="C387" s="12" t="n">
        <v>46218</v>
      </c>
      <c r="D387" s="11" t="n">
        <v>1683</v>
      </c>
      <c r="E387" s="13" t="s">
        <v>328</v>
      </c>
      <c r="F387" s="11" t="n">
        <v>34</v>
      </c>
      <c r="G387" s="13" t="s">
        <v>87</v>
      </c>
      <c r="H387" s="11" t="n">
        <v>2110101</v>
      </c>
      <c r="I387" s="13" t="s">
        <v>31</v>
      </c>
      <c r="J387" s="14" t="n">
        <v>1381841</v>
      </c>
      <c r="K387" s="14"/>
      <c r="L387" s="11" t="n">
        <v>1645747</v>
      </c>
      <c r="M387" s="13" t="s">
        <v>105</v>
      </c>
      <c r="N387" s="15" t="s">
        <v>33</v>
      </c>
      <c r="O387" s="15"/>
      <c r="P387" s="11" t="n">
        <v>113</v>
      </c>
      <c r="Q387" s="13" t="s">
        <v>34</v>
      </c>
      <c r="R387" s="13" t="s">
        <v>35</v>
      </c>
      <c r="S387" s="11" t="n">
        <v>1130101</v>
      </c>
      <c r="T387" s="13" t="s">
        <v>36</v>
      </c>
      <c r="U387" s="16" t="n">
        <v>61.5</v>
      </c>
      <c r="V387" s="16"/>
      <c r="W387" s="17" t="n">
        <v>0</v>
      </c>
      <c r="X387" s="15" t="s">
        <v>329</v>
      </c>
      <c r="Y387" s="15"/>
      <c r="Z387" s="1" t="str">
        <f aca="false">IF($T387="","",IFERROR(INDEX('Resumo Grupos'!$AC$3:$AC$2000,MATCH($T387,'Resumo Grupos'!$AB$3:$AB$2000,0)),"n/d"))</f>
        <v>Mercadoria</v>
      </c>
    </row>
    <row r="388" customFormat="false" ht="57" hidden="false" customHeight="true" outlineLevel="0" collapsed="false">
      <c r="A388" s="11" t="n">
        <v>2</v>
      </c>
      <c r="B388" s="12" t="n">
        <v>46214</v>
      </c>
      <c r="C388" s="12" t="n">
        <v>46217</v>
      </c>
      <c r="D388" s="11" t="n">
        <v>666</v>
      </c>
      <c r="E388" s="13" t="s">
        <v>493</v>
      </c>
      <c r="F388" s="11" t="n">
        <v>24</v>
      </c>
      <c r="G388" s="13" t="s">
        <v>30</v>
      </c>
      <c r="H388" s="11" t="n">
        <v>2110101</v>
      </c>
      <c r="I388" s="13" t="s">
        <v>31</v>
      </c>
      <c r="J388" s="14" t="n">
        <v>1381906</v>
      </c>
      <c r="K388" s="14"/>
      <c r="L388" s="11" t="n">
        <v>7874</v>
      </c>
      <c r="M388" s="13" t="s">
        <v>105</v>
      </c>
      <c r="N388" s="15" t="s">
        <v>33</v>
      </c>
      <c r="O388" s="15"/>
      <c r="P388" s="11" t="n">
        <v>113</v>
      </c>
      <c r="Q388" s="13" t="s">
        <v>34</v>
      </c>
      <c r="R388" s="13" t="s">
        <v>35</v>
      </c>
      <c r="S388" s="11" t="n">
        <v>1130101</v>
      </c>
      <c r="T388" s="13" t="s">
        <v>36</v>
      </c>
      <c r="U388" s="16" t="n">
        <v>378.89</v>
      </c>
      <c r="V388" s="16"/>
      <c r="W388" s="17" t="n">
        <v>0</v>
      </c>
      <c r="X388" s="15" t="s">
        <v>494</v>
      </c>
      <c r="Y388" s="15"/>
      <c r="Z388" s="1" t="str">
        <f aca="false">IF($T388="","",IFERROR(INDEX('Resumo Grupos'!$AC$3:$AC$2000,MATCH($T388,'Resumo Grupos'!$AB$3:$AB$2000,0)),"n/d"))</f>
        <v>Mercadoria</v>
      </c>
    </row>
    <row r="389" customFormat="false" ht="57" hidden="false" customHeight="true" outlineLevel="0" collapsed="false">
      <c r="A389" s="11" t="n">
        <v>2</v>
      </c>
      <c r="B389" s="12" t="n">
        <v>46214</v>
      </c>
      <c r="C389" s="12" t="n">
        <v>46224</v>
      </c>
      <c r="D389" s="11" t="n">
        <v>666</v>
      </c>
      <c r="E389" s="13" t="s">
        <v>493</v>
      </c>
      <c r="F389" s="11" t="n">
        <v>24</v>
      </c>
      <c r="G389" s="13" t="s">
        <v>30</v>
      </c>
      <c r="H389" s="11" t="n">
        <v>2110101</v>
      </c>
      <c r="I389" s="13" t="s">
        <v>31</v>
      </c>
      <c r="J389" s="14" t="n">
        <v>1381906</v>
      </c>
      <c r="K389" s="14"/>
      <c r="L389" s="11" t="n">
        <v>7874</v>
      </c>
      <c r="M389" s="13" t="s">
        <v>32</v>
      </c>
      <c r="N389" s="15" t="s">
        <v>33</v>
      </c>
      <c r="O389" s="15"/>
      <c r="P389" s="11" t="n">
        <v>113</v>
      </c>
      <c r="Q389" s="13" t="s">
        <v>34</v>
      </c>
      <c r="R389" s="13" t="s">
        <v>35</v>
      </c>
      <c r="S389" s="11" t="n">
        <v>1130101</v>
      </c>
      <c r="T389" s="13" t="s">
        <v>36</v>
      </c>
      <c r="U389" s="16" t="n">
        <v>378.88</v>
      </c>
      <c r="V389" s="16"/>
      <c r="W389" s="17" t="n">
        <v>0</v>
      </c>
      <c r="X389" s="15" t="s">
        <v>494</v>
      </c>
      <c r="Y389" s="15"/>
      <c r="Z389" s="1" t="str">
        <f aca="false">IF($T389="","",IFERROR(INDEX('Resumo Grupos'!$AC$3:$AC$2000,MATCH($T389,'Resumo Grupos'!$AB$3:$AB$2000,0)),"n/d"))</f>
        <v>Mercadoria</v>
      </c>
    </row>
    <row r="390" customFormat="false" ht="57" hidden="false" customHeight="true" outlineLevel="0" collapsed="false">
      <c r="A390" s="11" t="n">
        <v>2</v>
      </c>
      <c r="B390" s="12" t="n">
        <v>46214</v>
      </c>
      <c r="C390" s="12" t="n">
        <v>46231</v>
      </c>
      <c r="D390" s="11" t="n">
        <v>666</v>
      </c>
      <c r="E390" s="13" t="s">
        <v>493</v>
      </c>
      <c r="F390" s="11" t="n">
        <v>24</v>
      </c>
      <c r="G390" s="13" t="s">
        <v>30</v>
      </c>
      <c r="H390" s="11" t="n">
        <v>2110101</v>
      </c>
      <c r="I390" s="13" t="s">
        <v>31</v>
      </c>
      <c r="J390" s="14" t="n">
        <v>1381906</v>
      </c>
      <c r="K390" s="14"/>
      <c r="L390" s="11" t="n">
        <v>7874</v>
      </c>
      <c r="M390" s="13" t="s">
        <v>101</v>
      </c>
      <c r="N390" s="15" t="s">
        <v>33</v>
      </c>
      <c r="O390" s="15"/>
      <c r="P390" s="11" t="n">
        <v>113</v>
      </c>
      <c r="Q390" s="13" t="s">
        <v>34</v>
      </c>
      <c r="R390" s="13" t="s">
        <v>35</v>
      </c>
      <c r="S390" s="11" t="n">
        <v>1130101</v>
      </c>
      <c r="T390" s="13" t="s">
        <v>36</v>
      </c>
      <c r="U390" s="16" t="n">
        <v>378.88</v>
      </c>
      <c r="V390" s="16"/>
      <c r="W390" s="17" t="n">
        <v>0</v>
      </c>
      <c r="X390" s="15" t="s">
        <v>494</v>
      </c>
      <c r="Y390" s="15"/>
      <c r="Z390" s="1" t="str">
        <f aca="false">IF($T390="","",IFERROR(INDEX('Resumo Grupos'!$AC$3:$AC$2000,MATCH($T390,'Resumo Grupos'!$AB$3:$AB$2000,0)),"n/d"))</f>
        <v>Mercadoria</v>
      </c>
    </row>
    <row r="391" customFormat="false" ht="57" hidden="false" customHeight="true" outlineLevel="0" collapsed="false">
      <c r="A391" s="11" t="n">
        <v>2</v>
      </c>
      <c r="B391" s="12" t="n">
        <v>46214</v>
      </c>
      <c r="C391" s="12" t="n">
        <v>46238</v>
      </c>
      <c r="D391" s="11" t="n">
        <v>666</v>
      </c>
      <c r="E391" s="13" t="s">
        <v>493</v>
      </c>
      <c r="F391" s="11" t="n">
        <v>24</v>
      </c>
      <c r="G391" s="13" t="s">
        <v>30</v>
      </c>
      <c r="H391" s="11" t="n">
        <v>2110101</v>
      </c>
      <c r="I391" s="13" t="s">
        <v>31</v>
      </c>
      <c r="J391" s="14" t="n">
        <v>1381906</v>
      </c>
      <c r="K391" s="14"/>
      <c r="L391" s="11" t="n">
        <v>7874</v>
      </c>
      <c r="M391" s="13" t="s">
        <v>80</v>
      </c>
      <c r="N391" s="15" t="s">
        <v>33</v>
      </c>
      <c r="O391" s="15"/>
      <c r="P391" s="11" t="n">
        <v>113</v>
      </c>
      <c r="Q391" s="13" t="s">
        <v>34</v>
      </c>
      <c r="R391" s="13" t="s">
        <v>35</v>
      </c>
      <c r="S391" s="11" t="n">
        <v>1130101</v>
      </c>
      <c r="T391" s="13" t="s">
        <v>36</v>
      </c>
      <c r="U391" s="16" t="n">
        <v>378.88</v>
      </c>
      <c r="V391" s="16"/>
      <c r="W391" s="17" t="n">
        <v>0</v>
      </c>
      <c r="X391" s="15" t="s">
        <v>494</v>
      </c>
      <c r="Y391" s="15"/>
      <c r="Z391" s="1" t="str">
        <f aca="false">IF($T391="","",IFERROR(INDEX('Resumo Grupos'!$AC$3:$AC$2000,MATCH($T391,'Resumo Grupos'!$AB$3:$AB$2000,0)),"n/d"))</f>
        <v>Mercadoria</v>
      </c>
    </row>
    <row r="392" customFormat="false" ht="39" hidden="false" customHeight="true" outlineLevel="0" collapsed="false">
      <c r="A392" s="11" t="n">
        <v>2</v>
      </c>
      <c r="B392" s="12" t="n">
        <v>46216</v>
      </c>
      <c r="C392" s="12" t="n">
        <v>46218</v>
      </c>
      <c r="D392" s="11" t="n">
        <v>1683</v>
      </c>
      <c r="E392" s="13" t="s">
        <v>328</v>
      </c>
      <c r="F392" s="11" t="n">
        <v>34</v>
      </c>
      <c r="G392" s="13" t="s">
        <v>87</v>
      </c>
      <c r="H392" s="11" t="n">
        <v>2110101</v>
      </c>
      <c r="I392" s="13" t="s">
        <v>31</v>
      </c>
      <c r="J392" s="14" t="n">
        <v>1393119</v>
      </c>
      <c r="K392" s="14"/>
      <c r="L392" s="11" t="n">
        <v>1646001</v>
      </c>
      <c r="M392" s="13" t="s">
        <v>105</v>
      </c>
      <c r="N392" s="15" t="s">
        <v>33</v>
      </c>
      <c r="O392" s="15"/>
      <c r="P392" s="11" t="n">
        <v>113</v>
      </c>
      <c r="Q392" s="13" t="s">
        <v>34</v>
      </c>
      <c r="R392" s="13" t="s">
        <v>35</v>
      </c>
      <c r="S392" s="11" t="n">
        <v>1130101</v>
      </c>
      <c r="T392" s="13" t="s">
        <v>36</v>
      </c>
      <c r="U392" s="16" t="n">
        <v>174</v>
      </c>
      <c r="V392" s="16"/>
      <c r="W392" s="17" t="n">
        <v>0</v>
      </c>
      <c r="X392" s="15" t="s">
        <v>329</v>
      </c>
      <c r="Y392" s="15"/>
      <c r="Z392" s="1" t="str">
        <f aca="false">IF($T392="","",IFERROR(INDEX('Resumo Grupos'!$AC$3:$AC$2000,MATCH($T392,'Resumo Grupos'!$AB$3:$AB$2000,0)),"n/d"))</f>
        <v>Mercadoria</v>
      </c>
    </row>
    <row r="393" customFormat="false" ht="66.75" hidden="false" customHeight="true" outlineLevel="0" collapsed="false">
      <c r="A393" s="11" t="n">
        <v>2</v>
      </c>
      <c r="B393" s="12" t="n">
        <v>46216</v>
      </c>
      <c r="C393" s="12" t="n">
        <v>46243</v>
      </c>
      <c r="D393" s="11" t="n">
        <v>1636</v>
      </c>
      <c r="E393" s="13" t="s">
        <v>131</v>
      </c>
      <c r="F393" s="11" t="n">
        <v>24</v>
      </c>
      <c r="G393" s="13" t="s">
        <v>30</v>
      </c>
      <c r="H393" s="11" t="n">
        <v>1110203</v>
      </c>
      <c r="I393" s="13" t="s">
        <v>100</v>
      </c>
      <c r="J393" s="14" t="n">
        <v>1393186</v>
      </c>
      <c r="K393" s="14"/>
      <c r="L393" s="11" t="n">
        <v>187324</v>
      </c>
      <c r="M393" s="13" t="s">
        <v>105</v>
      </c>
      <c r="N393" s="15" t="s">
        <v>41</v>
      </c>
      <c r="O393" s="15"/>
      <c r="P393" s="11" t="n">
        <v>113</v>
      </c>
      <c r="Q393" s="13" t="s">
        <v>34</v>
      </c>
      <c r="R393" s="13" t="s">
        <v>60</v>
      </c>
      <c r="S393" s="11" t="n">
        <v>4210227</v>
      </c>
      <c r="T393" s="13" t="s">
        <v>70</v>
      </c>
      <c r="U393" s="16" t="n">
        <v>292.39</v>
      </c>
      <c r="V393" s="16"/>
      <c r="W393" s="17" t="n">
        <v>0</v>
      </c>
      <c r="X393" s="15" t="s">
        <v>495</v>
      </c>
      <c r="Y393" s="15"/>
      <c r="Z393" s="1" t="str">
        <f aca="false">IF($T393="","",IFERROR(INDEX('Resumo Grupos'!$AC$3:$AC$2000,MATCH($T393,'Resumo Grupos'!$AB$3:$AB$2000,0)),"n/d"))</f>
        <v>Despesa</v>
      </c>
    </row>
    <row r="394" customFormat="false" ht="39" hidden="false" customHeight="true" outlineLevel="0" collapsed="false">
      <c r="A394" s="11" t="n">
        <v>2</v>
      </c>
      <c r="B394" s="12" t="n">
        <v>46216</v>
      </c>
      <c r="C394" s="12" t="n">
        <v>46232</v>
      </c>
      <c r="D394" s="11" t="n">
        <v>10012</v>
      </c>
      <c r="E394" s="13" t="s">
        <v>215</v>
      </c>
      <c r="F394" s="11" t="n">
        <v>24</v>
      </c>
      <c r="G394" s="13" t="s">
        <v>30</v>
      </c>
      <c r="H394" s="11" t="n">
        <v>2110101</v>
      </c>
      <c r="I394" s="13" t="s">
        <v>31</v>
      </c>
      <c r="J394" s="14" t="n">
        <v>1393698</v>
      </c>
      <c r="K394" s="14"/>
      <c r="L394" s="11" t="n">
        <v>1962669</v>
      </c>
      <c r="M394" s="13" t="s">
        <v>105</v>
      </c>
      <c r="N394" s="15" t="s">
        <v>33</v>
      </c>
      <c r="O394" s="15"/>
      <c r="P394" s="11" t="n">
        <v>113</v>
      </c>
      <c r="Q394" s="13" t="s">
        <v>34</v>
      </c>
      <c r="R394" s="13" t="s">
        <v>35</v>
      </c>
      <c r="S394" s="11" t="n">
        <v>1130101</v>
      </c>
      <c r="T394" s="13" t="s">
        <v>36</v>
      </c>
      <c r="U394" s="16" t="n">
        <v>1504.05</v>
      </c>
      <c r="V394" s="16"/>
      <c r="W394" s="17" t="n">
        <v>0</v>
      </c>
      <c r="X394" s="15" t="s">
        <v>496</v>
      </c>
      <c r="Y394" s="15"/>
      <c r="Z394" s="1" t="str">
        <f aca="false">IF($T394="","",IFERROR(INDEX('Resumo Grupos'!$AC$3:$AC$2000,MATCH($T394,'Resumo Grupos'!$AB$3:$AB$2000,0)),"n/d"))</f>
        <v>Mercadoria</v>
      </c>
    </row>
    <row r="395" customFormat="false" ht="39" hidden="false" customHeight="true" outlineLevel="0" collapsed="false">
      <c r="A395" s="11" t="n">
        <v>2</v>
      </c>
      <c r="B395" s="12" t="n">
        <v>46216</v>
      </c>
      <c r="C395" s="12" t="n">
        <v>46239</v>
      </c>
      <c r="D395" s="11" t="n">
        <v>10012</v>
      </c>
      <c r="E395" s="13" t="s">
        <v>215</v>
      </c>
      <c r="F395" s="11" t="n">
        <v>24</v>
      </c>
      <c r="G395" s="13" t="s">
        <v>30</v>
      </c>
      <c r="H395" s="11" t="n">
        <v>2110101</v>
      </c>
      <c r="I395" s="13" t="s">
        <v>31</v>
      </c>
      <c r="J395" s="14" t="n">
        <v>1393698</v>
      </c>
      <c r="K395" s="14"/>
      <c r="L395" s="11" t="n">
        <v>1962669</v>
      </c>
      <c r="M395" s="13" t="s">
        <v>32</v>
      </c>
      <c r="N395" s="15" t="s">
        <v>33</v>
      </c>
      <c r="O395" s="15"/>
      <c r="P395" s="11" t="n">
        <v>113</v>
      </c>
      <c r="Q395" s="13" t="s">
        <v>34</v>
      </c>
      <c r="R395" s="13" t="s">
        <v>35</v>
      </c>
      <c r="S395" s="11" t="n">
        <v>1130101</v>
      </c>
      <c r="T395" s="13" t="s">
        <v>36</v>
      </c>
      <c r="U395" s="16" t="n">
        <v>1504.05</v>
      </c>
      <c r="V395" s="16"/>
      <c r="W395" s="17" t="n">
        <v>0</v>
      </c>
      <c r="X395" s="15" t="s">
        <v>496</v>
      </c>
      <c r="Y395" s="15"/>
      <c r="Z395" s="1" t="str">
        <f aca="false">IF($T395="","",IFERROR(INDEX('Resumo Grupos'!$AC$3:$AC$2000,MATCH($T395,'Resumo Grupos'!$AB$3:$AB$2000,0)),"n/d"))</f>
        <v>Mercadoria</v>
      </c>
    </row>
    <row r="396" customFormat="false" ht="39" hidden="false" customHeight="true" outlineLevel="0" collapsed="false">
      <c r="A396" s="11" t="n">
        <v>2</v>
      </c>
      <c r="B396" s="12" t="n">
        <v>46216</v>
      </c>
      <c r="C396" s="12" t="n">
        <v>46246</v>
      </c>
      <c r="D396" s="11" t="n">
        <v>10012</v>
      </c>
      <c r="E396" s="13" t="s">
        <v>215</v>
      </c>
      <c r="F396" s="11" t="n">
        <v>24</v>
      </c>
      <c r="G396" s="13" t="s">
        <v>30</v>
      </c>
      <c r="H396" s="11" t="n">
        <v>2110101</v>
      </c>
      <c r="I396" s="13" t="s">
        <v>31</v>
      </c>
      <c r="J396" s="14" t="n">
        <v>1393698</v>
      </c>
      <c r="K396" s="14"/>
      <c r="L396" s="11" t="n">
        <v>1962669</v>
      </c>
      <c r="M396" s="13" t="s">
        <v>101</v>
      </c>
      <c r="N396" s="15" t="s">
        <v>33</v>
      </c>
      <c r="O396" s="15"/>
      <c r="P396" s="11" t="n">
        <v>113</v>
      </c>
      <c r="Q396" s="13" t="s">
        <v>34</v>
      </c>
      <c r="R396" s="13" t="s">
        <v>35</v>
      </c>
      <c r="S396" s="11" t="n">
        <v>1130101</v>
      </c>
      <c r="T396" s="13" t="s">
        <v>36</v>
      </c>
      <c r="U396" s="16" t="n">
        <v>1504.05</v>
      </c>
      <c r="V396" s="16"/>
      <c r="W396" s="17" t="n">
        <v>0</v>
      </c>
      <c r="X396" s="15" t="s">
        <v>496</v>
      </c>
      <c r="Y396" s="15"/>
      <c r="Z396" s="1" t="str">
        <f aca="false">IF($T396="","",IFERROR(INDEX('Resumo Grupos'!$AC$3:$AC$2000,MATCH($T396,'Resumo Grupos'!$AB$3:$AB$2000,0)),"n/d"))</f>
        <v>Mercadoria</v>
      </c>
    </row>
    <row r="397" customFormat="false" ht="39" hidden="false" customHeight="true" outlineLevel="0" collapsed="false">
      <c r="A397" s="11" t="n">
        <v>2</v>
      </c>
      <c r="B397" s="12" t="n">
        <v>46216</v>
      </c>
      <c r="C397" s="12" t="n">
        <v>46253</v>
      </c>
      <c r="D397" s="11" t="n">
        <v>10012</v>
      </c>
      <c r="E397" s="13" t="s">
        <v>215</v>
      </c>
      <c r="F397" s="11" t="n">
        <v>24</v>
      </c>
      <c r="G397" s="13" t="s">
        <v>30</v>
      </c>
      <c r="H397" s="11" t="n">
        <v>2110101</v>
      </c>
      <c r="I397" s="13" t="s">
        <v>31</v>
      </c>
      <c r="J397" s="14" t="n">
        <v>1393698</v>
      </c>
      <c r="K397" s="14"/>
      <c r="L397" s="11" t="n">
        <v>1962669</v>
      </c>
      <c r="M397" s="13" t="s">
        <v>80</v>
      </c>
      <c r="N397" s="15" t="s">
        <v>33</v>
      </c>
      <c r="O397" s="15"/>
      <c r="P397" s="11" t="n">
        <v>113</v>
      </c>
      <c r="Q397" s="13" t="s">
        <v>34</v>
      </c>
      <c r="R397" s="13" t="s">
        <v>35</v>
      </c>
      <c r="S397" s="11" t="n">
        <v>1130101</v>
      </c>
      <c r="T397" s="13" t="s">
        <v>36</v>
      </c>
      <c r="U397" s="16" t="n">
        <v>1504.06</v>
      </c>
      <c r="V397" s="16"/>
      <c r="W397" s="17" t="n">
        <v>0</v>
      </c>
      <c r="X397" s="15" t="s">
        <v>496</v>
      </c>
      <c r="Y397" s="15"/>
      <c r="Z397" s="1" t="str">
        <f aca="false">IF($T397="","",IFERROR(INDEX('Resumo Grupos'!$AC$3:$AC$2000,MATCH($T397,'Resumo Grupos'!$AB$3:$AB$2000,0)),"n/d"))</f>
        <v>Mercadoria</v>
      </c>
    </row>
    <row r="398" customFormat="false" ht="39" hidden="false" customHeight="true" outlineLevel="0" collapsed="false">
      <c r="A398" s="11" t="n">
        <v>2</v>
      </c>
      <c r="B398" s="12" t="n">
        <v>46216</v>
      </c>
      <c r="C398" s="12" t="n">
        <v>46216</v>
      </c>
      <c r="D398" s="11" t="n">
        <v>48</v>
      </c>
      <c r="E398" s="13" t="s">
        <v>112</v>
      </c>
      <c r="F398" s="11" t="n">
        <v>13</v>
      </c>
      <c r="G398" s="13" t="s">
        <v>113</v>
      </c>
      <c r="H398" s="11" t="n">
        <v>2110101</v>
      </c>
      <c r="I398" s="13" t="s">
        <v>31</v>
      </c>
      <c r="J398" s="14" t="n">
        <v>1393775</v>
      </c>
      <c r="K398" s="14"/>
      <c r="L398" s="11" t="n">
        <v>2539</v>
      </c>
      <c r="M398" s="13" t="s">
        <v>105</v>
      </c>
      <c r="N398" s="15" t="s">
        <v>33</v>
      </c>
      <c r="O398" s="15"/>
      <c r="P398" s="11" t="n">
        <v>113</v>
      </c>
      <c r="Q398" s="13" t="s">
        <v>34</v>
      </c>
      <c r="R398" s="13" t="s">
        <v>35</v>
      </c>
      <c r="S398" s="11" t="n">
        <v>1130101</v>
      </c>
      <c r="T398" s="13" t="s">
        <v>36</v>
      </c>
      <c r="U398" s="16" t="n">
        <v>210</v>
      </c>
      <c r="V398" s="16"/>
      <c r="W398" s="17" t="n">
        <v>0</v>
      </c>
      <c r="X398" s="15" t="s">
        <v>497</v>
      </c>
      <c r="Y398" s="15"/>
      <c r="Z398" s="1" t="str">
        <f aca="false">IF($T398="","",IFERROR(INDEX('Resumo Grupos'!$AC$3:$AC$2000,MATCH($T398,'Resumo Grupos'!$AB$3:$AB$2000,0)),"n/d"))</f>
        <v>Mercadoria</v>
      </c>
    </row>
    <row r="399" customFormat="false" ht="48" hidden="false" customHeight="true" outlineLevel="0" collapsed="false">
      <c r="A399" s="11" t="n">
        <v>2</v>
      </c>
      <c r="B399" s="12" t="n">
        <v>46216</v>
      </c>
      <c r="C399" s="12" t="n">
        <v>46223</v>
      </c>
      <c r="D399" s="11" t="n">
        <v>560</v>
      </c>
      <c r="E399" s="13" t="s">
        <v>498</v>
      </c>
      <c r="F399" s="11" t="n">
        <v>24</v>
      </c>
      <c r="G399" s="13" t="s">
        <v>30</v>
      </c>
      <c r="H399" s="11" t="n">
        <v>2110101</v>
      </c>
      <c r="I399" s="13" t="s">
        <v>31</v>
      </c>
      <c r="J399" s="14" t="n">
        <v>1393806</v>
      </c>
      <c r="K399" s="14"/>
      <c r="L399" s="11" t="n">
        <v>1791</v>
      </c>
      <c r="M399" s="13" t="s">
        <v>105</v>
      </c>
      <c r="N399" s="15" t="s">
        <v>33</v>
      </c>
      <c r="O399" s="15"/>
      <c r="P399" s="11" t="n">
        <v>113</v>
      </c>
      <c r="Q399" s="13" t="s">
        <v>34</v>
      </c>
      <c r="R399" s="13" t="s">
        <v>35</v>
      </c>
      <c r="S399" s="11" t="n">
        <v>1130101</v>
      </c>
      <c r="T399" s="13" t="s">
        <v>36</v>
      </c>
      <c r="U399" s="16" t="n">
        <v>250</v>
      </c>
      <c r="V399" s="16"/>
      <c r="W399" s="17" t="n">
        <v>0</v>
      </c>
      <c r="X399" s="15" t="s">
        <v>499</v>
      </c>
      <c r="Y399" s="15"/>
      <c r="Z399" s="1" t="str">
        <f aca="false">IF($T399="","",IFERROR(INDEX('Resumo Grupos'!$AC$3:$AC$2000,MATCH($T399,'Resumo Grupos'!$AB$3:$AB$2000,0)),"n/d"))</f>
        <v>Mercadoria</v>
      </c>
    </row>
    <row r="400" customFormat="false" ht="57" hidden="false" customHeight="true" outlineLevel="0" collapsed="false">
      <c r="A400" s="11" t="n">
        <v>2</v>
      </c>
      <c r="B400" s="12" t="n">
        <v>46216</v>
      </c>
      <c r="C400" s="12" t="n">
        <v>46220</v>
      </c>
      <c r="D400" s="11" t="n">
        <v>1899</v>
      </c>
      <c r="E400" s="13" t="s">
        <v>287</v>
      </c>
      <c r="F400" s="11" t="n">
        <v>24</v>
      </c>
      <c r="G400" s="13" t="s">
        <v>30</v>
      </c>
      <c r="H400" s="11" t="n">
        <v>2110101</v>
      </c>
      <c r="I400" s="13" t="s">
        <v>31</v>
      </c>
      <c r="J400" s="14" t="n">
        <v>1393812</v>
      </c>
      <c r="K400" s="14"/>
      <c r="L400" s="11" t="n">
        <v>711</v>
      </c>
      <c r="M400" s="13" t="s">
        <v>105</v>
      </c>
      <c r="N400" s="15" t="s">
        <v>33</v>
      </c>
      <c r="O400" s="15"/>
      <c r="P400" s="11" t="n">
        <v>113</v>
      </c>
      <c r="Q400" s="13" t="s">
        <v>34</v>
      </c>
      <c r="R400" s="13" t="s">
        <v>35</v>
      </c>
      <c r="S400" s="11" t="n">
        <v>1130101</v>
      </c>
      <c r="T400" s="13" t="s">
        <v>36</v>
      </c>
      <c r="U400" s="16" t="n">
        <v>135</v>
      </c>
      <c r="V400" s="16"/>
      <c r="W400" s="17" t="n">
        <v>0</v>
      </c>
      <c r="X400" s="15" t="s">
        <v>500</v>
      </c>
      <c r="Y400" s="15"/>
      <c r="Z400" s="1" t="str">
        <f aca="false">IF($T400="","",IFERROR(INDEX('Resumo Grupos'!$AC$3:$AC$2000,MATCH($T400,'Resumo Grupos'!$AB$3:$AB$2000,0)),"n/d"))</f>
        <v>Mercadoria</v>
      </c>
    </row>
    <row r="401" customFormat="false" ht="48" hidden="false" customHeight="true" outlineLevel="0" collapsed="false">
      <c r="A401" s="11" t="n">
        <v>2</v>
      </c>
      <c r="B401" s="12" t="n">
        <v>46216</v>
      </c>
      <c r="C401" s="12" t="n">
        <v>46223</v>
      </c>
      <c r="D401" s="11" t="n">
        <v>1626</v>
      </c>
      <c r="E401" s="13" t="s">
        <v>135</v>
      </c>
      <c r="F401" s="11" t="n">
        <v>24</v>
      </c>
      <c r="G401" s="13" t="s">
        <v>30</v>
      </c>
      <c r="H401" s="11" t="n">
        <v>2110101</v>
      </c>
      <c r="I401" s="13" t="s">
        <v>31</v>
      </c>
      <c r="J401" s="14" t="n">
        <v>1393879</v>
      </c>
      <c r="K401" s="14"/>
      <c r="L401" s="11" t="n">
        <v>312916</v>
      </c>
      <c r="M401" s="13" t="s">
        <v>105</v>
      </c>
      <c r="N401" s="15" t="s">
        <v>33</v>
      </c>
      <c r="O401" s="15"/>
      <c r="P401" s="11" t="n">
        <v>113</v>
      </c>
      <c r="Q401" s="13" t="s">
        <v>34</v>
      </c>
      <c r="R401" s="13" t="s">
        <v>35</v>
      </c>
      <c r="S401" s="11" t="n">
        <v>1130101</v>
      </c>
      <c r="T401" s="13" t="s">
        <v>36</v>
      </c>
      <c r="U401" s="16" t="n">
        <v>368.05</v>
      </c>
      <c r="V401" s="16"/>
      <c r="W401" s="17" t="n">
        <v>0</v>
      </c>
      <c r="X401" s="15" t="s">
        <v>501</v>
      </c>
      <c r="Y401" s="15"/>
      <c r="Z401" s="1" t="str">
        <f aca="false">IF($T401="","",IFERROR(INDEX('Resumo Grupos'!$AC$3:$AC$2000,MATCH($T401,'Resumo Grupos'!$AB$3:$AB$2000,0)),"n/d"))</f>
        <v>Mercadoria</v>
      </c>
    </row>
    <row r="402" customFormat="false" ht="48" hidden="false" customHeight="true" outlineLevel="0" collapsed="false">
      <c r="A402" s="11" t="n">
        <v>2</v>
      </c>
      <c r="B402" s="12" t="n">
        <v>46216</v>
      </c>
      <c r="C402" s="12" t="n">
        <v>46230</v>
      </c>
      <c r="D402" s="11" t="n">
        <v>1626</v>
      </c>
      <c r="E402" s="13" t="s">
        <v>135</v>
      </c>
      <c r="F402" s="11" t="n">
        <v>24</v>
      </c>
      <c r="G402" s="13" t="s">
        <v>30</v>
      </c>
      <c r="H402" s="11" t="n">
        <v>2110101</v>
      </c>
      <c r="I402" s="13" t="s">
        <v>31</v>
      </c>
      <c r="J402" s="14" t="n">
        <v>1393879</v>
      </c>
      <c r="K402" s="14"/>
      <c r="L402" s="11" t="n">
        <v>312916</v>
      </c>
      <c r="M402" s="13" t="s">
        <v>32</v>
      </c>
      <c r="N402" s="15" t="s">
        <v>33</v>
      </c>
      <c r="O402" s="15"/>
      <c r="P402" s="11" t="n">
        <v>113</v>
      </c>
      <c r="Q402" s="13" t="s">
        <v>34</v>
      </c>
      <c r="R402" s="13" t="s">
        <v>35</v>
      </c>
      <c r="S402" s="11" t="n">
        <v>1130101</v>
      </c>
      <c r="T402" s="13" t="s">
        <v>36</v>
      </c>
      <c r="U402" s="16" t="n">
        <v>368.06</v>
      </c>
      <c r="V402" s="16"/>
      <c r="W402" s="17" t="n">
        <v>0</v>
      </c>
      <c r="X402" s="15" t="s">
        <v>501</v>
      </c>
      <c r="Y402" s="15"/>
      <c r="Z402" s="1" t="str">
        <f aca="false">IF($T402="","",IFERROR(INDEX('Resumo Grupos'!$AC$3:$AC$2000,MATCH($T402,'Resumo Grupos'!$AB$3:$AB$2000,0)),"n/d"))</f>
        <v>Mercadoria</v>
      </c>
    </row>
    <row r="403" customFormat="false" ht="48" hidden="false" customHeight="true" outlineLevel="0" collapsed="false">
      <c r="A403" s="11" t="n">
        <v>2</v>
      </c>
      <c r="B403" s="12" t="n">
        <v>46216</v>
      </c>
      <c r="C403" s="12" t="n">
        <v>46237</v>
      </c>
      <c r="D403" s="11" t="n">
        <v>1626</v>
      </c>
      <c r="E403" s="13" t="s">
        <v>135</v>
      </c>
      <c r="F403" s="11" t="n">
        <v>24</v>
      </c>
      <c r="G403" s="13" t="s">
        <v>30</v>
      </c>
      <c r="H403" s="11" t="n">
        <v>2110101</v>
      </c>
      <c r="I403" s="13" t="s">
        <v>31</v>
      </c>
      <c r="J403" s="14" t="n">
        <v>1393879</v>
      </c>
      <c r="K403" s="14"/>
      <c r="L403" s="11" t="n">
        <v>312916</v>
      </c>
      <c r="M403" s="13" t="s">
        <v>101</v>
      </c>
      <c r="N403" s="15" t="s">
        <v>33</v>
      </c>
      <c r="O403" s="15"/>
      <c r="P403" s="11" t="n">
        <v>113</v>
      </c>
      <c r="Q403" s="13" t="s">
        <v>34</v>
      </c>
      <c r="R403" s="13" t="s">
        <v>35</v>
      </c>
      <c r="S403" s="11" t="n">
        <v>1130101</v>
      </c>
      <c r="T403" s="13" t="s">
        <v>36</v>
      </c>
      <c r="U403" s="16" t="n">
        <v>368.06</v>
      </c>
      <c r="V403" s="16"/>
      <c r="W403" s="17" t="n">
        <v>0</v>
      </c>
      <c r="X403" s="15" t="s">
        <v>501</v>
      </c>
      <c r="Y403" s="15"/>
      <c r="Z403" s="1" t="str">
        <f aca="false">IF($T403="","",IFERROR(INDEX('Resumo Grupos'!$AC$3:$AC$2000,MATCH($T403,'Resumo Grupos'!$AB$3:$AB$2000,0)),"n/d"))</f>
        <v>Mercadoria</v>
      </c>
    </row>
    <row r="404" customFormat="false" ht="39" hidden="false" customHeight="true" outlineLevel="0" collapsed="false">
      <c r="A404" s="11" t="n">
        <v>2</v>
      </c>
      <c r="B404" s="12" t="n">
        <v>46216</v>
      </c>
      <c r="C404" s="12" t="n">
        <v>46231</v>
      </c>
      <c r="D404" s="11" t="n">
        <v>1705</v>
      </c>
      <c r="E404" s="13" t="s">
        <v>169</v>
      </c>
      <c r="F404" s="11" t="n">
        <v>24</v>
      </c>
      <c r="G404" s="13" t="s">
        <v>30</v>
      </c>
      <c r="H404" s="11" t="n">
        <v>2110101</v>
      </c>
      <c r="I404" s="13" t="s">
        <v>31</v>
      </c>
      <c r="J404" s="14" t="n">
        <v>1393986</v>
      </c>
      <c r="K404" s="14"/>
      <c r="L404" s="11" t="n">
        <v>1931230</v>
      </c>
      <c r="M404" s="13" t="s">
        <v>105</v>
      </c>
      <c r="N404" s="15" t="s">
        <v>33</v>
      </c>
      <c r="O404" s="15"/>
      <c r="P404" s="11" t="n">
        <v>113</v>
      </c>
      <c r="Q404" s="13" t="s">
        <v>34</v>
      </c>
      <c r="R404" s="13" t="s">
        <v>35</v>
      </c>
      <c r="S404" s="11" t="n">
        <v>1130101</v>
      </c>
      <c r="T404" s="13" t="s">
        <v>36</v>
      </c>
      <c r="U404" s="16" t="n">
        <v>419.67</v>
      </c>
      <c r="V404" s="16"/>
      <c r="W404" s="17" t="n">
        <v>0</v>
      </c>
      <c r="X404" s="15" t="s">
        <v>502</v>
      </c>
      <c r="Y404" s="15"/>
      <c r="Z404" s="1" t="str">
        <f aca="false">IF($T404="","",IFERROR(INDEX('Resumo Grupos'!$AC$3:$AC$2000,MATCH($T404,'Resumo Grupos'!$AB$3:$AB$2000,0)),"n/d"))</f>
        <v>Mercadoria</v>
      </c>
    </row>
    <row r="405" customFormat="false" ht="39" hidden="false" customHeight="true" outlineLevel="0" collapsed="false">
      <c r="A405" s="11" t="n">
        <v>2</v>
      </c>
      <c r="B405" s="12" t="n">
        <v>46216</v>
      </c>
      <c r="C405" s="12" t="n">
        <v>46231</v>
      </c>
      <c r="D405" s="11" t="n">
        <v>1705</v>
      </c>
      <c r="E405" s="13" t="s">
        <v>169</v>
      </c>
      <c r="F405" s="11" t="n">
        <v>24</v>
      </c>
      <c r="G405" s="13" t="s">
        <v>30</v>
      </c>
      <c r="H405" s="11" t="n">
        <v>2110101</v>
      </c>
      <c r="I405" s="13" t="s">
        <v>31</v>
      </c>
      <c r="J405" s="14" t="n">
        <v>1393993</v>
      </c>
      <c r="K405" s="14"/>
      <c r="L405" s="11" t="n">
        <v>1199257</v>
      </c>
      <c r="M405" s="13" t="s">
        <v>105</v>
      </c>
      <c r="N405" s="15" t="s">
        <v>33</v>
      </c>
      <c r="O405" s="15"/>
      <c r="P405" s="11" t="n">
        <v>113</v>
      </c>
      <c r="Q405" s="13" t="s">
        <v>34</v>
      </c>
      <c r="R405" s="13" t="s">
        <v>35</v>
      </c>
      <c r="S405" s="11" t="n">
        <v>1130101</v>
      </c>
      <c r="T405" s="13" t="s">
        <v>36</v>
      </c>
      <c r="U405" s="16" t="n">
        <v>203.41</v>
      </c>
      <c r="V405" s="16"/>
      <c r="W405" s="17" t="n">
        <v>0</v>
      </c>
      <c r="X405" s="15" t="s">
        <v>503</v>
      </c>
      <c r="Y405" s="15"/>
      <c r="Z405" s="1" t="str">
        <f aca="false">IF($T405="","",IFERROR(INDEX('Resumo Grupos'!$AC$3:$AC$2000,MATCH($T405,'Resumo Grupos'!$AB$3:$AB$2000,0)),"n/d"))</f>
        <v>Mercadoria</v>
      </c>
    </row>
    <row r="406" customFormat="false" ht="39" hidden="false" customHeight="true" outlineLevel="0" collapsed="false">
      <c r="A406" s="11" t="n">
        <v>2</v>
      </c>
      <c r="B406" s="12" t="n">
        <v>46216</v>
      </c>
      <c r="C406" s="12" t="n">
        <v>46231</v>
      </c>
      <c r="D406" s="11" t="n">
        <v>1705</v>
      </c>
      <c r="E406" s="13" t="s">
        <v>169</v>
      </c>
      <c r="F406" s="11" t="n">
        <v>24</v>
      </c>
      <c r="G406" s="13" t="s">
        <v>30</v>
      </c>
      <c r="H406" s="11" t="n">
        <v>2110101</v>
      </c>
      <c r="I406" s="13" t="s">
        <v>31</v>
      </c>
      <c r="J406" s="14" t="n">
        <v>1394011</v>
      </c>
      <c r="K406" s="14"/>
      <c r="L406" s="11" t="n">
        <v>1199243</v>
      </c>
      <c r="M406" s="13" t="s">
        <v>105</v>
      </c>
      <c r="N406" s="15" t="s">
        <v>33</v>
      </c>
      <c r="O406" s="15"/>
      <c r="P406" s="11" t="n">
        <v>113</v>
      </c>
      <c r="Q406" s="13" t="s">
        <v>34</v>
      </c>
      <c r="R406" s="13" t="s">
        <v>35</v>
      </c>
      <c r="S406" s="11" t="n">
        <v>1130101</v>
      </c>
      <c r="T406" s="13" t="s">
        <v>36</v>
      </c>
      <c r="U406" s="16" t="n">
        <v>106.21</v>
      </c>
      <c r="V406" s="16"/>
      <c r="W406" s="17" t="n">
        <v>0</v>
      </c>
      <c r="X406" s="15" t="s">
        <v>504</v>
      </c>
      <c r="Y406" s="15"/>
      <c r="Z406" s="1" t="str">
        <f aca="false">IF($T406="","",IFERROR(INDEX('Resumo Grupos'!$AC$3:$AC$2000,MATCH($T406,'Resumo Grupos'!$AB$3:$AB$2000,0)),"n/d"))</f>
        <v>Mercadoria</v>
      </c>
    </row>
    <row r="407" customFormat="false" ht="39" hidden="false" customHeight="true" outlineLevel="0" collapsed="false">
      <c r="A407" s="11" t="n">
        <v>2</v>
      </c>
      <c r="B407" s="12" t="n">
        <v>46216</v>
      </c>
      <c r="C407" s="12" t="n">
        <v>46227</v>
      </c>
      <c r="D407" s="11" t="n">
        <v>1675</v>
      </c>
      <c r="E407" s="13" t="s">
        <v>505</v>
      </c>
      <c r="F407" s="11" t="n">
        <v>24</v>
      </c>
      <c r="G407" s="13" t="s">
        <v>30</v>
      </c>
      <c r="H407" s="11" t="n">
        <v>2110101</v>
      </c>
      <c r="I407" s="13" t="s">
        <v>31</v>
      </c>
      <c r="J407" s="14" t="n">
        <v>1394185</v>
      </c>
      <c r="K407" s="14"/>
      <c r="L407" s="11" t="n">
        <v>501201</v>
      </c>
      <c r="M407" s="13" t="s">
        <v>105</v>
      </c>
      <c r="N407" s="15" t="s">
        <v>33</v>
      </c>
      <c r="O407" s="15"/>
      <c r="P407" s="11" t="n">
        <v>113</v>
      </c>
      <c r="Q407" s="13" t="s">
        <v>34</v>
      </c>
      <c r="R407" s="13" t="s">
        <v>35</v>
      </c>
      <c r="S407" s="11" t="n">
        <v>1130101</v>
      </c>
      <c r="T407" s="13" t="s">
        <v>36</v>
      </c>
      <c r="U407" s="16" t="n">
        <v>2113</v>
      </c>
      <c r="V407" s="16"/>
      <c r="W407" s="17" t="n">
        <v>0</v>
      </c>
      <c r="X407" s="15" t="s">
        <v>506</v>
      </c>
      <c r="Y407" s="15"/>
      <c r="Z407" s="1" t="str">
        <f aca="false">IF($T407="","",IFERROR(INDEX('Resumo Grupos'!$AC$3:$AC$2000,MATCH($T407,'Resumo Grupos'!$AB$3:$AB$2000,0)),"n/d"))</f>
        <v>Mercadoria</v>
      </c>
    </row>
    <row r="408" customFormat="false" ht="39" hidden="false" customHeight="true" outlineLevel="0" collapsed="false">
      <c r="A408" s="11" t="n">
        <v>2</v>
      </c>
      <c r="B408" s="12" t="n">
        <v>46216</v>
      </c>
      <c r="C408" s="12" t="n">
        <v>46234</v>
      </c>
      <c r="D408" s="11" t="n">
        <v>1675</v>
      </c>
      <c r="E408" s="13" t="s">
        <v>505</v>
      </c>
      <c r="F408" s="11" t="n">
        <v>24</v>
      </c>
      <c r="G408" s="13" t="s">
        <v>30</v>
      </c>
      <c r="H408" s="11" t="n">
        <v>2110101</v>
      </c>
      <c r="I408" s="13" t="s">
        <v>31</v>
      </c>
      <c r="J408" s="14" t="n">
        <v>1394185</v>
      </c>
      <c r="K408" s="14"/>
      <c r="L408" s="11" t="n">
        <v>501201</v>
      </c>
      <c r="M408" s="13" t="s">
        <v>32</v>
      </c>
      <c r="N408" s="15" t="s">
        <v>33</v>
      </c>
      <c r="O408" s="15"/>
      <c r="P408" s="11" t="n">
        <v>113</v>
      </c>
      <c r="Q408" s="13" t="s">
        <v>34</v>
      </c>
      <c r="R408" s="13" t="s">
        <v>35</v>
      </c>
      <c r="S408" s="11" t="n">
        <v>1130101</v>
      </c>
      <c r="T408" s="13" t="s">
        <v>36</v>
      </c>
      <c r="U408" s="16" t="n">
        <v>2112.99</v>
      </c>
      <c r="V408" s="16"/>
      <c r="W408" s="17" t="n">
        <v>0</v>
      </c>
      <c r="X408" s="15" t="s">
        <v>506</v>
      </c>
      <c r="Y408" s="15"/>
      <c r="Z408" s="1" t="str">
        <f aca="false">IF($T408="","",IFERROR(INDEX('Resumo Grupos'!$AC$3:$AC$2000,MATCH($T408,'Resumo Grupos'!$AB$3:$AB$2000,0)),"n/d"))</f>
        <v>Mercadoria</v>
      </c>
    </row>
    <row r="409" customFormat="false" ht="48" hidden="false" customHeight="true" outlineLevel="0" collapsed="false">
      <c r="A409" s="11" t="n">
        <v>2</v>
      </c>
      <c r="B409" s="12" t="n">
        <v>46217</v>
      </c>
      <c r="C409" s="12" t="n">
        <v>46224</v>
      </c>
      <c r="D409" s="11" t="n">
        <v>1642</v>
      </c>
      <c r="E409" s="13" t="s">
        <v>281</v>
      </c>
      <c r="F409" s="11" t="n">
        <v>24</v>
      </c>
      <c r="G409" s="13" t="s">
        <v>30</v>
      </c>
      <c r="H409" s="11" t="n">
        <v>2110101</v>
      </c>
      <c r="I409" s="13" t="s">
        <v>31</v>
      </c>
      <c r="J409" s="14" t="n">
        <v>1396745</v>
      </c>
      <c r="K409" s="14"/>
      <c r="L409" s="11" t="n">
        <v>1031749</v>
      </c>
      <c r="M409" s="13" t="s">
        <v>105</v>
      </c>
      <c r="N409" s="15" t="s">
        <v>33</v>
      </c>
      <c r="O409" s="15"/>
      <c r="P409" s="11" t="n">
        <v>113</v>
      </c>
      <c r="Q409" s="13" t="s">
        <v>34</v>
      </c>
      <c r="R409" s="13" t="s">
        <v>35</v>
      </c>
      <c r="S409" s="11" t="n">
        <v>1130101</v>
      </c>
      <c r="T409" s="13" t="s">
        <v>36</v>
      </c>
      <c r="U409" s="16" t="n">
        <v>261.92</v>
      </c>
      <c r="V409" s="16"/>
      <c r="W409" s="17" t="n">
        <v>0</v>
      </c>
      <c r="X409" s="15" t="s">
        <v>507</v>
      </c>
      <c r="Y409" s="15"/>
      <c r="Z409" s="1" t="str">
        <f aca="false">IF($T409="","",IFERROR(INDEX('Resumo Grupos'!$AC$3:$AC$2000,MATCH($T409,'Resumo Grupos'!$AB$3:$AB$2000,0)),"n/d"))</f>
        <v>Mercadoria</v>
      </c>
    </row>
    <row r="410" customFormat="false" ht="39" hidden="false" customHeight="true" outlineLevel="0" collapsed="false">
      <c r="A410" s="11" t="n">
        <v>2</v>
      </c>
      <c r="B410" s="12" t="n">
        <v>46217</v>
      </c>
      <c r="C410" s="12" t="n">
        <v>46218</v>
      </c>
      <c r="D410" s="11" t="n">
        <v>1683</v>
      </c>
      <c r="E410" s="13" t="s">
        <v>328</v>
      </c>
      <c r="F410" s="11" t="n">
        <v>34</v>
      </c>
      <c r="G410" s="13" t="s">
        <v>87</v>
      </c>
      <c r="H410" s="11" t="n">
        <v>2110101</v>
      </c>
      <c r="I410" s="13" t="s">
        <v>31</v>
      </c>
      <c r="J410" s="14" t="n">
        <v>1396761</v>
      </c>
      <c r="K410" s="14"/>
      <c r="L410" s="11" t="n">
        <v>1646699</v>
      </c>
      <c r="M410" s="13" t="s">
        <v>105</v>
      </c>
      <c r="N410" s="15" t="s">
        <v>33</v>
      </c>
      <c r="O410" s="15"/>
      <c r="P410" s="11" t="n">
        <v>113</v>
      </c>
      <c r="Q410" s="13" t="s">
        <v>34</v>
      </c>
      <c r="R410" s="13" t="s">
        <v>35</v>
      </c>
      <c r="S410" s="11" t="n">
        <v>1130101</v>
      </c>
      <c r="T410" s="13" t="s">
        <v>36</v>
      </c>
      <c r="U410" s="16" t="n">
        <v>117</v>
      </c>
      <c r="V410" s="16"/>
      <c r="W410" s="17" t="n">
        <v>0</v>
      </c>
      <c r="X410" s="15" t="s">
        <v>329</v>
      </c>
      <c r="Y410" s="15"/>
      <c r="Z410" s="1" t="str">
        <f aca="false">IF($T410="","",IFERROR(INDEX('Resumo Grupos'!$AC$3:$AC$2000,MATCH($T410,'Resumo Grupos'!$AB$3:$AB$2000,0)),"n/d"))</f>
        <v>Mercadoria</v>
      </c>
    </row>
    <row r="411" customFormat="false" ht="39" hidden="false" customHeight="true" outlineLevel="0" collapsed="false">
      <c r="A411" s="11" t="n">
        <v>2</v>
      </c>
      <c r="B411" s="12" t="n">
        <v>46217</v>
      </c>
      <c r="C411" s="12" t="n">
        <v>46221</v>
      </c>
      <c r="D411" s="11" t="n">
        <v>1625</v>
      </c>
      <c r="E411" s="13" t="s">
        <v>303</v>
      </c>
      <c r="F411" s="11" t="n">
        <v>24</v>
      </c>
      <c r="G411" s="13" t="s">
        <v>30</v>
      </c>
      <c r="H411" s="11" t="n">
        <v>2110101</v>
      </c>
      <c r="I411" s="13" t="s">
        <v>31</v>
      </c>
      <c r="J411" s="14" t="n">
        <v>1397011</v>
      </c>
      <c r="K411" s="14"/>
      <c r="L411" s="11" t="n">
        <v>14685</v>
      </c>
      <c r="M411" s="13" t="s">
        <v>105</v>
      </c>
      <c r="N411" s="15" t="s">
        <v>33</v>
      </c>
      <c r="O411" s="15"/>
      <c r="P411" s="11" t="n">
        <v>113</v>
      </c>
      <c r="Q411" s="13" t="s">
        <v>34</v>
      </c>
      <c r="R411" s="13" t="s">
        <v>35</v>
      </c>
      <c r="S411" s="11" t="n">
        <v>1130101</v>
      </c>
      <c r="T411" s="13" t="s">
        <v>36</v>
      </c>
      <c r="U411" s="16" t="n">
        <v>4043.8</v>
      </c>
      <c r="V411" s="16"/>
      <c r="W411" s="17" t="n">
        <v>0</v>
      </c>
      <c r="X411" s="15" t="s">
        <v>508</v>
      </c>
      <c r="Y411" s="15"/>
      <c r="Z411" s="1" t="str">
        <f aca="false">IF($T411="","",IFERROR(INDEX('Resumo Grupos'!$AC$3:$AC$2000,MATCH($T411,'Resumo Grupos'!$AB$3:$AB$2000,0)),"n/d"))</f>
        <v>Mercadoria</v>
      </c>
    </row>
    <row r="412" customFormat="false" ht="28.5" hidden="false" customHeight="true" outlineLevel="0" collapsed="false">
      <c r="A412" s="11" t="n">
        <v>2</v>
      </c>
      <c r="B412" s="12" t="n">
        <v>46217</v>
      </c>
      <c r="C412" s="12" t="n">
        <v>46227</v>
      </c>
      <c r="D412" s="11" t="n">
        <v>1611</v>
      </c>
      <c r="E412" s="13" t="s">
        <v>144</v>
      </c>
      <c r="F412" s="11" t="n">
        <v>24</v>
      </c>
      <c r="G412" s="13" t="s">
        <v>30</v>
      </c>
      <c r="H412" s="11" t="n">
        <v>1110203</v>
      </c>
      <c r="I412" s="13" t="s">
        <v>100</v>
      </c>
      <c r="J412" s="14" t="n">
        <v>1397322</v>
      </c>
      <c r="K412" s="14"/>
      <c r="L412" s="11" t="n">
        <v>187872</v>
      </c>
      <c r="M412" s="13" t="s">
        <v>105</v>
      </c>
      <c r="N412" s="15" t="s">
        <v>41</v>
      </c>
      <c r="O412" s="15"/>
      <c r="P412" s="11" t="n">
        <v>113</v>
      </c>
      <c r="Q412" s="13" t="s">
        <v>34</v>
      </c>
      <c r="R412" s="13" t="s">
        <v>35</v>
      </c>
      <c r="S412" s="11" t="n">
        <v>1130101</v>
      </c>
      <c r="T412" s="13" t="s">
        <v>36</v>
      </c>
      <c r="U412" s="16" t="n">
        <v>278.28</v>
      </c>
      <c r="V412" s="16"/>
      <c r="W412" s="17" t="n">
        <v>0</v>
      </c>
      <c r="X412" s="15" t="s">
        <v>509</v>
      </c>
      <c r="Y412" s="15"/>
      <c r="Z412" s="1" t="str">
        <f aca="false">IF($T412="","",IFERROR(INDEX('Resumo Grupos'!$AC$3:$AC$2000,MATCH($T412,'Resumo Grupos'!$AB$3:$AB$2000,0)),"n/d"))</f>
        <v>Mercadoria</v>
      </c>
    </row>
    <row r="413" customFormat="false" ht="28.5" hidden="false" customHeight="true" outlineLevel="0" collapsed="false">
      <c r="A413" s="11" t="n">
        <v>2</v>
      </c>
      <c r="B413" s="12" t="n">
        <v>46217</v>
      </c>
      <c r="C413" s="12" t="n">
        <v>46234</v>
      </c>
      <c r="D413" s="11" t="n">
        <v>1611</v>
      </c>
      <c r="E413" s="13" t="s">
        <v>144</v>
      </c>
      <c r="F413" s="11" t="n">
        <v>24</v>
      </c>
      <c r="G413" s="13" t="s">
        <v>30</v>
      </c>
      <c r="H413" s="11" t="n">
        <v>1110203</v>
      </c>
      <c r="I413" s="13" t="s">
        <v>100</v>
      </c>
      <c r="J413" s="14" t="n">
        <v>1397328</v>
      </c>
      <c r="K413" s="14"/>
      <c r="L413" s="11" t="n">
        <v>187913</v>
      </c>
      <c r="M413" s="13" t="s">
        <v>105</v>
      </c>
      <c r="N413" s="15" t="s">
        <v>41</v>
      </c>
      <c r="O413" s="15"/>
      <c r="P413" s="11" t="n">
        <v>113</v>
      </c>
      <c r="Q413" s="13" t="s">
        <v>34</v>
      </c>
      <c r="R413" s="13" t="s">
        <v>35</v>
      </c>
      <c r="S413" s="11" t="n">
        <v>1130101</v>
      </c>
      <c r="T413" s="13" t="s">
        <v>36</v>
      </c>
      <c r="U413" s="16" t="n">
        <v>278.28</v>
      </c>
      <c r="V413" s="16"/>
      <c r="W413" s="17" t="n">
        <v>0</v>
      </c>
      <c r="X413" s="15" t="s">
        <v>510</v>
      </c>
      <c r="Y413" s="15"/>
      <c r="Z413" s="1" t="str">
        <f aca="false">IF($T413="","",IFERROR(INDEX('Resumo Grupos'!$AC$3:$AC$2000,MATCH($T413,'Resumo Grupos'!$AB$3:$AB$2000,0)),"n/d"))</f>
        <v>Mercadoria</v>
      </c>
    </row>
    <row r="414" customFormat="false" ht="28.5" hidden="false" customHeight="true" outlineLevel="0" collapsed="false">
      <c r="A414" s="11" t="n">
        <v>2</v>
      </c>
      <c r="B414" s="12" t="n">
        <v>46217</v>
      </c>
      <c r="C414" s="12" t="n">
        <v>46241</v>
      </c>
      <c r="D414" s="11" t="n">
        <v>1611</v>
      </c>
      <c r="E414" s="13" t="s">
        <v>144</v>
      </c>
      <c r="F414" s="11" t="n">
        <v>24</v>
      </c>
      <c r="G414" s="13" t="s">
        <v>30</v>
      </c>
      <c r="H414" s="11" t="n">
        <v>1110203</v>
      </c>
      <c r="I414" s="13" t="s">
        <v>100</v>
      </c>
      <c r="J414" s="14" t="n">
        <v>1397337</v>
      </c>
      <c r="K414" s="14"/>
      <c r="L414" s="11" t="n">
        <v>187915</v>
      </c>
      <c r="M414" s="13" t="s">
        <v>105</v>
      </c>
      <c r="N414" s="15" t="s">
        <v>41</v>
      </c>
      <c r="O414" s="15"/>
      <c r="P414" s="11" t="n">
        <v>113</v>
      </c>
      <c r="Q414" s="13" t="s">
        <v>34</v>
      </c>
      <c r="R414" s="13" t="s">
        <v>35</v>
      </c>
      <c r="S414" s="11" t="n">
        <v>1130101</v>
      </c>
      <c r="T414" s="13" t="s">
        <v>36</v>
      </c>
      <c r="U414" s="16" t="n">
        <v>278.28</v>
      </c>
      <c r="V414" s="16"/>
      <c r="W414" s="17" t="n">
        <v>0</v>
      </c>
      <c r="X414" s="15" t="s">
        <v>510</v>
      </c>
      <c r="Y414" s="15"/>
      <c r="Z414" s="1" t="str">
        <f aca="false">IF($T414="","",IFERROR(INDEX('Resumo Grupos'!$AC$3:$AC$2000,MATCH($T414,'Resumo Grupos'!$AB$3:$AB$2000,0)),"n/d"))</f>
        <v>Mercadoria</v>
      </c>
    </row>
    <row r="415" customFormat="false" ht="28.5" hidden="false" customHeight="true" outlineLevel="0" collapsed="false">
      <c r="A415" s="11" t="n">
        <v>2</v>
      </c>
      <c r="B415" s="12" t="n">
        <v>46217</v>
      </c>
      <c r="C415" s="12" t="n">
        <v>46223</v>
      </c>
      <c r="D415" s="11" t="n">
        <v>1631</v>
      </c>
      <c r="E415" s="13" t="s">
        <v>164</v>
      </c>
      <c r="F415" s="11" t="n">
        <v>24</v>
      </c>
      <c r="G415" s="13" t="s">
        <v>30</v>
      </c>
      <c r="H415" s="11" t="n">
        <v>1110203</v>
      </c>
      <c r="I415" s="13" t="s">
        <v>100</v>
      </c>
      <c r="J415" s="14" t="n">
        <v>1397440</v>
      </c>
      <c r="K415" s="14"/>
      <c r="L415" s="11" t="n">
        <v>187938</v>
      </c>
      <c r="M415" s="13" t="s">
        <v>105</v>
      </c>
      <c r="N415" s="15" t="s">
        <v>41</v>
      </c>
      <c r="O415" s="15"/>
      <c r="P415" s="11" t="n">
        <v>113</v>
      </c>
      <c r="Q415" s="13" t="s">
        <v>34</v>
      </c>
      <c r="R415" s="13" t="s">
        <v>35</v>
      </c>
      <c r="S415" s="11" t="n">
        <v>1130101</v>
      </c>
      <c r="T415" s="13" t="s">
        <v>36</v>
      </c>
      <c r="U415" s="16" t="n">
        <v>361.6</v>
      </c>
      <c r="V415" s="16"/>
      <c r="W415" s="17" t="n">
        <v>0</v>
      </c>
      <c r="X415" s="15" t="s">
        <v>511</v>
      </c>
      <c r="Y415" s="15"/>
      <c r="Z415" s="1" t="str">
        <f aca="false">IF($T415="","",IFERROR(INDEX('Resumo Grupos'!$AC$3:$AC$2000,MATCH($T415,'Resumo Grupos'!$AB$3:$AB$2000,0)),"n/d"))</f>
        <v>Mercadoria</v>
      </c>
    </row>
    <row r="416" customFormat="false" ht="57" hidden="false" customHeight="true" outlineLevel="0" collapsed="false">
      <c r="A416" s="11" t="n">
        <v>2</v>
      </c>
      <c r="B416" s="12" t="n">
        <v>46217</v>
      </c>
      <c r="C416" s="12" t="n">
        <v>46223</v>
      </c>
      <c r="D416" s="11" t="n">
        <v>1328</v>
      </c>
      <c r="E416" s="13" t="s">
        <v>324</v>
      </c>
      <c r="F416" s="11" t="n">
        <v>24</v>
      </c>
      <c r="G416" s="13" t="s">
        <v>30</v>
      </c>
      <c r="H416" s="11" t="n">
        <v>1110203</v>
      </c>
      <c r="I416" s="13" t="s">
        <v>100</v>
      </c>
      <c r="J416" s="14" t="n">
        <v>1397692</v>
      </c>
      <c r="K416" s="14"/>
      <c r="L416" s="11" t="n">
        <v>188004</v>
      </c>
      <c r="M416" s="13" t="s">
        <v>105</v>
      </c>
      <c r="N416" s="15" t="s">
        <v>41</v>
      </c>
      <c r="O416" s="15"/>
      <c r="P416" s="11" t="n">
        <v>113</v>
      </c>
      <c r="Q416" s="13" t="s">
        <v>34</v>
      </c>
      <c r="R416" s="13" t="s">
        <v>35</v>
      </c>
      <c r="S416" s="11" t="n">
        <v>1130101</v>
      </c>
      <c r="T416" s="13" t="s">
        <v>36</v>
      </c>
      <c r="U416" s="16" t="n">
        <v>216.75</v>
      </c>
      <c r="V416" s="16"/>
      <c r="W416" s="17" t="n">
        <v>0</v>
      </c>
      <c r="X416" s="15" t="s">
        <v>512</v>
      </c>
      <c r="Y416" s="15"/>
      <c r="Z416" s="1" t="str">
        <f aca="false">IF($T416="","",IFERROR(INDEX('Resumo Grupos'!$AC$3:$AC$2000,MATCH($T416,'Resumo Grupos'!$AB$3:$AB$2000,0)),"n/d"))</f>
        <v>Mercadoria</v>
      </c>
    </row>
    <row r="417" customFormat="false" ht="48" hidden="false" customHeight="true" outlineLevel="0" collapsed="false">
      <c r="A417" s="11" t="n">
        <v>2</v>
      </c>
      <c r="B417" s="12" t="n">
        <v>46217</v>
      </c>
      <c r="C417" s="12" t="n">
        <v>46237</v>
      </c>
      <c r="D417" s="11" t="n">
        <v>1612</v>
      </c>
      <c r="E417" s="13" t="s">
        <v>447</v>
      </c>
      <c r="F417" s="11" t="n">
        <v>24</v>
      </c>
      <c r="G417" s="13" t="s">
        <v>30</v>
      </c>
      <c r="H417" s="11" t="n">
        <v>1110203</v>
      </c>
      <c r="I417" s="13" t="s">
        <v>100</v>
      </c>
      <c r="J417" s="14" t="n">
        <v>1397698</v>
      </c>
      <c r="K417" s="14"/>
      <c r="L417" s="11" t="n">
        <v>188008</v>
      </c>
      <c r="M417" s="13" t="s">
        <v>105</v>
      </c>
      <c r="N417" s="15" t="s">
        <v>41</v>
      </c>
      <c r="O417" s="15"/>
      <c r="P417" s="11" t="n">
        <v>113</v>
      </c>
      <c r="Q417" s="13" t="s">
        <v>34</v>
      </c>
      <c r="R417" s="13" t="s">
        <v>35</v>
      </c>
      <c r="S417" s="11" t="n">
        <v>1130101</v>
      </c>
      <c r="T417" s="13" t="s">
        <v>36</v>
      </c>
      <c r="U417" s="16" t="n">
        <v>550.37</v>
      </c>
      <c r="V417" s="16"/>
      <c r="W417" s="17" t="n">
        <v>0</v>
      </c>
      <c r="X417" s="15" t="s">
        <v>513</v>
      </c>
      <c r="Y417" s="15"/>
      <c r="Z417" s="1" t="str">
        <f aca="false">IF($T417="","",IFERROR(INDEX('Resumo Grupos'!$AC$3:$AC$2000,MATCH($T417,'Resumo Grupos'!$AB$3:$AB$2000,0)),"n/d"))</f>
        <v>Mercadoria</v>
      </c>
    </row>
    <row r="418" customFormat="false" ht="39" hidden="false" customHeight="true" outlineLevel="0" collapsed="false">
      <c r="A418" s="11" t="n">
        <v>2</v>
      </c>
      <c r="B418" s="12" t="n">
        <v>46217</v>
      </c>
      <c r="C418" s="12" t="n">
        <v>46223</v>
      </c>
      <c r="D418" s="11" t="n">
        <v>1947</v>
      </c>
      <c r="E418" s="13" t="s">
        <v>514</v>
      </c>
      <c r="F418" s="11" t="n">
        <v>34</v>
      </c>
      <c r="G418" s="13" t="s">
        <v>87</v>
      </c>
      <c r="H418" s="11" t="n">
        <v>1110203</v>
      </c>
      <c r="I418" s="13" t="s">
        <v>100</v>
      </c>
      <c r="J418" s="14" t="n">
        <v>1397918</v>
      </c>
      <c r="K418" s="14"/>
      <c r="L418" s="11" t="n">
        <v>188036</v>
      </c>
      <c r="M418" s="13" t="s">
        <v>105</v>
      </c>
      <c r="N418" s="15" t="s">
        <v>41</v>
      </c>
      <c r="O418" s="15"/>
      <c r="P418" s="11" t="n">
        <v>101</v>
      </c>
      <c r="Q418" s="13" t="s">
        <v>52</v>
      </c>
      <c r="R418" s="13" t="s">
        <v>151</v>
      </c>
      <c r="S418" s="11" t="n">
        <v>2110707</v>
      </c>
      <c r="T418" s="13" t="s">
        <v>515</v>
      </c>
      <c r="U418" s="16" t="n">
        <v>1596.41</v>
      </c>
      <c r="V418" s="16"/>
      <c r="W418" s="17" t="n">
        <v>0</v>
      </c>
      <c r="X418" s="15" t="s">
        <v>516</v>
      </c>
      <c r="Y418" s="15"/>
      <c r="Z418" s="1" t="str">
        <f aca="false">IF($T418="","",IFERROR(INDEX('Resumo Grupos'!$AC$3:$AC$2000,MATCH($T418,'Resumo Grupos'!$AB$3:$AB$2000,0)),"n/d"))</f>
        <v>Impostos</v>
      </c>
    </row>
    <row r="419" customFormat="false" ht="28.5" hidden="false" customHeight="true" outlineLevel="0" collapsed="false">
      <c r="A419" s="11" t="n">
        <v>2</v>
      </c>
      <c r="B419" s="12" t="n">
        <v>46217</v>
      </c>
      <c r="C419" s="12" t="n">
        <v>46223</v>
      </c>
      <c r="D419" s="11" t="n">
        <v>1947</v>
      </c>
      <c r="E419" s="13" t="s">
        <v>514</v>
      </c>
      <c r="F419" s="11" t="n">
        <v>34</v>
      </c>
      <c r="G419" s="13" t="s">
        <v>87</v>
      </c>
      <c r="H419" s="11" t="n">
        <v>1110203</v>
      </c>
      <c r="I419" s="13" t="s">
        <v>100</v>
      </c>
      <c r="J419" s="14" t="n">
        <v>1397919</v>
      </c>
      <c r="K419" s="14"/>
      <c r="L419" s="11" t="n">
        <v>188037</v>
      </c>
      <c r="M419" s="13" t="s">
        <v>105</v>
      </c>
      <c r="N419" s="15" t="s">
        <v>41</v>
      </c>
      <c r="O419" s="15"/>
      <c r="P419" s="11" t="n">
        <v>101</v>
      </c>
      <c r="Q419" s="13" t="s">
        <v>52</v>
      </c>
      <c r="R419" s="13" t="s">
        <v>191</v>
      </c>
      <c r="S419" s="11" t="n">
        <v>4210303</v>
      </c>
      <c r="T419" s="13" t="s">
        <v>517</v>
      </c>
      <c r="U419" s="16" t="n">
        <v>1128.04</v>
      </c>
      <c r="V419" s="16"/>
      <c r="W419" s="17" t="n">
        <v>0</v>
      </c>
      <c r="X419" s="15" t="s">
        <v>518</v>
      </c>
      <c r="Y419" s="15"/>
      <c r="Z419" s="1" t="str">
        <f aca="false">IF($T419="","",IFERROR(INDEX('Resumo Grupos'!$AC$3:$AC$2000,MATCH($T419,'Resumo Grupos'!$AB$3:$AB$2000,0)),"n/d"))</f>
        <v>Impostos</v>
      </c>
    </row>
    <row r="420" customFormat="false" ht="28.5" hidden="false" customHeight="true" outlineLevel="0" collapsed="false">
      <c r="A420" s="11" t="n">
        <v>2</v>
      </c>
      <c r="B420" s="12" t="n">
        <v>46217</v>
      </c>
      <c r="C420" s="12" t="n">
        <v>46223</v>
      </c>
      <c r="D420" s="11" t="n">
        <v>1947</v>
      </c>
      <c r="E420" s="13" t="s">
        <v>514</v>
      </c>
      <c r="F420" s="11" t="n">
        <v>34</v>
      </c>
      <c r="G420" s="13" t="s">
        <v>87</v>
      </c>
      <c r="H420" s="11" t="n">
        <v>1110203</v>
      </c>
      <c r="I420" s="13" t="s">
        <v>100</v>
      </c>
      <c r="J420" s="14" t="n">
        <v>1397922</v>
      </c>
      <c r="K420" s="14"/>
      <c r="L420" s="11" t="n">
        <v>188038</v>
      </c>
      <c r="M420" s="13" t="s">
        <v>105</v>
      </c>
      <c r="N420" s="15" t="s">
        <v>41</v>
      </c>
      <c r="O420" s="15"/>
      <c r="P420" s="11" t="n">
        <v>101</v>
      </c>
      <c r="Q420" s="13" t="s">
        <v>52</v>
      </c>
      <c r="R420" s="13" t="s">
        <v>191</v>
      </c>
      <c r="S420" s="11" t="n">
        <v>4210302</v>
      </c>
      <c r="T420" s="13" t="s">
        <v>519</v>
      </c>
      <c r="U420" s="16" t="n">
        <v>2788.06</v>
      </c>
      <c r="V420" s="16"/>
      <c r="W420" s="17" t="n">
        <v>0</v>
      </c>
      <c r="X420" s="15" t="s">
        <v>520</v>
      </c>
      <c r="Y420" s="15"/>
      <c r="Z420" s="1" t="str">
        <f aca="false">IF($T420="","",IFERROR(INDEX('Resumo Grupos'!$AC$3:$AC$2000,MATCH($T420,'Resumo Grupos'!$AB$3:$AB$2000,0)),"n/d"))</f>
        <v>Impostos</v>
      </c>
    </row>
    <row r="421" customFormat="false" ht="48" hidden="false" customHeight="true" outlineLevel="0" collapsed="false">
      <c r="A421" s="11" t="n">
        <v>2</v>
      </c>
      <c r="B421" s="12" t="n">
        <v>46217</v>
      </c>
      <c r="C421" s="12" t="n">
        <v>46222</v>
      </c>
      <c r="D421" s="11" t="n">
        <v>821</v>
      </c>
      <c r="E421" s="13" t="s">
        <v>521</v>
      </c>
      <c r="F421" s="11" t="n">
        <v>24</v>
      </c>
      <c r="G421" s="13" t="s">
        <v>30</v>
      </c>
      <c r="H421" s="11" t="n">
        <v>1110203</v>
      </c>
      <c r="I421" s="13" t="s">
        <v>100</v>
      </c>
      <c r="J421" s="14" t="n">
        <v>1398172</v>
      </c>
      <c r="K421" s="14"/>
      <c r="L421" s="11" t="n">
        <v>188083</v>
      </c>
      <c r="M421" s="13" t="s">
        <v>105</v>
      </c>
      <c r="N421" s="15" t="s">
        <v>41</v>
      </c>
      <c r="O421" s="15"/>
      <c r="P421" s="11" t="n">
        <v>113</v>
      </c>
      <c r="Q421" s="13" t="s">
        <v>34</v>
      </c>
      <c r="R421" s="13" t="s">
        <v>35</v>
      </c>
      <c r="S421" s="11" t="n">
        <v>1130101</v>
      </c>
      <c r="T421" s="13" t="s">
        <v>36</v>
      </c>
      <c r="U421" s="16" t="n">
        <v>277.6</v>
      </c>
      <c r="V421" s="16"/>
      <c r="W421" s="17" t="n">
        <v>0</v>
      </c>
      <c r="X421" s="15" t="s">
        <v>522</v>
      </c>
      <c r="Y421" s="15"/>
      <c r="Z421" s="1" t="str">
        <f aca="false">IF($T421="","",IFERROR(INDEX('Resumo Grupos'!$AC$3:$AC$2000,MATCH($T421,'Resumo Grupos'!$AB$3:$AB$2000,0)),"n/d"))</f>
        <v>Mercadoria</v>
      </c>
    </row>
    <row r="422" customFormat="false" ht="39" hidden="false" customHeight="true" outlineLevel="0" collapsed="false">
      <c r="A422" s="11" t="n">
        <v>2</v>
      </c>
      <c r="B422" s="12" t="n">
        <v>46217</v>
      </c>
      <c r="C422" s="12" t="n">
        <v>46217</v>
      </c>
      <c r="D422" s="11" t="n">
        <v>48</v>
      </c>
      <c r="E422" s="13" t="s">
        <v>112</v>
      </c>
      <c r="F422" s="11" t="n">
        <v>34</v>
      </c>
      <c r="G422" s="13" t="s">
        <v>87</v>
      </c>
      <c r="H422" s="11" t="n">
        <v>2110101</v>
      </c>
      <c r="I422" s="13" t="s">
        <v>31</v>
      </c>
      <c r="J422" s="14" t="n">
        <v>1398221</v>
      </c>
      <c r="K422" s="14"/>
      <c r="L422" s="11" t="n">
        <v>2542</v>
      </c>
      <c r="M422" s="13" t="s">
        <v>105</v>
      </c>
      <c r="N422" s="15" t="s">
        <v>33</v>
      </c>
      <c r="O422" s="15"/>
      <c r="P422" s="11" t="n">
        <v>113</v>
      </c>
      <c r="Q422" s="13" t="s">
        <v>34</v>
      </c>
      <c r="R422" s="13" t="s">
        <v>35</v>
      </c>
      <c r="S422" s="11" t="n">
        <v>1130101</v>
      </c>
      <c r="T422" s="13" t="s">
        <v>36</v>
      </c>
      <c r="U422" s="16" t="n">
        <v>1946.36</v>
      </c>
      <c r="V422" s="16"/>
      <c r="W422" s="17" t="n">
        <v>0</v>
      </c>
      <c r="X422" s="15" t="s">
        <v>403</v>
      </c>
      <c r="Y422" s="15"/>
      <c r="Z422" s="1" t="str">
        <f aca="false">IF($T422="","",IFERROR(INDEX('Resumo Grupos'!$AC$3:$AC$2000,MATCH($T422,'Resumo Grupos'!$AB$3:$AB$2000,0)),"n/d"))</f>
        <v>Mercadoria</v>
      </c>
    </row>
    <row r="423" customFormat="false" ht="48" hidden="false" customHeight="true" outlineLevel="0" collapsed="false">
      <c r="A423" s="11" t="n">
        <v>2</v>
      </c>
      <c r="B423" s="12" t="n">
        <v>46226</v>
      </c>
      <c r="C423" s="12" t="n">
        <v>46281</v>
      </c>
      <c r="D423" s="11" t="n">
        <v>957</v>
      </c>
      <c r="E423" s="13" t="s">
        <v>156</v>
      </c>
      <c r="F423" s="11" t="n">
        <v>24</v>
      </c>
      <c r="G423" s="13" t="s">
        <v>30</v>
      </c>
      <c r="H423" s="11" t="n">
        <v>1110203</v>
      </c>
      <c r="I423" s="13" t="s">
        <v>100</v>
      </c>
      <c r="J423" s="14" t="n">
        <v>1438939</v>
      </c>
      <c r="K423" s="14"/>
      <c r="L423" s="11" t="n">
        <v>194433</v>
      </c>
      <c r="M423" s="13" t="s">
        <v>105</v>
      </c>
      <c r="N423" s="15" t="s">
        <v>41</v>
      </c>
      <c r="O423" s="15"/>
      <c r="P423" s="11" t="n">
        <v>113</v>
      </c>
      <c r="Q423" s="13" t="s">
        <v>34</v>
      </c>
      <c r="R423" s="13" t="s">
        <v>35</v>
      </c>
      <c r="S423" s="11" t="n">
        <v>1130101</v>
      </c>
      <c r="T423" s="13" t="s">
        <v>36</v>
      </c>
      <c r="U423" s="16" t="n">
        <v>1501.38</v>
      </c>
      <c r="V423" s="16"/>
      <c r="W423" s="17" t="n">
        <v>0</v>
      </c>
      <c r="X423" s="15" t="s">
        <v>523</v>
      </c>
      <c r="Y423" s="15"/>
      <c r="Z423" s="1" t="str">
        <f aca="false">IF($T423="","",IFERROR(INDEX('Resumo Grupos'!$AC$3:$AC$2000,MATCH($T423,'Resumo Grupos'!$AB$3:$AB$2000,0)),"n/d"))</f>
        <v>Mercadoria</v>
      </c>
    </row>
    <row r="424" customFormat="false" ht="48" hidden="false" customHeight="true" outlineLevel="0" collapsed="false">
      <c r="A424" s="11" t="n">
        <v>2</v>
      </c>
      <c r="B424" s="12" t="n">
        <v>46217</v>
      </c>
      <c r="C424" s="12" t="n">
        <v>46231</v>
      </c>
      <c r="D424" s="11" t="n">
        <v>571</v>
      </c>
      <c r="E424" s="13" t="s">
        <v>524</v>
      </c>
      <c r="F424" s="11" t="n">
        <v>24</v>
      </c>
      <c r="G424" s="13" t="s">
        <v>30</v>
      </c>
      <c r="H424" s="11" t="n">
        <v>1110203</v>
      </c>
      <c r="I424" s="13" t="s">
        <v>100</v>
      </c>
      <c r="J424" s="14" t="n">
        <v>1398431</v>
      </c>
      <c r="K424" s="14"/>
      <c r="L424" s="11" t="n">
        <v>188123</v>
      </c>
      <c r="M424" s="13" t="s">
        <v>105</v>
      </c>
      <c r="N424" s="15" t="s">
        <v>41</v>
      </c>
      <c r="O424" s="15"/>
      <c r="P424" s="11" t="n">
        <v>113</v>
      </c>
      <c r="Q424" s="13" t="s">
        <v>34</v>
      </c>
      <c r="R424" s="13" t="s">
        <v>35</v>
      </c>
      <c r="S424" s="11" t="n">
        <v>1130101</v>
      </c>
      <c r="T424" s="13" t="s">
        <v>36</v>
      </c>
      <c r="U424" s="16" t="n">
        <v>406.11</v>
      </c>
      <c r="V424" s="16"/>
      <c r="W424" s="17" t="n">
        <v>0</v>
      </c>
      <c r="X424" s="15" t="s">
        <v>525</v>
      </c>
      <c r="Y424" s="15"/>
      <c r="Z424" s="1" t="str">
        <f aca="false">IF($T424="","",IFERROR(INDEX('Resumo Grupos'!$AC$3:$AC$2000,MATCH($T424,'Resumo Grupos'!$AB$3:$AB$2000,0)),"n/d"))</f>
        <v>Mercadoria</v>
      </c>
    </row>
    <row r="425" customFormat="false" ht="39" hidden="false" customHeight="true" outlineLevel="0" collapsed="false">
      <c r="A425" s="11" t="n">
        <v>2</v>
      </c>
      <c r="B425" s="12" t="n">
        <v>46217</v>
      </c>
      <c r="C425" s="12" t="n">
        <v>46217</v>
      </c>
      <c r="D425" s="11" t="n">
        <v>48</v>
      </c>
      <c r="E425" s="13" t="s">
        <v>112</v>
      </c>
      <c r="F425" s="11" t="n">
        <v>13</v>
      </c>
      <c r="G425" s="13" t="s">
        <v>113</v>
      </c>
      <c r="H425" s="11" t="n">
        <v>2110101</v>
      </c>
      <c r="I425" s="13" t="s">
        <v>31</v>
      </c>
      <c r="J425" s="14" t="n">
        <v>1398476</v>
      </c>
      <c r="K425" s="14"/>
      <c r="L425" s="11" t="n">
        <v>2543</v>
      </c>
      <c r="M425" s="13" t="s">
        <v>105</v>
      </c>
      <c r="N425" s="15" t="s">
        <v>33</v>
      </c>
      <c r="O425" s="15"/>
      <c r="P425" s="11" t="n">
        <v>113</v>
      </c>
      <c r="Q425" s="13" t="s">
        <v>34</v>
      </c>
      <c r="R425" s="13" t="s">
        <v>35</v>
      </c>
      <c r="S425" s="11" t="n">
        <v>1130101</v>
      </c>
      <c r="T425" s="13" t="s">
        <v>36</v>
      </c>
      <c r="U425" s="16" t="n">
        <v>182</v>
      </c>
      <c r="V425" s="16"/>
      <c r="W425" s="17" t="n">
        <v>182</v>
      </c>
      <c r="X425" s="15" t="s">
        <v>526</v>
      </c>
      <c r="Y425" s="15"/>
      <c r="Z425" s="1" t="str">
        <f aca="false">IF($T425="","",IFERROR(INDEX('Resumo Grupos'!$AC$3:$AC$2000,MATCH($T425,'Resumo Grupos'!$AB$3:$AB$2000,0)),"n/d"))</f>
        <v>Mercadoria</v>
      </c>
    </row>
    <row r="426" customFormat="false" ht="28.5" hidden="false" customHeight="true" outlineLevel="0" collapsed="false">
      <c r="A426" s="11" t="n">
        <v>2</v>
      </c>
      <c r="B426" s="12" t="n">
        <v>46218</v>
      </c>
      <c r="C426" s="12" t="n">
        <v>46245</v>
      </c>
      <c r="D426" s="11" t="n">
        <v>1637</v>
      </c>
      <c r="E426" s="13" t="s">
        <v>213</v>
      </c>
      <c r="F426" s="11" t="n">
        <v>24</v>
      </c>
      <c r="G426" s="13" t="s">
        <v>30</v>
      </c>
      <c r="H426" s="11" t="n">
        <v>1110203</v>
      </c>
      <c r="I426" s="13" t="s">
        <v>100</v>
      </c>
      <c r="J426" s="14" t="n">
        <v>1401272</v>
      </c>
      <c r="K426" s="14"/>
      <c r="L426" s="11" t="n">
        <v>188461</v>
      </c>
      <c r="M426" s="13" t="s">
        <v>105</v>
      </c>
      <c r="N426" s="15" t="s">
        <v>41</v>
      </c>
      <c r="O426" s="15"/>
      <c r="P426" s="11" t="n">
        <v>113</v>
      </c>
      <c r="Q426" s="13" t="s">
        <v>34</v>
      </c>
      <c r="R426" s="13" t="s">
        <v>35</v>
      </c>
      <c r="S426" s="11" t="n">
        <v>1130101</v>
      </c>
      <c r="T426" s="13" t="s">
        <v>36</v>
      </c>
      <c r="U426" s="16" t="n">
        <v>639.52</v>
      </c>
      <c r="V426" s="16"/>
      <c r="W426" s="17" t="n">
        <v>0</v>
      </c>
      <c r="X426" s="15" t="s">
        <v>527</v>
      </c>
      <c r="Y426" s="15"/>
      <c r="Z426" s="1" t="str">
        <f aca="false">IF($T426="","",IFERROR(INDEX('Resumo Grupos'!$AC$3:$AC$2000,MATCH($T426,'Resumo Grupos'!$AB$3:$AB$2000,0)),"n/d"))</f>
        <v>Mercadoria</v>
      </c>
    </row>
    <row r="427" customFormat="false" ht="28.5" hidden="false" customHeight="true" outlineLevel="0" collapsed="false">
      <c r="A427" s="11" t="n">
        <v>2</v>
      </c>
      <c r="B427" s="12" t="n">
        <v>46218</v>
      </c>
      <c r="C427" s="12" t="n">
        <v>46252</v>
      </c>
      <c r="D427" s="11" t="n">
        <v>1637</v>
      </c>
      <c r="E427" s="13" t="s">
        <v>213</v>
      </c>
      <c r="F427" s="11" t="n">
        <v>24</v>
      </c>
      <c r="G427" s="13" t="s">
        <v>30</v>
      </c>
      <c r="H427" s="11" t="n">
        <v>1110203</v>
      </c>
      <c r="I427" s="13" t="s">
        <v>100</v>
      </c>
      <c r="J427" s="14" t="n">
        <v>1401284</v>
      </c>
      <c r="K427" s="14"/>
      <c r="L427" s="11" t="n">
        <v>188463</v>
      </c>
      <c r="M427" s="13" t="s">
        <v>105</v>
      </c>
      <c r="N427" s="15" t="s">
        <v>41</v>
      </c>
      <c r="O427" s="15"/>
      <c r="P427" s="11" t="n">
        <v>113</v>
      </c>
      <c r="Q427" s="13" t="s">
        <v>34</v>
      </c>
      <c r="R427" s="13" t="s">
        <v>35</v>
      </c>
      <c r="S427" s="11" t="n">
        <v>1130101</v>
      </c>
      <c r="T427" s="13" t="s">
        <v>36</v>
      </c>
      <c r="U427" s="16" t="n">
        <v>479.64</v>
      </c>
      <c r="V427" s="16"/>
      <c r="W427" s="17" t="n">
        <v>0</v>
      </c>
      <c r="X427" s="15" t="s">
        <v>528</v>
      </c>
      <c r="Y427" s="15"/>
      <c r="Z427" s="1" t="str">
        <f aca="false">IF($T427="","",IFERROR(INDEX('Resumo Grupos'!$AC$3:$AC$2000,MATCH($T427,'Resumo Grupos'!$AB$3:$AB$2000,0)),"n/d"))</f>
        <v>Mercadoria</v>
      </c>
    </row>
    <row r="428" customFormat="false" ht="28.5" hidden="false" customHeight="true" outlineLevel="0" collapsed="false">
      <c r="A428" s="11" t="n">
        <v>2</v>
      </c>
      <c r="B428" s="12" t="n">
        <v>46218</v>
      </c>
      <c r="C428" s="12" t="n">
        <v>46238</v>
      </c>
      <c r="D428" s="11" t="n">
        <v>1637</v>
      </c>
      <c r="E428" s="13" t="s">
        <v>213</v>
      </c>
      <c r="F428" s="11" t="n">
        <v>24</v>
      </c>
      <c r="G428" s="13" t="s">
        <v>30</v>
      </c>
      <c r="H428" s="11" t="n">
        <v>1110203</v>
      </c>
      <c r="I428" s="13" t="s">
        <v>100</v>
      </c>
      <c r="J428" s="14" t="n">
        <v>1401287</v>
      </c>
      <c r="K428" s="14"/>
      <c r="L428" s="11" t="n">
        <v>188467</v>
      </c>
      <c r="M428" s="13" t="s">
        <v>105</v>
      </c>
      <c r="N428" s="15" t="s">
        <v>41</v>
      </c>
      <c r="O428" s="15"/>
      <c r="P428" s="11" t="n">
        <v>113</v>
      </c>
      <c r="Q428" s="13" t="s">
        <v>34</v>
      </c>
      <c r="R428" s="13" t="s">
        <v>35</v>
      </c>
      <c r="S428" s="11" t="n">
        <v>1130101</v>
      </c>
      <c r="T428" s="13" t="s">
        <v>36</v>
      </c>
      <c r="U428" s="16" t="n">
        <v>479.64</v>
      </c>
      <c r="V428" s="16"/>
      <c r="W428" s="17" t="n">
        <v>0</v>
      </c>
      <c r="X428" s="15" t="s">
        <v>529</v>
      </c>
      <c r="Y428" s="15"/>
      <c r="Z428" s="1" t="str">
        <f aca="false">IF($T428="","",IFERROR(INDEX('Resumo Grupos'!$AC$3:$AC$2000,MATCH($T428,'Resumo Grupos'!$AB$3:$AB$2000,0)),"n/d"))</f>
        <v>Mercadoria</v>
      </c>
    </row>
    <row r="429" customFormat="false" ht="48" hidden="false" customHeight="true" outlineLevel="0" collapsed="false">
      <c r="A429" s="11" t="n">
        <v>2</v>
      </c>
      <c r="B429" s="12" t="n">
        <v>46218</v>
      </c>
      <c r="C429" s="12" t="n">
        <v>46239</v>
      </c>
      <c r="D429" s="11" t="n">
        <v>1136</v>
      </c>
      <c r="E429" s="13" t="s">
        <v>530</v>
      </c>
      <c r="F429" s="11" t="n">
        <v>24</v>
      </c>
      <c r="G429" s="13" t="s">
        <v>30</v>
      </c>
      <c r="H429" s="11" t="n">
        <v>1110203</v>
      </c>
      <c r="I429" s="13" t="s">
        <v>100</v>
      </c>
      <c r="J429" s="14" t="n">
        <v>1401333</v>
      </c>
      <c r="K429" s="14"/>
      <c r="L429" s="11" t="n">
        <v>188482</v>
      </c>
      <c r="M429" s="13" t="s">
        <v>105</v>
      </c>
      <c r="N429" s="15" t="s">
        <v>41</v>
      </c>
      <c r="O429" s="15"/>
      <c r="P429" s="11" t="n">
        <v>113</v>
      </c>
      <c r="Q429" s="13" t="s">
        <v>34</v>
      </c>
      <c r="R429" s="13" t="s">
        <v>35</v>
      </c>
      <c r="S429" s="11" t="n">
        <v>1130101</v>
      </c>
      <c r="T429" s="13" t="s">
        <v>36</v>
      </c>
      <c r="U429" s="16" t="n">
        <v>665.28</v>
      </c>
      <c r="V429" s="16"/>
      <c r="W429" s="17" t="n">
        <v>0</v>
      </c>
      <c r="X429" s="15" t="s">
        <v>531</v>
      </c>
      <c r="Y429" s="15"/>
      <c r="Z429" s="1" t="str">
        <f aca="false">IF($T429="","",IFERROR(INDEX('Resumo Grupos'!$AC$3:$AC$2000,MATCH($T429,'Resumo Grupos'!$AB$3:$AB$2000,0)),"n/d"))</f>
        <v>Mercadoria</v>
      </c>
    </row>
    <row r="430" customFormat="false" ht="57" hidden="false" customHeight="true" outlineLevel="0" collapsed="false">
      <c r="A430" s="11" t="n">
        <v>2</v>
      </c>
      <c r="B430" s="12" t="n">
        <v>46218</v>
      </c>
      <c r="C430" s="12" t="n">
        <v>46239</v>
      </c>
      <c r="D430" s="11" t="n">
        <v>10010</v>
      </c>
      <c r="E430" s="13" t="s">
        <v>161</v>
      </c>
      <c r="F430" s="11" t="n">
        <v>24</v>
      </c>
      <c r="G430" s="13" t="s">
        <v>30</v>
      </c>
      <c r="H430" s="11" t="n">
        <v>1110203</v>
      </c>
      <c r="I430" s="13" t="s">
        <v>100</v>
      </c>
      <c r="J430" s="14" t="n">
        <v>1401340</v>
      </c>
      <c r="K430" s="14"/>
      <c r="L430" s="11" t="n">
        <v>188485</v>
      </c>
      <c r="M430" s="13" t="s">
        <v>105</v>
      </c>
      <c r="N430" s="15" t="s">
        <v>41</v>
      </c>
      <c r="O430" s="15"/>
      <c r="P430" s="11" t="n">
        <v>113</v>
      </c>
      <c r="Q430" s="13" t="s">
        <v>34</v>
      </c>
      <c r="R430" s="13" t="s">
        <v>35</v>
      </c>
      <c r="S430" s="11" t="n">
        <v>1130101</v>
      </c>
      <c r="T430" s="13" t="s">
        <v>36</v>
      </c>
      <c r="U430" s="16" t="n">
        <v>306.48</v>
      </c>
      <c r="V430" s="16"/>
      <c r="W430" s="17" t="n">
        <v>0</v>
      </c>
      <c r="X430" s="15" t="s">
        <v>532</v>
      </c>
      <c r="Y430" s="15"/>
      <c r="Z430" s="1" t="str">
        <f aca="false">IF($T430="","",IFERROR(INDEX('Resumo Grupos'!$AC$3:$AC$2000,MATCH($T430,'Resumo Grupos'!$AB$3:$AB$2000,0)),"n/d"))</f>
        <v>Mercadoria</v>
      </c>
    </row>
    <row r="431" customFormat="false" ht="28.5" hidden="false" customHeight="true" outlineLevel="0" collapsed="false">
      <c r="A431" s="11" t="n">
        <v>2</v>
      </c>
      <c r="B431" s="12" t="n">
        <v>46218</v>
      </c>
      <c r="C431" s="12" t="n">
        <v>46232</v>
      </c>
      <c r="D431" s="11" t="n">
        <v>1608</v>
      </c>
      <c r="E431" s="13" t="s">
        <v>127</v>
      </c>
      <c r="F431" s="11" t="n">
        <v>24</v>
      </c>
      <c r="G431" s="13" t="s">
        <v>30</v>
      </c>
      <c r="H431" s="11" t="n">
        <v>1110203</v>
      </c>
      <c r="I431" s="13" t="s">
        <v>100</v>
      </c>
      <c r="J431" s="14" t="n">
        <v>1401874</v>
      </c>
      <c r="K431" s="14"/>
      <c r="L431" s="11" t="n">
        <v>188604</v>
      </c>
      <c r="M431" s="13" t="s">
        <v>105</v>
      </c>
      <c r="N431" s="15" t="s">
        <v>41</v>
      </c>
      <c r="O431" s="15"/>
      <c r="P431" s="11" t="n">
        <v>113</v>
      </c>
      <c r="Q431" s="13" t="s">
        <v>34</v>
      </c>
      <c r="R431" s="13" t="s">
        <v>35</v>
      </c>
      <c r="S431" s="11" t="n">
        <v>1130101</v>
      </c>
      <c r="T431" s="13" t="s">
        <v>36</v>
      </c>
      <c r="U431" s="16" t="n">
        <v>1207.29</v>
      </c>
      <c r="V431" s="16"/>
      <c r="W431" s="17" t="n">
        <v>0</v>
      </c>
      <c r="X431" s="15" t="s">
        <v>533</v>
      </c>
      <c r="Y431" s="15"/>
      <c r="Z431" s="1" t="str">
        <f aca="false">IF($T431="","",IFERROR(INDEX('Resumo Grupos'!$AC$3:$AC$2000,MATCH($T431,'Resumo Grupos'!$AB$3:$AB$2000,0)),"n/d"))</f>
        <v>Mercadoria</v>
      </c>
    </row>
    <row r="432" customFormat="false" ht="28.5" hidden="false" customHeight="true" outlineLevel="0" collapsed="false">
      <c r="A432" s="11" t="n">
        <v>2</v>
      </c>
      <c r="B432" s="12" t="n">
        <v>46218</v>
      </c>
      <c r="C432" s="12" t="n">
        <v>46239</v>
      </c>
      <c r="D432" s="11" t="n">
        <v>1608</v>
      </c>
      <c r="E432" s="13" t="s">
        <v>127</v>
      </c>
      <c r="F432" s="11" t="n">
        <v>24</v>
      </c>
      <c r="G432" s="13" t="s">
        <v>30</v>
      </c>
      <c r="H432" s="11" t="n">
        <v>1110203</v>
      </c>
      <c r="I432" s="13" t="s">
        <v>100</v>
      </c>
      <c r="J432" s="14" t="n">
        <v>1401884</v>
      </c>
      <c r="K432" s="14"/>
      <c r="L432" s="11" t="n">
        <v>188607</v>
      </c>
      <c r="M432" s="13" t="s">
        <v>105</v>
      </c>
      <c r="N432" s="15" t="s">
        <v>41</v>
      </c>
      <c r="O432" s="15"/>
      <c r="P432" s="11" t="n">
        <v>113</v>
      </c>
      <c r="Q432" s="13" t="s">
        <v>34</v>
      </c>
      <c r="R432" s="13" t="s">
        <v>35</v>
      </c>
      <c r="S432" s="11" t="n">
        <v>1130101</v>
      </c>
      <c r="T432" s="13" t="s">
        <v>36</v>
      </c>
      <c r="U432" s="16" t="n">
        <v>1207.28</v>
      </c>
      <c r="V432" s="16"/>
      <c r="W432" s="17" t="n">
        <v>0</v>
      </c>
      <c r="X432" s="15" t="s">
        <v>533</v>
      </c>
      <c r="Y432" s="15"/>
      <c r="Z432" s="1" t="str">
        <f aca="false">IF($T432="","",IFERROR(INDEX('Resumo Grupos'!$AC$3:$AC$2000,MATCH($T432,'Resumo Grupos'!$AB$3:$AB$2000,0)),"n/d"))</f>
        <v>Mercadoria</v>
      </c>
    </row>
    <row r="433" customFormat="false" ht="28.5" hidden="false" customHeight="true" outlineLevel="0" collapsed="false">
      <c r="A433" s="11" t="n">
        <v>2</v>
      </c>
      <c r="B433" s="12" t="n">
        <v>46218</v>
      </c>
      <c r="C433" s="12" t="n">
        <v>46246</v>
      </c>
      <c r="D433" s="11" t="n">
        <v>1608</v>
      </c>
      <c r="E433" s="13" t="s">
        <v>127</v>
      </c>
      <c r="F433" s="11" t="n">
        <v>24</v>
      </c>
      <c r="G433" s="13" t="s">
        <v>30</v>
      </c>
      <c r="H433" s="11" t="n">
        <v>1110203</v>
      </c>
      <c r="I433" s="13" t="s">
        <v>100</v>
      </c>
      <c r="J433" s="14" t="n">
        <v>1401887</v>
      </c>
      <c r="K433" s="14"/>
      <c r="L433" s="11" t="n">
        <v>188609</v>
      </c>
      <c r="M433" s="13" t="s">
        <v>105</v>
      </c>
      <c r="N433" s="15" t="s">
        <v>41</v>
      </c>
      <c r="O433" s="15"/>
      <c r="P433" s="11" t="n">
        <v>113</v>
      </c>
      <c r="Q433" s="13" t="s">
        <v>34</v>
      </c>
      <c r="R433" s="13" t="s">
        <v>35</v>
      </c>
      <c r="S433" s="11" t="n">
        <v>1130101</v>
      </c>
      <c r="T433" s="13" t="s">
        <v>36</v>
      </c>
      <c r="U433" s="16" t="n">
        <v>1207.28</v>
      </c>
      <c r="V433" s="16"/>
      <c r="W433" s="17" t="n">
        <v>0</v>
      </c>
      <c r="X433" s="15" t="s">
        <v>533</v>
      </c>
      <c r="Y433" s="15"/>
      <c r="Z433" s="1" t="str">
        <f aca="false">IF($T433="","",IFERROR(INDEX('Resumo Grupos'!$AC$3:$AC$2000,MATCH($T433,'Resumo Grupos'!$AB$3:$AB$2000,0)),"n/d"))</f>
        <v>Mercadoria</v>
      </c>
    </row>
    <row r="434" customFormat="false" ht="66.75" hidden="false" customHeight="true" outlineLevel="0" collapsed="false">
      <c r="A434" s="11" t="n">
        <v>2</v>
      </c>
      <c r="B434" s="12" t="n">
        <v>46218</v>
      </c>
      <c r="C434" s="12" t="n">
        <v>46230</v>
      </c>
      <c r="D434" s="11" t="n">
        <v>1636</v>
      </c>
      <c r="E434" s="13" t="s">
        <v>131</v>
      </c>
      <c r="F434" s="11" t="n">
        <v>24</v>
      </c>
      <c r="G434" s="13" t="s">
        <v>30</v>
      </c>
      <c r="H434" s="11" t="n">
        <v>1110203</v>
      </c>
      <c r="I434" s="13" t="s">
        <v>100</v>
      </c>
      <c r="J434" s="14" t="n">
        <v>1402491</v>
      </c>
      <c r="K434" s="14"/>
      <c r="L434" s="11" t="n">
        <v>188712</v>
      </c>
      <c r="M434" s="13" t="s">
        <v>105</v>
      </c>
      <c r="N434" s="15" t="s">
        <v>41</v>
      </c>
      <c r="O434" s="15"/>
      <c r="P434" s="11" t="n">
        <v>113</v>
      </c>
      <c r="Q434" s="13" t="s">
        <v>34</v>
      </c>
      <c r="R434" s="13" t="s">
        <v>35</v>
      </c>
      <c r="S434" s="11" t="n">
        <v>1130101</v>
      </c>
      <c r="T434" s="13" t="s">
        <v>36</v>
      </c>
      <c r="U434" s="16" t="n">
        <v>1313.59</v>
      </c>
      <c r="V434" s="16"/>
      <c r="W434" s="17" t="n">
        <v>0</v>
      </c>
      <c r="X434" s="15"/>
      <c r="Y434" s="15"/>
      <c r="Z434" s="1" t="str">
        <f aca="false">IF($T434="","",IFERROR(INDEX('Resumo Grupos'!$AC$3:$AC$2000,MATCH($T434,'Resumo Grupos'!$AB$3:$AB$2000,0)),"n/d"))</f>
        <v>Mercadoria</v>
      </c>
    </row>
    <row r="435" customFormat="false" ht="66.75" hidden="false" customHeight="true" outlineLevel="0" collapsed="false">
      <c r="A435" s="11" t="n">
        <v>2</v>
      </c>
      <c r="B435" s="12" t="n">
        <v>46218</v>
      </c>
      <c r="C435" s="12" t="n">
        <v>46237</v>
      </c>
      <c r="D435" s="11" t="n">
        <v>1636</v>
      </c>
      <c r="E435" s="13" t="s">
        <v>131</v>
      </c>
      <c r="F435" s="11" t="n">
        <v>24</v>
      </c>
      <c r="G435" s="13" t="s">
        <v>30</v>
      </c>
      <c r="H435" s="11" t="n">
        <v>1110203</v>
      </c>
      <c r="I435" s="13" t="s">
        <v>100</v>
      </c>
      <c r="J435" s="14" t="n">
        <v>1402499</v>
      </c>
      <c r="K435" s="14"/>
      <c r="L435" s="11" t="n">
        <v>188735</v>
      </c>
      <c r="M435" s="13" t="s">
        <v>105</v>
      </c>
      <c r="N435" s="15" t="s">
        <v>41</v>
      </c>
      <c r="O435" s="15"/>
      <c r="P435" s="11" t="n">
        <v>113</v>
      </c>
      <c r="Q435" s="13" t="s">
        <v>34</v>
      </c>
      <c r="R435" s="13" t="s">
        <v>35</v>
      </c>
      <c r="S435" s="11" t="n">
        <v>1130101</v>
      </c>
      <c r="T435" s="13" t="s">
        <v>36</v>
      </c>
      <c r="U435" s="16" t="n">
        <v>1315.48</v>
      </c>
      <c r="V435" s="16"/>
      <c r="W435" s="17" t="n">
        <v>0</v>
      </c>
      <c r="X435" s="15" t="s">
        <v>534</v>
      </c>
      <c r="Y435" s="15"/>
      <c r="Z435" s="1" t="str">
        <f aca="false">IF($T435="","",IFERROR(INDEX('Resumo Grupos'!$AC$3:$AC$2000,MATCH($T435,'Resumo Grupos'!$AB$3:$AB$2000,0)),"n/d"))</f>
        <v>Mercadoria</v>
      </c>
    </row>
    <row r="436" customFormat="false" ht="66.75" hidden="false" customHeight="true" outlineLevel="0" collapsed="false">
      <c r="A436" s="11" t="n">
        <v>2</v>
      </c>
      <c r="B436" s="12" t="n">
        <v>46218</v>
      </c>
      <c r="C436" s="12" t="n">
        <v>46244</v>
      </c>
      <c r="D436" s="11" t="n">
        <v>1636</v>
      </c>
      <c r="E436" s="13" t="s">
        <v>131</v>
      </c>
      <c r="F436" s="11" t="n">
        <v>24</v>
      </c>
      <c r="G436" s="13" t="s">
        <v>30</v>
      </c>
      <c r="H436" s="11" t="n">
        <v>1110203</v>
      </c>
      <c r="I436" s="13" t="s">
        <v>100</v>
      </c>
      <c r="J436" s="14" t="n">
        <v>1402501</v>
      </c>
      <c r="K436" s="14"/>
      <c r="L436" s="11" t="n">
        <v>188736</v>
      </c>
      <c r="M436" s="13" t="s">
        <v>105</v>
      </c>
      <c r="N436" s="15" t="s">
        <v>41</v>
      </c>
      <c r="O436" s="15"/>
      <c r="P436" s="11" t="n">
        <v>113</v>
      </c>
      <c r="Q436" s="13" t="s">
        <v>34</v>
      </c>
      <c r="R436" s="13" t="s">
        <v>35</v>
      </c>
      <c r="S436" s="11" t="n">
        <v>1130101</v>
      </c>
      <c r="T436" s="13" t="s">
        <v>36</v>
      </c>
      <c r="U436" s="16" t="n">
        <v>1315.48</v>
      </c>
      <c r="V436" s="16"/>
      <c r="W436" s="17" t="n">
        <v>0</v>
      </c>
      <c r="X436" s="15" t="s">
        <v>534</v>
      </c>
      <c r="Y436" s="15"/>
      <c r="Z436" s="1" t="str">
        <f aca="false">IF($T436="","",IFERROR(INDEX('Resumo Grupos'!$AC$3:$AC$2000,MATCH($T436,'Resumo Grupos'!$AB$3:$AB$2000,0)),"n/d"))</f>
        <v>Mercadoria</v>
      </c>
    </row>
    <row r="437" customFormat="false" ht="39" hidden="false" customHeight="true" outlineLevel="0" collapsed="false">
      <c r="A437" s="11" t="n">
        <v>2</v>
      </c>
      <c r="B437" s="12" t="n">
        <v>46218</v>
      </c>
      <c r="C437" s="12" t="n">
        <v>46218</v>
      </c>
      <c r="D437" s="11" t="n">
        <v>1683</v>
      </c>
      <c r="E437" s="13" t="s">
        <v>328</v>
      </c>
      <c r="F437" s="11" t="n">
        <v>34</v>
      </c>
      <c r="G437" s="13" t="s">
        <v>87</v>
      </c>
      <c r="H437" s="11" t="n">
        <v>2110101</v>
      </c>
      <c r="I437" s="13" t="s">
        <v>31</v>
      </c>
      <c r="J437" s="14" t="n">
        <v>1402687</v>
      </c>
      <c r="K437" s="14"/>
      <c r="L437" s="11" t="n">
        <v>1647775</v>
      </c>
      <c r="M437" s="13" t="s">
        <v>105</v>
      </c>
      <c r="N437" s="15" t="s">
        <v>33</v>
      </c>
      <c r="O437" s="15"/>
      <c r="P437" s="11" t="n">
        <v>113</v>
      </c>
      <c r="Q437" s="13" t="s">
        <v>34</v>
      </c>
      <c r="R437" s="13" t="s">
        <v>35</v>
      </c>
      <c r="S437" s="11" t="n">
        <v>1130101</v>
      </c>
      <c r="T437" s="13" t="s">
        <v>36</v>
      </c>
      <c r="U437" s="16" t="n">
        <v>76.5</v>
      </c>
      <c r="V437" s="16"/>
      <c r="W437" s="17" t="n">
        <v>0</v>
      </c>
      <c r="X437" s="15" t="s">
        <v>329</v>
      </c>
      <c r="Y437" s="15"/>
      <c r="Z437" s="1" t="str">
        <f aca="false">IF($T437="","",IFERROR(INDEX('Resumo Grupos'!$AC$3:$AC$2000,MATCH($T437,'Resumo Grupos'!$AB$3:$AB$2000,0)),"n/d"))</f>
        <v>Mercadoria</v>
      </c>
    </row>
    <row r="438" customFormat="false" ht="48" hidden="false" customHeight="true" outlineLevel="0" collapsed="false">
      <c r="A438" s="11" t="n">
        <v>2</v>
      </c>
      <c r="B438" s="12" t="n">
        <v>46218</v>
      </c>
      <c r="C438" s="12" t="n">
        <v>46225</v>
      </c>
      <c r="D438" s="11" t="n">
        <v>1819</v>
      </c>
      <c r="E438" s="13" t="s">
        <v>535</v>
      </c>
      <c r="F438" s="11" t="n">
        <v>24</v>
      </c>
      <c r="G438" s="13" t="s">
        <v>30</v>
      </c>
      <c r="H438" s="11" t="n">
        <v>1110203</v>
      </c>
      <c r="I438" s="13" t="s">
        <v>100</v>
      </c>
      <c r="J438" s="14" t="n">
        <v>1402776</v>
      </c>
      <c r="K438" s="14"/>
      <c r="L438" s="11" t="n">
        <v>188803</v>
      </c>
      <c r="M438" s="13" t="s">
        <v>105</v>
      </c>
      <c r="N438" s="15" t="s">
        <v>41</v>
      </c>
      <c r="O438" s="15"/>
      <c r="P438" s="11" t="n">
        <v>113</v>
      </c>
      <c r="Q438" s="13" t="s">
        <v>34</v>
      </c>
      <c r="R438" s="13" t="s">
        <v>35</v>
      </c>
      <c r="S438" s="11" t="n">
        <v>1130101</v>
      </c>
      <c r="T438" s="13" t="s">
        <v>36</v>
      </c>
      <c r="U438" s="16" t="n">
        <v>200</v>
      </c>
      <c r="V438" s="16"/>
      <c r="W438" s="17" t="n">
        <v>0</v>
      </c>
      <c r="X438" s="15" t="s">
        <v>536</v>
      </c>
      <c r="Y438" s="15"/>
      <c r="Z438" s="1" t="str">
        <f aca="false">IF($T438="","",IFERROR(INDEX('Resumo Grupos'!$AC$3:$AC$2000,MATCH($T438,'Resumo Grupos'!$AB$3:$AB$2000,0)),"n/d"))</f>
        <v>Mercadoria</v>
      </c>
    </row>
    <row r="439" customFormat="false" ht="28.5" hidden="false" customHeight="true" outlineLevel="0" collapsed="false">
      <c r="A439" s="11" t="n">
        <v>2</v>
      </c>
      <c r="B439" s="12" t="n">
        <v>46217</v>
      </c>
      <c r="C439" s="12" t="n">
        <v>46217</v>
      </c>
      <c r="D439" s="11" t="n">
        <v>52</v>
      </c>
      <c r="E439" s="13" t="s">
        <v>419</v>
      </c>
      <c r="F439" s="11" t="n">
        <v>34</v>
      </c>
      <c r="G439" s="13" t="s">
        <v>87</v>
      </c>
      <c r="H439" s="11" t="n">
        <v>2110405</v>
      </c>
      <c r="I439" s="13" t="s">
        <v>51</v>
      </c>
      <c r="J439" s="14" t="n">
        <v>1402856</v>
      </c>
      <c r="K439" s="14"/>
      <c r="L439" s="11" t="n">
        <v>188820</v>
      </c>
      <c r="M439" s="13" t="s">
        <v>105</v>
      </c>
      <c r="N439" s="15" t="s">
        <v>41</v>
      </c>
      <c r="O439" s="15"/>
      <c r="P439" s="11" t="n">
        <v>113</v>
      </c>
      <c r="Q439" s="13" t="s">
        <v>34</v>
      </c>
      <c r="R439" s="13" t="s">
        <v>191</v>
      </c>
      <c r="S439" s="11" t="n">
        <v>4210301</v>
      </c>
      <c r="T439" s="13" t="s">
        <v>420</v>
      </c>
      <c r="U439" s="16" t="n">
        <v>200</v>
      </c>
      <c r="V439" s="16"/>
      <c r="W439" s="17" t="n">
        <v>0</v>
      </c>
      <c r="X439" s="15" t="s">
        <v>537</v>
      </c>
      <c r="Y439" s="15"/>
      <c r="Z439" s="1" t="str">
        <f aca="false">IF($T439="","",IFERROR(INDEX('Resumo Grupos'!$AC$3:$AC$2000,MATCH($T439,'Resumo Grupos'!$AB$3:$AB$2000,0)),"n/d"))</f>
        <v>Salários</v>
      </c>
    </row>
    <row r="440" customFormat="false" ht="39" hidden="false" customHeight="true" outlineLevel="0" collapsed="false">
      <c r="A440" s="11" t="n">
        <v>2</v>
      </c>
      <c r="B440" s="12" t="n">
        <v>46217</v>
      </c>
      <c r="C440" s="12" t="n">
        <v>46217</v>
      </c>
      <c r="D440" s="11" t="n">
        <v>21</v>
      </c>
      <c r="E440" s="13" t="s">
        <v>340</v>
      </c>
      <c r="F440" s="11" t="n">
        <v>34</v>
      </c>
      <c r="G440" s="13" t="s">
        <v>87</v>
      </c>
      <c r="H440" s="11" t="n">
        <v>2110405</v>
      </c>
      <c r="I440" s="13" t="s">
        <v>51</v>
      </c>
      <c r="J440" s="14" t="n">
        <v>1402859</v>
      </c>
      <c r="K440" s="14"/>
      <c r="L440" s="11" t="n">
        <v>188821</v>
      </c>
      <c r="M440" s="13" t="s">
        <v>105</v>
      </c>
      <c r="N440" s="15" t="s">
        <v>41</v>
      </c>
      <c r="O440" s="15"/>
      <c r="P440" s="11" t="n">
        <v>113</v>
      </c>
      <c r="Q440" s="13" t="s">
        <v>34</v>
      </c>
      <c r="R440" s="13" t="s">
        <v>191</v>
      </c>
      <c r="S440" s="11" t="n">
        <v>4210301</v>
      </c>
      <c r="T440" s="13" t="s">
        <v>420</v>
      </c>
      <c r="U440" s="16" t="n">
        <v>1000</v>
      </c>
      <c r="V440" s="16"/>
      <c r="W440" s="17" t="n">
        <v>0</v>
      </c>
      <c r="X440" s="15" t="s">
        <v>537</v>
      </c>
      <c r="Y440" s="15"/>
      <c r="Z440" s="1" t="str">
        <f aca="false">IF($T440="","",IFERROR(INDEX('Resumo Grupos'!$AC$3:$AC$2000,MATCH($T440,'Resumo Grupos'!$AB$3:$AB$2000,0)),"n/d"))</f>
        <v>Salários</v>
      </c>
    </row>
    <row r="441" customFormat="false" ht="28.5" hidden="false" customHeight="true" outlineLevel="0" collapsed="false">
      <c r="A441" s="11" t="n">
        <v>2</v>
      </c>
      <c r="B441" s="12" t="n">
        <v>46217</v>
      </c>
      <c r="C441" s="12" t="n">
        <v>46217</v>
      </c>
      <c r="D441" s="11" t="n">
        <v>18</v>
      </c>
      <c r="E441" s="13" t="s">
        <v>341</v>
      </c>
      <c r="F441" s="11" t="n">
        <v>34</v>
      </c>
      <c r="G441" s="13" t="s">
        <v>87</v>
      </c>
      <c r="H441" s="11" t="n">
        <v>2110405</v>
      </c>
      <c r="I441" s="13" t="s">
        <v>51</v>
      </c>
      <c r="J441" s="14" t="n">
        <v>1402862</v>
      </c>
      <c r="K441" s="14"/>
      <c r="L441" s="11" t="n">
        <v>188822</v>
      </c>
      <c r="M441" s="13" t="s">
        <v>105</v>
      </c>
      <c r="N441" s="15" t="s">
        <v>41</v>
      </c>
      <c r="O441" s="15"/>
      <c r="P441" s="11" t="n">
        <v>113</v>
      </c>
      <c r="Q441" s="13" t="s">
        <v>34</v>
      </c>
      <c r="R441" s="13" t="s">
        <v>191</v>
      </c>
      <c r="S441" s="11" t="n">
        <v>4210301</v>
      </c>
      <c r="T441" s="13" t="s">
        <v>420</v>
      </c>
      <c r="U441" s="16" t="n">
        <v>400</v>
      </c>
      <c r="V441" s="16"/>
      <c r="W441" s="17" t="n">
        <v>0</v>
      </c>
      <c r="X441" s="15" t="s">
        <v>537</v>
      </c>
      <c r="Y441" s="15"/>
      <c r="Z441" s="1" t="str">
        <f aca="false">IF($T441="","",IFERROR(INDEX('Resumo Grupos'!$AC$3:$AC$2000,MATCH($T441,'Resumo Grupos'!$AB$3:$AB$2000,0)),"n/d"))</f>
        <v>Salários</v>
      </c>
    </row>
    <row r="442" customFormat="false" ht="28.5" hidden="false" customHeight="true" outlineLevel="0" collapsed="false">
      <c r="A442" s="11" t="n">
        <v>2</v>
      </c>
      <c r="B442" s="12" t="n">
        <v>46213</v>
      </c>
      <c r="C442" s="12" t="n">
        <v>46228</v>
      </c>
      <c r="D442" s="11" t="n">
        <v>18</v>
      </c>
      <c r="E442" s="13" t="s">
        <v>341</v>
      </c>
      <c r="F442" s="11" t="n">
        <v>34</v>
      </c>
      <c r="G442" s="13" t="s">
        <v>87</v>
      </c>
      <c r="H442" s="11" t="n">
        <v>2110405</v>
      </c>
      <c r="I442" s="13" t="s">
        <v>51</v>
      </c>
      <c r="J442" s="14" t="n">
        <v>1402866</v>
      </c>
      <c r="K442" s="14"/>
      <c r="L442" s="11" t="n">
        <v>188824</v>
      </c>
      <c r="M442" s="13" t="s">
        <v>105</v>
      </c>
      <c r="N442" s="15" t="s">
        <v>41</v>
      </c>
      <c r="O442" s="15"/>
      <c r="P442" s="11" t="n">
        <v>113</v>
      </c>
      <c r="Q442" s="13" t="s">
        <v>34</v>
      </c>
      <c r="R442" s="13" t="s">
        <v>191</v>
      </c>
      <c r="S442" s="11" t="n">
        <v>4210301</v>
      </c>
      <c r="T442" s="13" t="s">
        <v>420</v>
      </c>
      <c r="U442" s="16" t="n">
        <v>200</v>
      </c>
      <c r="V442" s="16"/>
      <c r="W442" s="17" t="n">
        <v>0</v>
      </c>
      <c r="X442" s="15" t="s">
        <v>537</v>
      </c>
      <c r="Y442" s="15"/>
      <c r="Z442" s="1" t="str">
        <f aca="false">IF($T442="","",IFERROR(INDEX('Resumo Grupos'!$AC$3:$AC$2000,MATCH($T442,'Resumo Grupos'!$AB$3:$AB$2000,0)),"n/d"))</f>
        <v>Salários</v>
      </c>
    </row>
    <row r="443" customFormat="false" ht="39" hidden="false" customHeight="true" outlineLevel="0" collapsed="false">
      <c r="A443" s="11" t="n">
        <v>2</v>
      </c>
      <c r="B443" s="12" t="n">
        <v>46217</v>
      </c>
      <c r="C443" s="12" t="n">
        <v>46217</v>
      </c>
      <c r="D443" s="11" t="n">
        <v>1979</v>
      </c>
      <c r="E443" s="13" t="s">
        <v>431</v>
      </c>
      <c r="F443" s="11" t="n">
        <v>34</v>
      </c>
      <c r="G443" s="13" t="s">
        <v>87</v>
      </c>
      <c r="H443" s="11" t="n">
        <v>2110405</v>
      </c>
      <c r="I443" s="13" t="s">
        <v>51</v>
      </c>
      <c r="J443" s="14" t="n">
        <v>1402870</v>
      </c>
      <c r="K443" s="14"/>
      <c r="L443" s="11" t="n">
        <v>188825</v>
      </c>
      <c r="M443" s="13" t="s">
        <v>105</v>
      </c>
      <c r="N443" s="15" t="s">
        <v>41</v>
      </c>
      <c r="O443" s="15"/>
      <c r="P443" s="11" t="n">
        <v>113</v>
      </c>
      <c r="Q443" s="13" t="s">
        <v>34</v>
      </c>
      <c r="R443" s="13" t="s">
        <v>191</v>
      </c>
      <c r="S443" s="11" t="n">
        <v>4210301</v>
      </c>
      <c r="T443" s="13" t="s">
        <v>420</v>
      </c>
      <c r="U443" s="16" t="n">
        <v>400</v>
      </c>
      <c r="V443" s="16"/>
      <c r="W443" s="17" t="n">
        <v>0</v>
      </c>
      <c r="X443" s="15" t="s">
        <v>537</v>
      </c>
      <c r="Y443" s="15"/>
      <c r="Z443" s="1" t="str">
        <f aca="false">IF($T443="","",IFERROR(INDEX('Resumo Grupos'!$AC$3:$AC$2000,MATCH($T443,'Resumo Grupos'!$AB$3:$AB$2000,0)),"n/d"))</f>
        <v>Salários</v>
      </c>
    </row>
    <row r="444" customFormat="false" ht="39" hidden="false" customHeight="true" outlineLevel="0" collapsed="false">
      <c r="A444" s="11" t="n">
        <v>2</v>
      </c>
      <c r="B444" s="12" t="n">
        <v>46209</v>
      </c>
      <c r="C444" s="12" t="n">
        <v>46209</v>
      </c>
      <c r="D444" s="11" t="n">
        <v>12</v>
      </c>
      <c r="E444" s="13" t="s">
        <v>427</v>
      </c>
      <c r="F444" s="11" t="n">
        <v>34</v>
      </c>
      <c r="G444" s="13" t="s">
        <v>87</v>
      </c>
      <c r="H444" s="11" t="n">
        <v>2110405</v>
      </c>
      <c r="I444" s="13" t="s">
        <v>51</v>
      </c>
      <c r="J444" s="14" t="n">
        <v>1402874</v>
      </c>
      <c r="K444" s="14"/>
      <c r="L444" s="11" t="n">
        <v>188827</v>
      </c>
      <c r="M444" s="13" t="s">
        <v>105</v>
      </c>
      <c r="N444" s="15" t="s">
        <v>41</v>
      </c>
      <c r="O444" s="15"/>
      <c r="P444" s="11" t="n">
        <v>113</v>
      </c>
      <c r="Q444" s="13" t="s">
        <v>34</v>
      </c>
      <c r="R444" s="13" t="s">
        <v>191</v>
      </c>
      <c r="S444" s="11" t="n">
        <v>4210301</v>
      </c>
      <c r="T444" s="13" t="s">
        <v>420</v>
      </c>
      <c r="U444" s="16" t="n">
        <v>600</v>
      </c>
      <c r="V444" s="16"/>
      <c r="W444" s="17" t="n">
        <v>0</v>
      </c>
      <c r="X444" s="15" t="s">
        <v>538</v>
      </c>
      <c r="Y444" s="15"/>
      <c r="Z444" s="1" t="str">
        <f aca="false">IF($T444="","",IFERROR(INDEX('Resumo Grupos'!$AC$3:$AC$2000,MATCH($T444,'Resumo Grupos'!$AB$3:$AB$2000,0)),"n/d"))</f>
        <v>Salários</v>
      </c>
    </row>
    <row r="445" customFormat="false" ht="66.75" hidden="false" customHeight="true" outlineLevel="0" collapsed="false">
      <c r="A445" s="11" t="n">
        <v>2</v>
      </c>
      <c r="B445" s="12" t="n">
        <v>46218</v>
      </c>
      <c r="C445" s="12" t="n">
        <v>46230</v>
      </c>
      <c r="D445" s="11" t="n">
        <v>1636</v>
      </c>
      <c r="E445" s="13" t="s">
        <v>131</v>
      </c>
      <c r="F445" s="11" t="n">
        <v>24</v>
      </c>
      <c r="G445" s="13" t="s">
        <v>30</v>
      </c>
      <c r="H445" s="11" t="n">
        <v>1110203</v>
      </c>
      <c r="I445" s="13" t="s">
        <v>100</v>
      </c>
      <c r="J445" s="14" t="n">
        <v>1403003</v>
      </c>
      <c r="K445" s="14"/>
      <c r="L445" s="11" t="n">
        <v>188857</v>
      </c>
      <c r="M445" s="13" t="s">
        <v>105</v>
      </c>
      <c r="N445" s="15" t="s">
        <v>41</v>
      </c>
      <c r="O445" s="15"/>
      <c r="P445" s="11" t="n">
        <v>113</v>
      </c>
      <c r="Q445" s="13" t="s">
        <v>34</v>
      </c>
      <c r="R445" s="13" t="s">
        <v>35</v>
      </c>
      <c r="S445" s="11" t="n">
        <v>1130101</v>
      </c>
      <c r="T445" s="13" t="s">
        <v>36</v>
      </c>
      <c r="U445" s="16" t="n">
        <v>1385.14</v>
      </c>
      <c r="V445" s="16"/>
      <c r="W445" s="17" t="n">
        <v>0</v>
      </c>
      <c r="X445" s="15" t="s">
        <v>539</v>
      </c>
      <c r="Y445" s="15"/>
      <c r="Z445" s="1" t="str">
        <f aca="false">IF($T445="","",IFERROR(INDEX('Resumo Grupos'!$AC$3:$AC$2000,MATCH($T445,'Resumo Grupos'!$AB$3:$AB$2000,0)),"n/d"))</f>
        <v>Mercadoria</v>
      </c>
    </row>
    <row r="446" customFormat="false" ht="66.75" hidden="false" customHeight="true" outlineLevel="0" collapsed="false">
      <c r="A446" s="11" t="n">
        <v>2</v>
      </c>
      <c r="B446" s="12" t="n">
        <v>46218</v>
      </c>
      <c r="C446" s="12" t="n">
        <v>46237</v>
      </c>
      <c r="D446" s="11" t="n">
        <v>1636</v>
      </c>
      <c r="E446" s="13" t="s">
        <v>131</v>
      </c>
      <c r="F446" s="11" t="n">
        <v>24</v>
      </c>
      <c r="G446" s="13" t="s">
        <v>30</v>
      </c>
      <c r="H446" s="11" t="n">
        <v>1110203</v>
      </c>
      <c r="I446" s="13" t="s">
        <v>100</v>
      </c>
      <c r="J446" s="14" t="n">
        <v>1403005</v>
      </c>
      <c r="K446" s="14"/>
      <c r="L446" s="11" t="n">
        <v>188858</v>
      </c>
      <c r="M446" s="13" t="s">
        <v>105</v>
      </c>
      <c r="N446" s="15" t="s">
        <v>41</v>
      </c>
      <c r="O446" s="15"/>
      <c r="P446" s="11" t="n">
        <v>113</v>
      </c>
      <c r="Q446" s="13" t="s">
        <v>34</v>
      </c>
      <c r="R446" s="13" t="s">
        <v>35</v>
      </c>
      <c r="S446" s="11" t="n">
        <v>1130101</v>
      </c>
      <c r="T446" s="13" t="s">
        <v>36</v>
      </c>
      <c r="U446" s="16" t="n">
        <v>1387.05</v>
      </c>
      <c r="V446" s="16"/>
      <c r="W446" s="17" t="n">
        <v>0</v>
      </c>
      <c r="X446" s="15" t="s">
        <v>539</v>
      </c>
      <c r="Y446" s="15"/>
      <c r="Z446" s="1" t="str">
        <f aca="false">IF($T446="","",IFERROR(INDEX('Resumo Grupos'!$AC$3:$AC$2000,MATCH($T446,'Resumo Grupos'!$AB$3:$AB$2000,0)),"n/d"))</f>
        <v>Mercadoria</v>
      </c>
    </row>
    <row r="447" customFormat="false" ht="66.75" hidden="false" customHeight="true" outlineLevel="0" collapsed="false">
      <c r="A447" s="11" t="n">
        <v>2</v>
      </c>
      <c r="B447" s="12" t="n">
        <v>46218</v>
      </c>
      <c r="C447" s="12" t="n">
        <v>46244</v>
      </c>
      <c r="D447" s="11" t="n">
        <v>1636</v>
      </c>
      <c r="E447" s="13" t="s">
        <v>131</v>
      </c>
      <c r="F447" s="11" t="n">
        <v>24</v>
      </c>
      <c r="G447" s="13" t="s">
        <v>30</v>
      </c>
      <c r="H447" s="11" t="n">
        <v>1110203</v>
      </c>
      <c r="I447" s="13" t="s">
        <v>100</v>
      </c>
      <c r="J447" s="14" t="n">
        <v>1403006</v>
      </c>
      <c r="K447" s="14"/>
      <c r="L447" s="11" t="n">
        <v>188859</v>
      </c>
      <c r="M447" s="13" t="s">
        <v>105</v>
      </c>
      <c r="N447" s="15" t="s">
        <v>41</v>
      </c>
      <c r="O447" s="15"/>
      <c r="P447" s="11" t="n">
        <v>113</v>
      </c>
      <c r="Q447" s="13" t="s">
        <v>34</v>
      </c>
      <c r="R447" s="13" t="s">
        <v>35</v>
      </c>
      <c r="S447" s="11" t="n">
        <v>1130101</v>
      </c>
      <c r="T447" s="13" t="s">
        <v>36</v>
      </c>
      <c r="U447" s="16" t="n">
        <v>1387.05</v>
      </c>
      <c r="V447" s="16"/>
      <c r="W447" s="17" t="n">
        <v>0</v>
      </c>
      <c r="X447" s="15" t="s">
        <v>539</v>
      </c>
      <c r="Y447" s="15"/>
      <c r="Z447" s="1" t="str">
        <f aca="false">IF($T447="","",IFERROR(INDEX('Resumo Grupos'!$AC$3:$AC$2000,MATCH($T447,'Resumo Grupos'!$AB$3:$AB$2000,0)),"n/d"))</f>
        <v>Mercadoria</v>
      </c>
    </row>
    <row r="448" customFormat="false" ht="57" hidden="false" customHeight="true" outlineLevel="0" collapsed="false">
      <c r="A448" s="11" t="n">
        <v>2</v>
      </c>
      <c r="B448" s="12" t="n">
        <v>46218</v>
      </c>
      <c r="C448" s="12" t="n">
        <v>46225</v>
      </c>
      <c r="D448" s="11" t="n">
        <v>1815</v>
      </c>
      <c r="E448" s="13" t="s">
        <v>178</v>
      </c>
      <c r="F448" s="11" t="n">
        <v>24</v>
      </c>
      <c r="G448" s="13" t="s">
        <v>30</v>
      </c>
      <c r="H448" s="11" t="n">
        <v>1110203</v>
      </c>
      <c r="I448" s="13" t="s">
        <v>100</v>
      </c>
      <c r="J448" s="14" t="n">
        <v>1403054</v>
      </c>
      <c r="K448" s="14"/>
      <c r="L448" s="11" t="n">
        <v>188872</v>
      </c>
      <c r="M448" s="13" t="s">
        <v>105</v>
      </c>
      <c r="N448" s="15" t="s">
        <v>41</v>
      </c>
      <c r="O448" s="15"/>
      <c r="P448" s="11" t="n">
        <v>113</v>
      </c>
      <c r="Q448" s="13" t="s">
        <v>34</v>
      </c>
      <c r="R448" s="13" t="s">
        <v>35</v>
      </c>
      <c r="S448" s="11" t="n">
        <v>1130101</v>
      </c>
      <c r="T448" s="13" t="s">
        <v>36</v>
      </c>
      <c r="U448" s="16" t="n">
        <v>2806.49</v>
      </c>
      <c r="V448" s="16"/>
      <c r="W448" s="17" t="n">
        <v>0</v>
      </c>
      <c r="X448" s="15" t="s">
        <v>540</v>
      </c>
      <c r="Y448" s="15"/>
      <c r="Z448" s="1" t="str">
        <f aca="false">IF($T448="","",IFERROR(INDEX('Resumo Grupos'!$AC$3:$AC$2000,MATCH($T448,'Resumo Grupos'!$AB$3:$AB$2000,0)),"n/d"))</f>
        <v>Mercadoria</v>
      </c>
    </row>
    <row r="449" customFormat="false" ht="57" hidden="false" customHeight="true" outlineLevel="0" collapsed="false">
      <c r="A449" s="11" t="n">
        <v>2</v>
      </c>
      <c r="B449" s="12" t="n">
        <v>46218</v>
      </c>
      <c r="C449" s="12" t="n">
        <v>46232</v>
      </c>
      <c r="D449" s="11" t="n">
        <v>1815</v>
      </c>
      <c r="E449" s="13" t="s">
        <v>178</v>
      </c>
      <c r="F449" s="11" t="n">
        <v>24</v>
      </c>
      <c r="G449" s="13" t="s">
        <v>30</v>
      </c>
      <c r="H449" s="11" t="n">
        <v>1110203</v>
      </c>
      <c r="I449" s="13" t="s">
        <v>100</v>
      </c>
      <c r="J449" s="14" t="n">
        <v>1403056</v>
      </c>
      <c r="K449" s="14"/>
      <c r="L449" s="11" t="n">
        <v>188873</v>
      </c>
      <c r="M449" s="13" t="s">
        <v>105</v>
      </c>
      <c r="N449" s="15" t="s">
        <v>41</v>
      </c>
      <c r="O449" s="15"/>
      <c r="P449" s="11" t="n">
        <v>113</v>
      </c>
      <c r="Q449" s="13" t="s">
        <v>34</v>
      </c>
      <c r="R449" s="13" t="s">
        <v>35</v>
      </c>
      <c r="S449" s="11" t="n">
        <v>1130101</v>
      </c>
      <c r="T449" s="13" t="s">
        <v>36</v>
      </c>
      <c r="U449" s="16" t="n">
        <v>2806.49</v>
      </c>
      <c r="V449" s="16"/>
      <c r="W449" s="17" t="n">
        <v>0</v>
      </c>
      <c r="X449" s="15" t="s">
        <v>540</v>
      </c>
      <c r="Y449" s="15"/>
      <c r="Z449" s="1" t="str">
        <f aca="false">IF($T449="","",IFERROR(INDEX('Resumo Grupos'!$AC$3:$AC$2000,MATCH($T449,'Resumo Grupos'!$AB$3:$AB$2000,0)),"n/d"))</f>
        <v>Mercadoria</v>
      </c>
    </row>
    <row r="450" customFormat="false" ht="57" hidden="false" customHeight="true" outlineLevel="0" collapsed="false">
      <c r="A450" s="11" t="n">
        <v>2</v>
      </c>
      <c r="B450" s="12" t="n">
        <v>46218</v>
      </c>
      <c r="C450" s="12" t="n">
        <v>46239</v>
      </c>
      <c r="D450" s="11" t="n">
        <v>1815</v>
      </c>
      <c r="E450" s="13" t="s">
        <v>178</v>
      </c>
      <c r="F450" s="11" t="n">
        <v>24</v>
      </c>
      <c r="G450" s="13" t="s">
        <v>30</v>
      </c>
      <c r="H450" s="11" t="n">
        <v>1110203</v>
      </c>
      <c r="I450" s="13" t="s">
        <v>100</v>
      </c>
      <c r="J450" s="14" t="n">
        <v>1403062</v>
      </c>
      <c r="K450" s="14"/>
      <c r="L450" s="11" t="n">
        <v>188874</v>
      </c>
      <c r="M450" s="13" t="s">
        <v>105</v>
      </c>
      <c r="N450" s="15" t="s">
        <v>41</v>
      </c>
      <c r="O450" s="15"/>
      <c r="P450" s="11" t="n">
        <v>113</v>
      </c>
      <c r="Q450" s="13" t="s">
        <v>34</v>
      </c>
      <c r="R450" s="13" t="s">
        <v>35</v>
      </c>
      <c r="S450" s="11" t="n">
        <v>1130101</v>
      </c>
      <c r="T450" s="13" t="s">
        <v>36</v>
      </c>
      <c r="U450" s="16" t="n">
        <v>2806.5</v>
      </c>
      <c r="V450" s="16"/>
      <c r="W450" s="17" t="n">
        <v>0</v>
      </c>
      <c r="X450" s="15" t="s">
        <v>540</v>
      </c>
      <c r="Y450" s="15"/>
      <c r="Z450" s="1" t="str">
        <f aca="false">IF($T450="","",IFERROR(INDEX('Resumo Grupos'!$AC$3:$AC$2000,MATCH($T450,'Resumo Grupos'!$AB$3:$AB$2000,0)),"n/d"))</f>
        <v>Mercadoria</v>
      </c>
    </row>
    <row r="451" customFormat="false" ht="28.5" hidden="false" customHeight="true" outlineLevel="0" collapsed="false">
      <c r="A451" s="11" t="n">
        <v>2</v>
      </c>
      <c r="B451" s="12" t="n">
        <v>46219</v>
      </c>
      <c r="C451" s="12" t="n">
        <v>46233</v>
      </c>
      <c r="D451" s="11" t="n">
        <v>1705</v>
      </c>
      <c r="E451" s="13" t="s">
        <v>169</v>
      </c>
      <c r="F451" s="11" t="n">
        <v>24</v>
      </c>
      <c r="G451" s="13" t="s">
        <v>30</v>
      </c>
      <c r="H451" s="11" t="n">
        <v>1110203</v>
      </c>
      <c r="I451" s="13" t="s">
        <v>100</v>
      </c>
      <c r="J451" s="14" t="n">
        <v>1405774</v>
      </c>
      <c r="K451" s="14"/>
      <c r="L451" s="11" t="n">
        <v>189224</v>
      </c>
      <c r="M451" s="13" t="s">
        <v>105</v>
      </c>
      <c r="N451" s="15" t="s">
        <v>41</v>
      </c>
      <c r="O451" s="15"/>
      <c r="P451" s="11" t="n">
        <v>113</v>
      </c>
      <c r="Q451" s="13" t="s">
        <v>34</v>
      </c>
      <c r="R451" s="13" t="s">
        <v>35</v>
      </c>
      <c r="S451" s="11" t="n">
        <v>1130101</v>
      </c>
      <c r="T451" s="13" t="s">
        <v>36</v>
      </c>
      <c r="U451" s="16" t="n">
        <v>2028.67</v>
      </c>
      <c r="V451" s="16"/>
      <c r="W451" s="17" t="n">
        <v>0</v>
      </c>
      <c r="X451" s="15" t="s">
        <v>541</v>
      </c>
      <c r="Y451" s="15"/>
      <c r="Z451" s="1" t="str">
        <f aca="false">IF($T451="","",IFERROR(INDEX('Resumo Grupos'!$AC$3:$AC$2000,MATCH($T451,'Resumo Grupos'!$AB$3:$AB$2000,0)),"n/d"))</f>
        <v>Mercadoria</v>
      </c>
    </row>
    <row r="452" customFormat="false" ht="28.5" hidden="false" customHeight="true" outlineLevel="0" collapsed="false">
      <c r="A452" s="11" t="n">
        <v>2</v>
      </c>
      <c r="B452" s="12" t="n">
        <v>46219</v>
      </c>
      <c r="C452" s="12" t="n">
        <v>46233</v>
      </c>
      <c r="D452" s="11" t="n">
        <v>1705</v>
      </c>
      <c r="E452" s="13" t="s">
        <v>169</v>
      </c>
      <c r="F452" s="11" t="n">
        <v>24</v>
      </c>
      <c r="G452" s="13" t="s">
        <v>30</v>
      </c>
      <c r="H452" s="11" t="n">
        <v>1110203</v>
      </c>
      <c r="I452" s="13" t="s">
        <v>100</v>
      </c>
      <c r="J452" s="14" t="n">
        <v>1405777</v>
      </c>
      <c r="K452" s="14"/>
      <c r="L452" s="11" t="n">
        <v>189226</v>
      </c>
      <c r="M452" s="13" t="s">
        <v>105</v>
      </c>
      <c r="N452" s="15" t="s">
        <v>41</v>
      </c>
      <c r="O452" s="15"/>
      <c r="P452" s="11" t="n">
        <v>113</v>
      </c>
      <c r="Q452" s="13" t="s">
        <v>34</v>
      </c>
      <c r="R452" s="13" t="s">
        <v>35</v>
      </c>
      <c r="S452" s="11" t="n">
        <v>1130101</v>
      </c>
      <c r="T452" s="13" t="s">
        <v>36</v>
      </c>
      <c r="U452" s="16" t="n">
        <v>1194.17</v>
      </c>
      <c r="V452" s="16"/>
      <c r="W452" s="17" t="n">
        <v>0</v>
      </c>
      <c r="X452" s="15" t="s">
        <v>541</v>
      </c>
      <c r="Y452" s="15"/>
      <c r="Z452" s="1" t="str">
        <f aca="false">IF($T452="","",IFERROR(INDEX('Resumo Grupos'!$AC$3:$AC$2000,MATCH($T452,'Resumo Grupos'!$AB$3:$AB$2000,0)),"n/d"))</f>
        <v>Mercadoria</v>
      </c>
    </row>
    <row r="453" customFormat="false" ht="48" hidden="false" customHeight="true" outlineLevel="0" collapsed="false">
      <c r="A453" s="11" t="n">
        <v>2</v>
      </c>
      <c r="B453" s="12" t="n">
        <v>46219</v>
      </c>
      <c r="C453" s="12" t="n">
        <v>46232</v>
      </c>
      <c r="D453" s="11" t="n">
        <v>1667</v>
      </c>
      <c r="E453" s="13" t="s">
        <v>135</v>
      </c>
      <c r="F453" s="11" t="n">
        <v>24</v>
      </c>
      <c r="G453" s="13" t="s">
        <v>30</v>
      </c>
      <c r="H453" s="11" t="n">
        <v>1110203</v>
      </c>
      <c r="I453" s="13" t="s">
        <v>100</v>
      </c>
      <c r="J453" s="14" t="n">
        <v>1405836</v>
      </c>
      <c r="K453" s="14"/>
      <c r="L453" s="11" t="n">
        <v>189244</v>
      </c>
      <c r="M453" s="13" t="s">
        <v>105</v>
      </c>
      <c r="N453" s="15" t="s">
        <v>41</v>
      </c>
      <c r="O453" s="15"/>
      <c r="P453" s="11" t="n">
        <v>113</v>
      </c>
      <c r="Q453" s="13" t="s">
        <v>34</v>
      </c>
      <c r="R453" s="13" t="s">
        <v>35</v>
      </c>
      <c r="S453" s="11" t="n">
        <v>1130101</v>
      </c>
      <c r="T453" s="13" t="s">
        <v>36</v>
      </c>
      <c r="U453" s="16" t="n">
        <v>560.56</v>
      </c>
      <c r="V453" s="16"/>
      <c r="W453" s="17" t="n">
        <v>0</v>
      </c>
      <c r="X453" s="15" t="s">
        <v>542</v>
      </c>
      <c r="Y453" s="15"/>
      <c r="Z453" s="1" t="str">
        <f aca="false">IF($T453="","",IFERROR(INDEX('Resumo Grupos'!$AC$3:$AC$2000,MATCH($T453,'Resumo Grupos'!$AB$3:$AB$2000,0)),"n/d"))</f>
        <v>Mercadoria</v>
      </c>
    </row>
    <row r="454" customFormat="false" ht="48" hidden="false" customHeight="true" outlineLevel="0" collapsed="false">
      <c r="A454" s="11" t="n">
        <v>2</v>
      </c>
      <c r="B454" s="12" t="n">
        <v>46219</v>
      </c>
      <c r="C454" s="12" t="n">
        <v>46231</v>
      </c>
      <c r="D454" s="11" t="n">
        <v>1749</v>
      </c>
      <c r="E454" s="13" t="s">
        <v>270</v>
      </c>
      <c r="F454" s="11" t="n">
        <v>24</v>
      </c>
      <c r="G454" s="13" t="s">
        <v>30</v>
      </c>
      <c r="H454" s="11" t="n">
        <v>1110203</v>
      </c>
      <c r="I454" s="13" t="s">
        <v>100</v>
      </c>
      <c r="J454" s="14" t="n">
        <v>1405849</v>
      </c>
      <c r="K454" s="14"/>
      <c r="L454" s="11" t="n">
        <v>189248</v>
      </c>
      <c r="M454" s="13" t="s">
        <v>105</v>
      </c>
      <c r="N454" s="15" t="s">
        <v>41</v>
      </c>
      <c r="O454" s="15"/>
      <c r="P454" s="11" t="n">
        <v>113</v>
      </c>
      <c r="Q454" s="13" t="s">
        <v>34</v>
      </c>
      <c r="R454" s="13" t="s">
        <v>35</v>
      </c>
      <c r="S454" s="11" t="n">
        <v>1130101</v>
      </c>
      <c r="T454" s="13" t="s">
        <v>36</v>
      </c>
      <c r="U454" s="16" t="n">
        <v>1501.2</v>
      </c>
      <c r="V454" s="16"/>
      <c r="W454" s="17" t="n">
        <v>0</v>
      </c>
      <c r="X454" s="15" t="s">
        <v>543</v>
      </c>
      <c r="Y454" s="15"/>
      <c r="Z454" s="1" t="str">
        <f aca="false">IF($T454="","",IFERROR(INDEX('Resumo Grupos'!$AC$3:$AC$2000,MATCH($T454,'Resumo Grupos'!$AB$3:$AB$2000,0)),"n/d"))</f>
        <v>Mercadoria</v>
      </c>
    </row>
    <row r="455" customFormat="false" ht="28.5" hidden="false" customHeight="true" outlineLevel="0" collapsed="false">
      <c r="A455" s="11" t="n">
        <v>2</v>
      </c>
      <c r="B455" s="12" t="n">
        <v>46219</v>
      </c>
      <c r="C455" s="12" t="n">
        <v>46224</v>
      </c>
      <c r="D455" s="11" t="n">
        <v>10009</v>
      </c>
      <c r="E455" s="13" t="s">
        <v>138</v>
      </c>
      <c r="F455" s="11" t="n">
        <v>24</v>
      </c>
      <c r="G455" s="13" t="s">
        <v>30</v>
      </c>
      <c r="H455" s="11" t="n">
        <v>1110203</v>
      </c>
      <c r="I455" s="13" t="s">
        <v>100</v>
      </c>
      <c r="J455" s="14" t="n">
        <v>1406007</v>
      </c>
      <c r="K455" s="14"/>
      <c r="L455" s="11" t="n">
        <v>189277</v>
      </c>
      <c r="M455" s="13" t="s">
        <v>105</v>
      </c>
      <c r="N455" s="15" t="s">
        <v>41</v>
      </c>
      <c r="O455" s="15"/>
      <c r="P455" s="11" t="n">
        <v>113</v>
      </c>
      <c r="Q455" s="13" t="s">
        <v>34</v>
      </c>
      <c r="R455" s="13" t="s">
        <v>35</v>
      </c>
      <c r="S455" s="11" t="n">
        <v>1130101</v>
      </c>
      <c r="T455" s="13" t="s">
        <v>36</v>
      </c>
      <c r="U455" s="16" t="n">
        <v>712.57</v>
      </c>
      <c r="V455" s="16"/>
      <c r="W455" s="17" t="n">
        <v>0</v>
      </c>
      <c r="X455" s="15" t="s">
        <v>544</v>
      </c>
      <c r="Y455" s="15"/>
      <c r="Z455" s="1" t="str">
        <f aca="false">IF($T455="","",IFERROR(INDEX('Resumo Grupos'!$AC$3:$AC$2000,MATCH($T455,'Resumo Grupos'!$AB$3:$AB$2000,0)),"n/d"))</f>
        <v>Mercadoria</v>
      </c>
    </row>
    <row r="456" customFormat="false" ht="28.5" hidden="false" customHeight="true" outlineLevel="0" collapsed="false">
      <c r="A456" s="11" t="n">
        <v>2</v>
      </c>
      <c r="B456" s="12" t="n">
        <v>46219</v>
      </c>
      <c r="C456" s="12" t="n">
        <v>46231</v>
      </c>
      <c r="D456" s="11" t="n">
        <v>10009</v>
      </c>
      <c r="E456" s="13" t="s">
        <v>138</v>
      </c>
      <c r="F456" s="11" t="n">
        <v>24</v>
      </c>
      <c r="G456" s="13" t="s">
        <v>30</v>
      </c>
      <c r="H456" s="11" t="n">
        <v>1110203</v>
      </c>
      <c r="I456" s="13" t="s">
        <v>100</v>
      </c>
      <c r="J456" s="14" t="n">
        <v>1406030</v>
      </c>
      <c r="K456" s="14"/>
      <c r="L456" s="11" t="n">
        <v>189281</v>
      </c>
      <c r="M456" s="13" t="s">
        <v>105</v>
      </c>
      <c r="N456" s="15" t="s">
        <v>41</v>
      </c>
      <c r="O456" s="15"/>
      <c r="P456" s="11" t="n">
        <v>113</v>
      </c>
      <c r="Q456" s="13" t="s">
        <v>34</v>
      </c>
      <c r="R456" s="13" t="s">
        <v>35</v>
      </c>
      <c r="S456" s="11" t="n">
        <v>1130101</v>
      </c>
      <c r="T456" s="13" t="s">
        <v>36</v>
      </c>
      <c r="U456" s="16" t="n">
        <v>691.61</v>
      </c>
      <c r="V456" s="16"/>
      <c r="W456" s="17" t="n">
        <v>0</v>
      </c>
      <c r="X456" s="15" t="s">
        <v>544</v>
      </c>
      <c r="Y456" s="15"/>
      <c r="Z456" s="1" t="str">
        <f aca="false">IF($T456="","",IFERROR(INDEX('Resumo Grupos'!$AC$3:$AC$2000,MATCH($T456,'Resumo Grupos'!$AB$3:$AB$2000,0)),"n/d"))</f>
        <v>Mercadoria</v>
      </c>
    </row>
    <row r="457" customFormat="false" ht="28.5" hidden="false" customHeight="true" outlineLevel="0" collapsed="false">
      <c r="A457" s="11" t="n">
        <v>2</v>
      </c>
      <c r="B457" s="12" t="n">
        <v>46219</v>
      </c>
      <c r="C457" s="12" t="n">
        <v>46238</v>
      </c>
      <c r="D457" s="11" t="n">
        <v>10009</v>
      </c>
      <c r="E457" s="13" t="s">
        <v>138</v>
      </c>
      <c r="F457" s="11" t="n">
        <v>24</v>
      </c>
      <c r="G457" s="13" t="s">
        <v>30</v>
      </c>
      <c r="H457" s="11" t="n">
        <v>1110203</v>
      </c>
      <c r="I457" s="13" t="s">
        <v>100</v>
      </c>
      <c r="J457" s="14" t="n">
        <v>1406034</v>
      </c>
      <c r="K457" s="14"/>
      <c r="L457" s="11" t="n">
        <v>189282</v>
      </c>
      <c r="M457" s="13" t="s">
        <v>105</v>
      </c>
      <c r="N457" s="15" t="s">
        <v>41</v>
      </c>
      <c r="O457" s="15"/>
      <c r="P457" s="11" t="n">
        <v>113</v>
      </c>
      <c r="Q457" s="13" t="s">
        <v>34</v>
      </c>
      <c r="R457" s="13" t="s">
        <v>35</v>
      </c>
      <c r="S457" s="11" t="n">
        <v>1130101</v>
      </c>
      <c r="T457" s="13" t="s">
        <v>36</v>
      </c>
      <c r="U457" s="16" t="n">
        <v>691.62</v>
      </c>
      <c r="V457" s="16"/>
      <c r="W457" s="17" t="n">
        <v>0</v>
      </c>
      <c r="X457" s="15" t="s">
        <v>544</v>
      </c>
      <c r="Y457" s="15"/>
      <c r="Z457" s="1" t="str">
        <f aca="false">IF($T457="","",IFERROR(INDEX('Resumo Grupos'!$AC$3:$AC$2000,MATCH($T457,'Resumo Grupos'!$AB$3:$AB$2000,0)),"n/d"))</f>
        <v>Mercadoria</v>
      </c>
    </row>
    <row r="458" customFormat="false" ht="48" hidden="false" customHeight="true" outlineLevel="0" collapsed="false">
      <c r="A458" s="11" t="n">
        <v>2</v>
      </c>
      <c r="B458" s="12" t="n">
        <v>46219</v>
      </c>
      <c r="C458" s="12" t="n">
        <v>46232</v>
      </c>
      <c r="D458" s="11" t="n">
        <v>1616</v>
      </c>
      <c r="E458" s="13" t="s">
        <v>29</v>
      </c>
      <c r="F458" s="11" t="n">
        <v>24</v>
      </c>
      <c r="G458" s="13" t="s">
        <v>30</v>
      </c>
      <c r="H458" s="11" t="n">
        <v>1110203</v>
      </c>
      <c r="I458" s="13" t="s">
        <v>100</v>
      </c>
      <c r="J458" s="14" t="n">
        <v>1406244</v>
      </c>
      <c r="K458" s="14"/>
      <c r="L458" s="11" t="n">
        <v>189330</v>
      </c>
      <c r="M458" s="13" t="s">
        <v>105</v>
      </c>
      <c r="N458" s="15" t="s">
        <v>41</v>
      </c>
      <c r="O458" s="15"/>
      <c r="P458" s="11" t="n">
        <v>113</v>
      </c>
      <c r="Q458" s="13" t="s">
        <v>34</v>
      </c>
      <c r="R458" s="13" t="s">
        <v>35</v>
      </c>
      <c r="S458" s="11" t="n">
        <v>1130101</v>
      </c>
      <c r="T458" s="13" t="s">
        <v>36</v>
      </c>
      <c r="U458" s="16" t="n">
        <v>607.57</v>
      </c>
      <c r="V458" s="16"/>
      <c r="W458" s="17" t="n">
        <v>0</v>
      </c>
      <c r="X458" s="15" t="s">
        <v>545</v>
      </c>
      <c r="Y458" s="15"/>
      <c r="Z458" s="1" t="str">
        <f aca="false">IF($T458="","",IFERROR(INDEX('Resumo Grupos'!$AC$3:$AC$2000,MATCH($T458,'Resumo Grupos'!$AB$3:$AB$2000,0)),"n/d"))</f>
        <v>Mercadoria</v>
      </c>
    </row>
    <row r="459" customFormat="false" ht="48" hidden="false" customHeight="true" outlineLevel="0" collapsed="false">
      <c r="A459" s="11" t="n">
        <v>2</v>
      </c>
      <c r="B459" s="12" t="n">
        <v>46219</v>
      </c>
      <c r="C459" s="12" t="n">
        <v>46239</v>
      </c>
      <c r="D459" s="11" t="n">
        <v>1616</v>
      </c>
      <c r="E459" s="13" t="s">
        <v>29</v>
      </c>
      <c r="F459" s="11" t="n">
        <v>24</v>
      </c>
      <c r="G459" s="13" t="s">
        <v>30</v>
      </c>
      <c r="H459" s="11" t="n">
        <v>1110203</v>
      </c>
      <c r="I459" s="13" t="s">
        <v>100</v>
      </c>
      <c r="J459" s="14" t="n">
        <v>1406257</v>
      </c>
      <c r="K459" s="14"/>
      <c r="L459" s="11" t="n">
        <v>189335</v>
      </c>
      <c r="M459" s="13" t="s">
        <v>105</v>
      </c>
      <c r="N459" s="15" t="s">
        <v>41</v>
      </c>
      <c r="O459" s="15"/>
      <c r="P459" s="11" t="n">
        <v>113</v>
      </c>
      <c r="Q459" s="13" t="s">
        <v>34</v>
      </c>
      <c r="R459" s="13" t="s">
        <v>35</v>
      </c>
      <c r="S459" s="11" t="n">
        <v>1130101</v>
      </c>
      <c r="T459" s="13" t="s">
        <v>36</v>
      </c>
      <c r="U459" s="16" t="n">
        <v>607.58</v>
      </c>
      <c r="V459" s="16"/>
      <c r="W459" s="17" t="n">
        <v>0</v>
      </c>
      <c r="X459" s="15" t="s">
        <v>545</v>
      </c>
      <c r="Y459" s="15"/>
      <c r="Z459" s="1" t="str">
        <f aca="false">IF($T459="","",IFERROR(INDEX('Resumo Grupos'!$AC$3:$AC$2000,MATCH($T459,'Resumo Grupos'!$AB$3:$AB$2000,0)),"n/d"))</f>
        <v>Mercadoria</v>
      </c>
    </row>
    <row r="460" customFormat="false" ht="48" hidden="false" customHeight="true" outlineLevel="0" collapsed="false">
      <c r="A460" s="11" t="n">
        <v>2</v>
      </c>
      <c r="B460" s="12" t="n">
        <v>46219</v>
      </c>
      <c r="C460" s="12" t="n">
        <v>46246</v>
      </c>
      <c r="D460" s="11" t="n">
        <v>1616</v>
      </c>
      <c r="E460" s="13" t="s">
        <v>29</v>
      </c>
      <c r="F460" s="11" t="n">
        <v>24</v>
      </c>
      <c r="G460" s="13" t="s">
        <v>30</v>
      </c>
      <c r="H460" s="11" t="n">
        <v>1110203</v>
      </c>
      <c r="I460" s="13" t="s">
        <v>100</v>
      </c>
      <c r="J460" s="14" t="n">
        <v>1406260</v>
      </c>
      <c r="K460" s="14"/>
      <c r="L460" s="11" t="n">
        <v>189338</v>
      </c>
      <c r="M460" s="13" t="s">
        <v>105</v>
      </c>
      <c r="N460" s="15" t="s">
        <v>41</v>
      </c>
      <c r="O460" s="15"/>
      <c r="P460" s="11" t="n">
        <v>113</v>
      </c>
      <c r="Q460" s="13" t="s">
        <v>34</v>
      </c>
      <c r="R460" s="13" t="s">
        <v>35</v>
      </c>
      <c r="S460" s="11" t="n">
        <v>1130101</v>
      </c>
      <c r="T460" s="13" t="s">
        <v>36</v>
      </c>
      <c r="U460" s="16" t="n">
        <v>607.58</v>
      </c>
      <c r="V460" s="16"/>
      <c r="W460" s="17" t="n">
        <v>0</v>
      </c>
      <c r="X460" s="15" t="s">
        <v>545</v>
      </c>
      <c r="Y460" s="15"/>
      <c r="Z460" s="1" t="str">
        <f aca="false">IF($T460="","",IFERROR(INDEX('Resumo Grupos'!$AC$3:$AC$2000,MATCH($T460,'Resumo Grupos'!$AB$3:$AB$2000,0)),"n/d"))</f>
        <v>Mercadoria</v>
      </c>
    </row>
    <row r="461" customFormat="false" ht="66.75" hidden="false" customHeight="true" outlineLevel="0" collapsed="false">
      <c r="A461" s="11" t="n">
        <v>2</v>
      </c>
      <c r="B461" s="12" t="n">
        <v>46219</v>
      </c>
      <c r="C461" s="12" t="n">
        <v>46230</v>
      </c>
      <c r="D461" s="11" t="n">
        <v>1636</v>
      </c>
      <c r="E461" s="13" t="s">
        <v>131</v>
      </c>
      <c r="F461" s="11" t="n">
        <v>24</v>
      </c>
      <c r="G461" s="13" t="s">
        <v>30</v>
      </c>
      <c r="H461" s="11" t="n">
        <v>1110203</v>
      </c>
      <c r="I461" s="13" t="s">
        <v>100</v>
      </c>
      <c r="J461" s="14" t="n">
        <v>1406447</v>
      </c>
      <c r="K461" s="14"/>
      <c r="L461" s="11" t="n">
        <v>189383</v>
      </c>
      <c r="M461" s="13" t="s">
        <v>105</v>
      </c>
      <c r="N461" s="15" t="s">
        <v>41</v>
      </c>
      <c r="O461" s="15"/>
      <c r="P461" s="11" t="n">
        <v>113</v>
      </c>
      <c r="Q461" s="13" t="s">
        <v>34</v>
      </c>
      <c r="R461" s="13" t="s">
        <v>35</v>
      </c>
      <c r="S461" s="11" t="n">
        <v>1130101</v>
      </c>
      <c r="T461" s="13" t="s">
        <v>36</v>
      </c>
      <c r="U461" s="16" t="n">
        <v>918.23</v>
      </c>
      <c r="V461" s="16"/>
      <c r="W461" s="17" t="n">
        <v>0</v>
      </c>
      <c r="X461" s="15" t="s">
        <v>546</v>
      </c>
      <c r="Y461" s="15"/>
      <c r="Z461" s="1" t="str">
        <f aca="false">IF($T461="","",IFERROR(INDEX('Resumo Grupos'!$AC$3:$AC$2000,MATCH($T461,'Resumo Grupos'!$AB$3:$AB$2000,0)),"n/d"))</f>
        <v>Mercadoria</v>
      </c>
    </row>
    <row r="462" customFormat="false" ht="66.75" hidden="false" customHeight="true" outlineLevel="0" collapsed="false">
      <c r="A462" s="11" t="n">
        <v>2</v>
      </c>
      <c r="B462" s="12" t="n">
        <v>46219</v>
      </c>
      <c r="C462" s="12" t="n">
        <v>46244</v>
      </c>
      <c r="D462" s="11" t="n">
        <v>1636</v>
      </c>
      <c r="E462" s="13" t="s">
        <v>131</v>
      </c>
      <c r="F462" s="11" t="n">
        <v>24</v>
      </c>
      <c r="G462" s="13" t="s">
        <v>30</v>
      </c>
      <c r="H462" s="11" t="n">
        <v>1110203</v>
      </c>
      <c r="I462" s="13" t="s">
        <v>100</v>
      </c>
      <c r="J462" s="14" t="n">
        <v>1406454</v>
      </c>
      <c r="K462" s="14"/>
      <c r="L462" s="11" t="n">
        <v>189386</v>
      </c>
      <c r="M462" s="13" t="s">
        <v>105</v>
      </c>
      <c r="N462" s="15" t="s">
        <v>41</v>
      </c>
      <c r="O462" s="15"/>
      <c r="P462" s="11" t="n">
        <v>113</v>
      </c>
      <c r="Q462" s="13" t="s">
        <v>34</v>
      </c>
      <c r="R462" s="13" t="s">
        <v>35</v>
      </c>
      <c r="S462" s="11" t="n">
        <v>1130101</v>
      </c>
      <c r="T462" s="13" t="s">
        <v>36</v>
      </c>
      <c r="U462" s="16" t="n">
        <v>920.12</v>
      </c>
      <c r="V462" s="16"/>
      <c r="W462" s="17" t="n">
        <v>0</v>
      </c>
      <c r="X462" s="15" t="s">
        <v>546</v>
      </c>
      <c r="Y462" s="15"/>
      <c r="Z462" s="1" t="str">
        <f aca="false">IF($T462="","",IFERROR(INDEX('Resumo Grupos'!$AC$3:$AC$2000,MATCH($T462,'Resumo Grupos'!$AB$3:$AB$2000,0)),"n/d"))</f>
        <v>Mercadoria</v>
      </c>
    </row>
    <row r="463" customFormat="false" ht="66.75" hidden="false" customHeight="true" outlineLevel="0" collapsed="false">
      <c r="A463" s="11" t="n">
        <v>2</v>
      </c>
      <c r="B463" s="12" t="n">
        <v>46219</v>
      </c>
      <c r="C463" s="12" t="n">
        <v>46237</v>
      </c>
      <c r="D463" s="11" t="n">
        <v>1636</v>
      </c>
      <c r="E463" s="13" t="s">
        <v>131</v>
      </c>
      <c r="F463" s="11" t="n">
        <v>24</v>
      </c>
      <c r="G463" s="13" t="s">
        <v>30</v>
      </c>
      <c r="H463" s="11" t="n">
        <v>1110203</v>
      </c>
      <c r="I463" s="13" t="s">
        <v>100</v>
      </c>
      <c r="J463" s="14" t="n">
        <v>1406470</v>
      </c>
      <c r="K463" s="14"/>
      <c r="L463" s="11" t="n">
        <v>189390</v>
      </c>
      <c r="M463" s="13" t="s">
        <v>105</v>
      </c>
      <c r="N463" s="15" t="s">
        <v>41</v>
      </c>
      <c r="O463" s="15"/>
      <c r="P463" s="11" t="n">
        <v>113</v>
      </c>
      <c r="Q463" s="13" t="s">
        <v>34</v>
      </c>
      <c r="R463" s="13" t="s">
        <v>35</v>
      </c>
      <c r="S463" s="11" t="n">
        <v>1130101</v>
      </c>
      <c r="T463" s="13" t="s">
        <v>36</v>
      </c>
      <c r="U463" s="16" t="n">
        <v>920.12</v>
      </c>
      <c r="V463" s="16"/>
      <c r="W463" s="17" t="n">
        <v>0</v>
      </c>
      <c r="X463" s="15" t="s">
        <v>546</v>
      </c>
      <c r="Y463" s="15"/>
      <c r="Z463" s="1" t="str">
        <f aca="false">IF($T463="","",IFERROR(INDEX('Resumo Grupos'!$AC$3:$AC$2000,MATCH($T463,'Resumo Grupos'!$AB$3:$AB$2000,0)),"n/d"))</f>
        <v>Mercadoria</v>
      </c>
    </row>
    <row r="464" customFormat="false" ht="66.75" hidden="false" customHeight="true" outlineLevel="0" collapsed="false">
      <c r="A464" s="11" t="n">
        <v>2</v>
      </c>
      <c r="B464" s="12" t="n">
        <v>46219</v>
      </c>
      <c r="C464" s="12" t="n">
        <v>46225</v>
      </c>
      <c r="D464" s="11" t="n">
        <v>1699</v>
      </c>
      <c r="E464" s="13" t="s">
        <v>290</v>
      </c>
      <c r="F464" s="11" t="n">
        <v>24</v>
      </c>
      <c r="G464" s="13" t="s">
        <v>30</v>
      </c>
      <c r="H464" s="11" t="n">
        <v>1110203</v>
      </c>
      <c r="I464" s="13" t="s">
        <v>100</v>
      </c>
      <c r="J464" s="14" t="n">
        <v>1406622</v>
      </c>
      <c r="K464" s="14"/>
      <c r="L464" s="11" t="n">
        <v>189408</v>
      </c>
      <c r="M464" s="13" t="s">
        <v>105</v>
      </c>
      <c r="N464" s="15" t="s">
        <v>41</v>
      </c>
      <c r="O464" s="15"/>
      <c r="P464" s="11" t="n">
        <v>113</v>
      </c>
      <c r="Q464" s="13" t="s">
        <v>34</v>
      </c>
      <c r="R464" s="13" t="s">
        <v>35</v>
      </c>
      <c r="S464" s="11" t="n">
        <v>1130101</v>
      </c>
      <c r="T464" s="13" t="s">
        <v>36</v>
      </c>
      <c r="U464" s="16" t="n">
        <v>1021.83</v>
      </c>
      <c r="V464" s="16"/>
      <c r="W464" s="17" t="n">
        <v>0</v>
      </c>
      <c r="X464" s="15" t="s">
        <v>547</v>
      </c>
      <c r="Y464" s="15"/>
      <c r="Z464" s="1" t="str">
        <f aca="false">IF($T464="","",IFERROR(INDEX('Resumo Grupos'!$AC$3:$AC$2000,MATCH($T464,'Resumo Grupos'!$AB$3:$AB$2000,0)),"n/d"))</f>
        <v>Mercadoria</v>
      </c>
    </row>
    <row r="465" customFormat="false" ht="66.75" hidden="false" customHeight="true" outlineLevel="0" collapsed="false">
      <c r="A465" s="11" t="n">
        <v>2</v>
      </c>
      <c r="B465" s="12" t="n">
        <v>46219</v>
      </c>
      <c r="C465" s="12" t="n">
        <v>46232</v>
      </c>
      <c r="D465" s="11" t="n">
        <v>1699</v>
      </c>
      <c r="E465" s="13" t="s">
        <v>290</v>
      </c>
      <c r="F465" s="11" t="n">
        <v>24</v>
      </c>
      <c r="G465" s="13" t="s">
        <v>30</v>
      </c>
      <c r="H465" s="11" t="n">
        <v>1110203</v>
      </c>
      <c r="I465" s="13" t="s">
        <v>100</v>
      </c>
      <c r="J465" s="14" t="n">
        <v>1406625</v>
      </c>
      <c r="K465" s="14"/>
      <c r="L465" s="11" t="n">
        <v>189423</v>
      </c>
      <c r="M465" s="13" t="s">
        <v>105</v>
      </c>
      <c r="N465" s="15" t="s">
        <v>41</v>
      </c>
      <c r="O465" s="15"/>
      <c r="P465" s="11" t="n">
        <v>113</v>
      </c>
      <c r="Q465" s="13" t="s">
        <v>34</v>
      </c>
      <c r="R465" s="13" t="s">
        <v>35</v>
      </c>
      <c r="S465" s="11" t="n">
        <v>1130101</v>
      </c>
      <c r="T465" s="13" t="s">
        <v>36</v>
      </c>
      <c r="U465" s="16" t="n">
        <v>1021.83</v>
      </c>
      <c r="V465" s="16"/>
      <c r="W465" s="17" t="n">
        <v>0</v>
      </c>
      <c r="X465" s="15" t="s">
        <v>547</v>
      </c>
      <c r="Y465" s="15"/>
      <c r="Z465" s="1" t="str">
        <f aca="false">IF($T465="","",IFERROR(INDEX('Resumo Grupos'!$AC$3:$AC$2000,MATCH($T465,'Resumo Grupos'!$AB$3:$AB$2000,0)),"n/d"))</f>
        <v>Mercadoria</v>
      </c>
    </row>
    <row r="466" customFormat="false" ht="66.75" hidden="false" customHeight="true" outlineLevel="0" collapsed="false">
      <c r="A466" s="11" t="n">
        <v>2</v>
      </c>
      <c r="B466" s="12" t="n">
        <v>46219</v>
      </c>
      <c r="C466" s="12" t="n">
        <v>46239</v>
      </c>
      <c r="D466" s="11" t="n">
        <v>1699</v>
      </c>
      <c r="E466" s="13" t="s">
        <v>290</v>
      </c>
      <c r="F466" s="11" t="n">
        <v>24</v>
      </c>
      <c r="G466" s="13" t="s">
        <v>30</v>
      </c>
      <c r="H466" s="11" t="n">
        <v>1110203</v>
      </c>
      <c r="I466" s="13" t="s">
        <v>100</v>
      </c>
      <c r="J466" s="14" t="n">
        <v>1406627</v>
      </c>
      <c r="K466" s="14"/>
      <c r="L466" s="11" t="n">
        <v>189424</v>
      </c>
      <c r="M466" s="13" t="s">
        <v>105</v>
      </c>
      <c r="N466" s="15" t="s">
        <v>41</v>
      </c>
      <c r="O466" s="15"/>
      <c r="P466" s="11" t="n">
        <v>113</v>
      </c>
      <c r="Q466" s="13" t="s">
        <v>34</v>
      </c>
      <c r="R466" s="13" t="s">
        <v>35</v>
      </c>
      <c r="S466" s="11" t="n">
        <v>1130101</v>
      </c>
      <c r="T466" s="13" t="s">
        <v>36</v>
      </c>
      <c r="U466" s="16" t="n">
        <v>1021.84</v>
      </c>
      <c r="V466" s="16"/>
      <c r="W466" s="17" t="n">
        <v>0</v>
      </c>
      <c r="X466" s="15" t="s">
        <v>547</v>
      </c>
      <c r="Y466" s="15"/>
      <c r="Z466" s="1" t="str">
        <f aca="false">IF($T466="","",IFERROR(INDEX('Resumo Grupos'!$AC$3:$AC$2000,MATCH($T466,'Resumo Grupos'!$AB$3:$AB$2000,0)),"n/d"))</f>
        <v>Mercadoria</v>
      </c>
    </row>
    <row r="467" customFormat="false" ht="48" hidden="false" customHeight="true" outlineLevel="0" collapsed="false">
      <c r="A467" s="11" t="n">
        <v>2</v>
      </c>
      <c r="B467" s="12" t="n">
        <v>46219</v>
      </c>
      <c r="C467" s="12" t="n">
        <v>46226</v>
      </c>
      <c r="D467" s="11" t="n">
        <v>1292</v>
      </c>
      <c r="E467" s="13" t="s">
        <v>317</v>
      </c>
      <c r="F467" s="11" t="n">
        <v>24</v>
      </c>
      <c r="G467" s="13" t="s">
        <v>30</v>
      </c>
      <c r="H467" s="11" t="n">
        <v>1110203</v>
      </c>
      <c r="I467" s="13" t="s">
        <v>100</v>
      </c>
      <c r="J467" s="14" t="n">
        <v>1406917</v>
      </c>
      <c r="K467" s="14"/>
      <c r="L467" s="11" t="n">
        <v>189514</v>
      </c>
      <c r="M467" s="13" t="s">
        <v>105</v>
      </c>
      <c r="N467" s="15" t="s">
        <v>41</v>
      </c>
      <c r="O467" s="15"/>
      <c r="P467" s="11" t="n">
        <v>113</v>
      </c>
      <c r="Q467" s="13" t="s">
        <v>34</v>
      </c>
      <c r="R467" s="13" t="s">
        <v>35</v>
      </c>
      <c r="S467" s="11" t="n">
        <v>1130101</v>
      </c>
      <c r="T467" s="13" t="s">
        <v>36</v>
      </c>
      <c r="U467" s="16" t="n">
        <v>533.5</v>
      </c>
      <c r="V467" s="16"/>
      <c r="W467" s="17" t="n">
        <v>0</v>
      </c>
      <c r="X467" s="15" t="s">
        <v>548</v>
      </c>
      <c r="Y467" s="15"/>
      <c r="Z467" s="1" t="str">
        <f aca="false">IF($T467="","",IFERROR(INDEX('Resumo Grupos'!$AC$3:$AC$2000,MATCH($T467,'Resumo Grupos'!$AB$3:$AB$2000,0)),"n/d"))</f>
        <v>Mercadoria</v>
      </c>
    </row>
    <row r="468" customFormat="false" ht="28.5" hidden="false" customHeight="true" outlineLevel="0" collapsed="false">
      <c r="A468" s="11" t="n">
        <v>2</v>
      </c>
      <c r="B468" s="12" t="n">
        <v>46219</v>
      </c>
      <c r="C468" s="12" t="n">
        <v>46233</v>
      </c>
      <c r="D468" s="11" t="n">
        <v>1718</v>
      </c>
      <c r="E468" s="13" t="s">
        <v>180</v>
      </c>
      <c r="F468" s="11" t="n">
        <v>24</v>
      </c>
      <c r="G468" s="13" t="s">
        <v>30</v>
      </c>
      <c r="H468" s="11" t="n">
        <v>1110203</v>
      </c>
      <c r="I468" s="13" t="s">
        <v>100</v>
      </c>
      <c r="J468" s="14" t="n">
        <v>1407317</v>
      </c>
      <c r="K468" s="14"/>
      <c r="L468" s="11" t="n">
        <v>189603</v>
      </c>
      <c r="M468" s="13" t="s">
        <v>105</v>
      </c>
      <c r="N468" s="15" t="s">
        <v>41</v>
      </c>
      <c r="O468" s="15"/>
      <c r="P468" s="11" t="n">
        <v>113</v>
      </c>
      <c r="Q468" s="13" t="s">
        <v>34</v>
      </c>
      <c r="R468" s="13" t="s">
        <v>35</v>
      </c>
      <c r="S468" s="11" t="n">
        <v>1130101</v>
      </c>
      <c r="T468" s="13" t="s">
        <v>36</v>
      </c>
      <c r="U468" s="16" t="n">
        <v>580.89</v>
      </c>
      <c r="V468" s="16"/>
      <c r="W468" s="17" t="n">
        <v>0</v>
      </c>
      <c r="X468" s="15" t="s">
        <v>549</v>
      </c>
      <c r="Y468" s="15"/>
      <c r="Z468" s="1" t="str">
        <f aca="false">IF($T468="","",IFERROR(INDEX('Resumo Grupos'!$AC$3:$AC$2000,MATCH($T468,'Resumo Grupos'!$AB$3:$AB$2000,0)),"n/d"))</f>
        <v>Mercadoria</v>
      </c>
    </row>
    <row r="469" customFormat="false" ht="28.5" hidden="false" customHeight="true" outlineLevel="0" collapsed="false">
      <c r="A469" s="11" t="n">
        <v>2</v>
      </c>
      <c r="B469" s="12" t="n">
        <v>46219</v>
      </c>
      <c r="C469" s="12" t="n">
        <v>46240</v>
      </c>
      <c r="D469" s="11" t="n">
        <v>1718</v>
      </c>
      <c r="E469" s="13" t="s">
        <v>180</v>
      </c>
      <c r="F469" s="11" t="n">
        <v>24</v>
      </c>
      <c r="G469" s="13" t="s">
        <v>30</v>
      </c>
      <c r="H469" s="11" t="n">
        <v>1110203</v>
      </c>
      <c r="I469" s="13" t="s">
        <v>100</v>
      </c>
      <c r="J469" s="14" t="n">
        <v>1407321</v>
      </c>
      <c r="K469" s="14"/>
      <c r="L469" s="11" t="n">
        <v>189605</v>
      </c>
      <c r="M469" s="13" t="s">
        <v>105</v>
      </c>
      <c r="N469" s="15" t="s">
        <v>41</v>
      </c>
      <c r="O469" s="15"/>
      <c r="P469" s="11" t="n">
        <v>113</v>
      </c>
      <c r="Q469" s="13" t="s">
        <v>34</v>
      </c>
      <c r="R469" s="13" t="s">
        <v>35</v>
      </c>
      <c r="S469" s="11" t="n">
        <v>1130101</v>
      </c>
      <c r="T469" s="13" t="s">
        <v>36</v>
      </c>
      <c r="U469" s="16" t="n">
        <v>580.89</v>
      </c>
      <c r="V469" s="16"/>
      <c r="W469" s="17" t="n">
        <v>0</v>
      </c>
      <c r="X469" s="15" t="s">
        <v>549</v>
      </c>
      <c r="Y469" s="15"/>
      <c r="Z469" s="1" t="str">
        <f aca="false">IF($T469="","",IFERROR(INDEX('Resumo Grupos'!$AC$3:$AC$2000,MATCH($T469,'Resumo Grupos'!$AB$3:$AB$2000,0)),"n/d"))</f>
        <v>Mercadoria</v>
      </c>
    </row>
    <row r="470" customFormat="false" ht="28.5" hidden="false" customHeight="true" outlineLevel="0" collapsed="false">
      <c r="A470" s="11" t="n">
        <v>2</v>
      </c>
      <c r="B470" s="12" t="n">
        <v>46219</v>
      </c>
      <c r="C470" s="12" t="n">
        <v>46247</v>
      </c>
      <c r="D470" s="11" t="n">
        <v>1718</v>
      </c>
      <c r="E470" s="13" t="s">
        <v>180</v>
      </c>
      <c r="F470" s="11" t="n">
        <v>24</v>
      </c>
      <c r="G470" s="13" t="s">
        <v>30</v>
      </c>
      <c r="H470" s="11" t="n">
        <v>1110203</v>
      </c>
      <c r="I470" s="13" t="s">
        <v>100</v>
      </c>
      <c r="J470" s="14" t="n">
        <v>1407330</v>
      </c>
      <c r="K470" s="14"/>
      <c r="L470" s="11" t="n">
        <v>189607</v>
      </c>
      <c r="M470" s="13" t="s">
        <v>105</v>
      </c>
      <c r="N470" s="15" t="s">
        <v>41</v>
      </c>
      <c r="O470" s="15"/>
      <c r="P470" s="11" t="n">
        <v>113</v>
      </c>
      <c r="Q470" s="13" t="s">
        <v>34</v>
      </c>
      <c r="R470" s="13" t="s">
        <v>35</v>
      </c>
      <c r="S470" s="11" t="n">
        <v>1130101</v>
      </c>
      <c r="T470" s="13" t="s">
        <v>36</v>
      </c>
      <c r="U470" s="16" t="n">
        <v>580.9</v>
      </c>
      <c r="V470" s="16"/>
      <c r="W470" s="17" t="n">
        <v>0</v>
      </c>
      <c r="X470" s="15" t="s">
        <v>549</v>
      </c>
      <c r="Y470" s="15"/>
      <c r="Z470" s="1" t="str">
        <f aca="false">IF($T470="","",IFERROR(INDEX('Resumo Grupos'!$AC$3:$AC$2000,MATCH($T470,'Resumo Grupos'!$AB$3:$AB$2000,0)),"n/d"))</f>
        <v>Mercadoria</v>
      </c>
    </row>
    <row r="471" customFormat="false" ht="28.5" hidden="false" customHeight="true" outlineLevel="0" collapsed="false">
      <c r="A471" s="11" t="n">
        <v>2</v>
      </c>
      <c r="B471" s="12" t="n">
        <v>46219</v>
      </c>
      <c r="C471" s="12" t="n">
        <v>46225</v>
      </c>
      <c r="D471" s="11" t="n">
        <v>1625</v>
      </c>
      <c r="E471" s="13" t="s">
        <v>303</v>
      </c>
      <c r="F471" s="11" t="n">
        <v>24</v>
      </c>
      <c r="G471" s="13" t="s">
        <v>30</v>
      </c>
      <c r="H471" s="11" t="n">
        <v>1110203</v>
      </c>
      <c r="I471" s="13" t="s">
        <v>100</v>
      </c>
      <c r="J471" s="14" t="n">
        <v>1407422</v>
      </c>
      <c r="K471" s="14"/>
      <c r="L471" s="11" t="n">
        <v>189622</v>
      </c>
      <c r="M471" s="13" t="s">
        <v>105</v>
      </c>
      <c r="N471" s="15" t="s">
        <v>41</v>
      </c>
      <c r="O471" s="15"/>
      <c r="P471" s="11" t="n">
        <v>113</v>
      </c>
      <c r="Q471" s="13" t="s">
        <v>34</v>
      </c>
      <c r="R471" s="13" t="s">
        <v>35</v>
      </c>
      <c r="S471" s="11" t="n">
        <v>1130101</v>
      </c>
      <c r="T471" s="13" t="s">
        <v>36</v>
      </c>
      <c r="U471" s="16" t="n">
        <v>4093.4</v>
      </c>
      <c r="V471" s="16"/>
      <c r="W471" s="17" t="n">
        <v>0</v>
      </c>
      <c r="X471" s="15" t="s">
        <v>550</v>
      </c>
      <c r="Y471" s="15"/>
      <c r="Z471" s="1" t="str">
        <f aca="false">IF($T471="","",IFERROR(INDEX('Resumo Grupos'!$AC$3:$AC$2000,MATCH($T471,'Resumo Grupos'!$AB$3:$AB$2000,0)),"n/d"))</f>
        <v>Mercadoria</v>
      </c>
    </row>
    <row r="472" customFormat="false" ht="39" hidden="false" customHeight="true" outlineLevel="0" collapsed="false">
      <c r="A472" s="11" t="n">
        <v>2</v>
      </c>
      <c r="B472" s="12" t="n">
        <v>46219</v>
      </c>
      <c r="C472" s="12" t="n">
        <v>46226</v>
      </c>
      <c r="D472" s="11" t="n">
        <v>1740</v>
      </c>
      <c r="E472" s="13" t="s">
        <v>453</v>
      </c>
      <c r="F472" s="11" t="n">
        <v>24</v>
      </c>
      <c r="G472" s="13" t="s">
        <v>30</v>
      </c>
      <c r="H472" s="11" t="n">
        <v>1110203</v>
      </c>
      <c r="I472" s="13" t="s">
        <v>100</v>
      </c>
      <c r="J472" s="14" t="n">
        <v>1407539</v>
      </c>
      <c r="K472" s="14"/>
      <c r="L472" s="11" t="n">
        <v>189642</v>
      </c>
      <c r="M472" s="13" t="s">
        <v>105</v>
      </c>
      <c r="N472" s="15" t="s">
        <v>41</v>
      </c>
      <c r="O472" s="15"/>
      <c r="P472" s="11" t="n">
        <v>113</v>
      </c>
      <c r="Q472" s="13" t="s">
        <v>34</v>
      </c>
      <c r="R472" s="13" t="s">
        <v>35</v>
      </c>
      <c r="S472" s="11" t="n">
        <v>1130101</v>
      </c>
      <c r="T472" s="13" t="s">
        <v>36</v>
      </c>
      <c r="U472" s="16" t="n">
        <v>593.78</v>
      </c>
      <c r="V472" s="16"/>
      <c r="W472" s="17" t="n">
        <v>0</v>
      </c>
      <c r="X472" s="15" t="s">
        <v>551</v>
      </c>
      <c r="Y472" s="15"/>
      <c r="Z472" s="1" t="str">
        <f aca="false">IF($T472="","",IFERROR(INDEX('Resumo Grupos'!$AC$3:$AC$2000,MATCH($T472,'Resumo Grupos'!$AB$3:$AB$2000,0)),"n/d"))</f>
        <v>Mercadoria</v>
      </c>
    </row>
    <row r="473" customFormat="false" ht="28.5" hidden="false" customHeight="true" outlineLevel="0" collapsed="false">
      <c r="A473" s="11" t="n">
        <v>2</v>
      </c>
      <c r="B473" s="12" t="n">
        <v>46219</v>
      </c>
      <c r="C473" s="12" t="n">
        <v>46210</v>
      </c>
      <c r="D473" s="11" t="n">
        <v>1932</v>
      </c>
      <c r="E473" s="13" t="s">
        <v>552</v>
      </c>
      <c r="F473" s="11" t="n">
        <v>34</v>
      </c>
      <c r="G473" s="13" t="s">
        <v>87</v>
      </c>
      <c r="H473" s="11" t="n">
        <v>1110203</v>
      </c>
      <c r="I473" s="13" t="s">
        <v>100</v>
      </c>
      <c r="J473" s="14" t="n">
        <v>460357</v>
      </c>
      <c r="K473" s="14"/>
      <c r="L473" s="11" t="n">
        <v>59537</v>
      </c>
      <c r="M473" s="13" t="s">
        <v>32</v>
      </c>
      <c r="N473" s="15" t="s">
        <v>41</v>
      </c>
      <c r="O473" s="15"/>
      <c r="P473" s="11" t="n">
        <v>102</v>
      </c>
      <c r="Q473" s="13" t="s">
        <v>354</v>
      </c>
      <c r="R473" s="13" t="s">
        <v>191</v>
      </c>
      <c r="S473" s="11" t="n">
        <v>4210315</v>
      </c>
      <c r="T473" s="13" t="s">
        <v>192</v>
      </c>
      <c r="U473" s="16" t="n">
        <v>119.97</v>
      </c>
      <c r="V473" s="16"/>
      <c r="W473" s="17" t="n">
        <v>0</v>
      </c>
      <c r="X473" s="15" t="s">
        <v>193</v>
      </c>
      <c r="Y473" s="15"/>
      <c r="Z473" s="1" t="str">
        <f aca="false">IF($T473="","",IFERROR(INDEX('Resumo Grupos'!$AC$3:$AC$2000,MATCH($T473,'Resumo Grupos'!$AB$3:$AB$2000,0)),"n/d"))</f>
        <v>Despesa</v>
      </c>
    </row>
    <row r="474" customFormat="false" ht="57" hidden="false" customHeight="true" outlineLevel="0" collapsed="false">
      <c r="A474" s="11" t="n">
        <v>2</v>
      </c>
      <c r="B474" s="12" t="n">
        <v>46220</v>
      </c>
      <c r="C474" s="12" t="n">
        <v>46226</v>
      </c>
      <c r="D474" s="11" t="n">
        <v>1363</v>
      </c>
      <c r="E474" s="13" t="s">
        <v>313</v>
      </c>
      <c r="F474" s="11" t="n">
        <v>24</v>
      </c>
      <c r="G474" s="13" t="s">
        <v>30</v>
      </c>
      <c r="H474" s="11" t="n">
        <v>1110203</v>
      </c>
      <c r="I474" s="13" t="s">
        <v>100</v>
      </c>
      <c r="J474" s="14" t="n">
        <v>1410440</v>
      </c>
      <c r="K474" s="14"/>
      <c r="L474" s="11" t="n">
        <v>190050</v>
      </c>
      <c r="M474" s="13" t="s">
        <v>105</v>
      </c>
      <c r="N474" s="15" t="s">
        <v>41</v>
      </c>
      <c r="O474" s="15"/>
      <c r="P474" s="11" t="n">
        <v>113</v>
      </c>
      <c r="Q474" s="13" t="s">
        <v>34</v>
      </c>
      <c r="R474" s="13" t="s">
        <v>35</v>
      </c>
      <c r="S474" s="11" t="n">
        <v>1130101</v>
      </c>
      <c r="T474" s="13" t="s">
        <v>36</v>
      </c>
      <c r="U474" s="16" t="n">
        <v>125</v>
      </c>
      <c r="V474" s="16"/>
      <c r="W474" s="17" t="n">
        <v>0</v>
      </c>
      <c r="X474" s="15" t="s">
        <v>553</v>
      </c>
      <c r="Y474" s="15"/>
      <c r="Z474" s="1" t="str">
        <f aca="false">IF($T474="","",IFERROR(INDEX('Resumo Grupos'!$AC$3:$AC$2000,MATCH($T474,'Resumo Grupos'!$AB$3:$AB$2000,0)),"n/d"))</f>
        <v>Mercadoria</v>
      </c>
    </row>
    <row r="475" customFormat="false" ht="48" hidden="false" customHeight="true" outlineLevel="0" collapsed="false">
      <c r="A475" s="11" t="n">
        <v>2</v>
      </c>
      <c r="B475" s="12" t="n">
        <v>46220</v>
      </c>
      <c r="C475" s="12" t="n">
        <v>46227</v>
      </c>
      <c r="D475" s="11" t="n">
        <v>1642</v>
      </c>
      <c r="E475" s="13" t="s">
        <v>281</v>
      </c>
      <c r="F475" s="11" t="n">
        <v>24</v>
      </c>
      <c r="G475" s="13" t="s">
        <v>30</v>
      </c>
      <c r="H475" s="11" t="n">
        <v>1110203</v>
      </c>
      <c r="I475" s="13" t="s">
        <v>100</v>
      </c>
      <c r="J475" s="14" t="n">
        <v>1410452</v>
      </c>
      <c r="K475" s="14"/>
      <c r="L475" s="11" t="n">
        <v>190056</v>
      </c>
      <c r="M475" s="13" t="s">
        <v>105</v>
      </c>
      <c r="N475" s="15" t="s">
        <v>41</v>
      </c>
      <c r="O475" s="15"/>
      <c r="P475" s="11" t="n">
        <v>113</v>
      </c>
      <c r="Q475" s="13" t="s">
        <v>34</v>
      </c>
      <c r="R475" s="13" t="s">
        <v>35</v>
      </c>
      <c r="S475" s="11" t="n">
        <v>1130101</v>
      </c>
      <c r="T475" s="13" t="s">
        <v>36</v>
      </c>
      <c r="U475" s="16" t="n">
        <v>254.6</v>
      </c>
      <c r="V475" s="16"/>
      <c r="W475" s="17" t="n">
        <v>0</v>
      </c>
      <c r="X475" s="15" t="s">
        <v>554</v>
      </c>
      <c r="Y475" s="15"/>
      <c r="Z475" s="1" t="str">
        <f aca="false">IF($T475="","",IFERROR(INDEX('Resumo Grupos'!$AC$3:$AC$2000,MATCH($T475,'Resumo Grupos'!$AB$3:$AB$2000,0)),"n/d"))</f>
        <v>Mercadoria</v>
      </c>
    </row>
    <row r="476" customFormat="false" ht="57" hidden="false" customHeight="true" outlineLevel="0" collapsed="false">
      <c r="A476" s="11" t="n">
        <v>2</v>
      </c>
      <c r="B476" s="12" t="n">
        <v>46220</v>
      </c>
      <c r="C476" s="12" t="n">
        <v>46224</v>
      </c>
      <c r="D476" s="11" t="n">
        <v>1899</v>
      </c>
      <c r="E476" s="13" t="s">
        <v>287</v>
      </c>
      <c r="F476" s="11" t="n">
        <v>24</v>
      </c>
      <c r="G476" s="13" t="s">
        <v>30</v>
      </c>
      <c r="H476" s="11" t="n">
        <v>1110203</v>
      </c>
      <c r="I476" s="13" t="s">
        <v>100</v>
      </c>
      <c r="J476" s="14" t="n">
        <v>1410473</v>
      </c>
      <c r="K476" s="14"/>
      <c r="L476" s="11" t="n">
        <v>190060</v>
      </c>
      <c r="M476" s="13" t="s">
        <v>105</v>
      </c>
      <c r="N476" s="15" t="s">
        <v>41</v>
      </c>
      <c r="O476" s="15"/>
      <c r="P476" s="11" t="n">
        <v>113</v>
      </c>
      <c r="Q476" s="13" t="s">
        <v>34</v>
      </c>
      <c r="R476" s="13" t="s">
        <v>35</v>
      </c>
      <c r="S476" s="11" t="n">
        <v>1130101</v>
      </c>
      <c r="T476" s="13" t="s">
        <v>36</v>
      </c>
      <c r="U476" s="16" t="n">
        <v>184.9</v>
      </c>
      <c r="V476" s="16"/>
      <c r="W476" s="17" t="n">
        <v>0</v>
      </c>
      <c r="X476" s="15" t="s">
        <v>555</v>
      </c>
      <c r="Y476" s="15"/>
      <c r="Z476" s="1" t="str">
        <f aca="false">IF($T476="","",IFERROR(INDEX('Resumo Grupos'!$AC$3:$AC$2000,MATCH($T476,'Resumo Grupos'!$AB$3:$AB$2000,0)),"n/d"))</f>
        <v>Mercadoria</v>
      </c>
    </row>
    <row r="477" customFormat="false" ht="28.5" hidden="false" customHeight="true" outlineLevel="0" collapsed="false">
      <c r="A477" s="11" t="n">
        <v>2</v>
      </c>
      <c r="B477" s="12" t="n">
        <v>46220</v>
      </c>
      <c r="C477" s="12" t="n">
        <v>46234</v>
      </c>
      <c r="D477" s="11" t="n">
        <v>1675</v>
      </c>
      <c r="E477" s="13" t="s">
        <v>505</v>
      </c>
      <c r="F477" s="11" t="n">
        <v>24</v>
      </c>
      <c r="G477" s="13" t="s">
        <v>30</v>
      </c>
      <c r="H477" s="11" t="n">
        <v>1110203</v>
      </c>
      <c r="I477" s="13" t="s">
        <v>100</v>
      </c>
      <c r="J477" s="14" t="n">
        <v>1410478</v>
      </c>
      <c r="K477" s="14"/>
      <c r="L477" s="11" t="n">
        <v>190062</v>
      </c>
      <c r="M477" s="13" t="s">
        <v>105</v>
      </c>
      <c r="N477" s="15" t="s">
        <v>41</v>
      </c>
      <c r="O477" s="15"/>
      <c r="P477" s="11" t="n">
        <v>113</v>
      </c>
      <c r="Q477" s="13" t="s">
        <v>34</v>
      </c>
      <c r="R477" s="13" t="s">
        <v>35</v>
      </c>
      <c r="S477" s="11" t="n">
        <v>1130101</v>
      </c>
      <c r="T477" s="13" t="s">
        <v>36</v>
      </c>
      <c r="U477" s="16" t="n">
        <v>308.88</v>
      </c>
      <c r="V477" s="16"/>
      <c r="W477" s="17" t="n">
        <v>0</v>
      </c>
      <c r="X477" s="15" t="s">
        <v>556</v>
      </c>
      <c r="Y477" s="15"/>
      <c r="Z477" s="1" t="str">
        <f aca="false">IF($T477="","",IFERROR(INDEX('Resumo Grupos'!$AC$3:$AC$2000,MATCH($T477,'Resumo Grupos'!$AB$3:$AB$2000,0)),"n/d"))</f>
        <v>Mercadoria</v>
      </c>
    </row>
    <row r="478" customFormat="false" ht="48" hidden="false" customHeight="true" outlineLevel="0" collapsed="false">
      <c r="A478" s="11" t="n">
        <v>2</v>
      </c>
      <c r="B478" s="12" t="n">
        <v>46220</v>
      </c>
      <c r="C478" s="12" t="n">
        <v>46231</v>
      </c>
      <c r="D478" s="11" t="n">
        <v>1676</v>
      </c>
      <c r="E478" s="13" t="s">
        <v>188</v>
      </c>
      <c r="F478" s="11" t="n">
        <v>24</v>
      </c>
      <c r="G478" s="13" t="s">
        <v>30</v>
      </c>
      <c r="H478" s="11" t="n">
        <v>1110203</v>
      </c>
      <c r="I478" s="13" t="s">
        <v>100</v>
      </c>
      <c r="J478" s="14" t="n">
        <v>1410574</v>
      </c>
      <c r="K478" s="14"/>
      <c r="L478" s="11" t="n">
        <v>190080</v>
      </c>
      <c r="M478" s="13" t="s">
        <v>105</v>
      </c>
      <c r="N478" s="15" t="s">
        <v>41</v>
      </c>
      <c r="O478" s="15"/>
      <c r="P478" s="11" t="n">
        <v>113</v>
      </c>
      <c r="Q478" s="13" t="s">
        <v>34</v>
      </c>
      <c r="R478" s="13" t="s">
        <v>35</v>
      </c>
      <c r="S478" s="11" t="n">
        <v>1130101</v>
      </c>
      <c r="T478" s="13" t="s">
        <v>36</v>
      </c>
      <c r="U478" s="16" t="n">
        <v>505.57</v>
      </c>
      <c r="V478" s="16"/>
      <c r="W478" s="17" t="n">
        <v>0</v>
      </c>
      <c r="X478" s="15" t="s">
        <v>557</v>
      </c>
      <c r="Y478" s="15"/>
      <c r="Z478" s="1" t="str">
        <f aca="false">IF($T478="","",IFERROR(INDEX('Resumo Grupos'!$AC$3:$AC$2000,MATCH($T478,'Resumo Grupos'!$AB$3:$AB$2000,0)),"n/d"))</f>
        <v>Mercadoria</v>
      </c>
    </row>
    <row r="479" customFormat="false" ht="48" hidden="false" customHeight="true" outlineLevel="0" collapsed="false">
      <c r="A479" s="11" t="n">
        <v>2</v>
      </c>
      <c r="B479" s="12" t="n">
        <v>46220</v>
      </c>
      <c r="C479" s="12" t="n">
        <v>46238</v>
      </c>
      <c r="D479" s="11" t="n">
        <v>1676</v>
      </c>
      <c r="E479" s="13" t="s">
        <v>188</v>
      </c>
      <c r="F479" s="11" t="n">
        <v>24</v>
      </c>
      <c r="G479" s="13" t="s">
        <v>30</v>
      </c>
      <c r="H479" s="11" t="n">
        <v>1110203</v>
      </c>
      <c r="I479" s="13" t="s">
        <v>100</v>
      </c>
      <c r="J479" s="14" t="n">
        <v>1410577</v>
      </c>
      <c r="K479" s="14"/>
      <c r="L479" s="11" t="n">
        <v>190085</v>
      </c>
      <c r="M479" s="13" t="s">
        <v>105</v>
      </c>
      <c r="N479" s="15" t="s">
        <v>41</v>
      </c>
      <c r="O479" s="15"/>
      <c r="P479" s="11" t="n">
        <v>113</v>
      </c>
      <c r="Q479" s="13" t="s">
        <v>34</v>
      </c>
      <c r="R479" s="13" t="s">
        <v>35</v>
      </c>
      <c r="S479" s="11" t="n">
        <v>1130101</v>
      </c>
      <c r="T479" s="13" t="s">
        <v>36</v>
      </c>
      <c r="U479" s="16" t="n">
        <v>505.58</v>
      </c>
      <c r="V479" s="16"/>
      <c r="W479" s="17" t="n">
        <v>0</v>
      </c>
      <c r="X479" s="15" t="s">
        <v>557</v>
      </c>
      <c r="Y479" s="15"/>
      <c r="Z479" s="1" t="str">
        <f aca="false">IF($T479="","",IFERROR(INDEX('Resumo Grupos'!$AC$3:$AC$2000,MATCH($T479,'Resumo Grupos'!$AB$3:$AB$2000,0)),"n/d"))</f>
        <v>Mercadoria</v>
      </c>
    </row>
    <row r="480" customFormat="false" ht="28.5" hidden="false" customHeight="true" outlineLevel="0" collapsed="false">
      <c r="A480" s="11" t="n">
        <v>2</v>
      </c>
      <c r="B480" s="12" t="n">
        <v>46220</v>
      </c>
      <c r="C480" s="12" t="n">
        <v>46232</v>
      </c>
      <c r="D480" s="11" t="n">
        <v>1613</v>
      </c>
      <c r="E480" s="13" t="s">
        <v>133</v>
      </c>
      <c r="F480" s="11" t="n">
        <v>24</v>
      </c>
      <c r="G480" s="13" t="s">
        <v>30</v>
      </c>
      <c r="H480" s="11" t="n">
        <v>1110203</v>
      </c>
      <c r="I480" s="13" t="s">
        <v>100</v>
      </c>
      <c r="J480" s="14" t="n">
        <v>1410728</v>
      </c>
      <c r="K480" s="14"/>
      <c r="L480" s="11" t="n">
        <v>190119</v>
      </c>
      <c r="M480" s="13" t="s">
        <v>105</v>
      </c>
      <c r="N480" s="15" t="s">
        <v>41</v>
      </c>
      <c r="O480" s="15"/>
      <c r="P480" s="11" t="n">
        <v>113</v>
      </c>
      <c r="Q480" s="13" t="s">
        <v>34</v>
      </c>
      <c r="R480" s="13" t="s">
        <v>35</v>
      </c>
      <c r="S480" s="11" t="n">
        <v>1130101</v>
      </c>
      <c r="T480" s="13" t="s">
        <v>36</v>
      </c>
      <c r="U480" s="16" t="n">
        <v>512.49</v>
      </c>
      <c r="V480" s="16"/>
      <c r="W480" s="17" t="n">
        <v>0</v>
      </c>
      <c r="X480" s="15" t="s">
        <v>558</v>
      </c>
      <c r="Y480" s="15"/>
      <c r="Z480" s="1" t="str">
        <f aca="false">IF($T480="","",IFERROR(INDEX('Resumo Grupos'!$AC$3:$AC$2000,MATCH($T480,'Resumo Grupos'!$AB$3:$AB$2000,0)),"n/d"))</f>
        <v>Mercadoria</v>
      </c>
    </row>
    <row r="481" customFormat="false" ht="28.5" hidden="false" customHeight="true" outlineLevel="0" collapsed="false">
      <c r="A481" s="11" t="n">
        <v>2</v>
      </c>
      <c r="B481" s="12" t="n">
        <v>46220</v>
      </c>
      <c r="C481" s="12" t="n">
        <v>46239</v>
      </c>
      <c r="D481" s="11" t="n">
        <v>1613</v>
      </c>
      <c r="E481" s="13" t="s">
        <v>133</v>
      </c>
      <c r="F481" s="11" t="n">
        <v>24</v>
      </c>
      <c r="G481" s="13" t="s">
        <v>30</v>
      </c>
      <c r="H481" s="11" t="n">
        <v>1110203</v>
      </c>
      <c r="I481" s="13" t="s">
        <v>100</v>
      </c>
      <c r="J481" s="14" t="n">
        <v>1410738</v>
      </c>
      <c r="K481" s="14"/>
      <c r="L481" s="11" t="n">
        <v>190120</v>
      </c>
      <c r="M481" s="13" t="s">
        <v>105</v>
      </c>
      <c r="N481" s="15" t="s">
        <v>41</v>
      </c>
      <c r="O481" s="15"/>
      <c r="P481" s="11" t="n">
        <v>113</v>
      </c>
      <c r="Q481" s="13" t="s">
        <v>34</v>
      </c>
      <c r="R481" s="13" t="s">
        <v>35</v>
      </c>
      <c r="S481" s="11" t="n">
        <v>1130101</v>
      </c>
      <c r="T481" s="13" t="s">
        <v>36</v>
      </c>
      <c r="U481" s="16" t="n">
        <v>512.49</v>
      </c>
      <c r="V481" s="16"/>
      <c r="W481" s="17" t="n">
        <v>0</v>
      </c>
      <c r="X481" s="15" t="s">
        <v>558</v>
      </c>
      <c r="Y481" s="15"/>
      <c r="Z481" s="1" t="str">
        <f aca="false">IF($T481="","",IFERROR(INDEX('Resumo Grupos'!$AC$3:$AC$2000,MATCH($T481,'Resumo Grupos'!$AB$3:$AB$2000,0)),"n/d"))</f>
        <v>Mercadoria</v>
      </c>
    </row>
    <row r="482" customFormat="false" ht="28.5" hidden="false" customHeight="true" outlineLevel="0" collapsed="false">
      <c r="A482" s="11" t="n">
        <v>2</v>
      </c>
      <c r="B482" s="12" t="n">
        <v>46220</v>
      </c>
      <c r="C482" s="12" t="n">
        <v>46226</v>
      </c>
      <c r="D482" s="11" t="n">
        <v>1608</v>
      </c>
      <c r="E482" s="13" t="s">
        <v>127</v>
      </c>
      <c r="F482" s="11" t="n">
        <v>24</v>
      </c>
      <c r="G482" s="13" t="s">
        <v>30</v>
      </c>
      <c r="H482" s="11" t="n">
        <v>1110203</v>
      </c>
      <c r="I482" s="13" t="s">
        <v>100</v>
      </c>
      <c r="J482" s="14" t="n">
        <v>1410817</v>
      </c>
      <c r="K482" s="14"/>
      <c r="L482" s="11" t="n">
        <v>190131</v>
      </c>
      <c r="M482" s="13" t="s">
        <v>105</v>
      </c>
      <c r="N482" s="15" t="s">
        <v>41</v>
      </c>
      <c r="O482" s="15"/>
      <c r="P482" s="11" t="n">
        <v>113</v>
      </c>
      <c r="Q482" s="13" t="s">
        <v>34</v>
      </c>
      <c r="R482" s="13" t="s">
        <v>35</v>
      </c>
      <c r="S482" s="11" t="n">
        <v>1130101</v>
      </c>
      <c r="T482" s="13" t="s">
        <v>36</v>
      </c>
      <c r="U482" s="16" t="n">
        <v>281.82</v>
      </c>
      <c r="V482" s="16"/>
      <c r="W482" s="17" t="n">
        <v>0</v>
      </c>
      <c r="X482" s="15" t="s">
        <v>559</v>
      </c>
      <c r="Y482" s="15"/>
      <c r="Z482" s="1" t="str">
        <f aca="false">IF($T482="","",IFERROR(INDEX('Resumo Grupos'!$AC$3:$AC$2000,MATCH($T482,'Resumo Grupos'!$AB$3:$AB$2000,0)),"n/d"))</f>
        <v>Mercadoria</v>
      </c>
    </row>
    <row r="483" customFormat="false" ht="39" hidden="false" customHeight="true" outlineLevel="0" collapsed="false">
      <c r="A483" s="11" t="n">
        <v>2</v>
      </c>
      <c r="B483" s="12" t="n">
        <v>46220</v>
      </c>
      <c r="C483" s="12" t="n">
        <v>46226</v>
      </c>
      <c r="D483" s="11" t="n">
        <v>10018</v>
      </c>
      <c r="E483" s="13" t="s">
        <v>368</v>
      </c>
      <c r="F483" s="11" t="n">
        <v>34</v>
      </c>
      <c r="G483" s="13" t="s">
        <v>87</v>
      </c>
      <c r="H483" s="11" t="n">
        <v>1110203</v>
      </c>
      <c r="I483" s="13" t="s">
        <v>100</v>
      </c>
      <c r="J483" s="14" t="n">
        <v>1410836</v>
      </c>
      <c r="K483" s="14"/>
      <c r="L483" s="11" t="n">
        <v>190135</v>
      </c>
      <c r="M483" s="13" t="s">
        <v>105</v>
      </c>
      <c r="N483" s="15" t="s">
        <v>41</v>
      </c>
      <c r="O483" s="15"/>
      <c r="P483" s="11" t="n">
        <v>113</v>
      </c>
      <c r="Q483" s="13" t="s">
        <v>34</v>
      </c>
      <c r="R483" s="13" t="s">
        <v>35</v>
      </c>
      <c r="S483" s="11" t="n">
        <v>1130101</v>
      </c>
      <c r="T483" s="13" t="s">
        <v>36</v>
      </c>
      <c r="U483" s="16" t="n">
        <v>925</v>
      </c>
      <c r="V483" s="16"/>
      <c r="W483" s="17" t="n">
        <v>0</v>
      </c>
      <c r="X483" s="15" t="s">
        <v>351</v>
      </c>
      <c r="Y483" s="15"/>
      <c r="Z483" s="1" t="str">
        <f aca="false">IF($T483="","",IFERROR(INDEX('Resumo Grupos'!$AC$3:$AC$2000,MATCH($T483,'Resumo Grupos'!$AB$3:$AB$2000,0)),"n/d"))</f>
        <v>Mercadoria</v>
      </c>
    </row>
    <row r="484" customFormat="false" ht="39" hidden="false" customHeight="true" outlineLevel="0" collapsed="false">
      <c r="A484" s="11" t="n">
        <v>2</v>
      </c>
      <c r="B484" s="12" t="n">
        <v>46220</v>
      </c>
      <c r="C484" s="12" t="n">
        <v>46220</v>
      </c>
      <c r="D484" s="11" t="n">
        <v>48</v>
      </c>
      <c r="E484" s="13" t="s">
        <v>112</v>
      </c>
      <c r="F484" s="11" t="n">
        <v>13</v>
      </c>
      <c r="G484" s="13" t="s">
        <v>113</v>
      </c>
      <c r="H484" s="11" t="n">
        <v>2110101</v>
      </c>
      <c r="I484" s="13" t="s">
        <v>31</v>
      </c>
      <c r="J484" s="14" t="n">
        <v>1411314</v>
      </c>
      <c r="K484" s="14"/>
      <c r="L484" s="11" t="n">
        <v>2546</v>
      </c>
      <c r="M484" s="13" t="s">
        <v>105</v>
      </c>
      <c r="N484" s="15" t="s">
        <v>33</v>
      </c>
      <c r="O484" s="15"/>
      <c r="P484" s="11" t="n">
        <v>113</v>
      </c>
      <c r="Q484" s="13" t="s">
        <v>34</v>
      </c>
      <c r="R484" s="13" t="s">
        <v>35</v>
      </c>
      <c r="S484" s="11" t="n">
        <v>1130101</v>
      </c>
      <c r="T484" s="13" t="s">
        <v>36</v>
      </c>
      <c r="U484" s="16" t="n">
        <v>280</v>
      </c>
      <c r="V484" s="16"/>
      <c r="W484" s="17" t="n">
        <v>280</v>
      </c>
      <c r="X484" s="15" t="s">
        <v>560</v>
      </c>
      <c r="Y484" s="15"/>
      <c r="Z484" s="1" t="str">
        <f aca="false">IF($T484="","",IFERROR(INDEX('Resumo Grupos'!$AC$3:$AC$2000,MATCH($T484,'Resumo Grupos'!$AB$3:$AB$2000,0)),"n/d"))</f>
        <v>Mercadoria</v>
      </c>
    </row>
    <row r="485" customFormat="false" ht="39" hidden="false" customHeight="true" outlineLevel="0" collapsed="false">
      <c r="A485" s="11" t="n">
        <v>2</v>
      </c>
      <c r="B485" s="12" t="n">
        <v>46220</v>
      </c>
      <c r="C485" s="12" t="n">
        <v>46227</v>
      </c>
      <c r="D485" s="11" t="n">
        <v>1024</v>
      </c>
      <c r="E485" s="13" t="s">
        <v>277</v>
      </c>
      <c r="F485" s="11" t="n">
        <v>24</v>
      </c>
      <c r="G485" s="13" t="s">
        <v>30</v>
      </c>
      <c r="H485" s="11" t="n">
        <v>1110203</v>
      </c>
      <c r="I485" s="13" t="s">
        <v>100</v>
      </c>
      <c r="J485" s="14" t="n">
        <v>1411344</v>
      </c>
      <c r="K485" s="14"/>
      <c r="L485" s="11" t="n">
        <v>190273</v>
      </c>
      <c r="M485" s="13" t="s">
        <v>105</v>
      </c>
      <c r="N485" s="15" t="s">
        <v>41</v>
      </c>
      <c r="O485" s="15"/>
      <c r="P485" s="11" t="n">
        <v>113</v>
      </c>
      <c r="Q485" s="13" t="s">
        <v>34</v>
      </c>
      <c r="R485" s="13" t="s">
        <v>35</v>
      </c>
      <c r="S485" s="11" t="n">
        <v>1130101</v>
      </c>
      <c r="T485" s="13" t="s">
        <v>36</v>
      </c>
      <c r="U485" s="16" t="n">
        <v>189</v>
      </c>
      <c r="V485" s="16"/>
      <c r="W485" s="17" t="n">
        <v>0</v>
      </c>
      <c r="X485" s="15" t="s">
        <v>561</v>
      </c>
      <c r="Y485" s="15"/>
      <c r="Z485" s="1" t="str">
        <f aca="false">IF($T485="","",IFERROR(INDEX('Resumo Grupos'!$AC$3:$AC$2000,MATCH($T485,'Resumo Grupos'!$AB$3:$AB$2000,0)),"n/d"))</f>
        <v>Mercadoria</v>
      </c>
    </row>
    <row r="486" customFormat="false" ht="39" hidden="false" customHeight="true" outlineLevel="0" collapsed="false">
      <c r="A486" s="11" t="n">
        <v>2</v>
      </c>
      <c r="B486" s="12" t="n">
        <v>46220</v>
      </c>
      <c r="C486" s="12" t="n">
        <v>46220</v>
      </c>
      <c r="D486" s="11" t="n">
        <v>48</v>
      </c>
      <c r="E486" s="13" t="s">
        <v>112</v>
      </c>
      <c r="F486" s="11" t="n">
        <v>34</v>
      </c>
      <c r="G486" s="13" t="s">
        <v>87</v>
      </c>
      <c r="H486" s="11" t="n">
        <v>2110101</v>
      </c>
      <c r="I486" s="13" t="s">
        <v>31</v>
      </c>
      <c r="J486" s="14" t="n">
        <v>1411709</v>
      </c>
      <c r="K486" s="14"/>
      <c r="L486" s="11" t="n">
        <v>2547</v>
      </c>
      <c r="M486" s="13" t="s">
        <v>105</v>
      </c>
      <c r="N486" s="15" t="s">
        <v>33</v>
      </c>
      <c r="O486" s="15"/>
      <c r="P486" s="11" t="n">
        <v>113</v>
      </c>
      <c r="Q486" s="13" t="s">
        <v>34</v>
      </c>
      <c r="R486" s="13" t="s">
        <v>35</v>
      </c>
      <c r="S486" s="11" t="n">
        <v>1130101</v>
      </c>
      <c r="T486" s="13" t="s">
        <v>36</v>
      </c>
      <c r="U486" s="16" t="n">
        <v>1392.72</v>
      </c>
      <c r="V486" s="16"/>
      <c r="W486" s="17" t="n">
        <v>0</v>
      </c>
      <c r="X486" s="15" t="s">
        <v>403</v>
      </c>
      <c r="Y486" s="15"/>
      <c r="Z486" s="1" t="str">
        <f aca="false">IF($T486="","",IFERROR(INDEX('Resumo Grupos'!$AC$3:$AC$2000,MATCH($T486,'Resumo Grupos'!$AB$3:$AB$2000,0)),"n/d"))</f>
        <v>Mercadoria</v>
      </c>
    </row>
    <row r="487" customFormat="false" ht="28.5" hidden="false" customHeight="true" outlineLevel="0" collapsed="false">
      <c r="A487" s="11" t="n">
        <v>2</v>
      </c>
      <c r="B487" s="12" t="n">
        <v>46220</v>
      </c>
      <c r="C487" s="12" t="n">
        <v>46226</v>
      </c>
      <c r="D487" s="11" t="n">
        <v>1625</v>
      </c>
      <c r="E487" s="13" t="s">
        <v>303</v>
      </c>
      <c r="F487" s="11" t="n">
        <v>24</v>
      </c>
      <c r="G487" s="13" t="s">
        <v>30</v>
      </c>
      <c r="H487" s="11" t="n">
        <v>1110203</v>
      </c>
      <c r="I487" s="13" t="s">
        <v>100</v>
      </c>
      <c r="J487" s="14" t="n">
        <v>1411888</v>
      </c>
      <c r="K487" s="14"/>
      <c r="L487" s="11" t="n">
        <v>190383</v>
      </c>
      <c r="M487" s="13" t="s">
        <v>105</v>
      </c>
      <c r="N487" s="15" t="s">
        <v>41</v>
      </c>
      <c r="O487" s="15"/>
      <c r="P487" s="11" t="n">
        <v>113</v>
      </c>
      <c r="Q487" s="13" t="s">
        <v>34</v>
      </c>
      <c r="R487" s="13" t="s">
        <v>35</v>
      </c>
      <c r="S487" s="11" t="n">
        <v>1130101</v>
      </c>
      <c r="T487" s="13" t="s">
        <v>36</v>
      </c>
      <c r="U487" s="16" t="n">
        <v>1269.94</v>
      </c>
      <c r="V487" s="16"/>
      <c r="W487" s="17" t="n">
        <v>0</v>
      </c>
      <c r="X487" s="15" t="s">
        <v>562</v>
      </c>
      <c r="Y487" s="15"/>
      <c r="Z487" s="1" t="str">
        <f aca="false">IF($T487="","",IFERROR(INDEX('Resumo Grupos'!$AC$3:$AC$2000,MATCH($T487,'Resumo Grupos'!$AB$3:$AB$2000,0)),"n/d"))</f>
        <v>Mercadoria</v>
      </c>
    </row>
    <row r="488" customFormat="false" ht="28.5" hidden="false" customHeight="true" outlineLevel="0" collapsed="false">
      <c r="A488" s="11" t="n">
        <v>2</v>
      </c>
      <c r="B488" s="12" t="n">
        <v>46220</v>
      </c>
      <c r="C488" s="12" t="n">
        <v>46223</v>
      </c>
      <c r="D488" s="11" t="n">
        <v>10035</v>
      </c>
      <c r="E488" s="13" t="s">
        <v>298</v>
      </c>
      <c r="F488" s="11" t="n">
        <v>34</v>
      </c>
      <c r="G488" s="13" t="s">
        <v>87</v>
      </c>
      <c r="H488" s="11" t="n">
        <v>1110203</v>
      </c>
      <c r="I488" s="13" t="s">
        <v>100</v>
      </c>
      <c r="J488" s="14" t="n">
        <v>1412007</v>
      </c>
      <c r="K488" s="14"/>
      <c r="L488" s="11" t="n">
        <v>190402</v>
      </c>
      <c r="M488" s="13" t="s">
        <v>105</v>
      </c>
      <c r="N488" s="15" t="s">
        <v>41</v>
      </c>
      <c r="O488" s="15"/>
      <c r="P488" s="11" t="n">
        <v>113</v>
      </c>
      <c r="Q488" s="13" t="s">
        <v>34</v>
      </c>
      <c r="R488" s="13" t="s">
        <v>35</v>
      </c>
      <c r="S488" s="11" t="n">
        <v>1130101</v>
      </c>
      <c r="T488" s="13" t="s">
        <v>36</v>
      </c>
      <c r="U488" s="16" t="n">
        <v>228</v>
      </c>
      <c r="V488" s="16"/>
      <c r="W488" s="17" t="n">
        <v>0</v>
      </c>
      <c r="X488" s="15" t="s">
        <v>563</v>
      </c>
      <c r="Y488" s="15"/>
      <c r="Z488" s="1" t="str">
        <f aca="false">IF($T488="","",IFERROR(INDEX('Resumo Grupos'!$AC$3:$AC$2000,MATCH($T488,'Resumo Grupos'!$AB$3:$AB$2000,0)),"n/d"))</f>
        <v>Mercadoria</v>
      </c>
    </row>
    <row r="489" customFormat="false" ht="28.5" hidden="false" customHeight="true" outlineLevel="0" collapsed="false">
      <c r="A489" s="11" t="n">
        <v>2</v>
      </c>
      <c r="B489" s="12" t="n">
        <v>46221</v>
      </c>
      <c r="C489" s="12" t="n">
        <v>46234</v>
      </c>
      <c r="D489" s="11" t="n">
        <v>1683</v>
      </c>
      <c r="E489" s="13" t="s">
        <v>328</v>
      </c>
      <c r="F489" s="11" t="n">
        <v>34</v>
      </c>
      <c r="G489" s="13" t="s">
        <v>87</v>
      </c>
      <c r="H489" s="11" t="n">
        <v>1110203</v>
      </c>
      <c r="I489" s="13" t="s">
        <v>100</v>
      </c>
      <c r="J489" s="14" t="n">
        <v>1414678</v>
      </c>
      <c r="K489" s="14"/>
      <c r="L489" s="11" t="n">
        <v>190717</v>
      </c>
      <c r="M489" s="13" t="s">
        <v>105</v>
      </c>
      <c r="N489" s="15" t="s">
        <v>41</v>
      </c>
      <c r="O489" s="15"/>
      <c r="P489" s="11" t="n">
        <v>113</v>
      </c>
      <c r="Q489" s="13" t="s">
        <v>34</v>
      </c>
      <c r="R489" s="13" t="s">
        <v>35</v>
      </c>
      <c r="S489" s="11" t="n">
        <v>1130101</v>
      </c>
      <c r="T489" s="13" t="s">
        <v>36</v>
      </c>
      <c r="U489" s="16" t="n">
        <v>97.5</v>
      </c>
      <c r="V489" s="16"/>
      <c r="W489" s="17" t="n">
        <v>0</v>
      </c>
      <c r="X489" s="15" t="s">
        <v>564</v>
      </c>
      <c r="Y489" s="15"/>
      <c r="Z489" s="1" t="str">
        <f aca="false">IF($T489="","",IFERROR(INDEX('Resumo Grupos'!$AC$3:$AC$2000,MATCH($T489,'Resumo Grupos'!$AB$3:$AB$2000,0)),"n/d"))</f>
        <v>Mercadoria</v>
      </c>
    </row>
    <row r="490" customFormat="false" ht="66.75" hidden="false" customHeight="true" outlineLevel="0" collapsed="false">
      <c r="A490" s="11" t="n">
        <v>2</v>
      </c>
      <c r="B490" s="12" t="n">
        <v>46221</v>
      </c>
      <c r="C490" s="12" t="n">
        <v>46234</v>
      </c>
      <c r="D490" s="11" t="n">
        <v>1636</v>
      </c>
      <c r="E490" s="13" t="s">
        <v>131</v>
      </c>
      <c r="F490" s="11" t="n">
        <v>24</v>
      </c>
      <c r="G490" s="13" t="s">
        <v>30</v>
      </c>
      <c r="H490" s="11" t="n">
        <v>1110203</v>
      </c>
      <c r="I490" s="13" t="s">
        <v>100</v>
      </c>
      <c r="J490" s="14" t="n">
        <v>1414727</v>
      </c>
      <c r="K490" s="14"/>
      <c r="L490" s="11" t="n">
        <v>190725</v>
      </c>
      <c r="M490" s="13" t="s">
        <v>105</v>
      </c>
      <c r="N490" s="15" t="s">
        <v>41</v>
      </c>
      <c r="O490" s="15"/>
      <c r="P490" s="11" t="n">
        <v>113</v>
      </c>
      <c r="Q490" s="13" t="s">
        <v>34</v>
      </c>
      <c r="R490" s="13" t="s">
        <v>35</v>
      </c>
      <c r="S490" s="11" t="n">
        <v>1130101</v>
      </c>
      <c r="T490" s="13" t="s">
        <v>36</v>
      </c>
      <c r="U490" s="16" t="n">
        <v>159.4</v>
      </c>
      <c r="V490" s="16"/>
      <c r="W490" s="17" t="n">
        <v>0</v>
      </c>
      <c r="X490" s="15" t="s">
        <v>565</v>
      </c>
      <c r="Y490" s="15"/>
      <c r="Z490" s="1" t="str">
        <f aca="false">IF($T490="","",IFERROR(INDEX('Resumo Grupos'!$AC$3:$AC$2000,MATCH($T490,'Resumo Grupos'!$AB$3:$AB$2000,0)),"n/d"))</f>
        <v>Mercadoria</v>
      </c>
    </row>
    <row r="491" customFormat="false" ht="48" hidden="false" customHeight="true" outlineLevel="0" collapsed="false">
      <c r="A491" s="11" t="n">
        <v>2</v>
      </c>
      <c r="B491" s="12" t="n">
        <v>46221</v>
      </c>
      <c r="C491" s="12" t="n">
        <v>46224</v>
      </c>
      <c r="D491" s="11" t="n">
        <v>642</v>
      </c>
      <c r="E491" s="13" t="s">
        <v>315</v>
      </c>
      <c r="F491" s="11" t="n">
        <v>24</v>
      </c>
      <c r="G491" s="13" t="s">
        <v>30</v>
      </c>
      <c r="H491" s="11" t="n">
        <v>1110203</v>
      </c>
      <c r="I491" s="13" t="s">
        <v>100</v>
      </c>
      <c r="J491" s="14" t="n">
        <v>1414961</v>
      </c>
      <c r="K491" s="14"/>
      <c r="L491" s="11" t="n">
        <v>190754</v>
      </c>
      <c r="M491" s="13" t="s">
        <v>105</v>
      </c>
      <c r="N491" s="15" t="s">
        <v>41</v>
      </c>
      <c r="O491" s="15"/>
      <c r="P491" s="11" t="n">
        <v>113</v>
      </c>
      <c r="Q491" s="13" t="s">
        <v>34</v>
      </c>
      <c r="R491" s="13" t="s">
        <v>35</v>
      </c>
      <c r="S491" s="11" t="n">
        <v>1130101</v>
      </c>
      <c r="T491" s="13" t="s">
        <v>36</v>
      </c>
      <c r="U491" s="16" t="n">
        <v>180</v>
      </c>
      <c r="V491" s="16"/>
      <c r="W491" s="17" t="n">
        <v>0</v>
      </c>
      <c r="X491" s="15" t="s">
        <v>566</v>
      </c>
      <c r="Y491" s="15"/>
      <c r="Z491" s="1" t="str">
        <f aca="false">IF($T491="","",IFERROR(INDEX('Resumo Grupos'!$AC$3:$AC$2000,MATCH($T491,'Resumo Grupos'!$AB$3:$AB$2000,0)),"n/d"))</f>
        <v>Mercadoria</v>
      </c>
    </row>
    <row r="492" customFormat="false" ht="28.5" hidden="false" customHeight="true" outlineLevel="0" collapsed="false">
      <c r="A492" s="11" t="n">
        <v>2</v>
      </c>
      <c r="B492" s="12" t="n">
        <v>46221</v>
      </c>
      <c r="C492" s="12" t="n">
        <v>46241</v>
      </c>
      <c r="D492" s="11" t="n">
        <v>1402</v>
      </c>
      <c r="E492" s="13" t="s">
        <v>567</v>
      </c>
      <c r="F492" s="11" t="n">
        <v>24</v>
      </c>
      <c r="G492" s="13" t="s">
        <v>30</v>
      </c>
      <c r="H492" s="11" t="n">
        <v>2110405</v>
      </c>
      <c r="I492" s="13" t="s">
        <v>51</v>
      </c>
      <c r="J492" s="14" t="n">
        <v>1414989</v>
      </c>
      <c r="K492" s="14"/>
      <c r="L492" s="11" t="n">
        <v>190765</v>
      </c>
      <c r="M492" s="13" t="s">
        <v>105</v>
      </c>
      <c r="N492" s="15" t="s">
        <v>41</v>
      </c>
      <c r="O492" s="15"/>
      <c r="P492" s="11" t="n">
        <v>113</v>
      </c>
      <c r="Q492" s="13" t="s">
        <v>34</v>
      </c>
      <c r="R492" s="13" t="s">
        <v>60</v>
      </c>
      <c r="S492" s="11" t="n">
        <v>4210299</v>
      </c>
      <c r="T492" s="13" t="s">
        <v>233</v>
      </c>
      <c r="U492" s="16" t="n">
        <v>1109.15</v>
      </c>
      <c r="V492" s="16"/>
      <c r="W492" s="17" t="n">
        <v>0</v>
      </c>
      <c r="X492" s="15" t="s">
        <v>568</v>
      </c>
      <c r="Y492" s="15"/>
      <c r="Z492" s="1" t="str">
        <f aca="false">IF($T492="","",IFERROR(INDEX('Resumo Grupos'!$AC$3:$AC$2000,MATCH($T492,'Resumo Grupos'!$AB$3:$AB$2000,0)),"n/d"))</f>
        <v>Despesa</v>
      </c>
    </row>
    <row r="493" customFormat="false" ht="48" hidden="false" customHeight="true" outlineLevel="0" collapsed="false">
      <c r="A493" s="11" t="n">
        <v>2</v>
      </c>
      <c r="B493" s="12" t="n">
        <v>46221</v>
      </c>
      <c r="C493" s="12" t="n">
        <v>46244</v>
      </c>
      <c r="D493" s="11" t="n">
        <v>1671</v>
      </c>
      <c r="E493" s="13" t="s">
        <v>326</v>
      </c>
      <c r="F493" s="11" t="n">
        <v>24</v>
      </c>
      <c r="G493" s="13" t="s">
        <v>30</v>
      </c>
      <c r="H493" s="11" t="n">
        <v>1110203</v>
      </c>
      <c r="I493" s="13" t="s">
        <v>100</v>
      </c>
      <c r="J493" s="14" t="n">
        <v>1415173</v>
      </c>
      <c r="K493" s="14"/>
      <c r="L493" s="11" t="n">
        <v>190798</v>
      </c>
      <c r="M493" s="13" t="s">
        <v>105</v>
      </c>
      <c r="N493" s="15" t="s">
        <v>41</v>
      </c>
      <c r="O493" s="15"/>
      <c r="P493" s="11" t="n">
        <v>113</v>
      </c>
      <c r="Q493" s="13" t="s">
        <v>34</v>
      </c>
      <c r="R493" s="13" t="s">
        <v>35</v>
      </c>
      <c r="S493" s="11" t="n">
        <v>1130101</v>
      </c>
      <c r="T493" s="13" t="s">
        <v>36</v>
      </c>
      <c r="U493" s="16" t="n">
        <v>823.61</v>
      </c>
      <c r="V493" s="16"/>
      <c r="W493" s="17" t="n">
        <v>0</v>
      </c>
      <c r="X493" s="15" t="s">
        <v>569</v>
      </c>
      <c r="Y493" s="15"/>
      <c r="Z493" s="1" t="str">
        <f aca="false">IF($T493="","",IFERROR(INDEX('Resumo Grupos'!$AC$3:$AC$2000,MATCH($T493,'Resumo Grupos'!$AB$3:$AB$2000,0)),"n/d"))</f>
        <v>Mercadoria</v>
      </c>
    </row>
    <row r="494" customFormat="false" ht="48" hidden="false" customHeight="true" outlineLevel="0" collapsed="false">
      <c r="A494" s="11" t="n">
        <v>2</v>
      </c>
      <c r="B494" s="12" t="n">
        <v>46221</v>
      </c>
      <c r="C494" s="12" t="n">
        <v>46244</v>
      </c>
      <c r="D494" s="11" t="n">
        <v>1671</v>
      </c>
      <c r="E494" s="13" t="s">
        <v>326</v>
      </c>
      <c r="F494" s="11" t="n">
        <v>24</v>
      </c>
      <c r="G494" s="13" t="s">
        <v>30</v>
      </c>
      <c r="H494" s="11" t="n">
        <v>1110203</v>
      </c>
      <c r="I494" s="13" t="s">
        <v>100</v>
      </c>
      <c r="J494" s="14" t="n">
        <v>1415222</v>
      </c>
      <c r="K494" s="14"/>
      <c r="L494" s="11" t="n">
        <v>190799</v>
      </c>
      <c r="M494" s="13" t="s">
        <v>105</v>
      </c>
      <c r="N494" s="15" t="s">
        <v>41</v>
      </c>
      <c r="O494" s="15"/>
      <c r="P494" s="11" t="n">
        <v>113</v>
      </c>
      <c r="Q494" s="13" t="s">
        <v>34</v>
      </c>
      <c r="R494" s="13" t="s">
        <v>35</v>
      </c>
      <c r="S494" s="11" t="n">
        <v>1130101</v>
      </c>
      <c r="T494" s="13" t="s">
        <v>36</v>
      </c>
      <c r="U494" s="16" t="n">
        <v>1472.09</v>
      </c>
      <c r="V494" s="16"/>
      <c r="W494" s="17" t="n">
        <v>0</v>
      </c>
      <c r="X494" s="15" t="s">
        <v>570</v>
      </c>
      <c r="Y494" s="15"/>
      <c r="Z494" s="1" t="str">
        <f aca="false">IF($T494="","",IFERROR(INDEX('Resumo Grupos'!$AC$3:$AC$2000,MATCH($T494,'Resumo Grupos'!$AB$3:$AB$2000,0)),"n/d"))</f>
        <v>Mercadoria</v>
      </c>
    </row>
    <row r="495" customFormat="false" ht="48" hidden="false" customHeight="true" outlineLevel="0" collapsed="false">
      <c r="A495" s="11" t="n">
        <v>2</v>
      </c>
      <c r="B495" s="12" t="n">
        <v>46221</v>
      </c>
      <c r="C495" s="12" t="n">
        <v>46244</v>
      </c>
      <c r="D495" s="11" t="n">
        <v>1671</v>
      </c>
      <c r="E495" s="13" t="s">
        <v>326</v>
      </c>
      <c r="F495" s="11" t="n">
        <v>24</v>
      </c>
      <c r="G495" s="13" t="s">
        <v>30</v>
      </c>
      <c r="H495" s="11" t="n">
        <v>1110203</v>
      </c>
      <c r="I495" s="13" t="s">
        <v>100</v>
      </c>
      <c r="J495" s="14" t="n">
        <v>1415252</v>
      </c>
      <c r="K495" s="14"/>
      <c r="L495" s="11" t="n">
        <v>190805</v>
      </c>
      <c r="M495" s="13" t="s">
        <v>105</v>
      </c>
      <c r="N495" s="15" t="s">
        <v>41</v>
      </c>
      <c r="O495" s="15"/>
      <c r="P495" s="11" t="n">
        <v>113</v>
      </c>
      <c r="Q495" s="13" t="s">
        <v>34</v>
      </c>
      <c r="R495" s="13" t="s">
        <v>35</v>
      </c>
      <c r="S495" s="11" t="n">
        <v>1130101</v>
      </c>
      <c r="T495" s="13" t="s">
        <v>36</v>
      </c>
      <c r="U495" s="16" t="n">
        <v>1413.72</v>
      </c>
      <c r="V495" s="16"/>
      <c r="W495" s="17" t="n">
        <v>0</v>
      </c>
      <c r="X495" s="15" t="s">
        <v>571</v>
      </c>
      <c r="Y495" s="15"/>
      <c r="Z495" s="1" t="str">
        <f aca="false">IF($T495="","",IFERROR(INDEX('Resumo Grupos'!$AC$3:$AC$2000,MATCH($T495,'Resumo Grupos'!$AB$3:$AB$2000,0)),"n/d"))</f>
        <v>Mercadoria</v>
      </c>
    </row>
    <row r="496" customFormat="false" ht="48" hidden="false" customHeight="true" outlineLevel="0" collapsed="false">
      <c r="A496" s="11" t="n">
        <v>2</v>
      </c>
      <c r="B496" s="12" t="n">
        <v>46221</v>
      </c>
      <c r="C496" s="12" t="n">
        <v>46251</v>
      </c>
      <c r="D496" s="11" t="n">
        <v>1671</v>
      </c>
      <c r="E496" s="13" t="s">
        <v>326</v>
      </c>
      <c r="F496" s="11" t="n">
        <v>24</v>
      </c>
      <c r="G496" s="13" t="s">
        <v>30</v>
      </c>
      <c r="H496" s="11" t="n">
        <v>1110203</v>
      </c>
      <c r="I496" s="13" t="s">
        <v>100</v>
      </c>
      <c r="J496" s="14" t="n">
        <v>1415259</v>
      </c>
      <c r="K496" s="14"/>
      <c r="L496" s="11" t="n">
        <v>190807</v>
      </c>
      <c r="M496" s="13" t="s">
        <v>105</v>
      </c>
      <c r="N496" s="15" t="s">
        <v>41</v>
      </c>
      <c r="O496" s="15"/>
      <c r="P496" s="11" t="n">
        <v>113</v>
      </c>
      <c r="Q496" s="13" t="s">
        <v>34</v>
      </c>
      <c r="R496" s="13" t="s">
        <v>35</v>
      </c>
      <c r="S496" s="11" t="n">
        <v>1130101</v>
      </c>
      <c r="T496" s="13" t="s">
        <v>36</v>
      </c>
      <c r="U496" s="16" t="n">
        <v>1413.72</v>
      </c>
      <c r="V496" s="16"/>
      <c r="W496" s="17" t="n">
        <v>0</v>
      </c>
      <c r="X496" s="15" t="s">
        <v>571</v>
      </c>
      <c r="Y496" s="15"/>
      <c r="Z496" s="1" t="str">
        <f aca="false">IF($T496="","",IFERROR(INDEX('Resumo Grupos'!$AC$3:$AC$2000,MATCH($T496,'Resumo Grupos'!$AB$3:$AB$2000,0)),"n/d"))</f>
        <v>Mercadoria</v>
      </c>
    </row>
    <row r="497" customFormat="false" ht="48" hidden="false" customHeight="true" outlineLevel="0" collapsed="false">
      <c r="A497" s="11" t="n">
        <v>2</v>
      </c>
      <c r="B497" s="12" t="n">
        <v>46221</v>
      </c>
      <c r="C497" s="12" t="n">
        <v>46244</v>
      </c>
      <c r="D497" s="11" t="n">
        <v>1671</v>
      </c>
      <c r="E497" s="13" t="s">
        <v>326</v>
      </c>
      <c r="F497" s="11" t="n">
        <v>24</v>
      </c>
      <c r="G497" s="13" t="s">
        <v>30</v>
      </c>
      <c r="H497" s="11" t="n">
        <v>1110203</v>
      </c>
      <c r="I497" s="13" t="s">
        <v>100</v>
      </c>
      <c r="J497" s="14" t="n">
        <v>1415265</v>
      </c>
      <c r="K497" s="14"/>
      <c r="L497" s="11" t="n">
        <v>190811</v>
      </c>
      <c r="M497" s="13" t="s">
        <v>105</v>
      </c>
      <c r="N497" s="15" t="s">
        <v>41</v>
      </c>
      <c r="O497" s="15"/>
      <c r="P497" s="11" t="n">
        <v>113</v>
      </c>
      <c r="Q497" s="13" t="s">
        <v>34</v>
      </c>
      <c r="R497" s="13" t="s">
        <v>35</v>
      </c>
      <c r="S497" s="11" t="n">
        <v>1130101</v>
      </c>
      <c r="T497" s="13" t="s">
        <v>36</v>
      </c>
      <c r="U497" s="16" t="n">
        <v>1142.36</v>
      </c>
      <c r="V497" s="16"/>
      <c r="W497" s="17" t="n">
        <v>0</v>
      </c>
      <c r="X497" s="15" t="s">
        <v>572</v>
      </c>
      <c r="Y497" s="15"/>
      <c r="Z497" s="1" t="str">
        <f aca="false">IF($T497="","",IFERROR(INDEX('Resumo Grupos'!$AC$3:$AC$2000,MATCH($T497,'Resumo Grupos'!$AB$3:$AB$2000,0)),"n/d"))</f>
        <v>Mercadoria</v>
      </c>
    </row>
    <row r="498" customFormat="false" ht="39" hidden="false" customHeight="true" outlineLevel="0" collapsed="false">
      <c r="A498" s="11" t="n">
        <v>2</v>
      </c>
      <c r="B498" s="12" t="n">
        <v>46221</v>
      </c>
      <c r="C498" s="12" t="n">
        <v>46248</v>
      </c>
      <c r="D498" s="11" t="n">
        <v>1830</v>
      </c>
      <c r="E498" s="13" t="s">
        <v>573</v>
      </c>
      <c r="F498" s="11" t="n">
        <v>24</v>
      </c>
      <c r="G498" s="13" t="s">
        <v>30</v>
      </c>
      <c r="H498" s="11" t="n">
        <v>1110203</v>
      </c>
      <c r="I498" s="13" t="s">
        <v>100</v>
      </c>
      <c r="J498" s="14" t="n">
        <v>1415299</v>
      </c>
      <c r="K498" s="14"/>
      <c r="L498" s="11" t="n">
        <v>1124</v>
      </c>
      <c r="M498" s="13" t="s">
        <v>105</v>
      </c>
      <c r="N498" s="15" t="s">
        <v>41</v>
      </c>
      <c r="O498" s="15"/>
      <c r="P498" s="11" t="n">
        <v>101</v>
      </c>
      <c r="Q498" s="13" t="s">
        <v>52</v>
      </c>
      <c r="R498" s="13" t="s">
        <v>191</v>
      </c>
      <c r="S498" s="11" t="n">
        <v>4210319</v>
      </c>
      <c r="T498" s="13" t="s">
        <v>574</v>
      </c>
      <c r="U498" s="16" t="n">
        <v>55</v>
      </c>
      <c r="V498" s="16"/>
      <c r="W498" s="17" t="n">
        <v>0</v>
      </c>
      <c r="X498" s="15" t="s">
        <v>575</v>
      </c>
      <c r="Y498" s="15"/>
      <c r="Z498" s="1" t="str">
        <f aca="false">IF($T498="","",IFERROR(INDEX('Resumo Grupos'!$AC$3:$AC$2000,MATCH($T498,'Resumo Grupos'!$AB$3:$AB$2000,0)),"n/d"))</f>
        <v>Salários</v>
      </c>
    </row>
    <row r="499" customFormat="false" ht="48" hidden="false" customHeight="true" outlineLevel="0" collapsed="false">
      <c r="A499" s="11" t="n">
        <v>2</v>
      </c>
      <c r="B499" s="12" t="n">
        <v>46221</v>
      </c>
      <c r="C499" s="12" t="n">
        <v>46251</v>
      </c>
      <c r="D499" s="11" t="n">
        <v>1671</v>
      </c>
      <c r="E499" s="13" t="s">
        <v>326</v>
      </c>
      <c r="F499" s="11" t="n">
        <v>24</v>
      </c>
      <c r="G499" s="13" t="s">
        <v>30</v>
      </c>
      <c r="H499" s="11" t="n">
        <v>1110203</v>
      </c>
      <c r="I499" s="13" t="s">
        <v>100</v>
      </c>
      <c r="J499" s="14" t="n">
        <v>1415308</v>
      </c>
      <c r="K499" s="14"/>
      <c r="L499" s="11" t="n">
        <v>190812</v>
      </c>
      <c r="M499" s="13" t="s">
        <v>105</v>
      </c>
      <c r="N499" s="15" t="s">
        <v>41</v>
      </c>
      <c r="O499" s="15"/>
      <c r="P499" s="11" t="n">
        <v>113</v>
      </c>
      <c r="Q499" s="13" t="s">
        <v>34</v>
      </c>
      <c r="R499" s="13" t="s">
        <v>35</v>
      </c>
      <c r="S499" s="11" t="n">
        <v>1130101</v>
      </c>
      <c r="T499" s="13" t="s">
        <v>36</v>
      </c>
      <c r="U499" s="16" t="n">
        <v>1142.36</v>
      </c>
      <c r="V499" s="16"/>
      <c r="W499" s="17" t="n">
        <v>0</v>
      </c>
      <c r="X499" s="15" t="s">
        <v>572</v>
      </c>
      <c r="Y499" s="15"/>
      <c r="Z499" s="1" t="str">
        <f aca="false">IF($T499="","",IFERROR(INDEX('Resumo Grupos'!$AC$3:$AC$2000,MATCH($T499,'Resumo Grupos'!$AB$3:$AB$2000,0)),"n/d"))</f>
        <v>Mercadoria</v>
      </c>
    </row>
    <row r="500" customFormat="false" ht="28.5" hidden="false" customHeight="true" outlineLevel="0" collapsed="false">
      <c r="A500" s="11" t="n">
        <v>2</v>
      </c>
      <c r="B500" s="12" t="n">
        <v>46223</v>
      </c>
      <c r="C500" s="12" t="n">
        <v>46234</v>
      </c>
      <c r="D500" s="11" t="n">
        <v>1683</v>
      </c>
      <c r="E500" s="13" t="s">
        <v>328</v>
      </c>
      <c r="F500" s="11" t="n">
        <v>24</v>
      </c>
      <c r="G500" s="13" t="s">
        <v>30</v>
      </c>
      <c r="H500" s="11" t="n">
        <v>1110203</v>
      </c>
      <c r="I500" s="13" t="s">
        <v>100</v>
      </c>
      <c r="J500" s="14" t="n">
        <v>1423683</v>
      </c>
      <c r="K500" s="14"/>
      <c r="L500" s="11" t="n">
        <v>190891</v>
      </c>
      <c r="M500" s="13" t="s">
        <v>105</v>
      </c>
      <c r="N500" s="15" t="s">
        <v>41</v>
      </c>
      <c r="O500" s="15"/>
      <c r="P500" s="11" t="n">
        <v>113</v>
      </c>
      <c r="Q500" s="13" t="s">
        <v>34</v>
      </c>
      <c r="R500" s="13" t="s">
        <v>35</v>
      </c>
      <c r="S500" s="11" t="n">
        <v>1130101</v>
      </c>
      <c r="T500" s="13" t="s">
        <v>36</v>
      </c>
      <c r="U500" s="16" t="n">
        <v>137</v>
      </c>
      <c r="V500" s="16"/>
      <c r="W500" s="17" t="n">
        <v>0</v>
      </c>
      <c r="X500" s="15" t="s">
        <v>576</v>
      </c>
      <c r="Y500" s="15"/>
      <c r="Z500" s="1" t="str">
        <f aca="false">IF($T500="","",IFERROR(INDEX('Resumo Grupos'!$AC$3:$AC$2000,MATCH($T500,'Resumo Grupos'!$AB$3:$AB$2000,0)),"n/d"))</f>
        <v>Mercadoria</v>
      </c>
    </row>
    <row r="501" customFormat="false" ht="39" hidden="false" customHeight="true" outlineLevel="0" collapsed="false">
      <c r="A501" s="11" t="n">
        <v>2</v>
      </c>
      <c r="B501" s="12" t="n">
        <v>46223</v>
      </c>
      <c r="C501" s="12" t="n">
        <v>46230</v>
      </c>
      <c r="D501" s="11" t="n">
        <v>48</v>
      </c>
      <c r="E501" s="13" t="s">
        <v>112</v>
      </c>
      <c r="F501" s="11" t="n">
        <v>34</v>
      </c>
      <c r="G501" s="13" t="s">
        <v>87</v>
      </c>
      <c r="H501" s="11" t="n">
        <v>2110101</v>
      </c>
      <c r="I501" s="13" t="s">
        <v>31</v>
      </c>
      <c r="J501" s="14" t="n">
        <v>1423704</v>
      </c>
      <c r="K501" s="14"/>
      <c r="L501" s="11" t="n">
        <v>2550</v>
      </c>
      <c r="M501" s="13" t="s">
        <v>105</v>
      </c>
      <c r="N501" s="15" t="s">
        <v>33</v>
      </c>
      <c r="O501" s="15"/>
      <c r="P501" s="11" t="n">
        <v>113</v>
      </c>
      <c r="Q501" s="13" t="s">
        <v>34</v>
      </c>
      <c r="R501" s="13" t="s">
        <v>35</v>
      </c>
      <c r="S501" s="11" t="n">
        <v>1130101</v>
      </c>
      <c r="T501" s="13" t="s">
        <v>36</v>
      </c>
      <c r="U501" s="16" t="n">
        <v>949</v>
      </c>
      <c r="V501" s="16"/>
      <c r="W501" s="17" t="n">
        <v>0</v>
      </c>
      <c r="X501" s="15" t="s">
        <v>416</v>
      </c>
      <c r="Y501" s="15"/>
      <c r="Z501" s="1" t="str">
        <f aca="false">IF($T501="","",IFERROR(INDEX('Resumo Grupos'!$AC$3:$AC$2000,MATCH($T501,'Resumo Grupos'!$AB$3:$AB$2000,0)),"n/d"))</f>
        <v>Mercadoria</v>
      </c>
    </row>
    <row r="502" customFormat="false" ht="28.5" hidden="false" customHeight="true" outlineLevel="0" collapsed="false">
      <c r="A502" s="11" t="n">
        <v>2</v>
      </c>
      <c r="B502" s="12" t="n">
        <v>46223</v>
      </c>
      <c r="C502" s="12" t="n">
        <v>46240</v>
      </c>
      <c r="D502" s="11" t="n">
        <v>1624</v>
      </c>
      <c r="E502" s="13" t="s">
        <v>154</v>
      </c>
      <c r="F502" s="11" t="n">
        <v>24</v>
      </c>
      <c r="G502" s="13" t="s">
        <v>30</v>
      </c>
      <c r="H502" s="11" t="n">
        <v>1110203</v>
      </c>
      <c r="I502" s="13" t="s">
        <v>100</v>
      </c>
      <c r="J502" s="14" t="n">
        <v>1423731</v>
      </c>
      <c r="K502" s="14"/>
      <c r="L502" s="11" t="n">
        <v>190892</v>
      </c>
      <c r="M502" s="13" t="s">
        <v>105</v>
      </c>
      <c r="N502" s="15" t="s">
        <v>41</v>
      </c>
      <c r="O502" s="15"/>
      <c r="P502" s="11" t="n">
        <v>113</v>
      </c>
      <c r="Q502" s="13" t="s">
        <v>34</v>
      </c>
      <c r="R502" s="13" t="s">
        <v>35</v>
      </c>
      <c r="S502" s="11" t="n">
        <v>1130101</v>
      </c>
      <c r="T502" s="13" t="s">
        <v>36</v>
      </c>
      <c r="U502" s="16" t="n">
        <v>381</v>
      </c>
      <c r="V502" s="16"/>
      <c r="W502" s="17" t="n">
        <v>0</v>
      </c>
      <c r="X502" s="15" t="s">
        <v>577</v>
      </c>
      <c r="Y502" s="15"/>
      <c r="Z502" s="1" t="str">
        <f aca="false">IF($T502="","",IFERROR(INDEX('Resumo Grupos'!$AC$3:$AC$2000,MATCH($T502,'Resumo Grupos'!$AB$3:$AB$2000,0)),"n/d"))</f>
        <v>Mercadoria</v>
      </c>
    </row>
    <row r="503" customFormat="false" ht="28.5" hidden="false" customHeight="true" outlineLevel="0" collapsed="false">
      <c r="A503" s="11" t="n">
        <v>2</v>
      </c>
      <c r="B503" s="12" t="n">
        <v>46223</v>
      </c>
      <c r="C503" s="12" t="n">
        <v>46247</v>
      </c>
      <c r="D503" s="11" t="n">
        <v>1624</v>
      </c>
      <c r="E503" s="13" t="s">
        <v>154</v>
      </c>
      <c r="F503" s="11" t="n">
        <v>24</v>
      </c>
      <c r="G503" s="13" t="s">
        <v>30</v>
      </c>
      <c r="H503" s="11" t="n">
        <v>1110203</v>
      </c>
      <c r="I503" s="13" t="s">
        <v>100</v>
      </c>
      <c r="J503" s="14" t="n">
        <v>1423734</v>
      </c>
      <c r="K503" s="14"/>
      <c r="L503" s="11" t="n">
        <v>190893</v>
      </c>
      <c r="M503" s="13" t="s">
        <v>105</v>
      </c>
      <c r="N503" s="15" t="s">
        <v>41</v>
      </c>
      <c r="O503" s="15"/>
      <c r="P503" s="11" t="n">
        <v>113</v>
      </c>
      <c r="Q503" s="13" t="s">
        <v>34</v>
      </c>
      <c r="R503" s="13" t="s">
        <v>35</v>
      </c>
      <c r="S503" s="11" t="n">
        <v>1130101</v>
      </c>
      <c r="T503" s="13" t="s">
        <v>36</v>
      </c>
      <c r="U503" s="16" t="n">
        <v>381</v>
      </c>
      <c r="V503" s="16"/>
      <c r="W503" s="17" t="n">
        <v>0</v>
      </c>
      <c r="X503" s="15" t="s">
        <v>577</v>
      </c>
      <c r="Y503" s="15"/>
      <c r="Z503" s="1" t="str">
        <f aca="false">IF($T503="","",IFERROR(INDEX('Resumo Grupos'!$AC$3:$AC$2000,MATCH($T503,'Resumo Grupos'!$AB$3:$AB$2000,0)),"n/d"))</f>
        <v>Mercadoria</v>
      </c>
    </row>
    <row r="504" customFormat="false" ht="28.5" hidden="false" customHeight="true" outlineLevel="0" collapsed="false">
      <c r="A504" s="11" t="n">
        <v>2</v>
      </c>
      <c r="B504" s="12" t="n">
        <v>46223</v>
      </c>
      <c r="C504" s="12" t="n">
        <v>46254</v>
      </c>
      <c r="D504" s="11" t="n">
        <v>1624</v>
      </c>
      <c r="E504" s="13" t="s">
        <v>154</v>
      </c>
      <c r="F504" s="11" t="n">
        <v>24</v>
      </c>
      <c r="G504" s="13" t="s">
        <v>30</v>
      </c>
      <c r="H504" s="11" t="n">
        <v>1110203</v>
      </c>
      <c r="I504" s="13" t="s">
        <v>100</v>
      </c>
      <c r="J504" s="14" t="n">
        <v>1423737</v>
      </c>
      <c r="K504" s="14"/>
      <c r="L504" s="11" t="n">
        <v>190894</v>
      </c>
      <c r="M504" s="13" t="s">
        <v>105</v>
      </c>
      <c r="N504" s="15" t="s">
        <v>41</v>
      </c>
      <c r="O504" s="15"/>
      <c r="P504" s="11" t="n">
        <v>113</v>
      </c>
      <c r="Q504" s="13" t="s">
        <v>34</v>
      </c>
      <c r="R504" s="13" t="s">
        <v>35</v>
      </c>
      <c r="S504" s="11" t="n">
        <v>1130101</v>
      </c>
      <c r="T504" s="13" t="s">
        <v>36</v>
      </c>
      <c r="U504" s="16" t="n">
        <v>381</v>
      </c>
      <c r="V504" s="16"/>
      <c r="W504" s="17" t="n">
        <v>0</v>
      </c>
      <c r="X504" s="15" t="s">
        <v>577</v>
      </c>
      <c r="Y504" s="15"/>
      <c r="Z504" s="1" t="str">
        <f aca="false">IF($T504="","",IFERROR(INDEX('Resumo Grupos'!$AC$3:$AC$2000,MATCH($T504,'Resumo Grupos'!$AB$3:$AB$2000,0)),"n/d"))</f>
        <v>Mercadoria</v>
      </c>
    </row>
    <row r="505" customFormat="false" ht="48" hidden="false" customHeight="true" outlineLevel="0" collapsed="false">
      <c r="A505" s="11" t="n">
        <v>2</v>
      </c>
      <c r="B505" s="12" t="n">
        <v>46223</v>
      </c>
      <c r="C505" s="12" t="n">
        <v>46223</v>
      </c>
      <c r="D505" s="11" t="n">
        <v>17</v>
      </c>
      <c r="E505" s="13" t="s">
        <v>49</v>
      </c>
      <c r="F505" s="11" t="n">
        <v>24</v>
      </c>
      <c r="G505" s="13" t="s">
        <v>30</v>
      </c>
      <c r="H505" s="11" t="n">
        <v>1110203</v>
      </c>
      <c r="I505" s="13" t="s">
        <v>100</v>
      </c>
      <c r="J505" s="14" t="n">
        <v>1423828</v>
      </c>
      <c r="K505" s="14"/>
      <c r="L505" s="11" t="n">
        <v>190895</v>
      </c>
      <c r="M505" s="13" t="s">
        <v>105</v>
      </c>
      <c r="N505" s="15" t="s">
        <v>41</v>
      </c>
      <c r="O505" s="15"/>
      <c r="P505" s="11" t="n">
        <v>102</v>
      </c>
      <c r="Q505" s="13" t="s">
        <v>354</v>
      </c>
      <c r="R505" s="13" t="s">
        <v>53</v>
      </c>
      <c r="S505" s="11" t="n">
        <v>4220199</v>
      </c>
      <c r="T505" s="13" t="s">
        <v>54</v>
      </c>
      <c r="U505" s="16" t="n">
        <v>620</v>
      </c>
      <c r="V505" s="16"/>
      <c r="W505" s="17" t="n">
        <v>0</v>
      </c>
      <c r="X505" s="15" t="s">
        <v>578</v>
      </c>
      <c r="Y505" s="15"/>
      <c r="Z505" s="1" t="str">
        <f aca="false">IF($T505="","",IFERROR(INDEX('Resumo Grupos'!$AC$3:$AC$2000,MATCH($T505,'Resumo Grupos'!$AB$3:$AB$2000,0)),"n/d"))</f>
        <v>Pagamentos outros não operacionais</v>
      </c>
    </row>
    <row r="506" customFormat="false" ht="28.5" hidden="false" customHeight="true" outlineLevel="0" collapsed="false">
      <c r="A506" s="11" t="n">
        <v>2</v>
      </c>
      <c r="B506" s="12" t="n">
        <v>46223</v>
      </c>
      <c r="C506" s="12" t="n">
        <v>46248</v>
      </c>
      <c r="D506" s="11" t="n">
        <v>10012</v>
      </c>
      <c r="E506" s="13" t="s">
        <v>215</v>
      </c>
      <c r="F506" s="11" t="n">
        <v>24</v>
      </c>
      <c r="G506" s="13" t="s">
        <v>30</v>
      </c>
      <c r="H506" s="11" t="n">
        <v>1110203</v>
      </c>
      <c r="I506" s="13" t="s">
        <v>100</v>
      </c>
      <c r="J506" s="14" t="n">
        <v>1423840</v>
      </c>
      <c r="K506" s="14"/>
      <c r="L506" s="11" t="n">
        <v>190896</v>
      </c>
      <c r="M506" s="13" t="s">
        <v>105</v>
      </c>
      <c r="N506" s="15" t="s">
        <v>41</v>
      </c>
      <c r="O506" s="15"/>
      <c r="P506" s="11" t="n">
        <v>113</v>
      </c>
      <c r="Q506" s="13" t="s">
        <v>34</v>
      </c>
      <c r="R506" s="13" t="s">
        <v>35</v>
      </c>
      <c r="S506" s="11" t="n">
        <v>1130101</v>
      </c>
      <c r="T506" s="13" t="s">
        <v>36</v>
      </c>
      <c r="U506" s="16" t="n">
        <v>945.12</v>
      </c>
      <c r="V506" s="16"/>
      <c r="W506" s="17" t="n">
        <v>0</v>
      </c>
      <c r="X506" s="15" t="s">
        <v>579</v>
      </c>
      <c r="Y506" s="15"/>
      <c r="Z506" s="1" t="str">
        <f aca="false">IF($T506="","",IFERROR(INDEX('Resumo Grupos'!$AC$3:$AC$2000,MATCH($T506,'Resumo Grupos'!$AB$3:$AB$2000,0)),"n/d"))</f>
        <v>Mercadoria</v>
      </c>
    </row>
    <row r="507" customFormat="false" ht="48" hidden="false" customHeight="true" outlineLevel="0" collapsed="false">
      <c r="A507" s="11" t="n">
        <v>2</v>
      </c>
      <c r="B507" s="12" t="n">
        <v>46223</v>
      </c>
      <c r="C507" s="12" t="n">
        <v>46237</v>
      </c>
      <c r="D507" s="11" t="n">
        <v>1601</v>
      </c>
      <c r="E507" s="13" t="s">
        <v>129</v>
      </c>
      <c r="F507" s="11" t="n">
        <v>24</v>
      </c>
      <c r="G507" s="13" t="s">
        <v>30</v>
      </c>
      <c r="H507" s="11" t="n">
        <v>1110203</v>
      </c>
      <c r="I507" s="13" t="s">
        <v>100</v>
      </c>
      <c r="J507" s="14" t="n">
        <v>1424074</v>
      </c>
      <c r="K507" s="14"/>
      <c r="L507" s="11" t="n">
        <v>190897</v>
      </c>
      <c r="M507" s="13" t="s">
        <v>105</v>
      </c>
      <c r="N507" s="15" t="s">
        <v>41</v>
      </c>
      <c r="O507" s="15"/>
      <c r="P507" s="11" t="n">
        <v>113</v>
      </c>
      <c r="Q507" s="13" t="s">
        <v>34</v>
      </c>
      <c r="R507" s="13" t="s">
        <v>35</v>
      </c>
      <c r="S507" s="11" t="n">
        <v>1130101</v>
      </c>
      <c r="T507" s="13" t="s">
        <v>36</v>
      </c>
      <c r="U507" s="16" t="n">
        <v>676.97</v>
      </c>
      <c r="V507" s="16"/>
      <c r="W507" s="17" t="n">
        <v>0</v>
      </c>
      <c r="X507" s="15" t="s">
        <v>580</v>
      </c>
      <c r="Y507" s="15"/>
      <c r="Z507" s="1" t="str">
        <f aca="false">IF($T507="","",IFERROR(INDEX('Resumo Grupos'!$AC$3:$AC$2000,MATCH($T507,'Resumo Grupos'!$AB$3:$AB$2000,0)),"n/d"))</f>
        <v>Mercadoria</v>
      </c>
    </row>
    <row r="508" customFormat="false" ht="48" hidden="false" customHeight="true" outlineLevel="0" collapsed="false">
      <c r="A508" s="11" t="n">
        <v>2</v>
      </c>
      <c r="B508" s="12" t="n">
        <v>46223</v>
      </c>
      <c r="C508" s="12" t="n">
        <v>46244</v>
      </c>
      <c r="D508" s="11" t="n">
        <v>1601</v>
      </c>
      <c r="E508" s="13" t="s">
        <v>129</v>
      </c>
      <c r="F508" s="11" t="n">
        <v>24</v>
      </c>
      <c r="G508" s="13" t="s">
        <v>30</v>
      </c>
      <c r="H508" s="11" t="n">
        <v>1110203</v>
      </c>
      <c r="I508" s="13" t="s">
        <v>100</v>
      </c>
      <c r="J508" s="14" t="n">
        <v>1424091</v>
      </c>
      <c r="K508" s="14"/>
      <c r="L508" s="11" t="n">
        <v>190898</v>
      </c>
      <c r="M508" s="13" t="s">
        <v>105</v>
      </c>
      <c r="N508" s="15" t="s">
        <v>41</v>
      </c>
      <c r="O508" s="15"/>
      <c r="P508" s="11" t="n">
        <v>113</v>
      </c>
      <c r="Q508" s="13" t="s">
        <v>34</v>
      </c>
      <c r="R508" s="13" t="s">
        <v>35</v>
      </c>
      <c r="S508" s="11" t="n">
        <v>1130101</v>
      </c>
      <c r="T508" s="13" t="s">
        <v>36</v>
      </c>
      <c r="U508" s="16" t="n">
        <v>676.97</v>
      </c>
      <c r="V508" s="16"/>
      <c r="W508" s="17" t="n">
        <v>0</v>
      </c>
      <c r="X508" s="15" t="s">
        <v>580</v>
      </c>
      <c r="Y508" s="15"/>
      <c r="Z508" s="1" t="str">
        <f aca="false">IF($T508="","",IFERROR(INDEX('Resumo Grupos'!$AC$3:$AC$2000,MATCH($T508,'Resumo Grupos'!$AB$3:$AB$2000,0)),"n/d"))</f>
        <v>Mercadoria</v>
      </c>
    </row>
    <row r="509" customFormat="false" ht="48" hidden="false" customHeight="true" outlineLevel="0" collapsed="false">
      <c r="A509" s="11" t="n">
        <v>2</v>
      </c>
      <c r="B509" s="12" t="n">
        <v>46223</v>
      </c>
      <c r="C509" s="12" t="n">
        <v>46251</v>
      </c>
      <c r="D509" s="11" t="n">
        <v>1601</v>
      </c>
      <c r="E509" s="13" t="s">
        <v>129</v>
      </c>
      <c r="F509" s="11" t="n">
        <v>24</v>
      </c>
      <c r="G509" s="13" t="s">
        <v>30</v>
      </c>
      <c r="H509" s="11" t="n">
        <v>1110203</v>
      </c>
      <c r="I509" s="13" t="s">
        <v>100</v>
      </c>
      <c r="J509" s="14" t="n">
        <v>1424101</v>
      </c>
      <c r="K509" s="14"/>
      <c r="L509" s="11" t="n">
        <v>190899</v>
      </c>
      <c r="M509" s="13" t="s">
        <v>105</v>
      </c>
      <c r="N509" s="15" t="s">
        <v>41</v>
      </c>
      <c r="O509" s="15"/>
      <c r="P509" s="11" t="n">
        <v>113</v>
      </c>
      <c r="Q509" s="13" t="s">
        <v>34</v>
      </c>
      <c r="R509" s="13" t="s">
        <v>35</v>
      </c>
      <c r="S509" s="11" t="n">
        <v>1130101</v>
      </c>
      <c r="T509" s="13" t="s">
        <v>36</v>
      </c>
      <c r="U509" s="16" t="n">
        <v>676.98</v>
      </c>
      <c r="V509" s="16"/>
      <c r="W509" s="17" t="n">
        <v>0</v>
      </c>
      <c r="X509" s="15" t="s">
        <v>580</v>
      </c>
      <c r="Y509" s="15"/>
      <c r="Z509" s="1" t="str">
        <f aca="false">IF($T509="","",IFERROR(INDEX('Resumo Grupos'!$AC$3:$AC$2000,MATCH($T509,'Resumo Grupos'!$AB$3:$AB$2000,0)),"n/d"))</f>
        <v>Mercadoria</v>
      </c>
    </row>
    <row r="510" customFormat="false" ht="39" hidden="false" customHeight="true" outlineLevel="0" collapsed="false">
      <c r="A510" s="11" t="n">
        <v>2</v>
      </c>
      <c r="B510" s="12" t="n">
        <v>46223</v>
      </c>
      <c r="C510" s="12" t="n">
        <v>46223</v>
      </c>
      <c r="D510" s="11" t="n">
        <v>33</v>
      </c>
      <c r="E510" s="13" t="s">
        <v>199</v>
      </c>
      <c r="F510" s="11" t="n">
        <v>34</v>
      </c>
      <c r="G510" s="13" t="s">
        <v>87</v>
      </c>
      <c r="H510" s="11" t="n">
        <v>1110203</v>
      </c>
      <c r="I510" s="13" t="s">
        <v>100</v>
      </c>
      <c r="J510" s="14" t="n">
        <v>1424244</v>
      </c>
      <c r="K510" s="14"/>
      <c r="L510" s="11" t="n">
        <v>190900</v>
      </c>
      <c r="M510" s="13" t="s">
        <v>105</v>
      </c>
      <c r="N510" s="15" t="s">
        <v>41</v>
      </c>
      <c r="O510" s="15"/>
      <c r="P510" s="11" t="n">
        <v>101</v>
      </c>
      <c r="Q510" s="13" t="s">
        <v>52</v>
      </c>
      <c r="R510" s="13" t="s">
        <v>88</v>
      </c>
      <c r="S510" s="11" t="n">
        <v>4210107</v>
      </c>
      <c r="T510" s="13" t="s">
        <v>581</v>
      </c>
      <c r="U510" s="16" t="n">
        <v>138.43</v>
      </c>
      <c r="V510" s="16"/>
      <c r="W510" s="17" t="n">
        <v>0</v>
      </c>
      <c r="X510" s="15" t="s">
        <v>582</v>
      </c>
      <c r="Y510" s="15"/>
      <c r="Z510" s="1" t="str">
        <f aca="false">IF($T510="","",IFERROR(INDEX('Resumo Grupos'!$AC$3:$AC$2000,MATCH($T510,'Resumo Grupos'!$AB$3:$AB$2000,0)),"n/d"))</f>
        <v>Despesa</v>
      </c>
    </row>
    <row r="511" customFormat="false" ht="39" hidden="false" customHeight="true" outlineLevel="0" collapsed="false">
      <c r="A511" s="11" t="n">
        <v>2</v>
      </c>
      <c r="B511" s="12" t="n">
        <v>46223</v>
      </c>
      <c r="C511" s="12" t="n">
        <v>46254</v>
      </c>
      <c r="D511" s="11" t="n">
        <v>33</v>
      </c>
      <c r="E511" s="13" t="s">
        <v>199</v>
      </c>
      <c r="F511" s="11" t="n">
        <v>34</v>
      </c>
      <c r="G511" s="13" t="s">
        <v>87</v>
      </c>
      <c r="H511" s="11" t="n">
        <v>1110203</v>
      </c>
      <c r="I511" s="13" t="s">
        <v>100</v>
      </c>
      <c r="J511" s="14" t="n">
        <v>1424244</v>
      </c>
      <c r="K511" s="14"/>
      <c r="L511" s="11" t="n">
        <v>190900</v>
      </c>
      <c r="M511" s="13" t="s">
        <v>32</v>
      </c>
      <c r="N511" s="15" t="s">
        <v>41</v>
      </c>
      <c r="O511" s="15"/>
      <c r="P511" s="11" t="n">
        <v>101</v>
      </c>
      <c r="Q511" s="13" t="s">
        <v>52</v>
      </c>
      <c r="R511" s="13" t="s">
        <v>88</v>
      </c>
      <c r="S511" s="11" t="n">
        <v>4210107</v>
      </c>
      <c r="T511" s="13" t="s">
        <v>581</v>
      </c>
      <c r="U511" s="16" t="n">
        <v>138.3</v>
      </c>
      <c r="V511" s="16"/>
      <c r="W511" s="17" t="n">
        <v>0</v>
      </c>
      <c r="X511" s="15" t="s">
        <v>583</v>
      </c>
      <c r="Y511" s="15"/>
      <c r="Z511" s="1" t="str">
        <f aca="false">IF($T511="","",IFERROR(INDEX('Resumo Grupos'!$AC$3:$AC$2000,MATCH($T511,'Resumo Grupos'!$AB$3:$AB$2000,0)),"n/d"))</f>
        <v>Despesa</v>
      </c>
    </row>
    <row r="512" customFormat="false" ht="39" hidden="false" customHeight="true" outlineLevel="0" collapsed="false">
      <c r="A512" s="11" t="n">
        <v>2</v>
      </c>
      <c r="B512" s="12" t="n">
        <v>46223</v>
      </c>
      <c r="C512" s="12" t="n">
        <v>46285</v>
      </c>
      <c r="D512" s="11" t="n">
        <v>33</v>
      </c>
      <c r="E512" s="13" t="s">
        <v>199</v>
      </c>
      <c r="F512" s="11" t="n">
        <v>34</v>
      </c>
      <c r="G512" s="13" t="s">
        <v>87</v>
      </c>
      <c r="H512" s="11" t="n">
        <v>1110203</v>
      </c>
      <c r="I512" s="13" t="s">
        <v>100</v>
      </c>
      <c r="J512" s="14" t="n">
        <v>1424244</v>
      </c>
      <c r="K512" s="14"/>
      <c r="L512" s="11" t="n">
        <v>190900</v>
      </c>
      <c r="M512" s="13" t="s">
        <v>101</v>
      </c>
      <c r="N512" s="15" t="s">
        <v>41</v>
      </c>
      <c r="O512" s="15"/>
      <c r="P512" s="11" t="n">
        <v>101</v>
      </c>
      <c r="Q512" s="13" t="s">
        <v>52</v>
      </c>
      <c r="R512" s="13" t="s">
        <v>88</v>
      </c>
      <c r="S512" s="11" t="n">
        <v>4210107</v>
      </c>
      <c r="T512" s="13" t="s">
        <v>581</v>
      </c>
      <c r="U512" s="16" t="n">
        <v>138.3</v>
      </c>
      <c r="V512" s="16"/>
      <c r="W512" s="17" t="n">
        <v>0</v>
      </c>
      <c r="X512" s="15" t="s">
        <v>583</v>
      </c>
      <c r="Y512" s="15"/>
      <c r="Z512" s="1" t="str">
        <f aca="false">IF($T512="","",IFERROR(INDEX('Resumo Grupos'!$AC$3:$AC$2000,MATCH($T512,'Resumo Grupos'!$AB$3:$AB$2000,0)),"n/d"))</f>
        <v>Despesa</v>
      </c>
    </row>
    <row r="513" customFormat="false" ht="28.5" hidden="false" customHeight="true" outlineLevel="0" collapsed="false">
      <c r="A513" s="11" t="n">
        <v>2</v>
      </c>
      <c r="B513" s="12" t="n">
        <v>46223</v>
      </c>
      <c r="C513" s="12" t="n">
        <v>46228</v>
      </c>
      <c r="D513" s="11" t="n">
        <v>1625</v>
      </c>
      <c r="E513" s="13" t="s">
        <v>303</v>
      </c>
      <c r="F513" s="11" t="n">
        <v>24</v>
      </c>
      <c r="G513" s="13" t="s">
        <v>30</v>
      </c>
      <c r="H513" s="11" t="n">
        <v>1110203</v>
      </c>
      <c r="I513" s="13" t="s">
        <v>100</v>
      </c>
      <c r="J513" s="14" t="n">
        <v>1424351</v>
      </c>
      <c r="K513" s="14"/>
      <c r="L513" s="11" t="n">
        <v>190901</v>
      </c>
      <c r="M513" s="13" t="s">
        <v>105</v>
      </c>
      <c r="N513" s="15" t="s">
        <v>41</v>
      </c>
      <c r="O513" s="15"/>
      <c r="P513" s="11" t="n">
        <v>113</v>
      </c>
      <c r="Q513" s="13" t="s">
        <v>34</v>
      </c>
      <c r="R513" s="13" t="s">
        <v>35</v>
      </c>
      <c r="S513" s="11" t="n">
        <v>1130101</v>
      </c>
      <c r="T513" s="13" t="s">
        <v>36</v>
      </c>
      <c r="U513" s="16" t="n">
        <v>3804</v>
      </c>
      <c r="V513" s="16"/>
      <c r="W513" s="17" t="n">
        <v>0</v>
      </c>
      <c r="X513" s="15" t="s">
        <v>584</v>
      </c>
      <c r="Y513" s="15"/>
      <c r="Z513" s="1" t="str">
        <f aca="false">IF($T513="","",IFERROR(INDEX('Resumo Grupos'!$AC$3:$AC$2000,MATCH($T513,'Resumo Grupos'!$AB$3:$AB$2000,0)),"n/d"))</f>
        <v>Mercadoria</v>
      </c>
    </row>
    <row r="514" customFormat="false" ht="28.5" hidden="false" customHeight="true" outlineLevel="0" collapsed="false">
      <c r="A514" s="11" t="n">
        <v>2</v>
      </c>
      <c r="B514" s="12" t="n">
        <v>46223</v>
      </c>
      <c r="C514" s="12" t="n">
        <v>46251</v>
      </c>
      <c r="D514" s="11" t="n">
        <v>1705</v>
      </c>
      <c r="E514" s="13" t="s">
        <v>169</v>
      </c>
      <c r="F514" s="11" t="n">
        <v>24</v>
      </c>
      <c r="G514" s="13" t="s">
        <v>30</v>
      </c>
      <c r="H514" s="11" t="n">
        <v>1110203</v>
      </c>
      <c r="I514" s="13" t="s">
        <v>100</v>
      </c>
      <c r="J514" s="14" t="n">
        <v>1424522</v>
      </c>
      <c r="K514" s="14"/>
      <c r="L514" s="11" t="n">
        <v>190902</v>
      </c>
      <c r="M514" s="13" t="s">
        <v>105</v>
      </c>
      <c r="N514" s="15" t="s">
        <v>41</v>
      </c>
      <c r="O514" s="15"/>
      <c r="P514" s="11" t="n">
        <v>113</v>
      </c>
      <c r="Q514" s="13" t="s">
        <v>34</v>
      </c>
      <c r="R514" s="13" t="s">
        <v>35</v>
      </c>
      <c r="S514" s="11" t="n">
        <v>1130101</v>
      </c>
      <c r="T514" s="13" t="s">
        <v>36</v>
      </c>
      <c r="U514" s="16" t="n">
        <v>114.61</v>
      </c>
      <c r="V514" s="16"/>
      <c r="W514" s="17" t="n">
        <v>0</v>
      </c>
      <c r="X514" s="15" t="s">
        <v>585</v>
      </c>
      <c r="Y514" s="15"/>
      <c r="Z514" s="1" t="str">
        <f aca="false">IF($T514="","",IFERROR(INDEX('Resumo Grupos'!$AC$3:$AC$2000,MATCH($T514,'Resumo Grupos'!$AB$3:$AB$2000,0)),"n/d"))</f>
        <v>Mercadoria</v>
      </c>
    </row>
    <row r="515" customFormat="false" ht="28.5" hidden="false" customHeight="true" outlineLevel="0" collapsed="false">
      <c r="A515" s="11" t="n">
        <v>2</v>
      </c>
      <c r="B515" s="12" t="n">
        <v>46223</v>
      </c>
      <c r="C515" s="12" t="n">
        <v>46238</v>
      </c>
      <c r="D515" s="11" t="n">
        <v>1705</v>
      </c>
      <c r="E515" s="13" t="s">
        <v>169</v>
      </c>
      <c r="F515" s="11" t="n">
        <v>24</v>
      </c>
      <c r="G515" s="13" t="s">
        <v>30</v>
      </c>
      <c r="H515" s="11" t="n">
        <v>1110203</v>
      </c>
      <c r="I515" s="13" t="s">
        <v>100</v>
      </c>
      <c r="J515" s="14" t="n">
        <v>1424528</v>
      </c>
      <c r="K515" s="14"/>
      <c r="L515" s="11" t="n">
        <v>190903</v>
      </c>
      <c r="M515" s="13" t="s">
        <v>105</v>
      </c>
      <c r="N515" s="15" t="s">
        <v>41</v>
      </c>
      <c r="O515" s="15"/>
      <c r="P515" s="11" t="n">
        <v>113</v>
      </c>
      <c r="Q515" s="13" t="s">
        <v>34</v>
      </c>
      <c r="R515" s="13" t="s">
        <v>35</v>
      </c>
      <c r="S515" s="11" t="n">
        <v>1130101</v>
      </c>
      <c r="T515" s="13" t="s">
        <v>36</v>
      </c>
      <c r="U515" s="16" t="n">
        <v>53.95</v>
      </c>
      <c r="V515" s="16"/>
      <c r="W515" s="17" t="n">
        <v>0</v>
      </c>
      <c r="X515" s="15" t="s">
        <v>586</v>
      </c>
      <c r="Y515" s="15"/>
      <c r="Z515" s="1" t="str">
        <f aca="false">IF($T515="","",IFERROR(INDEX('Resumo Grupos'!$AC$3:$AC$2000,MATCH($T515,'Resumo Grupos'!$AB$3:$AB$2000,0)),"n/d"))</f>
        <v>Mercadoria</v>
      </c>
    </row>
    <row r="516" customFormat="false" ht="28.5" hidden="false" customHeight="true" outlineLevel="0" collapsed="false">
      <c r="A516" s="11" t="n">
        <v>2</v>
      </c>
      <c r="B516" s="12" t="n">
        <v>46223</v>
      </c>
      <c r="C516" s="12" t="n">
        <v>46238</v>
      </c>
      <c r="D516" s="11" t="n">
        <v>1705</v>
      </c>
      <c r="E516" s="13" t="s">
        <v>169</v>
      </c>
      <c r="F516" s="11" t="n">
        <v>24</v>
      </c>
      <c r="G516" s="13" t="s">
        <v>30</v>
      </c>
      <c r="H516" s="11" t="n">
        <v>1110203</v>
      </c>
      <c r="I516" s="13" t="s">
        <v>100</v>
      </c>
      <c r="J516" s="14" t="n">
        <v>1424532</v>
      </c>
      <c r="K516" s="14"/>
      <c r="L516" s="11" t="n">
        <v>190904</v>
      </c>
      <c r="M516" s="13" t="s">
        <v>105</v>
      </c>
      <c r="N516" s="15" t="s">
        <v>41</v>
      </c>
      <c r="O516" s="15"/>
      <c r="P516" s="11" t="n">
        <v>113</v>
      </c>
      <c r="Q516" s="13" t="s">
        <v>34</v>
      </c>
      <c r="R516" s="13" t="s">
        <v>35</v>
      </c>
      <c r="S516" s="11" t="n">
        <v>1130101</v>
      </c>
      <c r="T516" s="13" t="s">
        <v>36</v>
      </c>
      <c r="U516" s="16" t="n">
        <v>637.11</v>
      </c>
      <c r="V516" s="16"/>
      <c r="W516" s="17" t="n">
        <v>0</v>
      </c>
      <c r="X516" s="15" t="s">
        <v>587</v>
      </c>
      <c r="Y516" s="15"/>
      <c r="Z516" s="1" t="str">
        <f aca="false">IF($T516="","",IFERROR(INDEX('Resumo Grupos'!$AC$3:$AC$2000,MATCH($T516,'Resumo Grupos'!$AB$3:$AB$2000,0)),"n/d"))</f>
        <v>Mercadoria</v>
      </c>
    </row>
    <row r="517" customFormat="false" ht="57" hidden="false" customHeight="true" outlineLevel="0" collapsed="false">
      <c r="A517" s="11" t="n">
        <v>2</v>
      </c>
      <c r="B517" s="12" t="n">
        <v>46223</v>
      </c>
      <c r="C517" s="12" t="n">
        <v>46230</v>
      </c>
      <c r="D517" s="11" t="n">
        <v>581</v>
      </c>
      <c r="E517" s="13" t="s">
        <v>279</v>
      </c>
      <c r="F517" s="11" t="n">
        <v>24</v>
      </c>
      <c r="G517" s="13" t="s">
        <v>30</v>
      </c>
      <c r="H517" s="11" t="n">
        <v>1110203</v>
      </c>
      <c r="I517" s="13" t="s">
        <v>100</v>
      </c>
      <c r="J517" s="14" t="n">
        <v>1424567</v>
      </c>
      <c r="K517" s="14"/>
      <c r="L517" s="11" t="n">
        <v>190908</v>
      </c>
      <c r="M517" s="13" t="s">
        <v>105</v>
      </c>
      <c r="N517" s="15" t="s">
        <v>41</v>
      </c>
      <c r="O517" s="15"/>
      <c r="P517" s="11" t="n">
        <v>113</v>
      </c>
      <c r="Q517" s="13" t="s">
        <v>34</v>
      </c>
      <c r="R517" s="13" t="s">
        <v>35</v>
      </c>
      <c r="S517" s="11" t="n">
        <v>1130101</v>
      </c>
      <c r="T517" s="13" t="s">
        <v>36</v>
      </c>
      <c r="U517" s="16" t="n">
        <v>199</v>
      </c>
      <c r="V517" s="16"/>
      <c r="W517" s="17" t="n">
        <v>0</v>
      </c>
      <c r="X517" s="15" t="s">
        <v>588</v>
      </c>
      <c r="Y517" s="15"/>
      <c r="Z517" s="1" t="str">
        <f aca="false">IF($T517="","",IFERROR(INDEX('Resumo Grupos'!$AC$3:$AC$2000,MATCH($T517,'Resumo Grupos'!$AB$3:$AB$2000,0)),"n/d"))</f>
        <v>Mercadoria</v>
      </c>
    </row>
    <row r="518" customFormat="false" ht="28.5" hidden="false" customHeight="true" outlineLevel="0" collapsed="false">
      <c r="A518" s="11" t="n">
        <v>2</v>
      </c>
      <c r="B518" s="12" t="n">
        <v>46223</v>
      </c>
      <c r="C518" s="12" t="n">
        <v>46244</v>
      </c>
      <c r="D518" s="11" t="n">
        <v>607</v>
      </c>
      <c r="E518" s="13" t="s">
        <v>265</v>
      </c>
      <c r="F518" s="11" t="n">
        <v>24</v>
      </c>
      <c r="G518" s="13" t="s">
        <v>30</v>
      </c>
      <c r="H518" s="11" t="n">
        <v>1110203</v>
      </c>
      <c r="I518" s="13" t="s">
        <v>100</v>
      </c>
      <c r="J518" s="14" t="n">
        <v>1424634</v>
      </c>
      <c r="K518" s="14"/>
      <c r="L518" s="11" t="n">
        <v>190909</v>
      </c>
      <c r="M518" s="13" t="s">
        <v>105</v>
      </c>
      <c r="N518" s="15" t="s">
        <v>41</v>
      </c>
      <c r="O518" s="15"/>
      <c r="P518" s="11" t="n">
        <v>113</v>
      </c>
      <c r="Q518" s="13" t="s">
        <v>34</v>
      </c>
      <c r="R518" s="13" t="s">
        <v>35</v>
      </c>
      <c r="S518" s="11" t="n">
        <v>1130101</v>
      </c>
      <c r="T518" s="13" t="s">
        <v>36</v>
      </c>
      <c r="U518" s="16" t="n">
        <v>446.28</v>
      </c>
      <c r="V518" s="16"/>
      <c r="W518" s="17" t="n">
        <v>0</v>
      </c>
      <c r="X518" s="15" t="s">
        <v>589</v>
      </c>
      <c r="Y518" s="15"/>
      <c r="Z518" s="1" t="str">
        <f aca="false">IF($T518="","",IFERROR(INDEX('Resumo Grupos'!$AC$3:$AC$2000,MATCH($T518,'Resumo Grupos'!$AB$3:$AB$2000,0)),"n/d"))</f>
        <v>Mercadoria</v>
      </c>
    </row>
    <row r="519" customFormat="false" ht="28.5" hidden="false" customHeight="true" outlineLevel="0" collapsed="false">
      <c r="A519" s="11" t="n">
        <v>2</v>
      </c>
      <c r="B519" s="12" t="n">
        <v>46223</v>
      </c>
      <c r="C519" s="12" t="n">
        <v>46254</v>
      </c>
      <c r="D519" s="11" t="n">
        <v>607</v>
      </c>
      <c r="E519" s="13" t="s">
        <v>265</v>
      </c>
      <c r="F519" s="11" t="n">
        <v>24</v>
      </c>
      <c r="G519" s="13" t="s">
        <v>30</v>
      </c>
      <c r="H519" s="11" t="n">
        <v>1110203</v>
      </c>
      <c r="I519" s="13" t="s">
        <v>100</v>
      </c>
      <c r="J519" s="14" t="n">
        <v>1424640</v>
      </c>
      <c r="K519" s="14"/>
      <c r="L519" s="11" t="n">
        <v>190910</v>
      </c>
      <c r="M519" s="13" t="s">
        <v>105</v>
      </c>
      <c r="N519" s="15" t="s">
        <v>41</v>
      </c>
      <c r="O519" s="15"/>
      <c r="P519" s="11" t="n">
        <v>113</v>
      </c>
      <c r="Q519" s="13" t="s">
        <v>34</v>
      </c>
      <c r="R519" s="13" t="s">
        <v>35</v>
      </c>
      <c r="S519" s="11" t="n">
        <v>1130101</v>
      </c>
      <c r="T519" s="13" t="s">
        <v>36</v>
      </c>
      <c r="U519" s="16" t="n">
        <v>446.28</v>
      </c>
      <c r="V519" s="16"/>
      <c r="W519" s="17" t="n">
        <v>0</v>
      </c>
      <c r="X519" s="15" t="s">
        <v>589</v>
      </c>
      <c r="Y519" s="15"/>
      <c r="Z519" s="1" t="str">
        <f aca="false">IF($T519="","",IFERROR(INDEX('Resumo Grupos'!$AC$3:$AC$2000,MATCH($T519,'Resumo Grupos'!$AB$3:$AB$2000,0)),"n/d"))</f>
        <v>Mercadoria</v>
      </c>
    </row>
    <row r="520" customFormat="false" ht="28.5" hidden="false" customHeight="true" outlineLevel="0" collapsed="false">
      <c r="A520" s="11" t="n">
        <v>2</v>
      </c>
      <c r="B520" s="12" t="n">
        <v>46223</v>
      </c>
      <c r="C520" s="12" t="n">
        <v>46264</v>
      </c>
      <c r="D520" s="11" t="n">
        <v>607</v>
      </c>
      <c r="E520" s="13" t="s">
        <v>265</v>
      </c>
      <c r="F520" s="11" t="n">
        <v>24</v>
      </c>
      <c r="G520" s="13" t="s">
        <v>30</v>
      </c>
      <c r="H520" s="11" t="n">
        <v>1110203</v>
      </c>
      <c r="I520" s="13" t="s">
        <v>100</v>
      </c>
      <c r="J520" s="14" t="n">
        <v>1424650</v>
      </c>
      <c r="K520" s="14"/>
      <c r="L520" s="11" t="n">
        <v>190911</v>
      </c>
      <c r="M520" s="13" t="s">
        <v>105</v>
      </c>
      <c r="N520" s="15" t="s">
        <v>41</v>
      </c>
      <c r="O520" s="15"/>
      <c r="P520" s="11" t="n">
        <v>113</v>
      </c>
      <c r="Q520" s="13" t="s">
        <v>34</v>
      </c>
      <c r="R520" s="13" t="s">
        <v>35</v>
      </c>
      <c r="S520" s="11" t="n">
        <v>1130101</v>
      </c>
      <c r="T520" s="13" t="s">
        <v>36</v>
      </c>
      <c r="U520" s="16" t="n">
        <v>446.28</v>
      </c>
      <c r="V520" s="16"/>
      <c r="W520" s="17" t="n">
        <v>0</v>
      </c>
      <c r="X520" s="15" t="s">
        <v>589</v>
      </c>
      <c r="Y520" s="15"/>
      <c r="Z520" s="1" t="str">
        <f aca="false">IF($T520="","",IFERROR(INDEX('Resumo Grupos'!$AC$3:$AC$2000,MATCH($T520,'Resumo Grupos'!$AB$3:$AB$2000,0)),"n/d"))</f>
        <v>Mercadoria</v>
      </c>
    </row>
    <row r="521" customFormat="false" ht="39" hidden="false" customHeight="true" outlineLevel="0" collapsed="false">
      <c r="A521" s="11" t="n">
        <v>2</v>
      </c>
      <c r="B521" s="12" t="n">
        <v>46223</v>
      </c>
      <c r="C521" s="12" t="n">
        <v>46223</v>
      </c>
      <c r="D521" s="11" t="n">
        <v>48</v>
      </c>
      <c r="E521" s="13" t="s">
        <v>112</v>
      </c>
      <c r="F521" s="11" t="n">
        <v>13</v>
      </c>
      <c r="G521" s="13" t="s">
        <v>113</v>
      </c>
      <c r="H521" s="11" t="n">
        <v>2110101</v>
      </c>
      <c r="I521" s="13" t="s">
        <v>31</v>
      </c>
      <c r="J521" s="14" t="n">
        <v>1425087</v>
      </c>
      <c r="K521" s="14"/>
      <c r="L521" s="11" t="n">
        <v>2553</v>
      </c>
      <c r="M521" s="13" t="s">
        <v>105</v>
      </c>
      <c r="N521" s="15" t="s">
        <v>33</v>
      </c>
      <c r="O521" s="15"/>
      <c r="P521" s="11" t="n">
        <v>113</v>
      </c>
      <c r="Q521" s="13" t="s">
        <v>34</v>
      </c>
      <c r="R521" s="13" t="s">
        <v>35</v>
      </c>
      <c r="S521" s="11" t="n">
        <v>1130101</v>
      </c>
      <c r="T521" s="13" t="s">
        <v>36</v>
      </c>
      <c r="U521" s="16" t="n">
        <v>210</v>
      </c>
      <c r="V521" s="16"/>
      <c r="W521" s="17" t="n">
        <v>210</v>
      </c>
      <c r="X521" s="15" t="s">
        <v>590</v>
      </c>
      <c r="Y521" s="15"/>
      <c r="Z521" s="1" t="str">
        <f aca="false">IF($T521="","",IFERROR(INDEX('Resumo Grupos'!$AC$3:$AC$2000,MATCH($T521,'Resumo Grupos'!$AB$3:$AB$2000,0)),"n/d"))</f>
        <v>Mercadoria</v>
      </c>
    </row>
    <row r="522" customFormat="false" ht="57" hidden="false" customHeight="true" outlineLevel="0" collapsed="false">
      <c r="A522" s="11" t="n">
        <v>2</v>
      </c>
      <c r="B522" s="12" t="n">
        <v>46224</v>
      </c>
      <c r="C522" s="12" t="n">
        <v>46230</v>
      </c>
      <c r="D522" s="11" t="n">
        <v>1363</v>
      </c>
      <c r="E522" s="13" t="s">
        <v>313</v>
      </c>
      <c r="F522" s="11" t="n">
        <v>24</v>
      </c>
      <c r="G522" s="13" t="s">
        <v>30</v>
      </c>
      <c r="H522" s="11" t="n">
        <v>1110203</v>
      </c>
      <c r="I522" s="13" t="s">
        <v>100</v>
      </c>
      <c r="J522" s="14" t="n">
        <v>1427550</v>
      </c>
      <c r="K522" s="14"/>
      <c r="L522" s="11" t="n">
        <v>190912</v>
      </c>
      <c r="M522" s="13" t="s">
        <v>105</v>
      </c>
      <c r="N522" s="15" t="s">
        <v>41</v>
      </c>
      <c r="O522" s="15"/>
      <c r="P522" s="11" t="n">
        <v>113</v>
      </c>
      <c r="Q522" s="13" t="s">
        <v>34</v>
      </c>
      <c r="R522" s="13" t="s">
        <v>35</v>
      </c>
      <c r="S522" s="11" t="n">
        <v>1130101</v>
      </c>
      <c r="T522" s="13" t="s">
        <v>36</v>
      </c>
      <c r="U522" s="16" t="n">
        <v>179</v>
      </c>
      <c r="V522" s="16"/>
      <c r="W522" s="17" t="n">
        <v>0</v>
      </c>
      <c r="X522" s="15" t="s">
        <v>591</v>
      </c>
      <c r="Y522" s="15"/>
      <c r="Z522" s="1" t="str">
        <f aca="false">IF($T522="","",IFERROR(INDEX('Resumo Grupos'!$AC$3:$AC$2000,MATCH($T522,'Resumo Grupos'!$AB$3:$AB$2000,0)),"n/d"))</f>
        <v>Mercadoria</v>
      </c>
    </row>
    <row r="523" customFormat="false" ht="57" hidden="false" customHeight="true" outlineLevel="0" collapsed="false">
      <c r="A523" s="11" t="n">
        <v>2</v>
      </c>
      <c r="B523" s="12" t="n">
        <v>46224</v>
      </c>
      <c r="C523" s="12" t="n">
        <v>46230</v>
      </c>
      <c r="D523" s="11" t="n">
        <v>1328</v>
      </c>
      <c r="E523" s="13" t="s">
        <v>324</v>
      </c>
      <c r="F523" s="11" t="n">
        <v>24</v>
      </c>
      <c r="G523" s="13" t="s">
        <v>30</v>
      </c>
      <c r="H523" s="11" t="n">
        <v>1110203</v>
      </c>
      <c r="I523" s="13" t="s">
        <v>100</v>
      </c>
      <c r="J523" s="14" t="n">
        <v>1427562</v>
      </c>
      <c r="K523" s="14"/>
      <c r="L523" s="11" t="n">
        <v>190913</v>
      </c>
      <c r="M523" s="13" t="s">
        <v>105</v>
      </c>
      <c r="N523" s="15" t="s">
        <v>41</v>
      </c>
      <c r="O523" s="15"/>
      <c r="P523" s="11" t="n">
        <v>113</v>
      </c>
      <c r="Q523" s="13" t="s">
        <v>34</v>
      </c>
      <c r="R523" s="13" t="s">
        <v>35</v>
      </c>
      <c r="S523" s="11" t="n">
        <v>1130101</v>
      </c>
      <c r="T523" s="13" t="s">
        <v>36</v>
      </c>
      <c r="U523" s="16" t="n">
        <v>232.05</v>
      </c>
      <c r="V523" s="16"/>
      <c r="W523" s="17" t="n">
        <v>0</v>
      </c>
      <c r="X523" s="15" t="s">
        <v>592</v>
      </c>
      <c r="Y523" s="15"/>
      <c r="Z523" s="1" t="str">
        <f aca="false">IF($T523="","",IFERROR(INDEX('Resumo Grupos'!$AC$3:$AC$2000,MATCH($T523,'Resumo Grupos'!$AB$3:$AB$2000,0)),"n/d"))</f>
        <v>Mercadoria</v>
      </c>
    </row>
    <row r="524" customFormat="false" ht="57" hidden="false" customHeight="true" outlineLevel="0" collapsed="false">
      <c r="A524" s="11" t="n">
        <v>2</v>
      </c>
      <c r="B524" s="12" t="n">
        <v>46224</v>
      </c>
      <c r="C524" s="12" t="n">
        <v>46227</v>
      </c>
      <c r="D524" s="11" t="n">
        <v>1899</v>
      </c>
      <c r="E524" s="13" t="s">
        <v>287</v>
      </c>
      <c r="F524" s="11" t="n">
        <v>24</v>
      </c>
      <c r="G524" s="13" t="s">
        <v>30</v>
      </c>
      <c r="H524" s="11" t="n">
        <v>1110203</v>
      </c>
      <c r="I524" s="13" t="s">
        <v>100</v>
      </c>
      <c r="J524" s="14" t="n">
        <v>1427574</v>
      </c>
      <c r="K524" s="14"/>
      <c r="L524" s="11" t="n">
        <v>190914</v>
      </c>
      <c r="M524" s="13" t="s">
        <v>105</v>
      </c>
      <c r="N524" s="15" t="s">
        <v>41</v>
      </c>
      <c r="O524" s="15"/>
      <c r="P524" s="11" t="n">
        <v>113</v>
      </c>
      <c r="Q524" s="13" t="s">
        <v>34</v>
      </c>
      <c r="R524" s="13" t="s">
        <v>35</v>
      </c>
      <c r="S524" s="11" t="n">
        <v>1130101</v>
      </c>
      <c r="T524" s="13" t="s">
        <v>36</v>
      </c>
      <c r="U524" s="16" t="n">
        <v>182.36</v>
      </c>
      <c r="V524" s="16"/>
      <c r="W524" s="17" t="n">
        <v>0</v>
      </c>
      <c r="X524" s="15" t="s">
        <v>593</v>
      </c>
      <c r="Y524" s="15"/>
      <c r="Z524" s="1" t="str">
        <f aca="false">IF($T524="","",IFERROR(INDEX('Resumo Grupos'!$AC$3:$AC$2000,MATCH($T524,'Resumo Grupos'!$AB$3:$AB$2000,0)),"n/d"))</f>
        <v>Mercadoria</v>
      </c>
    </row>
    <row r="525" customFormat="false" ht="28.5" hidden="false" customHeight="true" outlineLevel="0" collapsed="false">
      <c r="A525" s="11" t="n">
        <v>2</v>
      </c>
      <c r="B525" s="12" t="n">
        <v>46224</v>
      </c>
      <c r="C525" s="12" t="n">
        <v>46234</v>
      </c>
      <c r="D525" s="11" t="n">
        <v>1683</v>
      </c>
      <c r="E525" s="13" t="s">
        <v>328</v>
      </c>
      <c r="F525" s="11" t="n">
        <v>34</v>
      </c>
      <c r="G525" s="13" t="s">
        <v>87</v>
      </c>
      <c r="H525" s="11" t="n">
        <v>1110203</v>
      </c>
      <c r="I525" s="13" t="s">
        <v>100</v>
      </c>
      <c r="J525" s="14" t="n">
        <v>1427580</v>
      </c>
      <c r="K525" s="14"/>
      <c r="L525" s="11" t="n">
        <v>190915</v>
      </c>
      <c r="M525" s="13" t="s">
        <v>105</v>
      </c>
      <c r="N525" s="15" t="s">
        <v>41</v>
      </c>
      <c r="O525" s="15"/>
      <c r="P525" s="11" t="n">
        <v>113</v>
      </c>
      <c r="Q525" s="13" t="s">
        <v>34</v>
      </c>
      <c r="R525" s="13" t="s">
        <v>35</v>
      </c>
      <c r="S525" s="11" t="n">
        <v>1130101</v>
      </c>
      <c r="T525" s="13" t="s">
        <v>36</v>
      </c>
      <c r="U525" s="16" t="n">
        <v>151</v>
      </c>
      <c r="V525" s="16"/>
      <c r="W525" s="17" t="n">
        <v>0</v>
      </c>
      <c r="X525" s="15" t="s">
        <v>594</v>
      </c>
      <c r="Y525" s="15"/>
      <c r="Z525" s="1" t="str">
        <f aca="false">IF($T525="","",IFERROR(INDEX('Resumo Grupos'!$AC$3:$AC$2000,MATCH($T525,'Resumo Grupos'!$AB$3:$AB$2000,0)),"n/d"))</f>
        <v>Mercadoria</v>
      </c>
    </row>
    <row r="526" customFormat="false" ht="39" hidden="false" customHeight="true" outlineLevel="0" collapsed="false">
      <c r="A526" s="11" t="n">
        <v>2</v>
      </c>
      <c r="B526" s="12" t="n">
        <v>46224</v>
      </c>
      <c r="C526" s="12" t="n">
        <v>46244</v>
      </c>
      <c r="D526" s="11" t="n">
        <v>1100</v>
      </c>
      <c r="E526" s="13" t="s">
        <v>97</v>
      </c>
      <c r="F526" s="11" t="n">
        <v>46</v>
      </c>
      <c r="G526" s="13" t="s">
        <v>68</v>
      </c>
      <c r="H526" s="11" t="n">
        <v>1110203</v>
      </c>
      <c r="I526" s="13" t="s">
        <v>100</v>
      </c>
      <c r="J526" s="14" t="n">
        <v>1427624</v>
      </c>
      <c r="K526" s="14"/>
      <c r="L526" s="11" t="n">
        <v>190916</v>
      </c>
      <c r="M526" s="13" t="s">
        <v>105</v>
      </c>
      <c r="N526" s="15" t="s">
        <v>41</v>
      </c>
      <c r="O526" s="15"/>
      <c r="P526" s="11" t="n">
        <v>113</v>
      </c>
      <c r="Q526" s="13" t="s">
        <v>34</v>
      </c>
      <c r="R526" s="13" t="s">
        <v>60</v>
      </c>
      <c r="S526" s="11" t="n">
        <v>4210227</v>
      </c>
      <c r="T526" s="13" t="s">
        <v>70</v>
      </c>
      <c r="U526" s="16" t="n">
        <v>400</v>
      </c>
      <c r="V526" s="16"/>
      <c r="W526" s="17" t="n">
        <v>0</v>
      </c>
      <c r="X526" s="15" t="s">
        <v>595</v>
      </c>
      <c r="Y526" s="15"/>
      <c r="Z526" s="1" t="str">
        <f aca="false">IF($T526="","",IFERROR(INDEX('Resumo Grupos'!$AC$3:$AC$2000,MATCH($T526,'Resumo Grupos'!$AB$3:$AB$2000,0)),"n/d"))</f>
        <v>Despesa</v>
      </c>
    </row>
    <row r="527" customFormat="false" ht="39" hidden="false" customHeight="true" outlineLevel="0" collapsed="false">
      <c r="A527" s="11" t="n">
        <v>2</v>
      </c>
      <c r="B527" s="12" t="n">
        <v>46224</v>
      </c>
      <c r="C527" s="12" t="n">
        <v>46275</v>
      </c>
      <c r="D527" s="11" t="n">
        <v>1100</v>
      </c>
      <c r="E527" s="13" t="s">
        <v>97</v>
      </c>
      <c r="F527" s="11" t="n">
        <v>46</v>
      </c>
      <c r="G527" s="13" t="s">
        <v>68</v>
      </c>
      <c r="H527" s="11" t="n">
        <v>1110203</v>
      </c>
      <c r="I527" s="13" t="s">
        <v>100</v>
      </c>
      <c r="J527" s="14" t="n">
        <v>1427624</v>
      </c>
      <c r="K527" s="14"/>
      <c r="L527" s="11" t="n">
        <v>190916</v>
      </c>
      <c r="M527" s="13" t="s">
        <v>32</v>
      </c>
      <c r="N527" s="15" t="s">
        <v>41</v>
      </c>
      <c r="O527" s="15"/>
      <c r="P527" s="11" t="n">
        <v>113</v>
      </c>
      <c r="Q527" s="13" t="s">
        <v>34</v>
      </c>
      <c r="R527" s="13" t="s">
        <v>60</v>
      </c>
      <c r="S527" s="11" t="n">
        <v>4210227</v>
      </c>
      <c r="T527" s="13" t="s">
        <v>70</v>
      </c>
      <c r="U527" s="16" t="n">
        <v>400</v>
      </c>
      <c r="V527" s="16"/>
      <c r="W527" s="17" t="n">
        <v>0</v>
      </c>
      <c r="X527" s="15" t="s">
        <v>596</v>
      </c>
      <c r="Y527" s="15"/>
      <c r="Z527" s="1" t="str">
        <f aca="false">IF($T527="","",IFERROR(INDEX('Resumo Grupos'!$AC$3:$AC$2000,MATCH($T527,'Resumo Grupos'!$AB$3:$AB$2000,0)),"n/d"))</f>
        <v>Despesa</v>
      </c>
    </row>
    <row r="528" customFormat="false" ht="28.5" hidden="false" customHeight="true" outlineLevel="0" collapsed="false">
      <c r="A528" s="11" t="n">
        <v>2</v>
      </c>
      <c r="B528" s="12" t="n">
        <v>46220</v>
      </c>
      <c r="C528" s="12" t="n">
        <v>46220</v>
      </c>
      <c r="D528" s="11" t="n">
        <v>23</v>
      </c>
      <c r="E528" s="13" t="s">
        <v>425</v>
      </c>
      <c r="F528" s="11" t="n">
        <v>34</v>
      </c>
      <c r="G528" s="13" t="s">
        <v>87</v>
      </c>
      <c r="H528" s="11" t="n">
        <v>2110405</v>
      </c>
      <c r="I528" s="13" t="s">
        <v>51</v>
      </c>
      <c r="J528" s="14" t="n">
        <v>1427891</v>
      </c>
      <c r="K528" s="14"/>
      <c r="L528" s="11" t="n">
        <v>190917</v>
      </c>
      <c r="M528" s="13" t="s">
        <v>105</v>
      </c>
      <c r="N528" s="15" t="s">
        <v>41</v>
      </c>
      <c r="O528" s="15"/>
      <c r="P528" s="11" t="n">
        <v>113</v>
      </c>
      <c r="Q528" s="13" t="s">
        <v>34</v>
      </c>
      <c r="R528" s="13" t="s">
        <v>191</v>
      </c>
      <c r="S528" s="11" t="n">
        <v>4210301</v>
      </c>
      <c r="T528" s="13" t="s">
        <v>420</v>
      </c>
      <c r="U528" s="16" t="n">
        <v>400</v>
      </c>
      <c r="V528" s="16"/>
      <c r="W528" s="17" t="n">
        <v>0</v>
      </c>
      <c r="X528" s="15" t="s">
        <v>537</v>
      </c>
      <c r="Y528" s="15"/>
      <c r="Z528" s="1" t="str">
        <f aca="false">IF($T528="","",IFERROR(INDEX('Resumo Grupos'!$AC$3:$AC$2000,MATCH($T528,'Resumo Grupos'!$AB$3:$AB$2000,0)),"n/d"))</f>
        <v>Salários</v>
      </c>
    </row>
    <row r="529" customFormat="false" ht="39" hidden="false" customHeight="true" outlineLevel="0" collapsed="false">
      <c r="A529" s="11" t="n">
        <v>2</v>
      </c>
      <c r="B529" s="12" t="n">
        <v>46206</v>
      </c>
      <c r="C529" s="12" t="n">
        <v>46206</v>
      </c>
      <c r="D529" s="11" t="n">
        <v>10096</v>
      </c>
      <c r="E529" s="13" t="s">
        <v>597</v>
      </c>
      <c r="F529" s="11" t="n">
        <v>13</v>
      </c>
      <c r="G529" s="13" t="s">
        <v>113</v>
      </c>
      <c r="H529" s="11" t="n">
        <v>1110203</v>
      </c>
      <c r="I529" s="13" t="s">
        <v>100</v>
      </c>
      <c r="J529" s="14" t="n">
        <v>1428689</v>
      </c>
      <c r="K529" s="14"/>
      <c r="L529" s="11" t="n">
        <v>191305</v>
      </c>
      <c r="M529" s="13" t="s">
        <v>105</v>
      </c>
      <c r="N529" s="15" t="s">
        <v>41</v>
      </c>
      <c r="O529" s="15"/>
      <c r="P529" s="11" t="n">
        <v>113</v>
      </c>
      <c r="Q529" s="13" t="s">
        <v>34</v>
      </c>
      <c r="R529" s="13" t="s">
        <v>35</v>
      </c>
      <c r="S529" s="11" t="n">
        <v>1130101</v>
      </c>
      <c r="T529" s="13" t="s">
        <v>36</v>
      </c>
      <c r="U529" s="16" t="n">
        <v>120</v>
      </c>
      <c r="V529" s="16"/>
      <c r="W529" s="17" t="n">
        <v>0</v>
      </c>
      <c r="X529" s="15" t="s">
        <v>598</v>
      </c>
      <c r="Y529" s="15"/>
      <c r="Z529" s="1" t="str">
        <f aca="false">IF($T529="","",IFERROR(INDEX('Resumo Grupos'!$AC$3:$AC$2000,MATCH($T529,'Resumo Grupos'!$AB$3:$AB$2000,0)),"n/d"))</f>
        <v>Mercadoria</v>
      </c>
    </row>
    <row r="530" customFormat="false" ht="39" hidden="false" customHeight="true" outlineLevel="0" collapsed="false">
      <c r="A530" s="11" t="n">
        <v>2</v>
      </c>
      <c r="B530" s="12" t="n">
        <v>46210</v>
      </c>
      <c r="C530" s="12" t="n">
        <v>46210</v>
      </c>
      <c r="D530" s="11" t="n">
        <v>10096</v>
      </c>
      <c r="E530" s="13" t="s">
        <v>597</v>
      </c>
      <c r="F530" s="11" t="n">
        <v>13</v>
      </c>
      <c r="G530" s="13" t="s">
        <v>113</v>
      </c>
      <c r="H530" s="11" t="n">
        <v>1110203</v>
      </c>
      <c r="I530" s="13" t="s">
        <v>100</v>
      </c>
      <c r="J530" s="14" t="n">
        <v>1428699</v>
      </c>
      <c r="K530" s="14"/>
      <c r="L530" s="11" t="n">
        <v>191311</v>
      </c>
      <c r="M530" s="13" t="s">
        <v>105</v>
      </c>
      <c r="N530" s="15" t="s">
        <v>41</v>
      </c>
      <c r="O530" s="15"/>
      <c r="P530" s="11" t="n">
        <v>113</v>
      </c>
      <c r="Q530" s="13" t="s">
        <v>34</v>
      </c>
      <c r="R530" s="13" t="s">
        <v>35</v>
      </c>
      <c r="S530" s="11" t="n">
        <v>1130101</v>
      </c>
      <c r="T530" s="13" t="s">
        <v>36</v>
      </c>
      <c r="U530" s="16" t="n">
        <v>120</v>
      </c>
      <c r="V530" s="16"/>
      <c r="W530" s="17" t="n">
        <v>0</v>
      </c>
      <c r="X530" s="15" t="s">
        <v>599</v>
      </c>
      <c r="Y530" s="15"/>
      <c r="Z530" s="1" t="str">
        <f aca="false">IF($T530="","",IFERROR(INDEX('Resumo Grupos'!$AC$3:$AC$2000,MATCH($T530,'Resumo Grupos'!$AB$3:$AB$2000,0)),"n/d"))</f>
        <v>Mercadoria</v>
      </c>
    </row>
    <row r="531" customFormat="false" ht="39" hidden="false" customHeight="true" outlineLevel="0" collapsed="false">
      <c r="A531" s="11" t="n">
        <v>2</v>
      </c>
      <c r="B531" s="12" t="n">
        <v>46213</v>
      </c>
      <c r="C531" s="12" t="n">
        <v>46213</v>
      </c>
      <c r="D531" s="11" t="n">
        <v>10096</v>
      </c>
      <c r="E531" s="13" t="s">
        <v>597</v>
      </c>
      <c r="F531" s="11" t="n">
        <v>13</v>
      </c>
      <c r="G531" s="13" t="s">
        <v>113</v>
      </c>
      <c r="H531" s="11" t="n">
        <v>1110203</v>
      </c>
      <c r="I531" s="13" t="s">
        <v>100</v>
      </c>
      <c r="J531" s="14" t="n">
        <v>1428708</v>
      </c>
      <c r="K531" s="14"/>
      <c r="L531" s="11" t="n">
        <v>191317</v>
      </c>
      <c r="M531" s="13" t="s">
        <v>105</v>
      </c>
      <c r="N531" s="15" t="s">
        <v>41</v>
      </c>
      <c r="O531" s="15"/>
      <c r="P531" s="11" t="n">
        <v>113</v>
      </c>
      <c r="Q531" s="13" t="s">
        <v>34</v>
      </c>
      <c r="R531" s="13" t="s">
        <v>35</v>
      </c>
      <c r="S531" s="11" t="n">
        <v>1130101</v>
      </c>
      <c r="T531" s="13" t="s">
        <v>36</v>
      </c>
      <c r="U531" s="16" t="n">
        <v>200</v>
      </c>
      <c r="V531" s="16"/>
      <c r="W531" s="17" t="n">
        <v>0</v>
      </c>
      <c r="X531" s="15" t="s">
        <v>600</v>
      </c>
      <c r="Y531" s="15"/>
      <c r="Z531" s="1" t="str">
        <f aca="false">IF($T531="","",IFERROR(INDEX('Resumo Grupos'!$AC$3:$AC$2000,MATCH($T531,'Resumo Grupos'!$AB$3:$AB$2000,0)),"n/d"))</f>
        <v>Mercadoria</v>
      </c>
    </row>
    <row r="532" customFormat="false" ht="39" hidden="false" customHeight="true" outlineLevel="0" collapsed="false">
      <c r="A532" s="11" t="n">
        <v>2</v>
      </c>
      <c r="B532" s="12" t="n">
        <v>46216</v>
      </c>
      <c r="C532" s="12" t="n">
        <v>46216</v>
      </c>
      <c r="D532" s="11" t="n">
        <v>10096</v>
      </c>
      <c r="E532" s="13" t="s">
        <v>597</v>
      </c>
      <c r="F532" s="11" t="n">
        <v>13</v>
      </c>
      <c r="G532" s="13" t="s">
        <v>113</v>
      </c>
      <c r="H532" s="11" t="n">
        <v>1110203</v>
      </c>
      <c r="I532" s="13" t="s">
        <v>100</v>
      </c>
      <c r="J532" s="14" t="n">
        <v>1428717</v>
      </c>
      <c r="K532" s="14"/>
      <c r="L532" s="11" t="n">
        <v>191324</v>
      </c>
      <c r="M532" s="13" t="s">
        <v>105</v>
      </c>
      <c r="N532" s="15" t="s">
        <v>41</v>
      </c>
      <c r="O532" s="15"/>
      <c r="P532" s="11" t="n">
        <v>113</v>
      </c>
      <c r="Q532" s="13" t="s">
        <v>34</v>
      </c>
      <c r="R532" s="13" t="s">
        <v>35</v>
      </c>
      <c r="S532" s="11" t="n">
        <v>1130101</v>
      </c>
      <c r="T532" s="13" t="s">
        <v>36</v>
      </c>
      <c r="U532" s="16" t="n">
        <v>120</v>
      </c>
      <c r="V532" s="16"/>
      <c r="W532" s="17" t="n">
        <v>120</v>
      </c>
      <c r="X532" s="15" t="s">
        <v>601</v>
      </c>
      <c r="Y532" s="15"/>
      <c r="Z532" s="1" t="str">
        <f aca="false">IF($T532="","",IFERROR(INDEX('Resumo Grupos'!$AC$3:$AC$2000,MATCH($T532,'Resumo Grupos'!$AB$3:$AB$2000,0)),"n/d"))</f>
        <v>Mercadoria</v>
      </c>
    </row>
    <row r="533" customFormat="false" ht="39" hidden="false" customHeight="true" outlineLevel="0" collapsed="false">
      <c r="A533" s="11" t="n">
        <v>2</v>
      </c>
      <c r="B533" s="12" t="n">
        <v>46218</v>
      </c>
      <c r="C533" s="12" t="n">
        <v>46218</v>
      </c>
      <c r="D533" s="11" t="n">
        <v>10096</v>
      </c>
      <c r="E533" s="13" t="s">
        <v>597</v>
      </c>
      <c r="F533" s="11" t="n">
        <v>13</v>
      </c>
      <c r="G533" s="13" t="s">
        <v>113</v>
      </c>
      <c r="H533" s="11" t="n">
        <v>1110203</v>
      </c>
      <c r="I533" s="13" t="s">
        <v>100</v>
      </c>
      <c r="J533" s="14" t="n">
        <v>1428724</v>
      </c>
      <c r="K533" s="14"/>
      <c r="L533" s="11" t="n">
        <v>191329</v>
      </c>
      <c r="M533" s="13" t="s">
        <v>105</v>
      </c>
      <c r="N533" s="15" t="s">
        <v>41</v>
      </c>
      <c r="O533" s="15"/>
      <c r="P533" s="11" t="n">
        <v>113</v>
      </c>
      <c r="Q533" s="13" t="s">
        <v>34</v>
      </c>
      <c r="R533" s="13" t="s">
        <v>35</v>
      </c>
      <c r="S533" s="11" t="n">
        <v>1130101</v>
      </c>
      <c r="T533" s="13" t="s">
        <v>36</v>
      </c>
      <c r="U533" s="16" t="n">
        <v>140</v>
      </c>
      <c r="V533" s="16"/>
      <c r="W533" s="17" t="n">
        <v>140</v>
      </c>
      <c r="X533" s="15" t="s">
        <v>602</v>
      </c>
      <c r="Y533" s="15"/>
      <c r="Z533" s="1" t="str">
        <f aca="false">IF($T533="","",IFERROR(INDEX('Resumo Grupos'!$AC$3:$AC$2000,MATCH($T533,'Resumo Grupos'!$AB$3:$AB$2000,0)),"n/d"))</f>
        <v>Mercadoria</v>
      </c>
    </row>
    <row r="534" customFormat="false" ht="39" hidden="false" customHeight="true" outlineLevel="0" collapsed="false">
      <c r="A534" s="11" t="n">
        <v>2</v>
      </c>
      <c r="B534" s="12" t="n">
        <v>46220</v>
      </c>
      <c r="C534" s="12" t="n">
        <v>46220</v>
      </c>
      <c r="D534" s="11" t="n">
        <v>10096</v>
      </c>
      <c r="E534" s="13" t="s">
        <v>597</v>
      </c>
      <c r="F534" s="11" t="n">
        <v>13</v>
      </c>
      <c r="G534" s="13" t="s">
        <v>113</v>
      </c>
      <c r="H534" s="11" t="n">
        <v>1110203</v>
      </c>
      <c r="I534" s="13" t="s">
        <v>100</v>
      </c>
      <c r="J534" s="14" t="n">
        <v>1428745</v>
      </c>
      <c r="K534" s="14"/>
      <c r="L534" s="11" t="n">
        <v>191334</v>
      </c>
      <c r="M534" s="13" t="s">
        <v>105</v>
      </c>
      <c r="N534" s="15" t="s">
        <v>41</v>
      </c>
      <c r="O534" s="15"/>
      <c r="P534" s="11" t="n">
        <v>113</v>
      </c>
      <c r="Q534" s="13" t="s">
        <v>34</v>
      </c>
      <c r="R534" s="13" t="s">
        <v>35</v>
      </c>
      <c r="S534" s="11" t="n">
        <v>1130101</v>
      </c>
      <c r="T534" s="13" t="s">
        <v>36</v>
      </c>
      <c r="U534" s="16" t="n">
        <v>140</v>
      </c>
      <c r="V534" s="16"/>
      <c r="W534" s="17" t="n">
        <v>140</v>
      </c>
      <c r="X534" s="15" t="s">
        <v>603</v>
      </c>
      <c r="Y534" s="15"/>
      <c r="Z534" s="1" t="str">
        <f aca="false">IF($T534="","",IFERROR(INDEX('Resumo Grupos'!$AC$3:$AC$2000,MATCH($T534,'Resumo Grupos'!$AB$3:$AB$2000,0)),"n/d"))</f>
        <v>Mercadoria</v>
      </c>
    </row>
    <row r="535" customFormat="false" ht="39" hidden="false" customHeight="true" outlineLevel="0" collapsed="false">
      <c r="A535" s="11" t="n">
        <v>2</v>
      </c>
      <c r="B535" s="12" t="n">
        <v>46221</v>
      </c>
      <c r="C535" s="12" t="n">
        <v>46221</v>
      </c>
      <c r="D535" s="11" t="n">
        <v>10096</v>
      </c>
      <c r="E535" s="13" t="s">
        <v>597</v>
      </c>
      <c r="F535" s="11" t="n">
        <v>13</v>
      </c>
      <c r="G535" s="13" t="s">
        <v>113</v>
      </c>
      <c r="H535" s="11" t="n">
        <v>1110203</v>
      </c>
      <c r="I535" s="13" t="s">
        <v>100</v>
      </c>
      <c r="J535" s="14" t="n">
        <v>1428755</v>
      </c>
      <c r="K535" s="14"/>
      <c r="L535" s="11" t="n">
        <v>191353</v>
      </c>
      <c r="M535" s="13" t="s">
        <v>105</v>
      </c>
      <c r="N535" s="15" t="s">
        <v>41</v>
      </c>
      <c r="O535" s="15"/>
      <c r="P535" s="11" t="n">
        <v>113</v>
      </c>
      <c r="Q535" s="13" t="s">
        <v>34</v>
      </c>
      <c r="R535" s="13" t="s">
        <v>35</v>
      </c>
      <c r="S535" s="11" t="n">
        <v>1130101</v>
      </c>
      <c r="T535" s="13" t="s">
        <v>36</v>
      </c>
      <c r="U535" s="16" t="n">
        <v>120</v>
      </c>
      <c r="V535" s="16"/>
      <c r="W535" s="17" t="n">
        <v>120</v>
      </c>
      <c r="X535" s="15" t="s">
        <v>604</v>
      </c>
      <c r="Y535" s="15"/>
      <c r="Z535" s="1" t="str">
        <f aca="false">IF($T535="","",IFERROR(INDEX('Resumo Grupos'!$AC$3:$AC$2000,MATCH($T535,'Resumo Grupos'!$AB$3:$AB$2000,0)),"n/d"))</f>
        <v>Mercadoria</v>
      </c>
    </row>
    <row r="536" customFormat="false" ht="39" hidden="false" customHeight="true" outlineLevel="0" collapsed="false">
      <c r="A536" s="11" t="n">
        <v>2</v>
      </c>
      <c r="B536" s="12" t="n">
        <v>46224</v>
      </c>
      <c r="C536" s="12" t="n">
        <v>46224</v>
      </c>
      <c r="D536" s="11" t="n">
        <v>48</v>
      </c>
      <c r="E536" s="13" t="s">
        <v>112</v>
      </c>
      <c r="F536" s="11" t="n">
        <v>34</v>
      </c>
      <c r="G536" s="13" t="s">
        <v>87</v>
      </c>
      <c r="H536" s="11" t="n">
        <v>2110101</v>
      </c>
      <c r="I536" s="13" t="s">
        <v>31</v>
      </c>
      <c r="J536" s="14" t="n">
        <v>1429010</v>
      </c>
      <c r="K536" s="14"/>
      <c r="L536" s="11" t="n">
        <v>2554</v>
      </c>
      <c r="M536" s="13" t="s">
        <v>105</v>
      </c>
      <c r="N536" s="15" t="s">
        <v>33</v>
      </c>
      <c r="O536" s="15"/>
      <c r="P536" s="11" t="n">
        <v>113</v>
      </c>
      <c r="Q536" s="13" t="s">
        <v>34</v>
      </c>
      <c r="R536" s="13" t="s">
        <v>35</v>
      </c>
      <c r="S536" s="11" t="n">
        <v>1130101</v>
      </c>
      <c r="T536" s="13" t="s">
        <v>36</v>
      </c>
      <c r="U536" s="16" t="n">
        <v>1446.94</v>
      </c>
      <c r="V536" s="16"/>
      <c r="W536" s="17" t="n">
        <v>0</v>
      </c>
      <c r="X536" s="15" t="s">
        <v>605</v>
      </c>
      <c r="Y536" s="15"/>
      <c r="Z536" s="1" t="str">
        <f aca="false">IF($T536="","",IFERROR(INDEX('Resumo Grupos'!$AC$3:$AC$2000,MATCH($T536,'Resumo Grupos'!$AB$3:$AB$2000,0)),"n/d"))</f>
        <v>Mercadoria</v>
      </c>
    </row>
    <row r="537" customFormat="false" ht="28.5" hidden="false" customHeight="true" outlineLevel="0" collapsed="false">
      <c r="A537" s="11" t="n">
        <v>2</v>
      </c>
      <c r="B537" s="12" t="n">
        <v>46224</v>
      </c>
      <c r="C537" s="12" t="n">
        <v>46224</v>
      </c>
      <c r="D537" s="11" t="n">
        <v>1037</v>
      </c>
      <c r="E537" s="13" t="s">
        <v>364</v>
      </c>
      <c r="F537" s="11" t="n">
        <v>34</v>
      </c>
      <c r="G537" s="13" t="s">
        <v>87</v>
      </c>
      <c r="H537" s="11" t="n">
        <v>1110203</v>
      </c>
      <c r="I537" s="13" t="s">
        <v>100</v>
      </c>
      <c r="J537" s="14" t="n">
        <v>1429221</v>
      </c>
      <c r="K537" s="14"/>
      <c r="L537" s="11" t="n">
        <v>191683</v>
      </c>
      <c r="M537" s="13" t="s">
        <v>105</v>
      </c>
      <c r="N537" s="15" t="s">
        <v>41</v>
      </c>
      <c r="O537" s="15"/>
      <c r="P537" s="11" t="n">
        <v>113</v>
      </c>
      <c r="Q537" s="13" t="s">
        <v>34</v>
      </c>
      <c r="R537" s="13" t="s">
        <v>35</v>
      </c>
      <c r="S537" s="11" t="n">
        <v>1130101</v>
      </c>
      <c r="T537" s="13" t="s">
        <v>36</v>
      </c>
      <c r="U537" s="16" t="n">
        <v>190</v>
      </c>
      <c r="V537" s="16"/>
      <c r="W537" s="17" t="n">
        <v>0</v>
      </c>
      <c r="X537" s="15" t="s">
        <v>606</v>
      </c>
      <c r="Y537" s="15"/>
      <c r="Z537" s="1" t="str">
        <f aca="false">IF($T537="","",IFERROR(INDEX('Resumo Grupos'!$AC$3:$AC$2000,MATCH($T537,'Resumo Grupos'!$AB$3:$AB$2000,0)),"n/d"))</f>
        <v>Mercadoria</v>
      </c>
    </row>
    <row r="538" customFormat="false" ht="39" hidden="false" customHeight="true" outlineLevel="0" collapsed="false">
      <c r="A538" s="11" t="n">
        <v>2</v>
      </c>
      <c r="B538" s="12" t="n">
        <v>46224</v>
      </c>
      <c r="C538" s="12" t="n">
        <v>46224</v>
      </c>
      <c r="D538" s="11" t="n">
        <v>48</v>
      </c>
      <c r="E538" s="13" t="s">
        <v>112</v>
      </c>
      <c r="F538" s="11" t="n">
        <v>34</v>
      </c>
      <c r="G538" s="13" t="s">
        <v>87</v>
      </c>
      <c r="H538" s="11" t="n">
        <v>2110101</v>
      </c>
      <c r="I538" s="13" t="s">
        <v>31</v>
      </c>
      <c r="J538" s="14" t="n">
        <v>1429542</v>
      </c>
      <c r="K538" s="14"/>
      <c r="L538" s="11" t="n">
        <v>2555</v>
      </c>
      <c r="M538" s="13" t="s">
        <v>105</v>
      </c>
      <c r="N538" s="15" t="s">
        <v>33</v>
      </c>
      <c r="O538" s="15"/>
      <c r="P538" s="11" t="n">
        <v>113</v>
      </c>
      <c r="Q538" s="13" t="s">
        <v>34</v>
      </c>
      <c r="R538" s="13" t="s">
        <v>35</v>
      </c>
      <c r="S538" s="11" t="n">
        <v>1130101</v>
      </c>
      <c r="T538" s="13" t="s">
        <v>36</v>
      </c>
      <c r="U538" s="16" t="n">
        <v>55</v>
      </c>
      <c r="V538" s="16"/>
      <c r="W538" s="17" t="n">
        <v>0</v>
      </c>
      <c r="X538" s="15" t="s">
        <v>607</v>
      </c>
      <c r="Y538" s="15"/>
      <c r="Z538" s="1" t="str">
        <f aca="false">IF($T538="","",IFERROR(INDEX('Resumo Grupos'!$AC$3:$AC$2000,MATCH($T538,'Resumo Grupos'!$AB$3:$AB$2000,0)),"n/d"))</f>
        <v>Mercadoria</v>
      </c>
    </row>
    <row r="539" customFormat="false" ht="39" hidden="false" customHeight="true" outlineLevel="0" collapsed="false">
      <c r="A539" s="11" t="n">
        <v>2</v>
      </c>
      <c r="B539" s="12" t="n">
        <v>46224</v>
      </c>
      <c r="C539" s="12" t="n">
        <v>46224</v>
      </c>
      <c r="D539" s="11" t="n">
        <v>48</v>
      </c>
      <c r="E539" s="13" t="s">
        <v>112</v>
      </c>
      <c r="F539" s="11" t="n">
        <v>13</v>
      </c>
      <c r="G539" s="13" t="s">
        <v>113</v>
      </c>
      <c r="H539" s="11" t="n">
        <v>2110101</v>
      </c>
      <c r="I539" s="13" t="s">
        <v>31</v>
      </c>
      <c r="J539" s="14" t="n">
        <v>1429592</v>
      </c>
      <c r="K539" s="14"/>
      <c r="L539" s="11" t="n">
        <v>2556</v>
      </c>
      <c r="M539" s="13" t="s">
        <v>105</v>
      </c>
      <c r="N539" s="15" t="s">
        <v>33</v>
      </c>
      <c r="O539" s="15"/>
      <c r="P539" s="11" t="n">
        <v>113</v>
      </c>
      <c r="Q539" s="13" t="s">
        <v>34</v>
      </c>
      <c r="R539" s="13" t="s">
        <v>35</v>
      </c>
      <c r="S539" s="11" t="n">
        <v>1130101</v>
      </c>
      <c r="T539" s="13" t="s">
        <v>36</v>
      </c>
      <c r="U539" s="16" t="n">
        <v>210</v>
      </c>
      <c r="V539" s="16"/>
      <c r="W539" s="17" t="n">
        <v>210</v>
      </c>
      <c r="X539" s="15" t="s">
        <v>608</v>
      </c>
      <c r="Y539" s="15"/>
      <c r="Z539" s="1" t="str">
        <f aca="false">IF($T539="","",IFERROR(INDEX('Resumo Grupos'!$AC$3:$AC$2000,MATCH($T539,'Resumo Grupos'!$AB$3:$AB$2000,0)),"n/d"))</f>
        <v>Mercadoria</v>
      </c>
    </row>
    <row r="540" customFormat="false" ht="28.5" hidden="false" customHeight="true" outlineLevel="0" collapsed="false">
      <c r="A540" s="11" t="n">
        <v>2</v>
      </c>
      <c r="B540" s="12" t="n">
        <v>46224</v>
      </c>
      <c r="C540" s="12" t="n">
        <v>46224</v>
      </c>
      <c r="D540" s="11" t="n">
        <v>1758</v>
      </c>
      <c r="E540" s="13" t="s">
        <v>609</v>
      </c>
      <c r="F540" s="11" t="n">
        <v>34</v>
      </c>
      <c r="G540" s="13" t="s">
        <v>87</v>
      </c>
      <c r="H540" s="11" t="n">
        <v>1110203</v>
      </c>
      <c r="I540" s="13" t="s">
        <v>100</v>
      </c>
      <c r="J540" s="14" t="n">
        <v>1429802</v>
      </c>
      <c r="K540" s="14"/>
      <c r="L540" s="11" t="n">
        <v>192120</v>
      </c>
      <c r="M540" s="13" t="s">
        <v>105</v>
      </c>
      <c r="N540" s="15" t="s">
        <v>41</v>
      </c>
      <c r="O540" s="15"/>
      <c r="P540" s="11" t="n">
        <v>101</v>
      </c>
      <c r="Q540" s="13" t="s">
        <v>52</v>
      </c>
      <c r="R540" s="13" t="s">
        <v>60</v>
      </c>
      <c r="S540" s="11" t="n">
        <v>4210215</v>
      </c>
      <c r="T540" s="13" t="s">
        <v>610</v>
      </c>
      <c r="U540" s="16" t="n">
        <v>301.61</v>
      </c>
      <c r="V540" s="16"/>
      <c r="W540" s="17" t="n">
        <v>0</v>
      </c>
      <c r="X540" s="15" t="s">
        <v>611</v>
      </c>
      <c r="Y540" s="15"/>
      <c r="Z540" s="1" t="str">
        <f aca="false">IF($T540="","",IFERROR(INDEX('Resumo Grupos'!$AC$3:$AC$2000,MATCH($T540,'Resumo Grupos'!$AB$3:$AB$2000,0)),"n/d"))</f>
        <v>Despesa</v>
      </c>
    </row>
    <row r="541" customFormat="false" ht="48" hidden="false" customHeight="true" outlineLevel="0" collapsed="false">
      <c r="A541" s="11" t="n">
        <v>2</v>
      </c>
      <c r="B541" s="12" t="n">
        <v>46224</v>
      </c>
      <c r="C541" s="12" t="n">
        <v>46224</v>
      </c>
      <c r="D541" s="11" t="n">
        <v>1037</v>
      </c>
      <c r="E541" s="13" t="s">
        <v>364</v>
      </c>
      <c r="F541" s="11" t="n">
        <v>34</v>
      </c>
      <c r="G541" s="13" t="s">
        <v>87</v>
      </c>
      <c r="H541" s="11" t="n">
        <v>1110203</v>
      </c>
      <c r="I541" s="13" t="s">
        <v>100</v>
      </c>
      <c r="J541" s="14" t="n">
        <v>1434276</v>
      </c>
      <c r="K541" s="14"/>
      <c r="L541" s="11" t="n">
        <v>193648</v>
      </c>
      <c r="M541" s="13" t="s">
        <v>105</v>
      </c>
      <c r="N541" s="15" t="s">
        <v>41</v>
      </c>
      <c r="O541" s="15"/>
      <c r="P541" s="11" t="n">
        <v>102</v>
      </c>
      <c r="Q541" s="13" t="s">
        <v>354</v>
      </c>
      <c r="R541" s="13" t="s">
        <v>53</v>
      </c>
      <c r="S541" s="11" t="n">
        <v>4220199</v>
      </c>
      <c r="T541" s="13" t="s">
        <v>54</v>
      </c>
      <c r="U541" s="16" t="n">
        <v>4888</v>
      </c>
      <c r="V541" s="16"/>
      <c r="W541" s="17" t="n">
        <v>0</v>
      </c>
      <c r="X541" s="15" t="s">
        <v>612</v>
      </c>
      <c r="Y541" s="15"/>
      <c r="Z541" s="1" t="str">
        <f aca="false">IF($T541="","",IFERROR(INDEX('Resumo Grupos'!$AC$3:$AC$2000,MATCH($T541,'Resumo Grupos'!$AB$3:$AB$2000,0)),"n/d"))</f>
        <v>Pagamentos outros não operacionais</v>
      </c>
    </row>
    <row r="542" customFormat="false" ht="28.5" hidden="false" customHeight="true" outlineLevel="0" collapsed="false">
      <c r="A542" s="11" t="n">
        <v>2</v>
      </c>
      <c r="B542" s="12" t="n">
        <v>46225</v>
      </c>
      <c r="C542" s="12" t="n">
        <v>46238</v>
      </c>
      <c r="D542" s="11" t="n">
        <v>1608</v>
      </c>
      <c r="E542" s="13" t="s">
        <v>127</v>
      </c>
      <c r="F542" s="11" t="n">
        <v>24</v>
      </c>
      <c r="G542" s="13" t="s">
        <v>30</v>
      </c>
      <c r="H542" s="11" t="n">
        <v>1110203</v>
      </c>
      <c r="I542" s="13" t="s">
        <v>100</v>
      </c>
      <c r="J542" s="14" t="n">
        <v>1434778</v>
      </c>
      <c r="K542" s="14"/>
      <c r="L542" s="11" t="n">
        <v>193756</v>
      </c>
      <c r="M542" s="13" t="s">
        <v>105</v>
      </c>
      <c r="N542" s="15" t="s">
        <v>41</v>
      </c>
      <c r="O542" s="15"/>
      <c r="P542" s="11" t="n">
        <v>113</v>
      </c>
      <c r="Q542" s="13" t="s">
        <v>34</v>
      </c>
      <c r="R542" s="13" t="s">
        <v>35</v>
      </c>
      <c r="S542" s="11" t="n">
        <v>1130101</v>
      </c>
      <c r="T542" s="13" t="s">
        <v>36</v>
      </c>
      <c r="U542" s="16" t="n">
        <v>554.4</v>
      </c>
      <c r="V542" s="16"/>
      <c r="W542" s="17" t="n">
        <v>0</v>
      </c>
      <c r="X542" s="15" t="s">
        <v>613</v>
      </c>
      <c r="Y542" s="15"/>
      <c r="Z542" s="1" t="str">
        <f aca="false">IF($T542="","",IFERROR(INDEX('Resumo Grupos'!$AC$3:$AC$2000,MATCH($T542,'Resumo Grupos'!$AB$3:$AB$2000,0)),"n/d"))</f>
        <v>Mercadoria</v>
      </c>
    </row>
    <row r="543" customFormat="false" ht="28.5" hidden="false" customHeight="true" outlineLevel="0" collapsed="false">
      <c r="A543" s="11" t="n">
        <v>2</v>
      </c>
      <c r="B543" s="12" t="n">
        <v>46225</v>
      </c>
      <c r="C543" s="12" t="n">
        <v>46232</v>
      </c>
      <c r="D543" s="11" t="n">
        <v>1609</v>
      </c>
      <c r="E543" s="13" t="s">
        <v>292</v>
      </c>
      <c r="F543" s="11" t="n">
        <v>24</v>
      </c>
      <c r="G543" s="13" t="s">
        <v>30</v>
      </c>
      <c r="H543" s="11" t="n">
        <v>1110203</v>
      </c>
      <c r="I543" s="13" t="s">
        <v>100</v>
      </c>
      <c r="J543" s="14" t="n">
        <v>1435780</v>
      </c>
      <c r="K543" s="14"/>
      <c r="L543" s="11" t="n">
        <v>193965</v>
      </c>
      <c r="M543" s="13" t="s">
        <v>105</v>
      </c>
      <c r="N543" s="15" t="s">
        <v>41</v>
      </c>
      <c r="O543" s="15"/>
      <c r="P543" s="11" t="n">
        <v>113</v>
      </c>
      <c r="Q543" s="13" t="s">
        <v>34</v>
      </c>
      <c r="R543" s="13" t="s">
        <v>35</v>
      </c>
      <c r="S543" s="11" t="n">
        <v>1130101</v>
      </c>
      <c r="T543" s="13" t="s">
        <v>36</v>
      </c>
      <c r="U543" s="16" t="n">
        <v>409.65</v>
      </c>
      <c r="V543" s="16"/>
      <c r="W543" s="17" t="n">
        <v>0</v>
      </c>
      <c r="X543" s="15" t="s">
        <v>614</v>
      </c>
      <c r="Y543" s="15"/>
      <c r="Z543" s="1" t="str">
        <f aca="false">IF($T543="","",IFERROR(INDEX('Resumo Grupos'!$AC$3:$AC$2000,MATCH($T543,'Resumo Grupos'!$AB$3:$AB$2000,0)),"n/d"))</f>
        <v>Mercadoria</v>
      </c>
    </row>
    <row r="544" customFormat="false" ht="28.5" hidden="false" customHeight="true" outlineLevel="0" collapsed="false">
      <c r="A544" s="11" t="n">
        <v>2</v>
      </c>
      <c r="B544" s="12" t="n">
        <v>46225</v>
      </c>
      <c r="C544" s="12" t="n">
        <v>46240</v>
      </c>
      <c r="D544" s="11" t="n">
        <v>1152</v>
      </c>
      <c r="E544" s="13" t="s">
        <v>261</v>
      </c>
      <c r="F544" s="11" t="n">
        <v>24</v>
      </c>
      <c r="G544" s="13" t="s">
        <v>30</v>
      </c>
      <c r="H544" s="11" t="n">
        <v>1110203</v>
      </c>
      <c r="I544" s="13" t="s">
        <v>100</v>
      </c>
      <c r="J544" s="14" t="n">
        <v>1435813</v>
      </c>
      <c r="K544" s="14"/>
      <c r="L544" s="11" t="n">
        <v>193974</v>
      </c>
      <c r="M544" s="13" t="s">
        <v>105</v>
      </c>
      <c r="N544" s="15" t="s">
        <v>41</v>
      </c>
      <c r="O544" s="15"/>
      <c r="P544" s="11" t="n">
        <v>113</v>
      </c>
      <c r="Q544" s="13" t="s">
        <v>34</v>
      </c>
      <c r="R544" s="13" t="s">
        <v>35</v>
      </c>
      <c r="S544" s="11" t="n">
        <v>1130101</v>
      </c>
      <c r="T544" s="13" t="s">
        <v>36</v>
      </c>
      <c r="U544" s="16" t="n">
        <v>1040</v>
      </c>
      <c r="V544" s="16"/>
      <c r="W544" s="17" t="n">
        <v>0</v>
      </c>
      <c r="X544" s="15" t="s">
        <v>615</v>
      </c>
      <c r="Y544" s="15"/>
      <c r="Z544" s="1" t="str">
        <f aca="false">IF($T544="","",IFERROR(INDEX('Resumo Grupos'!$AC$3:$AC$2000,MATCH($T544,'Resumo Grupos'!$AB$3:$AB$2000,0)),"n/d"))</f>
        <v>Mercadoria</v>
      </c>
    </row>
    <row r="545" customFormat="false" ht="28.5" hidden="false" customHeight="true" outlineLevel="0" collapsed="false">
      <c r="A545" s="11" t="n">
        <v>2</v>
      </c>
      <c r="B545" s="12" t="n">
        <v>46225</v>
      </c>
      <c r="C545" s="12" t="n">
        <v>46240</v>
      </c>
      <c r="D545" s="11" t="n">
        <v>1705</v>
      </c>
      <c r="E545" s="13" t="s">
        <v>169</v>
      </c>
      <c r="F545" s="11" t="n">
        <v>24</v>
      </c>
      <c r="G545" s="13" t="s">
        <v>30</v>
      </c>
      <c r="H545" s="11" t="n">
        <v>1110203</v>
      </c>
      <c r="I545" s="13" t="s">
        <v>100</v>
      </c>
      <c r="J545" s="14" t="n">
        <v>1435833</v>
      </c>
      <c r="K545" s="14"/>
      <c r="L545" s="11" t="n">
        <v>193984</v>
      </c>
      <c r="M545" s="13" t="s">
        <v>105</v>
      </c>
      <c r="N545" s="15" t="s">
        <v>41</v>
      </c>
      <c r="O545" s="15"/>
      <c r="P545" s="11" t="n">
        <v>113</v>
      </c>
      <c r="Q545" s="13" t="s">
        <v>34</v>
      </c>
      <c r="R545" s="13" t="s">
        <v>35</v>
      </c>
      <c r="S545" s="11" t="n">
        <v>1130101</v>
      </c>
      <c r="T545" s="13" t="s">
        <v>36</v>
      </c>
      <c r="U545" s="16" t="n">
        <v>1717.19</v>
      </c>
      <c r="V545" s="16"/>
      <c r="W545" s="17" t="n">
        <v>0</v>
      </c>
      <c r="X545" s="15" t="s">
        <v>616</v>
      </c>
      <c r="Y545" s="15"/>
      <c r="Z545" s="1" t="str">
        <f aca="false">IF($T545="","",IFERROR(INDEX('Resumo Grupos'!$AC$3:$AC$2000,MATCH($T545,'Resumo Grupos'!$AB$3:$AB$2000,0)),"n/d"))</f>
        <v>Mercadoria</v>
      </c>
    </row>
    <row r="546" customFormat="false" ht="28.5" hidden="false" customHeight="true" outlineLevel="0" collapsed="false">
      <c r="A546" s="11" t="n">
        <v>2</v>
      </c>
      <c r="B546" s="12" t="n">
        <v>46225</v>
      </c>
      <c r="C546" s="12" t="n">
        <v>46240</v>
      </c>
      <c r="D546" s="11" t="n">
        <v>1705</v>
      </c>
      <c r="E546" s="13" t="s">
        <v>169</v>
      </c>
      <c r="F546" s="11" t="n">
        <v>24</v>
      </c>
      <c r="G546" s="13" t="s">
        <v>30</v>
      </c>
      <c r="H546" s="11" t="n">
        <v>1110203</v>
      </c>
      <c r="I546" s="13" t="s">
        <v>100</v>
      </c>
      <c r="J546" s="14" t="n">
        <v>1435843</v>
      </c>
      <c r="K546" s="14"/>
      <c r="L546" s="11" t="n">
        <v>193986</v>
      </c>
      <c r="M546" s="13" t="s">
        <v>105</v>
      </c>
      <c r="N546" s="15" t="s">
        <v>41</v>
      </c>
      <c r="O546" s="15"/>
      <c r="P546" s="11" t="n">
        <v>113</v>
      </c>
      <c r="Q546" s="13" t="s">
        <v>34</v>
      </c>
      <c r="R546" s="13" t="s">
        <v>35</v>
      </c>
      <c r="S546" s="11" t="n">
        <v>1130101</v>
      </c>
      <c r="T546" s="13" t="s">
        <v>36</v>
      </c>
      <c r="U546" s="16" t="n">
        <v>203.42</v>
      </c>
      <c r="V546" s="16"/>
      <c r="W546" s="17" t="n">
        <v>0</v>
      </c>
      <c r="X546" s="15" t="s">
        <v>617</v>
      </c>
      <c r="Y546" s="15"/>
      <c r="Z546" s="1" t="str">
        <f aca="false">IF($T546="","",IFERROR(INDEX('Resumo Grupos'!$AC$3:$AC$2000,MATCH($T546,'Resumo Grupos'!$AB$3:$AB$2000,0)),"n/d"))</f>
        <v>Mercadoria</v>
      </c>
    </row>
    <row r="547" customFormat="false" ht="39" hidden="false" customHeight="true" outlineLevel="0" collapsed="false">
      <c r="A547" s="11" t="n">
        <v>2</v>
      </c>
      <c r="B547" s="12" t="n">
        <v>46225</v>
      </c>
      <c r="C547" s="12" t="n">
        <v>46225</v>
      </c>
      <c r="D547" s="11" t="n">
        <v>48</v>
      </c>
      <c r="E547" s="13" t="s">
        <v>112</v>
      </c>
      <c r="F547" s="11" t="n">
        <v>13</v>
      </c>
      <c r="G547" s="13" t="s">
        <v>113</v>
      </c>
      <c r="H547" s="11" t="n">
        <v>2110101</v>
      </c>
      <c r="I547" s="13" t="s">
        <v>31</v>
      </c>
      <c r="J547" s="14" t="n">
        <v>1435859</v>
      </c>
      <c r="K547" s="14"/>
      <c r="L547" s="11" t="n">
        <v>2557</v>
      </c>
      <c r="M547" s="13" t="s">
        <v>105</v>
      </c>
      <c r="N547" s="15" t="s">
        <v>33</v>
      </c>
      <c r="O547" s="15"/>
      <c r="P547" s="11" t="n">
        <v>113</v>
      </c>
      <c r="Q547" s="13" t="s">
        <v>34</v>
      </c>
      <c r="R547" s="13" t="s">
        <v>35</v>
      </c>
      <c r="S547" s="11" t="n">
        <v>1130101</v>
      </c>
      <c r="T547" s="13" t="s">
        <v>36</v>
      </c>
      <c r="U547" s="16" t="n">
        <v>210</v>
      </c>
      <c r="V547" s="16"/>
      <c r="W547" s="17" t="n">
        <v>210</v>
      </c>
      <c r="X547" s="15" t="s">
        <v>618</v>
      </c>
      <c r="Y547" s="15"/>
      <c r="Z547" s="1" t="str">
        <f aca="false">IF($T547="","",IFERROR(INDEX('Resumo Grupos'!$AC$3:$AC$2000,MATCH($T547,'Resumo Grupos'!$AB$3:$AB$2000,0)),"n/d"))</f>
        <v>Mercadoria</v>
      </c>
    </row>
    <row r="548" customFormat="false" ht="75.75" hidden="false" customHeight="true" outlineLevel="0" collapsed="false">
      <c r="A548" s="11" t="n">
        <v>2</v>
      </c>
      <c r="B548" s="12" t="n">
        <v>46225</v>
      </c>
      <c r="C548" s="12" t="n">
        <v>46242</v>
      </c>
      <c r="D548" s="11" t="n">
        <v>1672</v>
      </c>
      <c r="E548" s="13" t="s">
        <v>259</v>
      </c>
      <c r="F548" s="11" t="n">
        <v>24</v>
      </c>
      <c r="G548" s="13" t="s">
        <v>30</v>
      </c>
      <c r="H548" s="11" t="n">
        <v>1110203</v>
      </c>
      <c r="I548" s="13" t="s">
        <v>100</v>
      </c>
      <c r="J548" s="14" t="n">
        <v>1435902</v>
      </c>
      <c r="K548" s="14"/>
      <c r="L548" s="11" t="n">
        <v>194002</v>
      </c>
      <c r="M548" s="13" t="s">
        <v>105</v>
      </c>
      <c r="N548" s="15" t="s">
        <v>41</v>
      </c>
      <c r="O548" s="15"/>
      <c r="P548" s="11" t="n">
        <v>113</v>
      </c>
      <c r="Q548" s="13" t="s">
        <v>34</v>
      </c>
      <c r="R548" s="13" t="s">
        <v>35</v>
      </c>
      <c r="S548" s="11" t="n">
        <v>1130101</v>
      </c>
      <c r="T548" s="13" t="s">
        <v>36</v>
      </c>
      <c r="U548" s="16" t="n">
        <v>1821.1</v>
      </c>
      <c r="V548" s="16"/>
      <c r="W548" s="17" t="n">
        <v>0</v>
      </c>
      <c r="X548" s="15" t="s">
        <v>619</v>
      </c>
      <c r="Y548" s="15"/>
      <c r="Z548" s="1" t="str">
        <f aca="false">IF($T548="","",IFERROR(INDEX('Resumo Grupos'!$AC$3:$AC$2000,MATCH($T548,'Resumo Grupos'!$AB$3:$AB$2000,0)),"n/d"))</f>
        <v>Mercadoria</v>
      </c>
    </row>
    <row r="549" customFormat="false" ht="57" hidden="false" customHeight="true" outlineLevel="0" collapsed="false">
      <c r="A549" s="11" t="n">
        <v>2</v>
      </c>
      <c r="B549" s="12" t="n">
        <v>46223</v>
      </c>
      <c r="C549" s="12" t="n">
        <v>46223</v>
      </c>
      <c r="D549" s="11" t="n">
        <v>10006</v>
      </c>
      <c r="E549" s="13" t="s">
        <v>115</v>
      </c>
      <c r="F549" s="11" t="n">
        <v>34</v>
      </c>
      <c r="G549" s="13" t="s">
        <v>87</v>
      </c>
      <c r="H549" s="11" t="n">
        <v>1110203</v>
      </c>
      <c r="I549" s="13" t="s">
        <v>100</v>
      </c>
      <c r="J549" s="14" t="n">
        <v>1435948</v>
      </c>
      <c r="K549" s="14"/>
      <c r="L549" s="11" t="n">
        <v>194013</v>
      </c>
      <c r="M549" s="13" t="s">
        <v>105</v>
      </c>
      <c r="N549" s="15" t="s">
        <v>41</v>
      </c>
      <c r="O549" s="15"/>
      <c r="P549" s="11" t="n">
        <v>102</v>
      </c>
      <c r="Q549" s="13" t="s">
        <v>354</v>
      </c>
      <c r="R549" s="13" t="s">
        <v>60</v>
      </c>
      <c r="S549" s="11" t="n">
        <v>4210232</v>
      </c>
      <c r="T549" s="13" t="s">
        <v>116</v>
      </c>
      <c r="U549" s="16" t="n">
        <v>420</v>
      </c>
      <c r="V549" s="16"/>
      <c r="W549" s="17" t="n">
        <v>0</v>
      </c>
      <c r="X549" s="15" t="s">
        <v>620</v>
      </c>
      <c r="Y549" s="15"/>
      <c r="Z549" s="1" t="str">
        <f aca="false">IF($T549="","",IFERROR(INDEX('Resumo Grupos'!$AC$3:$AC$2000,MATCH($T549,'Resumo Grupos'!$AB$3:$AB$2000,0)),"n/d"))</f>
        <v>Despesa</v>
      </c>
    </row>
    <row r="550" customFormat="false" ht="48" hidden="false" customHeight="true" outlineLevel="0" collapsed="false">
      <c r="A550" s="11" t="n">
        <v>2</v>
      </c>
      <c r="B550" s="12" t="n">
        <v>46225</v>
      </c>
      <c r="C550" s="12" t="n">
        <v>46239</v>
      </c>
      <c r="D550" s="11" t="n">
        <v>1635</v>
      </c>
      <c r="E550" s="13" t="s">
        <v>122</v>
      </c>
      <c r="F550" s="11" t="n">
        <v>24</v>
      </c>
      <c r="G550" s="13" t="s">
        <v>30</v>
      </c>
      <c r="H550" s="11" t="n">
        <v>1110203</v>
      </c>
      <c r="I550" s="13" t="s">
        <v>100</v>
      </c>
      <c r="J550" s="14" t="n">
        <v>1435985</v>
      </c>
      <c r="K550" s="14"/>
      <c r="L550" s="11" t="n">
        <v>194025</v>
      </c>
      <c r="M550" s="13" t="s">
        <v>105</v>
      </c>
      <c r="N550" s="15" t="s">
        <v>41</v>
      </c>
      <c r="O550" s="15"/>
      <c r="P550" s="11" t="n">
        <v>113</v>
      </c>
      <c r="Q550" s="13" t="s">
        <v>34</v>
      </c>
      <c r="R550" s="13" t="s">
        <v>35</v>
      </c>
      <c r="S550" s="11" t="n">
        <v>1130101</v>
      </c>
      <c r="T550" s="13" t="s">
        <v>36</v>
      </c>
      <c r="U550" s="16" t="n">
        <v>109.52</v>
      </c>
      <c r="V550" s="16"/>
      <c r="W550" s="17" t="n">
        <v>0</v>
      </c>
      <c r="X550" s="15" t="s">
        <v>621</v>
      </c>
      <c r="Y550" s="15"/>
      <c r="Z550" s="1" t="str">
        <f aca="false">IF($T550="","",IFERROR(INDEX('Resumo Grupos'!$AC$3:$AC$2000,MATCH($T550,'Resumo Grupos'!$AB$3:$AB$2000,0)),"n/d"))</f>
        <v>Mercadoria</v>
      </c>
    </row>
    <row r="551" customFormat="false" ht="48" hidden="false" customHeight="true" outlineLevel="0" collapsed="false">
      <c r="A551" s="11" t="n">
        <v>2</v>
      </c>
      <c r="B551" s="12" t="n">
        <v>46225</v>
      </c>
      <c r="C551" s="12" t="n">
        <v>46246</v>
      </c>
      <c r="D551" s="11" t="n">
        <v>1635</v>
      </c>
      <c r="E551" s="13" t="s">
        <v>122</v>
      </c>
      <c r="F551" s="11" t="n">
        <v>24</v>
      </c>
      <c r="G551" s="13" t="s">
        <v>30</v>
      </c>
      <c r="H551" s="11" t="n">
        <v>1110203</v>
      </c>
      <c r="I551" s="13" t="s">
        <v>100</v>
      </c>
      <c r="J551" s="14" t="n">
        <v>1436001</v>
      </c>
      <c r="K551" s="14"/>
      <c r="L551" s="11" t="n">
        <v>194026</v>
      </c>
      <c r="M551" s="13" t="s">
        <v>105</v>
      </c>
      <c r="N551" s="15" t="s">
        <v>41</v>
      </c>
      <c r="O551" s="15"/>
      <c r="P551" s="11" t="n">
        <v>113</v>
      </c>
      <c r="Q551" s="13" t="s">
        <v>34</v>
      </c>
      <c r="R551" s="13" t="s">
        <v>35</v>
      </c>
      <c r="S551" s="11" t="n">
        <v>1130101</v>
      </c>
      <c r="T551" s="13" t="s">
        <v>36</v>
      </c>
      <c r="U551" s="16" t="n">
        <v>109.51</v>
      </c>
      <c r="V551" s="16"/>
      <c r="W551" s="17" t="n">
        <v>0</v>
      </c>
      <c r="X551" s="15" t="s">
        <v>621</v>
      </c>
      <c r="Y551" s="15"/>
      <c r="Z551" s="1" t="str">
        <f aca="false">IF($T551="","",IFERROR(INDEX('Resumo Grupos'!$AC$3:$AC$2000,MATCH($T551,'Resumo Grupos'!$AB$3:$AB$2000,0)),"n/d"))</f>
        <v>Mercadoria</v>
      </c>
    </row>
    <row r="552" customFormat="false" ht="48" hidden="false" customHeight="true" outlineLevel="0" collapsed="false">
      <c r="A552" s="11" t="n">
        <v>2</v>
      </c>
      <c r="B552" s="12" t="n">
        <v>46225</v>
      </c>
      <c r="C552" s="12" t="n">
        <v>46253</v>
      </c>
      <c r="D552" s="11" t="n">
        <v>1635</v>
      </c>
      <c r="E552" s="13" t="s">
        <v>122</v>
      </c>
      <c r="F552" s="11" t="n">
        <v>24</v>
      </c>
      <c r="G552" s="13" t="s">
        <v>30</v>
      </c>
      <c r="H552" s="11" t="n">
        <v>1110203</v>
      </c>
      <c r="I552" s="13" t="s">
        <v>100</v>
      </c>
      <c r="J552" s="14" t="n">
        <v>1436017</v>
      </c>
      <c r="K552" s="14"/>
      <c r="L552" s="11" t="n">
        <v>194028</v>
      </c>
      <c r="M552" s="13" t="s">
        <v>105</v>
      </c>
      <c r="N552" s="15" t="s">
        <v>41</v>
      </c>
      <c r="O552" s="15"/>
      <c r="P552" s="11" t="n">
        <v>113</v>
      </c>
      <c r="Q552" s="13" t="s">
        <v>34</v>
      </c>
      <c r="R552" s="13" t="s">
        <v>35</v>
      </c>
      <c r="S552" s="11" t="n">
        <v>1130101</v>
      </c>
      <c r="T552" s="13" t="s">
        <v>36</v>
      </c>
      <c r="U552" s="16" t="n">
        <v>109.51</v>
      </c>
      <c r="V552" s="16"/>
      <c r="W552" s="17" t="n">
        <v>0</v>
      </c>
      <c r="X552" s="15" t="s">
        <v>621</v>
      </c>
      <c r="Y552" s="15"/>
      <c r="Z552" s="1" t="str">
        <f aca="false">IF($T552="","",IFERROR(INDEX('Resumo Grupos'!$AC$3:$AC$2000,MATCH($T552,'Resumo Grupos'!$AB$3:$AB$2000,0)),"n/d"))</f>
        <v>Mercadoria</v>
      </c>
    </row>
    <row r="553" customFormat="false" ht="57" hidden="false" customHeight="true" outlineLevel="0" collapsed="false">
      <c r="A553" s="11" t="n">
        <v>2</v>
      </c>
      <c r="B553" s="12" t="n">
        <v>46225</v>
      </c>
      <c r="C553" s="12" t="n">
        <v>46232</v>
      </c>
      <c r="D553" s="11" t="n">
        <v>1815</v>
      </c>
      <c r="E553" s="13" t="s">
        <v>178</v>
      </c>
      <c r="F553" s="11" t="n">
        <v>24</v>
      </c>
      <c r="G553" s="13" t="s">
        <v>30</v>
      </c>
      <c r="H553" s="11" t="n">
        <v>1110203</v>
      </c>
      <c r="I553" s="13" t="s">
        <v>100</v>
      </c>
      <c r="J553" s="14" t="n">
        <v>1436044</v>
      </c>
      <c r="K553" s="14"/>
      <c r="L553" s="11" t="n">
        <v>194032</v>
      </c>
      <c r="M553" s="13" t="s">
        <v>105</v>
      </c>
      <c r="N553" s="15" t="s">
        <v>41</v>
      </c>
      <c r="O553" s="15"/>
      <c r="P553" s="11" t="n">
        <v>113</v>
      </c>
      <c r="Q553" s="13" t="s">
        <v>34</v>
      </c>
      <c r="R553" s="13" t="s">
        <v>35</v>
      </c>
      <c r="S553" s="11" t="n">
        <v>1130101</v>
      </c>
      <c r="T553" s="13" t="s">
        <v>36</v>
      </c>
      <c r="U553" s="16" t="n">
        <v>1164.4</v>
      </c>
      <c r="V553" s="16"/>
      <c r="W553" s="17" t="n">
        <v>0</v>
      </c>
      <c r="X553" s="15" t="s">
        <v>622</v>
      </c>
      <c r="Y553" s="15"/>
      <c r="Z553" s="1" t="str">
        <f aca="false">IF($T553="","",IFERROR(INDEX('Resumo Grupos'!$AC$3:$AC$2000,MATCH($T553,'Resumo Grupos'!$AB$3:$AB$2000,0)),"n/d"))</f>
        <v>Mercadoria</v>
      </c>
    </row>
    <row r="554" customFormat="false" ht="57" hidden="false" customHeight="true" outlineLevel="0" collapsed="false">
      <c r="A554" s="11" t="n">
        <v>2</v>
      </c>
      <c r="B554" s="12" t="n">
        <v>46225</v>
      </c>
      <c r="C554" s="12" t="n">
        <v>46239</v>
      </c>
      <c r="D554" s="11" t="n">
        <v>1815</v>
      </c>
      <c r="E554" s="13" t="s">
        <v>178</v>
      </c>
      <c r="F554" s="11" t="n">
        <v>24</v>
      </c>
      <c r="G554" s="13" t="s">
        <v>30</v>
      </c>
      <c r="H554" s="11" t="n">
        <v>1110203</v>
      </c>
      <c r="I554" s="13" t="s">
        <v>100</v>
      </c>
      <c r="J554" s="14" t="n">
        <v>1436047</v>
      </c>
      <c r="K554" s="14"/>
      <c r="L554" s="11" t="n">
        <v>194034</v>
      </c>
      <c r="M554" s="13" t="s">
        <v>105</v>
      </c>
      <c r="N554" s="15" t="s">
        <v>41</v>
      </c>
      <c r="O554" s="15"/>
      <c r="P554" s="11" t="n">
        <v>113</v>
      </c>
      <c r="Q554" s="13" t="s">
        <v>34</v>
      </c>
      <c r="R554" s="13" t="s">
        <v>35</v>
      </c>
      <c r="S554" s="11" t="n">
        <v>1130101</v>
      </c>
      <c r="T554" s="13" t="s">
        <v>36</v>
      </c>
      <c r="U554" s="16" t="n">
        <v>1164.4</v>
      </c>
      <c r="V554" s="16"/>
      <c r="W554" s="17" t="n">
        <v>0</v>
      </c>
      <c r="X554" s="15" t="s">
        <v>622</v>
      </c>
      <c r="Y554" s="15"/>
      <c r="Z554" s="1" t="str">
        <f aca="false">IF($T554="","",IFERROR(INDEX('Resumo Grupos'!$AC$3:$AC$2000,MATCH($T554,'Resumo Grupos'!$AB$3:$AB$2000,0)),"n/d"))</f>
        <v>Mercadoria</v>
      </c>
    </row>
    <row r="555" customFormat="false" ht="57" hidden="false" customHeight="true" outlineLevel="0" collapsed="false">
      <c r="A555" s="11" t="n">
        <v>2</v>
      </c>
      <c r="B555" s="12" t="n">
        <v>46225</v>
      </c>
      <c r="C555" s="12" t="n">
        <v>46246</v>
      </c>
      <c r="D555" s="11" t="n">
        <v>1815</v>
      </c>
      <c r="E555" s="13" t="s">
        <v>178</v>
      </c>
      <c r="F555" s="11" t="n">
        <v>24</v>
      </c>
      <c r="G555" s="13" t="s">
        <v>30</v>
      </c>
      <c r="H555" s="11" t="n">
        <v>1110203</v>
      </c>
      <c r="I555" s="13" t="s">
        <v>100</v>
      </c>
      <c r="J555" s="14" t="n">
        <v>1436049</v>
      </c>
      <c r="K555" s="14"/>
      <c r="L555" s="11" t="n">
        <v>194036</v>
      </c>
      <c r="M555" s="13" t="s">
        <v>105</v>
      </c>
      <c r="N555" s="15" t="s">
        <v>41</v>
      </c>
      <c r="O555" s="15"/>
      <c r="P555" s="11" t="n">
        <v>113</v>
      </c>
      <c r="Q555" s="13" t="s">
        <v>34</v>
      </c>
      <c r="R555" s="13" t="s">
        <v>35</v>
      </c>
      <c r="S555" s="11" t="n">
        <v>1130101</v>
      </c>
      <c r="T555" s="13" t="s">
        <v>36</v>
      </c>
      <c r="U555" s="16" t="n">
        <v>1164.4</v>
      </c>
      <c r="V555" s="16"/>
      <c r="W555" s="17" t="n">
        <v>0</v>
      </c>
      <c r="X555" s="15" t="s">
        <v>622</v>
      </c>
      <c r="Y555" s="15"/>
      <c r="Z555" s="1" t="str">
        <f aca="false">IF($T555="","",IFERROR(INDEX('Resumo Grupos'!$AC$3:$AC$2000,MATCH($T555,'Resumo Grupos'!$AB$3:$AB$2000,0)),"n/d"))</f>
        <v>Mercadoria</v>
      </c>
    </row>
    <row r="556" customFormat="false" ht="48" hidden="false" customHeight="true" outlineLevel="0" collapsed="false">
      <c r="A556" s="11" t="n">
        <v>2</v>
      </c>
      <c r="B556" s="12" t="n">
        <v>46225</v>
      </c>
      <c r="C556" s="12" t="n">
        <v>46245</v>
      </c>
      <c r="D556" s="11" t="n">
        <v>1668</v>
      </c>
      <c r="E556" s="13" t="s">
        <v>176</v>
      </c>
      <c r="F556" s="11" t="n">
        <v>24</v>
      </c>
      <c r="G556" s="13" t="s">
        <v>30</v>
      </c>
      <c r="H556" s="11" t="n">
        <v>1110203</v>
      </c>
      <c r="I556" s="13" t="s">
        <v>100</v>
      </c>
      <c r="J556" s="14" t="n">
        <v>1436109</v>
      </c>
      <c r="K556" s="14"/>
      <c r="L556" s="11" t="n">
        <v>194046</v>
      </c>
      <c r="M556" s="13" t="s">
        <v>105</v>
      </c>
      <c r="N556" s="15" t="s">
        <v>41</v>
      </c>
      <c r="O556" s="15"/>
      <c r="P556" s="11" t="n">
        <v>113</v>
      </c>
      <c r="Q556" s="13" t="s">
        <v>34</v>
      </c>
      <c r="R556" s="13" t="s">
        <v>60</v>
      </c>
      <c r="S556" s="11" t="n">
        <v>4210299</v>
      </c>
      <c r="T556" s="13" t="s">
        <v>233</v>
      </c>
      <c r="U556" s="16" t="n">
        <v>391.26</v>
      </c>
      <c r="V556" s="16"/>
      <c r="W556" s="17" t="n">
        <v>0</v>
      </c>
      <c r="X556" s="15" t="s">
        <v>623</v>
      </c>
      <c r="Y556" s="15"/>
      <c r="Z556" s="1" t="str">
        <f aca="false">IF($T556="","",IFERROR(INDEX('Resumo Grupos'!$AC$3:$AC$2000,MATCH($T556,'Resumo Grupos'!$AB$3:$AB$2000,0)),"n/d"))</f>
        <v>Despesa</v>
      </c>
    </row>
    <row r="557" customFormat="false" ht="28.5" hidden="false" customHeight="true" outlineLevel="0" collapsed="false">
      <c r="A557" s="11" t="n">
        <v>2</v>
      </c>
      <c r="B557" s="12" t="n">
        <v>46226</v>
      </c>
      <c r="C557" s="12" t="n">
        <v>46234</v>
      </c>
      <c r="D557" s="11" t="n">
        <v>1683</v>
      </c>
      <c r="E557" s="13" t="s">
        <v>328</v>
      </c>
      <c r="F557" s="11" t="n">
        <v>34</v>
      </c>
      <c r="G557" s="13" t="s">
        <v>87</v>
      </c>
      <c r="H557" s="11" t="n">
        <v>1110203</v>
      </c>
      <c r="I557" s="13" t="s">
        <v>100</v>
      </c>
      <c r="J557" s="14" t="n">
        <v>1438809</v>
      </c>
      <c r="K557" s="14"/>
      <c r="L557" s="11" t="n">
        <v>194390</v>
      </c>
      <c r="M557" s="13" t="s">
        <v>105</v>
      </c>
      <c r="N557" s="15" t="s">
        <v>41</v>
      </c>
      <c r="O557" s="15"/>
      <c r="P557" s="11" t="n">
        <v>113</v>
      </c>
      <c r="Q557" s="13" t="s">
        <v>34</v>
      </c>
      <c r="R557" s="13" t="s">
        <v>35</v>
      </c>
      <c r="S557" s="11" t="n">
        <v>1130101</v>
      </c>
      <c r="T557" s="13" t="s">
        <v>36</v>
      </c>
      <c r="U557" s="16" t="n">
        <v>130.5</v>
      </c>
      <c r="V557" s="16"/>
      <c r="W557" s="17" t="n">
        <v>0</v>
      </c>
      <c r="X557" s="15" t="s">
        <v>329</v>
      </c>
      <c r="Y557" s="15"/>
      <c r="Z557" s="1" t="str">
        <f aca="false">IF($T557="","",IFERROR(INDEX('Resumo Grupos'!$AC$3:$AC$2000,MATCH($T557,'Resumo Grupos'!$AB$3:$AB$2000,0)),"n/d"))</f>
        <v>Mercadoria</v>
      </c>
    </row>
    <row r="558" customFormat="false" ht="48" hidden="false" customHeight="true" outlineLevel="0" collapsed="false">
      <c r="A558" s="11" t="n">
        <v>2</v>
      </c>
      <c r="B558" s="12" t="n">
        <v>46226</v>
      </c>
      <c r="C558" s="12" t="n">
        <v>46246</v>
      </c>
      <c r="D558" s="11" t="n">
        <v>957</v>
      </c>
      <c r="E558" s="13" t="s">
        <v>156</v>
      </c>
      <c r="F558" s="11" t="n">
        <v>24</v>
      </c>
      <c r="G558" s="13" t="s">
        <v>30</v>
      </c>
      <c r="H558" s="11" t="n">
        <v>1110203</v>
      </c>
      <c r="I558" s="13" t="s">
        <v>100</v>
      </c>
      <c r="J558" s="14" t="n">
        <v>1438915</v>
      </c>
      <c r="K558" s="14"/>
      <c r="L558" s="11" t="n">
        <v>194428</v>
      </c>
      <c r="M558" s="13" t="s">
        <v>105</v>
      </c>
      <c r="N558" s="15" t="s">
        <v>41</v>
      </c>
      <c r="O558" s="15"/>
      <c r="P558" s="11" t="n">
        <v>113</v>
      </c>
      <c r="Q558" s="13" t="s">
        <v>34</v>
      </c>
      <c r="R558" s="13" t="s">
        <v>35</v>
      </c>
      <c r="S558" s="11" t="n">
        <v>1130101</v>
      </c>
      <c r="T558" s="13" t="s">
        <v>36</v>
      </c>
      <c r="U558" s="16" t="n">
        <v>1501.36</v>
      </c>
      <c r="V558" s="16"/>
      <c r="W558" s="17" t="n">
        <v>0</v>
      </c>
      <c r="X558" s="15" t="s">
        <v>523</v>
      </c>
      <c r="Y558" s="15"/>
      <c r="Z558" s="1" t="str">
        <f aca="false">IF($T558="","",IFERROR(INDEX('Resumo Grupos'!$AC$3:$AC$2000,MATCH($T558,'Resumo Grupos'!$AB$3:$AB$2000,0)),"n/d"))</f>
        <v>Mercadoria</v>
      </c>
    </row>
    <row r="559" customFormat="false" ht="48" hidden="false" customHeight="true" outlineLevel="0" collapsed="false">
      <c r="A559" s="11" t="n">
        <v>2</v>
      </c>
      <c r="B559" s="12" t="n">
        <v>46226</v>
      </c>
      <c r="C559" s="12" t="n">
        <v>46256</v>
      </c>
      <c r="D559" s="11" t="n">
        <v>957</v>
      </c>
      <c r="E559" s="13" t="s">
        <v>156</v>
      </c>
      <c r="F559" s="11" t="n">
        <v>24</v>
      </c>
      <c r="G559" s="13" t="s">
        <v>30</v>
      </c>
      <c r="H559" s="11" t="n">
        <v>1110203</v>
      </c>
      <c r="I559" s="13" t="s">
        <v>100</v>
      </c>
      <c r="J559" s="14" t="n">
        <v>1438918</v>
      </c>
      <c r="K559" s="14"/>
      <c r="L559" s="11" t="n">
        <v>194429</v>
      </c>
      <c r="M559" s="13" t="s">
        <v>105</v>
      </c>
      <c r="N559" s="15" t="s">
        <v>41</v>
      </c>
      <c r="O559" s="15"/>
      <c r="P559" s="11" t="n">
        <v>113</v>
      </c>
      <c r="Q559" s="13" t="s">
        <v>34</v>
      </c>
      <c r="R559" s="13" t="s">
        <v>35</v>
      </c>
      <c r="S559" s="11" t="n">
        <v>1130101</v>
      </c>
      <c r="T559" s="13" t="s">
        <v>36</v>
      </c>
      <c r="U559" s="16" t="n">
        <v>1501.38</v>
      </c>
      <c r="V559" s="16"/>
      <c r="W559" s="17" t="n">
        <v>0</v>
      </c>
      <c r="X559" s="15" t="s">
        <v>523</v>
      </c>
      <c r="Y559" s="15"/>
      <c r="Z559" s="1" t="str">
        <f aca="false">IF($T559="","",IFERROR(INDEX('Resumo Grupos'!$AC$3:$AC$2000,MATCH($T559,'Resumo Grupos'!$AB$3:$AB$2000,0)),"n/d"))</f>
        <v>Mercadoria</v>
      </c>
    </row>
    <row r="560" customFormat="false" ht="48" hidden="false" customHeight="true" outlineLevel="0" collapsed="false">
      <c r="A560" s="11" t="n">
        <v>2</v>
      </c>
      <c r="B560" s="12" t="n">
        <v>46226</v>
      </c>
      <c r="C560" s="12" t="n">
        <v>46266</v>
      </c>
      <c r="D560" s="11" t="n">
        <v>957</v>
      </c>
      <c r="E560" s="13" t="s">
        <v>156</v>
      </c>
      <c r="F560" s="11" t="n">
        <v>24</v>
      </c>
      <c r="G560" s="13" t="s">
        <v>30</v>
      </c>
      <c r="H560" s="11" t="n">
        <v>1110203</v>
      </c>
      <c r="I560" s="13" t="s">
        <v>100</v>
      </c>
      <c r="J560" s="14" t="n">
        <v>1438932</v>
      </c>
      <c r="K560" s="14"/>
      <c r="L560" s="11" t="n">
        <v>194431</v>
      </c>
      <c r="M560" s="13" t="s">
        <v>105</v>
      </c>
      <c r="N560" s="15" t="s">
        <v>41</v>
      </c>
      <c r="O560" s="15"/>
      <c r="P560" s="11" t="n">
        <v>113</v>
      </c>
      <c r="Q560" s="13" t="s">
        <v>34</v>
      </c>
      <c r="R560" s="13" t="s">
        <v>35</v>
      </c>
      <c r="S560" s="11" t="n">
        <v>1130101</v>
      </c>
      <c r="T560" s="13" t="s">
        <v>36</v>
      </c>
      <c r="U560" s="16" t="n">
        <v>1501.38</v>
      </c>
      <c r="V560" s="16"/>
      <c r="W560" s="17" t="n">
        <v>0</v>
      </c>
      <c r="X560" s="15" t="s">
        <v>523</v>
      </c>
      <c r="Y560" s="15"/>
      <c r="Z560" s="1" t="str">
        <f aca="false">IF($T560="","",IFERROR(INDEX('Resumo Grupos'!$AC$3:$AC$2000,MATCH($T560,'Resumo Grupos'!$AB$3:$AB$2000,0)),"n/d"))</f>
        <v>Mercadoria</v>
      </c>
    </row>
    <row r="561" customFormat="false" ht="57" hidden="false" customHeight="true" outlineLevel="0" collapsed="false">
      <c r="A561" s="11" t="n">
        <v>2</v>
      </c>
      <c r="B561" s="12" t="n">
        <v>46226</v>
      </c>
      <c r="C561" s="12" t="n">
        <v>46246</v>
      </c>
      <c r="D561" s="11" t="n">
        <v>10011</v>
      </c>
      <c r="E561" s="13" t="s">
        <v>108</v>
      </c>
      <c r="F561" s="11" t="n">
        <v>24</v>
      </c>
      <c r="G561" s="13" t="s">
        <v>30</v>
      </c>
      <c r="H561" s="11" t="n">
        <v>1110203</v>
      </c>
      <c r="I561" s="13" t="s">
        <v>100</v>
      </c>
      <c r="J561" s="14" t="n">
        <v>1438950</v>
      </c>
      <c r="K561" s="14"/>
      <c r="L561" s="11" t="n">
        <v>194437</v>
      </c>
      <c r="M561" s="13" t="s">
        <v>105</v>
      </c>
      <c r="N561" s="15" t="s">
        <v>41</v>
      </c>
      <c r="O561" s="15"/>
      <c r="P561" s="11" t="n">
        <v>113</v>
      </c>
      <c r="Q561" s="13" t="s">
        <v>34</v>
      </c>
      <c r="R561" s="13" t="s">
        <v>35</v>
      </c>
      <c r="S561" s="11" t="n">
        <v>1130101</v>
      </c>
      <c r="T561" s="13" t="s">
        <v>36</v>
      </c>
      <c r="U561" s="16" t="n">
        <v>591.06</v>
      </c>
      <c r="V561" s="16"/>
      <c r="W561" s="17" t="n">
        <v>0</v>
      </c>
      <c r="X561" s="15" t="s">
        <v>624</v>
      </c>
      <c r="Y561" s="15"/>
      <c r="Z561" s="1" t="str">
        <f aca="false">IF($T561="","",IFERROR(INDEX('Resumo Grupos'!$AC$3:$AC$2000,MATCH($T561,'Resumo Grupos'!$AB$3:$AB$2000,0)),"n/d"))</f>
        <v>Mercadoria</v>
      </c>
    </row>
    <row r="562" customFormat="false" ht="57" hidden="false" customHeight="true" outlineLevel="0" collapsed="false">
      <c r="A562" s="11" t="n">
        <v>2</v>
      </c>
      <c r="B562" s="12" t="n">
        <v>46226</v>
      </c>
      <c r="C562" s="12" t="n">
        <v>46256</v>
      </c>
      <c r="D562" s="11" t="n">
        <v>10011</v>
      </c>
      <c r="E562" s="13" t="s">
        <v>108</v>
      </c>
      <c r="F562" s="11" t="n">
        <v>24</v>
      </c>
      <c r="G562" s="13" t="s">
        <v>30</v>
      </c>
      <c r="H562" s="11" t="n">
        <v>1110203</v>
      </c>
      <c r="I562" s="13" t="s">
        <v>100</v>
      </c>
      <c r="J562" s="14" t="n">
        <v>1438959</v>
      </c>
      <c r="K562" s="14"/>
      <c r="L562" s="11" t="n">
        <v>194439</v>
      </c>
      <c r="M562" s="13" t="s">
        <v>105</v>
      </c>
      <c r="N562" s="15" t="s">
        <v>41</v>
      </c>
      <c r="O562" s="15"/>
      <c r="P562" s="11" t="n">
        <v>113</v>
      </c>
      <c r="Q562" s="13" t="s">
        <v>34</v>
      </c>
      <c r="R562" s="13" t="s">
        <v>35</v>
      </c>
      <c r="S562" s="11" t="n">
        <v>1130101</v>
      </c>
      <c r="T562" s="13" t="s">
        <v>36</v>
      </c>
      <c r="U562" s="16" t="n">
        <v>591.07</v>
      </c>
      <c r="V562" s="16"/>
      <c r="W562" s="17" t="n">
        <v>0</v>
      </c>
      <c r="X562" s="15" t="s">
        <v>624</v>
      </c>
      <c r="Y562" s="15"/>
      <c r="Z562" s="1" t="str">
        <f aca="false">IF($T562="","",IFERROR(INDEX('Resumo Grupos'!$AC$3:$AC$2000,MATCH($T562,'Resumo Grupos'!$AB$3:$AB$2000,0)),"n/d"))</f>
        <v>Mercadoria</v>
      </c>
    </row>
    <row r="563" customFormat="false" ht="57" hidden="false" customHeight="true" outlineLevel="0" collapsed="false">
      <c r="A563" s="11" t="n">
        <v>2</v>
      </c>
      <c r="B563" s="12" t="n">
        <v>46226</v>
      </c>
      <c r="C563" s="12" t="n">
        <v>46266</v>
      </c>
      <c r="D563" s="11" t="n">
        <v>10011</v>
      </c>
      <c r="E563" s="13" t="s">
        <v>108</v>
      </c>
      <c r="F563" s="11" t="n">
        <v>24</v>
      </c>
      <c r="G563" s="13" t="s">
        <v>30</v>
      </c>
      <c r="H563" s="11" t="n">
        <v>1110203</v>
      </c>
      <c r="I563" s="13" t="s">
        <v>100</v>
      </c>
      <c r="J563" s="14" t="n">
        <v>1438962</v>
      </c>
      <c r="K563" s="14"/>
      <c r="L563" s="11" t="n">
        <v>194443</v>
      </c>
      <c r="M563" s="13" t="s">
        <v>105</v>
      </c>
      <c r="N563" s="15" t="s">
        <v>41</v>
      </c>
      <c r="O563" s="15"/>
      <c r="P563" s="11" t="n">
        <v>113</v>
      </c>
      <c r="Q563" s="13" t="s">
        <v>34</v>
      </c>
      <c r="R563" s="13" t="s">
        <v>35</v>
      </c>
      <c r="S563" s="11" t="n">
        <v>1130101</v>
      </c>
      <c r="T563" s="13" t="s">
        <v>36</v>
      </c>
      <c r="U563" s="16" t="n">
        <v>591.07</v>
      </c>
      <c r="V563" s="16"/>
      <c r="W563" s="17" t="n">
        <v>0</v>
      </c>
      <c r="X563" s="15" t="s">
        <v>624</v>
      </c>
      <c r="Y563" s="15"/>
      <c r="Z563" s="1" t="str">
        <f aca="false">IF($T563="","",IFERROR(INDEX('Resumo Grupos'!$AC$3:$AC$2000,MATCH($T563,'Resumo Grupos'!$AB$3:$AB$2000,0)),"n/d"))</f>
        <v>Mercadoria</v>
      </c>
    </row>
    <row r="564" customFormat="false" ht="57" hidden="false" customHeight="true" outlineLevel="0" collapsed="false">
      <c r="A564" s="11" t="n">
        <v>2</v>
      </c>
      <c r="B564" s="12" t="n">
        <v>46226</v>
      </c>
      <c r="C564" s="12" t="n">
        <v>46230</v>
      </c>
      <c r="D564" s="11" t="n">
        <v>1899</v>
      </c>
      <c r="E564" s="13" t="s">
        <v>287</v>
      </c>
      <c r="F564" s="11" t="n">
        <v>24</v>
      </c>
      <c r="G564" s="13" t="s">
        <v>30</v>
      </c>
      <c r="H564" s="11" t="n">
        <v>1110203</v>
      </c>
      <c r="I564" s="13" t="s">
        <v>100</v>
      </c>
      <c r="J564" s="14" t="n">
        <v>1438993</v>
      </c>
      <c r="K564" s="14"/>
      <c r="L564" s="11" t="n">
        <v>194448</v>
      </c>
      <c r="M564" s="13" t="s">
        <v>105</v>
      </c>
      <c r="N564" s="15" t="s">
        <v>41</v>
      </c>
      <c r="O564" s="15"/>
      <c r="P564" s="11" t="n">
        <v>113</v>
      </c>
      <c r="Q564" s="13" t="s">
        <v>34</v>
      </c>
      <c r="R564" s="13" t="s">
        <v>35</v>
      </c>
      <c r="S564" s="11" t="n">
        <v>1130101</v>
      </c>
      <c r="T564" s="13" t="s">
        <v>36</v>
      </c>
      <c r="U564" s="16" t="n">
        <v>247.23</v>
      </c>
      <c r="V564" s="16"/>
      <c r="W564" s="17" t="n">
        <v>0</v>
      </c>
      <c r="X564" s="15" t="s">
        <v>625</v>
      </c>
      <c r="Y564" s="15"/>
      <c r="Z564" s="1" t="str">
        <f aca="false">IF($T564="","",IFERROR(INDEX('Resumo Grupos'!$AC$3:$AC$2000,MATCH($T564,'Resumo Grupos'!$AB$3:$AB$2000,0)),"n/d"))</f>
        <v>Mercadoria</v>
      </c>
    </row>
    <row r="565" customFormat="false" ht="39" hidden="false" customHeight="true" outlineLevel="0" collapsed="false">
      <c r="A565" s="11" t="n">
        <v>2</v>
      </c>
      <c r="B565" s="12" t="n">
        <v>46225</v>
      </c>
      <c r="C565" s="12" t="n">
        <v>46225</v>
      </c>
      <c r="D565" s="11" t="n">
        <v>10096</v>
      </c>
      <c r="E565" s="13" t="s">
        <v>597</v>
      </c>
      <c r="F565" s="11" t="n">
        <v>13</v>
      </c>
      <c r="G565" s="13" t="s">
        <v>113</v>
      </c>
      <c r="H565" s="11" t="n">
        <v>1110203</v>
      </c>
      <c r="I565" s="13" t="s">
        <v>100</v>
      </c>
      <c r="J565" s="14" t="n">
        <v>1439047</v>
      </c>
      <c r="K565" s="14"/>
      <c r="L565" s="11" t="n">
        <v>194456</v>
      </c>
      <c r="M565" s="13" t="s">
        <v>105</v>
      </c>
      <c r="N565" s="15" t="s">
        <v>41</v>
      </c>
      <c r="O565" s="15"/>
      <c r="P565" s="11" t="n">
        <v>113</v>
      </c>
      <c r="Q565" s="13" t="s">
        <v>34</v>
      </c>
      <c r="R565" s="13" t="s">
        <v>35</v>
      </c>
      <c r="S565" s="11" t="n">
        <v>1130101</v>
      </c>
      <c r="T565" s="13" t="s">
        <v>36</v>
      </c>
      <c r="U565" s="16" t="n">
        <v>120</v>
      </c>
      <c r="V565" s="16"/>
      <c r="W565" s="17" t="n">
        <v>120</v>
      </c>
      <c r="X565" s="15" t="s">
        <v>626</v>
      </c>
      <c r="Y565" s="15"/>
      <c r="Z565" s="1" t="str">
        <f aca="false">IF($T565="","",IFERROR(INDEX('Resumo Grupos'!$AC$3:$AC$2000,MATCH($T565,'Resumo Grupos'!$AB$3:$AB$2000,0)),"n/d"))</f>
        <v>Mercadoria</v>
      </c>
    </row>
    <row r="566" customFormat="false" ht="39" hidden="false" customHeight="true" outlineLevel="0" collapsed="false">
      <c r="A566" s="11" t="n">
        <v>2</v>
      </c>
      <c r="B566" s="12" t="n">
        <v>46226</v>
      </c>
      <c r="C566" s="12" t="n">
        <v>46235</v>
      </c>
      <c r="D566" s="11" t="n">
        <v>1723</v>
      </c>
      <c r="E566" s="13" t="s">
        <v>272</v>
      </c>
      <c r="F566" s="11" t="n">
        <v>24</v>
      </c>
      <c r="G566" s="13" t="s">
        <v>30</v>
      </c>
      <c r="H566" s="11" t="n">
        <v>1110203</v>
      </c>
      <c r="I566" s="13" t="s">
        <v>100</v>
      </c>
      <c r="J566" s="14" t="n">
        <v>1439261</v>
      </c>
      <c r="K566" s="14"/>
      <c r="L566" s="11" t="n">
        <v>194516</v>
      </c>
      <c r="M566" s="13" t="s">
        <v>105</v>
      </c>
      <c r="N566" s="15" t="s">
        <v>41</v>
      </c>
      <c r="O566" s="15"/>
      <c r="P566" s="11" t="n">
        <v>113</v>
      </c>
      <c r="Q566" s="13" t="s">
        <v>34</v>
      </c>
      <c r="R566" s="13" t="s">
        <v>35</v>
      </c>
      <c r="S566" s="11" t="n">
        <v>1130101</v>
      </c>
      <c r="T566" s="13" t="s">
        <v>36</v>
      </c>
      <c r="U566" s="16" t="n">
        <v>3811.4</v>
      </c>
      <c r="V566" s="16"/>
      <c r="W566" s="17" t="n">
        <v>0</v>
      </c>
      <c r="X566" s="15" t="s">
        <v>627</v>
      </c>
      <c r="Y566" s="15"/>
      <c r="Z566" s="1" t="str">
        <f aca="false">IF($T566="","",IFERROR(INDEX('Resumo Grupos'!$AC$3:$AC$2000,MATCH($T566,'Resumo Grupos'!$AB$3:$AB$2000,0)),"n/d"))</f>
        <v>Mercadoria</v>
      </c>
    </row>
    <row r="567" customFormat="false" ht="28.5" hidden="false" customHeight="true" outlineLevel="0" collapsed="false">
      <c r="A567" s="11" t="n">
        <v>2</v>
      </c>
      <c r="B567" s="12" t="n">
        <v>46226</v>
      </c>
      <c r="C567" s="12" t="n">
        <v>46246</v>
      </c>
      <c r="D567" s="11" t="n">
        <v>1608</v>
      </c>
      <c r="E567" s="13" t="s">
        <v>127</v>
      </c>
      <c r="F567" s="11" t="n">
        <v>24</v>
      </c>
      <c r="G567" s="13" t="s">
        <v>30</v>
      </c>
      <c r="H567" s="11" t="n">
        <v>1110203</v>
      </c>
      <c r="I567" s="13" t="s">
        <v>100</v>
      </c>
      <c r="J567" s="14" t="n">
        <v>1439299</v>
      </c>
      <c r="K567" s="14"/>
      <c r="L567" s="11" t="n">
        <v>194524</v>
      </c>
      <c r="M567" s="13" t="s">
        <v>105</v>
      </c>
      <c r="N567" s="15" t="s">
        <v>41</v>
      </c>
      <c r="O567" s="15"/>
      <c r="P567" s="11" t="n">
        <v>113</v>
      </c>
      <c r="Q567" s="13" t="s">
        <v>34</v>
      </c>
      <c r="R567" s="13" t="s">
        <v>35</v>
      </c>
      <c r="S567" s="11" t="n">
        <v>1130101</v>
      </c>
      <c r="T567" s="13" t="s">
        <v>36</v>
      </c>
      <c r="U567" s="16" t="n">
        <v>1188</v>
      </c>
      <c r="V567" s="16"/>
      <c r="W567" s="17" t="n">
        <v>0</v>
      </c>
      <c r="X567" s="15" t="s">
        <v>628</v>
      </c>
      <c r="Y567" s="15"/>
      <c r="Z567" s="1" t="str">
        <f aca="false">IF($T567="","",IFERROR(INDEX('Resumo Grupos'!$AC$3:$AC$2000,MATCH($T567,'Resumo Grupos'!$AB$3:$AB$2000,0)),"n/d"))</f>
        <v>Mercadoria</v>
      </c>
    </row>
    <row r="568" customFormat="false" ht="28.5" hidden="false" customHeight="true" outlineLevel="0" collapsed="false">
      <c r="A568" s="11" t="n">
        <v>2</v>
      </c>
      <c r="B568" s="12" t="n">
        <v>46226</v>
      </c>
      <c r="C568" s="12" t="n">
        <v>46245</v>
      </c>
      <c r="D568" s="11" t="n">
        <v>10014</v>
      </c>
      <c r="E568" s="13" t="s">
        <v>629</v>
      </c>
      <c r="F568" s="11" t="n">
        <v>24</v>
      </c>
      <c r="G568" s="13" t="s">
        <v>30</v>
      </c>
      <c r="H568" s="11" t="n">
        <v>1110203</v>
      </c>
      <c r="I568" s="13" t="s">
        <v>100</v>
      </c>
      <c r="J568" s="14" t="n">
        <v>1439368</v>
      </c>
      <c r="K568" s="14"/>
      <c r="L568" s="11" t="n">
        <v>194537</v>
      </c>
      <c r="M568" s="13" t="s">
        <v>105</v>
      </c>
      <c r="N568" s="15" t="s">
        <v>41</v>
      </c>
      <c r="O568" s="15"/>
      <c r="P568" s="11" t="n">
        <v>113</v>
      </c>
      <c r="Q568" s="13" t="s">
        <v>34</v>
      </c>
      <c r="R568" s="13" t="s">
        <v>35</v>
      </c>
      <c r="S568" s="11" t="n">
        <v>1130101</v>
      </c>
      <c r="T568" s="13" t="s">
        <v>36</v>
      </c>
      <c r="U568" s="16" t="n">
        <v>1009.92</v>
      </c>
      <c r="V568" s="16"/>
      <c r="W568" s="17" t="n">
        <v>0</v>
      </c>
      <c r="X568" s="15" t="s">
        <v>630</v>
      </c>
      <c r="Y568" s="15"/>
      <c r="Z568" s="1" t="str">
        <f aca="false">IF($T568="","",IFERROR(INDEX('Resumo Grupos'!$AC$3:$AC$2000,MATCH($T568,'Resumo Grupos'!$AB$3:$AB$2000,0)),"n/d"))</f>
        <v>Mercadoria</v>
      </c>
    </row>
    <row r="569" customFormat="false" ht="48" hidden="false" customHeight="true" outlineLevel="0" collapsed="false">
      <c r="A569" s="11" t="n">
        <v>2</v>
      </c>
      <c r="B569" s="12" t="n">
        <v>46226</v>
      </c>
      <c r="C569" s="12" t="n">
        <v>46242</v>
      </c>
      <c r="D569" s="11" t="n">
        <v>1659</v>
      </c>
      <c r="E569" s="13" t="s">
        <v>141</v>
      </c>
      <c r="F569" s="11" t="n">
        <v>24</v>
      </c>
      <c r="G569" s="13" t="s">
        <v>30</v>
      </c>
      <c r="H569" s="11" t="n">
        <v>1110203</v>
      </c>
      <c r="I569" s="13" t="s">
        <v>100</v>
      </c>
      <c r="J569" s="14" t="n">
        <v>1439433</v>
      </c>
      <c r="K569" s="14"/>
      <c r="L569" s="11" t="n">
        <v>194549</v>
      </c>
      <c r="M569" s="13" t="s">
        <v>105</v>
      </c>
      <c r="N569" s="15" t="s">
        <v>41</v>
      </c>
      <c r="O569" s="15"/>
      <c r="P569" s="11" t="n">
        <v>113</v>
      </c>
      <c r="Q569" s="13" t="s">
        <v>34</v>
      </c>
      <c r="R569" s="13" t="s">
        <v>35</v>
      </c>
      <c r="S569" s="11" t="n">
        <v>1130101</v>
      </c>
      <c r="T569" s="13" t="s">
        <v>36</v>
      </c>
      <c r="U569" s="16" t="n">
        <v>1006.04</v>
      </c>
      <c r="V569" s="16"/>
      <c r="W569" s="17" t="n">
        <v>0</v>
      </c>
      <c r="X569" s="15" t="s">
        <v>631</v>
      </c>
      <c r="Y569" s="15"/>
      <c r="Z569" s="1" t="str">
        <f aca="false">IF($T569="","",IFERROR(INDEX('Resumo Grupos'!$AC$3:$AC$2000,MATCH($T569,'Resumo Grupos'!$AB$3:$AB$2000,0)),"n/d"))</f>
        <v>Mercadoria</v>
      </c>
    </row>
    <row r="570" customFormat="false" ht="48" hidden="false" customHeight="true" outlineLevel="0" collapsed="false">
      <c r="A570" s="11" t="n">
        <v>2</v>
      </c>
      <c r="B570" s="12" t="n">
        <v>46226</v>
      </c>
      <c r="C570" s="12" t="n">
        <v>46249</v>
      </c>
      <c r="D570" s="11" t="n">
        <v>1659</v>
      </c>
      <c r="E570" s="13" t="s">
        <v>141</v>
      </c>
      <c r="F570" s="11" t="n">
        <v>24</v>
      </c>
      <c r="G570" s="13" t="s">
        <v>30</v>
      </c>
      <c r="H570" s="11" t="n">
        <v>1110203</v>
      </c>
      <c r="I570" s="13" t="s">
        <v>100</v>
      </c>
      <c r="J570" s="14" t="n">
        <v>1439439</v>
      </c>
      <c r="K570" s="14"/>
      <c r="L570" s="11" t="n">
        <v>194551</v>
      </c>
      <c r="M570" s="13" t="s">
        <v>105</v>
      </c>
      <c r="N570" s="15" t="s">
        <v>41</v>
      </c>
      <c r="O570" s="15"/>
      <c r="P570" s="11" t="n">
        <v>113</v>
      </c>
      <c r="Q570" s="13" t="s">
        <v>34</v>
      </c>
      <c r="R570" s="13" t="s">
        <v>35</v>
      </c>
      <c r="S570" s="11" t="n">
        <v>1130101</v>
      </c>
      <c r="T570" s="13" t="s">
        <v>36</v>
      </c>
      <c r="U570" s="16" t="n">
        <v>1006.03</v>
      </c>
      <c r="V570" s="16"/>
      <c r="W570" s="17" t="n">
        <v>0</v>
      </c>
      <c r="X570" s="15" t="s">
        <v>631</v>
      </c>
      <c r="Y570" s="15"/>
      <c r="Z570" s="1" t="str">
        <f aca="false">IF($T570="","",IFERROR(INDEX('Resumo Grupos'!$AC$3:$AC$2000,MATCH($T570,'Resumo Grupos'!$AB$3:$AB$2000,0)),"n/d"))</f>
        <v>Mercadoria</v>
      </c>
    </row>
    <row r="571" customFormat="false" ht="48" hidden="false" customHeight="true" outlineLevel="0" collapsed="false">
      <c r="A571" s="11" t="n">
        <v>2</v>
      </c>
      <c r="B571" s="12" t="n">
        <v>46226</v>
      </c>
      <c r="C571" s="12" t="n">
        <v>46256</v>
      </c>
      <c r="D571" s="11" t="n">
        <v>1659</v>
      </c>
      <c r="E571" s="13" t="s">
        <v>141</v>
      </c>
      <c r="F571" s="11" t="n">
        <v>24</v>
      </c>
      <c r="G571" s="13" t="s">
        <v>30</v>
      </c>
      <c r="H571" s="11" t="n">
        <v>1110203</v>
      </c>
      <c r="I571" s="13" t="s">
        <v>100</v>
      </c>
      <c r="J571" s="14" t="n">
        <v>1439443</v>
      </c>
      <c r="K571" s="14"/>
      <c r="L571" s="11" t="n">
        <v>194553</v>
      </c>
      <c r="M571" s="13" t="s">
        <v>105</v>
      </c>
      <c r="N571" s="15" t="s">
        <v>41</v>
      </c>
      <c r="O571" s="15"/>
      <c r="P571" s="11" t="n">
        <v>113</v>
      </c>
      <c r="Q571" s="13" t="s">
        <v>34</v>
      </c>
      <c r="R571" s="13" t="s">
        <v>35</v>
      </c>
      <c r="S571" s="11" t="n">
        <v>1130101</v>
      </c>
      <c r="T571" s="13" t="s">
        <v>36</v>
      </c>
      <c r="U571" s="16" t="n">
        <v>1006.03</v>
      </c>
      <c r="V571" s="16"/>
      <c r="W571" s="17" t="n">
        <v>0</v>
      </c>
      <c r="X571" s="15" t="s">
        <v>631</v>
      </c>
      <c r="Y571" s="15"/>
      <c r="Z571" s="1" t="str">
        <f aca="false">IF($T571="","",IFERROR(INDEX('Resumo Grupos'!$AC$3:$AC$2000,MATCH($T571,'Resumo Grupos'!$AB$3:$AB$2000,0)),"n/d"))</f>
        <v>Mercadoria</v>
      </c>
    </row>
    <row r="572" customFormat="false" ht="39" hidden="false" customHeight="true" outlineLevel="0" collapsed="false">
      <c r="A572" s="11" t="n">
        <v>2</v>
      </c>
      <c r="B572" s="12" t="n">
        <v>46205</v>
      </c>
      <c r="C572" s="12" t="n">
        <v>46205</v>
      </c>
      <c r="D572" s="11" t="n">
        <v>10096</v>
      </c>
      <c r="E572" s="13" t="s">
        <v>597</v>
      </c>
      <c r="F572" s="11" t="n">
        <v>13</v>
      </c>
      <c r="G572" s="13" t="s">
        <v>113</v>
      </c>
      <c r="H572" s="11" t="n">
        <v>1110203</v>
      </c>
      <c r="I572" s="13" t="s">
        <v>100</v>
      </c>
      <c r="J572" s="14" t="n">
        <v>1439468</v>
      </c>
      <c r="K572" s="14"/>
      <c r="L572" s="11" t="n">
        <v>194564</v>
      </c>
      <c r="M572" s="13" t="s">
        <v>105</v>
      </c>
      <c r="N572" s="15" t="s">
        <v>41</v>
      </c>
      <c r="O572" s="15"/>
      <c r="P572" s="11" t="n">
        <v>113</v>
      </c>
      <c r="Q572" s="13" t="s">
        <v>34</v>
      </c>
      <c r="R572" s="13" t="s">
        <v>35</v>
      </c>
      <c r="S572" s="11" t="n">
        <v>1130101</v>
      </c>
      <c r="T572" s="13" t="s">
        <v>36</v>
      </c>
      <c r="U572" s="16" t="n">
        <v>140</v>
      </c>
      <c r="V572" s="16"/>
      <c r="W572" s="17" t="n">
        <v>0</v>
      </c>
      <c r="X572" s="15" t="s">
        <v>632</v>
      </c>
      <c r="Y572" s="15"/>
      <c r="Z572" s="1" t="str">
        <f aca="false">IF($T572="","",IFERROR(INDEX('Resumo Grupos'!$AC$3:$AC$2000,MATCH($T572,'Resumo Grupos'!$AB$3:$AB$2000,0)),"n/d"))</f>
        <v>Mercadoria</v>
      </c>
    </row>
    <row r="573" customFormat="false" ht="39" hidden="false" customHeight="true" outlineLevel="0" collapsed="false">
      <c r="A573" s="11" t="n">
        <v>2</v>
      </c>
      <c r="B573" s="12" t="n">
        <v>46207</v>
      </c>
      <c r="C573" s="12" t="n">
        <v>46207</v>
      </c>
      <c r="D573" s="11" t="n">
        <v>10096</v>
      </c>
      <c r="E573" s="13" t="s">
        <v>597</v>
      </c>
      <c r="F573" s="11" t="n">
        <v>13</v>
      </c>
      <c r="G573" s="13" t="s">
        <v>113</v>
      </c>
      <c r="H573" s="11" t="n">
        <v>1110203</v>
      </c>
      <c r="I573" s="13" t="s">
        <v>100</v>
      </c>
      <c r="J573" s="14" t="n">
        <v>1439471</v>
      </c>
      <c r="K573" s="14"/>
      <c r="L573" s="11" t="n">
        <v>194566</v>
      </c>
      <c r="M573" s="13" t="s">
        <v>105</v>
      </c>
      <c r="N573" s="15" t="s">
        <v>41</v>
      </c>
      <c r="O573" s="15"/>
      <c r="P573" s="11" t="n">
        <v>113</v>
      </c>
      <c r="Q573" s="13" t="s">
        <v>34</v>
      </c>
      <c r="R573" s="13" t="s">
        <v>35</v>
      </c>
      <c r="S573" s="11" t="n">
        <v>1130101</v>
      </c>
      <c r="T573" s="13" t="s">
        <v>36</v>
      </c>
      <c r="U573" s="16" t="n">
        <v>140</v>
      </c>
      <c r="V573" s="16"/>
      <c r="W573" s="17" t="n">
        <v>0</v>
      </c>
      <c r="X573" s="15" t="s">
        <v>633</v>
      </c>
      <c r="Y573" s="15"/>
      <c r="Z573" s="1" t="str">
        <f aca="false">IF($T573="","",IFERROR(INDEX('Resumo Grupos'!$AC$3:$AC$2000,MATCH($T573,'Resumo Grupos'!$AB$3:$AB$2000,0)),"n/d"))</f>
        <v>Mercadoria</v>
      </c>
    </row>
    <row r="574" customFormat="false" ht="39" hidden="false" customHeight="true" outlineLevel="0" collapsed="false">
      <c r="A574" s="11" t="n">
        <v>2</v>
      </c>
      <c r="B574" s="12" t="n">
        <v>46226</v>
      </c>
      <c r="C574" s="12" t="n">
        <v>46233</v>
      </c>
      <c r="D574" s="11" t="n">
        <v>1024</v>
      </c>
      <c r="E574" s="13" t="s">
        <v>277</v>
      </c>
      <c r="F574" s="11" t="n">
        <v>24</v>
      </c>
      <c r="G574" s="13" t="s">
        <v>30</v>
      </c>
      <c r="H574" s="11" t="n">
        <v>1110203</v>
      </c>
      <c r="I574" s="13" t="s">
        <v>100</v>
      </c>
      <c r="J574" s="14" t="n">
        <v>1439994</v>
      </c>
      <c r="K574" s="14"/>
      <c r="L574" s="11" t="n">
        <v>194706</v>
      </c>
      <c r="M574" s="13" t="s">
        <v>105</v>
      </c>
      <c r="N574" s="15" t="s">
        <v>41</v>
      </c>
      <c r="O574" s="15"/>
      <c r="P574" s="11" t="n">
        <v>113</v>
      </c>
      <c r="Q574" s="13" t="s">
        <v>34</v>
      </c>
      <c r="R574" s="13" t="s">
        <v>35</v>
      </c>
      <c r="S574" s="11" t="n">
        <v>1130101</v>
      </c>
      <c r="T574" s="13" t="s">
        <v>36</v>
      </c>
      <c r="U574" s="16" t="n">
        <v>305</v>
      </c>
      <c r="V574" s="16"/>
      <c r="W574" s="17" t="n">
        <v>0</v>
      </c>
      <c r="X574" s="15" t="s">
        <v>634</v>
      </c>
      <c r="Y574" s="15"/>
      <c r="Z574" s="1" t="str">
        <f aca="false">IF($T574="","",IFERROR(INDEX('Resumo Grupos'!$AC$3:$AC$2000,MATCH($T574,'Resumo Grupos'!$AB$3:$AB$2000,0)),"n/d"))</f>
        <v>Mercadoria</v>
      </c>
    </row>
    <row r="575" customFormat="false" ht="48" hidden="false" customHeight="true" outlineLevel="0" collapsed="false">
      <c r="A575" s="11" t="n">
        <v>2</v>
      </c>
      <c r="B575" s="12" t="n">
        <v>46226</v>
      </c>
      <c r="C575" s="12" t="n">
        <v>46247</v>
      </c>
      <c r="D575" s="11" t="n">
        <v>1616</v>
      </c>
      <c r="E575" s="13" t="s">
        <v>29</v>
      </c>
      <c r="F575" s="11" t="n">
        <v>24</v>
      </c>
      <c r="G575" s="13" t="s">
        <v>30</v>
      </c>
      <c r="H575" s="11" t="n">
        <v>1110203</v>
      </c>
      <c r="I575" s="13" t="s">
        <v>100</v>
      </c>
      <c r="J575" s="14" t="n">
        <v>1440011</v>
      </c>
      <c r="K575" s="14"/>
      <c r="L575" s="11" t="n">
        <v>194711</v>
      </c>
      <c r="M575" s="13" t="s">
        <v>105</v>
      </c>
      <c r="N575" s="15" t="s">
        <v>41</v>
      </c>
      <c r="O575" s="15"/>
      <c r="P575" s="11" t="n">
        <v>113</v>
      </c>
      <c r="Q575" s="13" t="s">
        <v>34</v>
      </c>
      <c r="R575" s="13" t="s">
        <v>35</v>
      </c>
      <c r="S575" s="11" t="n">
        <v>1130101</v>
      </c>
      <c r="T575" s="13" t="s">
        <v>36</v>
      </c>
      <c r="U575" s="16" t="n">
        <v>727.23</v>
      </c>
      <c r="V575" s="16"/>
      <c r="W575" s="17" t="n">
        <v>0</v>
      </c>
      <c r="X575" s="15" t="s">
        <v>635</v>
      </c>
      <c r="Y575" s="15"/>
      <c r="Z575" s="1" t="str">
        <f aca="false">IF($T575="","",IFERROR(INDEX('Resumo Grupos'!$AC$3:$AC$2000,MATCH($T575,'Resumo Grupos'!$AB$3:$AB$2000,0)),"n/d"))</f>
        <v>Mercadoria</v>
      </c>
    </row>
    <row r="576" customFormat="false" ht="48" hidden="false" customHeight="true" outlineLevel="0" collapsed="false">
      <c r="A576" s="11" t="n">
        <v>2</v>
      </c>
      <c r="B576" s="12" t="n">
        <v>46227</v>
      </c>
      <c r="C576" s="12" t="n">
        <v>46234</v>
      </c>
      <c r="D576" s="11" t="n">
        <v>1642</v>
      </c>
      <c r="E576" s="13" t="s">
        <v>281</v>
      </c>
      <c r="F576" s="11" t="n">
        <v>24</v>
      </c>
      <c r="G576" s="13" t="s">
        <v>30</v>
      </c>
      <c r="H576" s="11" t="n">
        <v>1110203</v>
      </c>
      <c r="I576" s="13" t="s">
        <v>100</v>
      </c>
      <c r="J576" s="14" t="n">
        <v>1443653</v>
      </c>
      <c r="K576" s="14"/>
      <c r="L576" s="11" t="n">
        <v>195231</v>
      </c>
      <c r="M576" s="13" t="s">
        <v>105</v>
      </c>
      <c r="N576" s="15" t="s">
        <v>41</v>
      </c>
      <c r="O576" s="15"/>
      <c r="P576" s="11" t="n">
        <v>113</v>
      </c>
      <c r="Q576" s="13" t="s">
        <v>34</v>
      </c>
      <c r="R576" s="13" t="s">
        <v>35</v>
      </c>
      <c r="S576" s="11" t="n">
        <v>1130101</v>
      </c>
      <c r="T576" s="13" t="s">
        <v>36</v>
      </c>
      <c r="U576" s="16" t="n">
        <v>254</v>
      </c>
      <c r="V576" s="16"/>
      <c r="W576" s="17" t="n">
        <v>0</v>
      </c>
      <c r="X576" s="15" t="s">
        <v>636</v>
      </c>
      <c r="Y576" s="15"/>
      <c r="Z576" s="1" t="str">
        <f aca="false">IF($T576="","",IFERROR(INDEX('Resumo Grupos'!$AC$3:$AC$2000,MATCH($T576,'Resumo Grupos'!$AB$3:$AB$2000,0)),"n/d"))</f>
        <v>Mercadoria</v>
      </c>
    </row>
    <row r="577" customFormat="false" ht="28.5" hidden="false" customHeight="true" outlineLevel="0" collapsed="false">
      <c r="A577" s="11" t="n">
        <v>2</v>
      </c>
      <c r="B577" s="12" t="n">
        <v>46227</v>
      </c>
      <c r="C577" s="12" t="n">
        <v>46234</v>
      </c>
      <c r="D577" s="11" t="n">
        <v>1608</v>
      </c>
      <c r="E577" s="13" t="s">
        <v>127</v>
      </c>
      <c r="F577" s="11" t="n">
        <v>24</v>
      </c>
      <c r="G577" s="13" t="s">
        <v>30</v>
      </c>
      <c r="H577" s="11" t="n">
        <v>1110203</v>
      </c>
      <c r="I577" s="13" t="s">
        <v>100</v>
      </c>
      <c r="J577" s="14" t="n">
        <v>1443665</v>
      </c>
      <c r="K577" s="14"/>
      <c r="L577" s="11" t="n">
        <v>195236</v>
      </c>
      <c r="M577" s="13" t="s">
        <v>105</v>
      </c>
      <c r="N577" s="15" t="s">
        <v>41</v>
      </c>
      <c r="O577" s="15"/>
      <c r="P577" s="11" t="n">
        <v>113</v>
      </c>
      <c r="Q577" s="13" t="s">
        <v>34</v>
      </c>
      <c r="R577" s="13" t="s">
        <v>35</v>
      </c>
      <c r="S577" s="11" t="n">
        <v>1130101</v>
      </c>
      <c r="T577" s="13" t="s">
        <v>36</v>
      </c>
      <c r="U577" s="16" t="n">
        <v>590.09</v>
      </c>
      <c r="V577" s="16"/>
      <c r="W577" s="17" t="n">
        <v>0</v>
      </c>
      <c r="X577" s="15" t="s">
        <v>637</v>
      </c>
      <c r="Y577" s="15"/>
      <c r="Z577" s="1" t="str">
        <f aca="false">IF($T577="","",IFERROR(INDEX('Resumo Grupos'!$AC$3:$AC$2000,MATCH($T577,'Resumo Grupos'!$AB$3:$AB$2000,0)),"n/d"))</f>
        <v>Mercadoria</v>
      </c>
    </row>
    <row r="578" customFormat="false" ht="28.5" hidden="false" customHeight="true" outlineLevel="0" collapsed="false">
      <c r="A578" s="11" t="n">
        <v>2</v>
      </c>
      <c r="B578" s="12" t="n">
        <v>46227</v>
      </c>
      <c r="C578" s="12" t="n">
        <v>46239</v>
      </c>
      <c r="D578" s="11" t="n">
        <v>1613</v>
      </c>
      <c r="E578" s="13" t="s">
        <v>133</v>
      </c>
      <c r="F578" s="11" t="n">
        <v>24</v>
      </c>
      <c r="G578" s="13" t="s">
        <v>30</v>
      </c>
      <c r="H578" s="11" t="n">
        <v>1110203</v>
      </c>
      <c r="I578" s="13" t="s">
        <v>100</v>
      </c>
      <c r="J578" s="14" t="n">
        <v>1443755</v>
      </c>
      <c r="K578" s="14"/>
      <c r="L578" s="11" t="n">
        <v>195248</v>
      </c>
      <c r="M578" s="13" t="s">
        <v>105</v>
      </c>
      <c r="N578" s="15" t="s">
        <v>41</v>
      </c>
      <c r="O578" s="15"/>
      <c r="P578" s="11" t="n">
        <v>113</v>
      </c>
      <c r="Q578" s="13" t="s">
        <v>34</v>
      </c>
      <c r="R578" s="13" t="s">
        <v>35</v>
      </c>
      <c r="S578" s="11" t="n">
        <v>1130101</v>
      </c>
      <c r="T578" s="13" t="s">
        <v>36</v>
      </c>
      <c r="U578" s="16" t="n">
        <v>395.62</v>
      </c>
      <c r="V578" s="16"/>
      <c r="W578" s="17" t="n">
        <v>0</v>
      </c>
      <c r="X578" s="15" t="s">
        <v>638</v>
      </c>
      <c r="Y578" s="15"/>
      <c r="Z578" s="1" t="str">
        <f aca="false">IF($T578="","",IFERROR(INDEX('Resumo Grupos'!$AC$3:$AC$2000,MATCH($T578,'Resumo Grupos'!$AB$3:$AB$2000,0)),"n/d"))</f>
        <v>Mercadoria</v>
      </c>
    </row>
    <row r="579" customFormat="false" ht="28.5" hidden="false" customHeight="true" outlineLevel="0" collapsed="false">
      <c r="A579" s="11" t="n">
        <v>2</v>
      </c>
      <c r="B579" s="12" t="n">
        <v>46227</v>
      </c>
      <c r="C579" s="12" t="n">
        <v>46246</v>
      </c>
      <c r="D579" s="11" t="n">
        <v>1613</v>
      </c>
      <c r="E579" s="13" t="s">
        <v>133</v>
      </c>
      <c r="F579" s="11" t="n">
        <v>24</v>
      </c>
      <c r="G579" s="13" t="s">
        <v>30</v>
      </c>
      <c r="H579" s="11" t="n">
        <v>1110203</v>
      </c>
      <c r="I579" s="13" t="s">
        <v>100</v>
      </c>
      <c r="J579" s="14" t="n">
        <v>1443769</v>
      </c>
      <c r="K579" s="14"/>
      <c r="L579" s="11" t="n">
        <v>195249</v>
      </c>
      <c r="M579" s="13" t="s">
        <v>105</v>
      </c>
      <c r="N579" s="15" t="s">
        <v>41</v>
      </c>
      <c r="O579" s="15"/>
      <c r="P579" s="11" t="n">
        <v>113</v>
      </c>
      <c r="Q579" s="13" t="s">
        <v>34</v>
      </c>
      <c r="R579" s="13" t="s">
        <v>35</v>
      </c>
      <c r="S579" s="11" t="n">
        <v>1130101</v>
      </c>
      <c r="T579" s="13" t="s">
        <v>36</v>
      </c>
      <c r="U579" s="16" t="n">
        <v>395.62</v>
      </c>
      <c r="V579" s="16"/>
      <c r="W579" s="17" t="n">
        <v>0</v>
      </c>
      <c r="X579" s="15" t="s">
        <v>638</v>
      </c>
      <c r="Y579" s="15"/>
      <c r="Z579" s="1" t="str">
        <f aca="false">IF($T579="","",IFERROR(INDEX('Resumo Grupos'!$AC$3:$AC$2000,MATCH($T579,'Resumo Grupos'!$AB$3:$AB$2000,0)),"n/d"))</f>
        <v>Mercadoria</v>
      </c>
    </row>
    <row r="580" customFormat="false" ht="28.5" hidden="false" customHeight="true" outlineLevel="0" collapsed="false">
      <c r="A580" s="11" t="n">
        <v>2</v>
      </c>
      <c r="B580" s="12" t="n">
        <v>46227</v>
      </c>
      <c r="C580" s="12" t="n">
        <v>46230</v>
      </c>
      <c r="D580" s="11" t="n">
        <v>10035</v>
      </c>
      <c r="E580" s="13" t="s">
        <v>298</v>
      </c>
      <c r="F580" s="11" t="n">
        <v>34</v>
      </c>
      <c r="G580" s="13" t="s">
        <v>87</v>
      </c>
      <c r="H580" s="11" t="n">
        <v>1110203</v>
      </c>
      <c r="I580" s="13" t="s">
        <v>100</v>
      </c>
      <c r="J580" s="14" t="n">
        <v>1443788</v>
      </c>
      <c r="K580" s="14"/>
      <c r="L580" s="11" t="n">
        <v>195252</v>
      </c>
      <c r="M580" s="13" t="s">
        <v>105</v>
      </c>
      <c r="N580" s="15" t="s">
        <v>41</v>
      </c>
      <c r="O580" s="15"/>
      <c r="P580" s="11" t="n">
        <v>113</v>
      </c>
      <c r="Q580" s="13" t="s">
        <v>34</v>
      </c>
      <c r="R580" s="13" t="s">
        <v>35</v>
      </c>
      <c r="S580" s="11" t="n">
        <v>1130101</v>
      </c>
      <c r="T580" s="13" t="s">
        <v>36</v>
      </c>
      <c r="U580" s="16" t="n">
        <v>270</v>
      </c>
      <c r="V580" s="16"/>
      <c r="W580" s="17" t="n">
        <v>0</v>
      </c>
      <c r="X580" s="15" t="s">
        <v>639</v>
      </c>
      <c r="Y580" s="15"/>
      <c r="Z580" s="1" t="str">
        <f aca="false">IF($T580="","",IFERROR(INDEX('Resumo Grupos'!$AC$3:$AC$2000,MATCH($T580,'Resumo Grupos'!$AB$3:$AB$2000,0)),"n/d"))</f>
        <v>Mercadoria</v>
      </c>
    </row>
    <row r="581" customFormat="false" ht="57" hidden="false" customHeight="true" outlineLevel="0" collapsed="false">
      <c r="A581" s="11" t="n">
        <v>2</v>
      </c>
      <c r="B581" s="12" t="n">
        <v>46227</v>
      </c>
      <c r="C581" s="12" t="n">
        <v>46248</v>
      </c>
      <c r="D581" s="11" t="n">
        <v>1921</v>
      </c>
      <c r="E581" s="13" t="s">
        <v>110</v>
      </c>
      <c r="F581" s="11" t="n">
        <v>24</v>
      </c>
      <c r="G581" s="13" t="s">
        <v>30</v>
      </c>
      <c r="H581" s="11" t="n">
        <v>1110203</v>
      </c>
      <c r="I581" s="13" t="s">
        <v>100</v>
      </c>
      <c r="J581" s="14" t="n">
        <v>1443816</v>
      </c>
      <c r="K581" s="14"/>
      <c r="L581" s="11" t="n">
        <v>195257</v>
      </c>
      <c r="M581" s="13" t="s">
        <v>105</v>
      </c>
      <c r="N581" s="15" t="s">
        <v>41</v>
      </c>
      <c r="O581" s="15"/>
      <c r="P581" s="11" t="n">
        <v>113</v>
      </c>
      <c r="Q581" s="13" t="s">
        <v>34</v>
      </c>
      <c r="R581" s="13" t="s">
        <v>35</v>
      </c>
      <c r="S581" s="11" t="n">
        <v>1130101</v>
      </c>
      <c r="T581" s="13" t="s">
        <v>36</v>
      </c>
      <c r="U581" s="16" t="n">
        <v>581.65</v>
      </c>
      <c r="V581" s="16"/>
      <c r="W581" s="17" t="n">
        <v>0</v>
      </c>
      <c r="X581" s="15" t="s">
        <v>640</v>
      </c>
      <c r="Y581" s="15"/>
      <c r="Z581" s="1" t="str">
        <f aca="false">IF($T581="","",IFERROR(INDEX('Resumo Grupos'!$AC$3:$AC$2000,MATCH($T581,'Resumo Grupos'!$AB$3:$AB$2000,0)),"n/d"))</f>
        <v>Mercadoria</v>
      </c>
    </row>
    <row r="582" customFormat="false" ht="28.5" hidden="false" customHeight="true" outlineLevel="0" collapsed="false">
      <c r="A582" s="11" t="n">
        <v>2</v>
      </c>
      <c r="B582" s="12" t="n">
        <v>46227</v>
      </c>
      <c r="C582" s="12" t="n">
        <v>46234</v>
      </c>
      <c r="D582" s="11" t="n">
        <v>1666</v>
      </c>
      <c r="E582" s="13" t="s">
        <v>296</v>
      </c>
      <c r="F582" s="11" t="n">
        <v>24</v>
      </c>
      <c r="G582" s="13" t="s">
        <v>30</v>
      </c>
      <c r="H582" s="11" t="n">
        <v>1110203</v>
      </c>
      <c r="I582" s="13" t="s">
        <v>100</v>
      </c>
      <c r="J582" s="14" t="n">
        <v>1443858</v>
      </c>
      <c r="K582" s="14"/>
      <c r="L582" s="11" t="n">
        <v>195263</v>
      </c>
      <c r="M582" s="13" t="s">
        <v>105</v>
      </c>
      <c r="N582" s="15" t="s">
        <v>41</v>
      </c>
      <c r="O582" s="15"/>
      <c r="P582" s="11" t="n">
        <v>113</v>
      </c>
      <c r="Q582" s="13" t="s">
        <v>34</v>
      </c>
      <c r="R582" s="13" t="s">
        <v>35</v>
      </c>
      <c r="S582" s="11" t="n">
        <v>1130101</v>
      </c>
      <c r="T582" s="13" t="s">
        <v>36</v>
      </c>
      <c r="U582" s="16" t="n">
        <v>6361.07</v>
      </c>
      <c r="V582" s="16"/>
      <c r="W582" s="17" t="n">
        <v>0</v>
      </c>
      <c r="X582" s="15" t="s">
        <v>641</v>
      </c>
      <c r="Y582" s="15"/>
      <c r="Z582" s="1" t="str">
        <f aca="false">IF($T582="","",IFERROR(INDEX('Resumo Grupos'!$AC$3:$AC$2000,MATCH($T582,'Resumo Grupos'!$AB$3:$AB$2000,0)),"n/d"))</f>
        <v>Mercadoria</v>
      </c>
    </row>
    <row r="583" customFormat="false" ht="28.5" hidden="false" customHeight="true" outlineLevel="0" collapsed="false">
      <c r="A583" s="11" t="n">
        <v>2</v>
      </c>
      <c r="B583" s="12" t="n">
        <v>46227</v>
      </c>
      <c r="C583" s="12" t="n">
        <v>46241</v>
      </c>
      <c r="D583" s="11" t="n">
        <v>1666</v>
      </c>
      <c r="E583" s="13" t="s">
        <v>296</v>
      </c>
      <c r="F583" s="11" t="n">
        <v>24</v>
      </c>
      <c r="G583" s="13" t="s">
        <v>30</v>
      </c>
      <c r="H583" s="11" t="n">
        <v>1110203</v>
      </c>
      <c r="I583" s="13" t="s">
        <v>100</v>
      </c>
      <c r="J583" s="14" t="n">
        <v>1443864</v>
      </c>
      <c r="K583" s="14"/>
      <c r="L583" s="11" t="n">
        <v>195265</v>
      </c>
      <c r="M583" s="13" t="s">
        <v>105</v>
      </c>
      <c r="N583" s="15" t="s">
        <v>41</v>
      </c>
      <c r="O583" s="15"/>
      <c r="P583" s="11" t="n">
        <v>113</v>
      </c>
      <c r="Q583" s="13" t="s">
        <v>34</v>
      </c>
      <c r="R583" s="13" t="s">
        <v>35</v>
      </c>
      <c r="S583" s="11" t="n">
        <v>1130101</v>
      </c>
      <c r="T583" s="13" t="s">
        <v>36</v>
      </c>
      <c r="U583" s="16" t="n">
        <v>6221.08</v>
      </c>
      <c r="V583" s="16"/>
      <c r="W583" s="17" t="n">
        <v>0</v>
      </c>
      <c r="X583" s="15" t="s">
        <v>641</v>
      </c>
      <c r="Y583" s="15"/>
      <c r="Z583" s="1" t="str">
        <f aca="false">IF($T583="","",IFERROR(INDEX('Resumo Grupos'!$AC$3:$AC$2000,MATCH($T583,'Resumo Grupos'!$AB$3:$AB$2000,0)),"n/d"))</f>
        <v>Mercadoria</v>
      </c>
    </row>
    <row r="584" customFormat="false" ht="28.5" hidden="false" customHeight="true" outlineLevel="0" collapsed="false">
      <c r="A584" s="11" t="n">
        <v>2</v>
      </c>
      <c r="B584" s="12" t="n">
        <v>46227</v>
      </c>
      <c r="C584" s="12" t="n">
        <v>46248</v>
      </c>
      <c r="D584" s="11" t="n">
        <v>1666</v>
      </c>
      <c r="E584" s="13" t="s">
        <v>296</v>
      </c>
      <c r="F584" s="11" t="n">
        <v>24</v>
      </c>
      <c r="G584" s="13" t="s">
        <v>30</v>
      </c>
      <c r="H584" s="11" t="n">
        <v>1110203</v>
      </c>
      <c r="I584" s="13" t="s">
        <v>100</v>
      </c>
      <c r="J584" s="14" t="n">
        <v>1443874</v>
      </c>
      <c r="K584" s="14"/>
      <c r="L584" s="11" t="n">
        <v>195268</v>
      </c>
      <c r="M584" s="13" t="s">
        <v>105</v>
      </c>
      <c r="N584" s="15" t="s">
        <v>41</v>
      </c>
      <c r="O584" s="15"/>
      <c r="P584" s="11" t="n">
        <v>113</v>
      </c>
      <c r="Q584" s="13" t="s">
        <v>34</v>
      </c>
      <c r="R584" s="13" t="s">
        <v>35</v>
      </c>
      <c r="S584" s="11" t="n">
        <v>1130101</v>
      </c>
      <c r="T584" s="13" t="s">
        <v>36</v>
      </c>
      <c r="U584" s="16" t="n">
        <v>6409.6</v>
      </c>
      <c r="V584" s="16"/>
      <c r="W584" s="17" t="n">
        <v>0</v>
      </c>
      <c r="X584" s="15" t="s">
        <v>641</v>
      </c>
      <c r="Y584" s="15"/>
      <c r="Z584" s="1" t="str">
        <f aca="false">IF($T584="","",IFERROR(INDEX('Resumo Grupos'!$AC$3:$AC$2000,MATCH($T584,'Resumo Grupos'!$AB$3:$AB$2000,0)),"n/d"))</f>
        <v>Mercadoria</v>
      </c>
    </row>
    <row r="585" customFormat="false" ht="57" hidden="false" customHeight="true" outlineLevel="0" collapsed="false">
      <c r="A585" s="11" t="n">
        <v>2</v>
      </c>
      <c r="B585" s="12" t="n">
        <v>46227</v>
      </c>
      <c r="C585" s="12" t="n">
        <v>46246</v>
      </c>
      <c r="D585" s="11" t="n">
        <v>1842</v>
      </c>
      <c r="E585" s="13" t="s">
        <v>490</v>
      </c>
      <c r="F585" s="11" t="n">
        <v>24</v>
      </c>
      <c r="G585" s="13" t="s">
        <v>30</v>
      </c>
      <c r="H585" s="11" t="n">
        <v>1110203</v>
      </c>
      <c r="I585" s="13" t="s">
        <v>100</v>
      </c>
      <c r="J585" s="14" t="n">
        <v>1443912</v>
      </c>
      <c r="K585" s="14"/>
      <c r="L585" s="11" t="n">
        <v>195274</v>
      </c>
      <c r="M585" s="13" t="s">
        <v>105</v>
      </c>
      <c r="N585" s="15" t="s">
        <v>41</v>
      </c>
      <c r="O585" s="15"/>
      <c r="P585" s="11" t="n">
        <v>113</v>
      </c>
      <c r="Q585" s="13" t="s">
        <v>34</v>
      </c>
      <c r="R585" s="13" t="s">
        <v>60</v>
      </c>
      <c r="S585" s="11" t="n">
        <v>4210229</v>
      </c>
      <c r="T585" s="13" t="s">
        <v>491</v>
      </c>
      <c r="U585" s="16" t="n">
        <v>325</v>
      </c>
      <c r="V585" s="16"/>
      <c r="W585" s="17" t="n">
        <v>0</v>
      </c>
      <c r="X585" s="15" t="s">
        <v>642</v>
      </c>
      <c r="Y585" s="15"/>
      <c r="Z585" s="1" t="str">
        <f aca="false">IF($T585="","",IFERROR(INDEX('Resumo Grupos'!$AC$3:$AC$2000,MATCH($T585,'Resumo Grupos'!$AB$3:$AB$2000,0)),"n/d"))</f>
        <v>Despesa</v>
      </c>
    </row>
    <row r="586" customFormat="false" ht="28.5" hidden="false" customHeight="true" outlineLevel="0" collapsed="false">
      <c r="A586" s="11" t="n">
        <v>2</v>
      </c>
      <c r="B586" s="12" t="n">
        <v>46227</v>
      </c>
      <c r="C586" s="12" t="n">
        <v>46234</v>
      </c>
      <c r="D586" s="11" t="n">
        <v>1683</v>
      </c>
      <c r="E586" s="13" t="s">
        <v>328</v>
      </c>
      <c r="F586" s="11" t="n">
        <v>34</v>
      </c>
      <c r="G586" s="13" t="s">
        <v>87</v>
      </c>
      <c r="H586" s="11" t="n">
        <v>1110203</v>
      </c>
      <c r="I586" s="13" t="s">
        <v>100</v>
      </c>
      <c r="J586" s="14" t="n">
        <v>1444720</v>
      </c>
      <c r="K586" s="14"/>
      <c r="L586" s="11" t="n">
        <v>195456</v>
      </c>
      <c r="M586" s="13" t="s">
        <v>105</v>
      </c>
      <c r="N586" s="15" t="s">
        <v>41</v>
      </c>
      <c r="O586" s="15"/>
      <c r="P586" s="11" t="n">
        <v>113</v>
      </c>
      <c r="Q586" s="13" t="s">
        <v>34</v>
      </c>
      <c r="R586" s="13" t="s">
        <v>35</v>
      </c>
      <c r="S586" s="11" t="n">
        <v>1130101</v>
      </c>
      <c r="T586" s="13" t="s">
        <v>36</v>
      </c>
      <c r="U586" s="16" t="n">
        <v>71.5</v>
      </c>
      <c r="V586" s="16"/>
      <c r="W586" s="17" t="n">
        <v>0</v>
      </c>
      <c r="X586" s="15" t="s">
        <v>329</v>
      </c>
      <c r="Y586" s="15"/>
      <c r="Z586" s="1" t="str">
        <f aca="false">IF($T586="","",IFERROR(INDEX('Resumo Grupos'!$AC$3:$AC$2000,MATCH($T586,'Resumo Grupos'!$AB$3:$AB$2000,0)),"n/d"))</f>
        <v>Mercadoria</v>
      </c>
    </row>
    <row r="587" customFormat="false" ht="28.5" hidden="false" customHeight="true" outlineLevel="0" collapsed="false">
      <c r="A587" s="11" t="n">
        <v>2</v>
      </c>
      <c r="B587" s="12" t="n">
        <v>46227</v>
      </c>
      <c r="C587" s="12" t="n">
        <v>46248</v>
      </c>
      <c r="D587" s="11" t="n">
        <v>1608</v>
      </c>
      <c r="E587" s="13" t="s">
        <v>127</v>
      </c>
      <c r="F587" s="11" t="n">
        <v>24</v>
      </c>
      <c r="G587" s="13" t="s">
        <v>30</v>
      </c>
      <c r="H587" s="11" t="n">
        <v>1110203</v>
      </c>
      <c r="I587" s="13" t="s">
        <v>100</v>
      </c>
      <c r="J587" s="14" t="n">
        <v>1444853</v>
      </c>
      <c r="K587" s="14"/>
      <c r="L587" s="11" t="n">
        <v>195494</v>
      </c>
      <c r="M587" s="13" t="s">
        <v>105</v>
      </c>
      <c r="N587" s="15" t="s">
        <v>41</v>
      </c>
      <c r="O587" s="15"/>
      <c r="P587" s="11" t="n">
        <v>113</v>
      </c>
      <c r="Q587" s="13" t="s">
        <v>34</v>
      </c>
      <c r="R587" s="13" t="s">
        <v>35</v>
      </c>
      <c r="S587" s="11" t="n">
        <v>1130101</v>
      </c>
      <c r="T587" s="13" t="s">
        <v>36</v>
      </c>
      <c r="U587" s="16" t="n">
        <v>1111.12</v>
      </c>
      <c r="V587" s="16"/>
      <c r="W587" s="17" t="n">
        <v>0</v>
      </c>
      <c r="X587" s="15" t="s">
        <v>643</v>
      </c>
      <c r="Y587" s="15"/>
      <c r="Z587" s="1" t="str">
        <f aca="false">IF($T587="","",IFERROR(INDEX('Resumo Grupos'!$AC$3:$AC$2000,MATCH($T587,'Resumo Grupos'!$AB$3:$AB$2000,0)),"n/d"))</f>
        <v>Mercadoria</v>
      </c>
    </row>
    <row r="588" customFormat="false" ht="39" hidden="false" customHeight="true" outlineLevel="0" collapsed="false">
      <c r="A588" s="11" t="n">
        <v>2</v>
      </c>
      <c r="B588" s="12" t="n">
        <v>46227</v>
      </c>
      <c r="C588" s="12" t="n">
        <v>46241</v>
      </c>
      <c r="D588" s="11" t="n">
        <v>1700</v>
      </c>
      <c r="E588" s="13" t="s">
        <v>644</v>
      </c>
      <c r="F588" s="11" t="n">
        <v>24</v>
      </c>
      <c r="G588" s="13" t="s">
        <v>30</v>
      </c>
      <c r="H588" s="11" t="n">
        <v>1110203</v>
      </c>
      <c r="I588" s="13" t="s">
        <v>100</v>
      </c>
      <c r="J588" s="14" t="n">
        <v>1444956</v>
      </c>
      <c r="K588" s="14"/>
      <c r="L588" s="11" t="n">
        <v>195512</v>
      </c>
      <c r="M588" s="13" t="s">
        <v>105</v>
      </c>
      <c r="N588" s="15" t="s">
        <v>41</v>
      </c>
      <c r="O588" s="15"/>
      <c r="P588" s="11" t="n">
        <v>113</v>
      </c>
      <c r="Q588" s="13" t="s">
        <v>34</v>
      </c>
      <c r="R588" s="13" t="s">
        <v>35</v>
      </c>
      <c r="S588" s="11" t="n">
        <v>1130101</v>
      </c>
      <c r="T588" s="13" t="s">
        <v>36</v>
      </c>
      <c r="U588" s="16" t="n">
        <v>690</v>
      </c>
      <c r="V588" s="16"/>
      <c r="W588" s="17" t="n">
        <v>0</v>
      </c>
      <c r="X588" s="15" t="s">
        <v>645</v>
      </c>
      <c r="Y588" s="15"/>
      <c r="Z588" s="1" t="str">
        <f aca="false">IF($T588="","",IFERROR(INDEX('Resumo Grupos'!$AC$3:$AC$2000,MATCH($T588,'Resumo Grupos'!$AB$3:$AB$2000,0)),"n/d"))</f>
        <v>Mercadoria</v>
      </c>
    </row>
    <row r="589" customFormat="false" ht="28.5" hidden="false" customHeight="true" outlineLevel="0" collapsed="false">
      <c r="A589" s="11" t="n">
        <v>2</v>
      </c>
      <c r="B589" s="12" t="n">
        <v>46227</v>
      </c>
      <c r="C589" s="12" t="n">
        <v>46234</v>
      </c>
      <c r="D589" s="11" t="n">
        <v>22</v>
      </c>
      <c r="E589" s="13" t="s">
        <v>429</v>
      </c>
      <c r="F589" s="11" t="n">
        <v>34</v>
      </c>
      <c r="G589" s="13" t="s">
        <v>87</v>
      </c>
      <c r="H589" s="11" t="n">
        <v>1110203</v>
      </c>
      <c r="I589" s="13" t="s">
        <v>100</v>
      </c>
      <c r="J589" s="14" t="n">
        <v>1444975</v>
      </c>
      <c r="K589" s="14"/>
      <c r="L589" s="11" t="n">
        <v>195525</v>
      </c>
      <c r="M589" s="13" t="s">
        <v>105</v>
      </c>
      <c r="N589" s="15" t="s">
        <v>41</v>
      </c>
      <c r="O589" s="15"/>
      <c r="P589" s="11" t="n">
        <v>101</v>
      </c>
      <c r="Q589" s="13" t="s">
        <v>52</v>
      </c>
      <c r="R589" s="13" t="s">
        <v>191</v>
      </c>
      <c r="S589" s="11" t="n">
        <v>4210304</v>
      </c>
      <c r="T589" s="13" t="s">
        <v>646</v>
      </c>
      <c r="U589" s="16" t="n">
        <v>2355.82</v>
      </c>
      <c r="V589" s="16"/>
      <c r="W589" s="17" t="n">
        <v>0</v>
      </c>
      <c r="X589" s="15" t="s">
        <v>647</v>
      </c>
      <c r="Y589" s="15"/>
      <c r="Z589" s="1" t="str">
        <f aca="false">IF($T589="","",IFERROR(INDEX('Resumo Grupos'!$AC$3:$AC$2000,MATCH($T589,'Resumo Grupos'!$AB$3:$AB$2000,0)),"n/d"))</f>
        <v>Salários</v>
      </c>
    </row>
    <row r="590" customFormat="false" ht="39" hidden="false" customHeight="true" outlineLevel="0" collapsed="false">
      <c r="A590" s="11" t="n">
        <v>2</v>
      </c>
      <c r="B590" s="12" t="n">
        <v>46227</v>
      </c>
      <c r="C590" s="12" t="n">
        <v>46248</v>
      </c>
      <c r="D590" s="11" t="n">
        <v>1700</v>
      </c>
      <c r="E590" s="13" t="s">
        <v>644</v>
      </c>
      <c r="F590" s="11" t="n">
        <v>24</v>
      </c>
      <c r="G590" s="13" t="s">
        <v>30</v>
      </c>
      <c r="H590" s="11" t="n">
        <v>1110203</v>
      </c>
      <c r="I590" s="13" t="s">
        <v>100</v>
      </c>
      <c r="J590" s="14" t="n">
        <v>1444978</v>
      </c>
      <c r="K590" s="14"/>
      <c r="L590" s="11" t="n">
        <v>195524</v>
      </c>
      <c r="M590" s="13" t="s">
        <v>105</v>
      </c>
      <c r="N590" s="15" t="s">
        <v>41</v>
      </c>
      <c r="O590" s="15"/>
      <c r="P590" s="11" t="n">
        <v>113</v>
      </c>
      <c r="Q590" s="13" t="s">
        <v>34</v>
      </c>
      <c r="R590" s="13" t="s">
        <v>35</v>
      </c>
      <c r="S590" s="11" t="n">
        <v>1130101</v>
      </c>
      <c r="T590" s="13" t="s">
        <v>36</v>
      </c>
      <c r="U590" s="16" t="n">
        <v>690</v>
      </c>
      <c r="V590" s="16"/>
      <c r="W590" s="17" t="n">
        <v>0</v>
      </c>
      <c r="X590" s="15" t="s">
        <v>645</v>
      </c>
      <c r="Y590" s="15"/>
      <c r="Z590" s="1" t="str">
        <f aca="false">IF($T590="","",IFERROR(INDEX('Resumo Grupos'!$AC$3:$AC$2000,MATCH($T590,'Resumo Grupos'!$AB$3:$AB$2000,0)),"n/d"))</f>
        <v>Mercadoria</v>
      </c>
    </row>
    <row r="591" customFormat="false" ht="39" hidden="false" customHeight="true" outlineLevel="0" collapsed="false">
      <c r="A591" s="11" t="n">
        <v>2</v>
      </c>
      <c r="B591" s="12" t="n">
        <v>46227</v>
      </c>
      <c r="C591" s="12" t="n">
        <v>46255</v>
      </c>
      <c r="D591" s="11" t="n">
        <v>1700</v>
      </c>
      <c r="E591" s="13" t="s">
        <v>644</v>
      </c>
      <c r="F591" s="11" t="n">
        <v>24</v>
      </c>
      <c r="G591" s="13" t="s">
        <v>30</v>
      </c>
      <c r="H591" s="11" t="n">
        <v>1110203</v>
      </c>
      <c r="I591" s="13" t="s">
        <v>100</v>
      </c>
      <c r="J591" s="14" t="n">
        <v>1444985</v>
      </c>
      <c r="K591" s="14"/>
      <c r="L591" s="11" t="n">
        <v>195527</v>
      </c>
      <c r="M591" s="13" t="s">
        <v>105</v>
      </c>
      <c r="N591" s="15" t="s">
        <v>41</v>
      </c>
      <c r="O591" s="15"/>
      <c r="P591" s="11" t="n">
        <v>113</v>
      </c>
      <c r="Q591" s="13" t="s">
        <v>34</v>
      </c>
      <c r="R591" s="13" t="s">
        <v>35</v>
      </c>
      <c r="S591" s="11" t="n">
        <v>1130101</v>
      </c>
      <c r="T591" s="13" t="s">
        <v>36</v>
      </c>
      <c r="U591" s="16" t="n">
        <v>690</v>
      </c>
      <c r="V591" s="16"/>
      <c r="W591" s="17" t="n">
        <v>0</v>
      </c>
      <c r="X591" s="15" t="s">
        <v>645</v>
      </c>
      <c r="Y591" s="15"/>
      <c r="Z591" s="1" t="str">
        <f aca="false">IF($T591="","",IFERROR(INDEX('Resumo Grupos'!$AC$3:$AC$2000,MATCH($T591,'Resumo Grupos'!$AB$3:$AB$2000,0)),"n/d"))</f>
        <v>Mercadoria</v>
      </c>
    </row>
    <row r="592" customFormat="false" ht="39" hidden="false" customHeight="true" outlineLevel="0" collapsed="false">
      <c r="A592" s="11" t="n">
        <v>2</v>
      </c>
      <c r="B592" s="12" t="n">
        <v>46227</v>
      </c>
      <c r="C592" s="12" t="n">
        <v>46227</v>
      </c>
      <c r="D592" s="11" t="n">
        <v>48</v>
      </c>
      <c r="E592" s="13" t="s">
        <v>112</v>
      </c>
      <c r="F592" s="11" t="n">
        <v>34</v>
      </c>
      <c r="G592" s="13" t="s">
        <v>87</v>
      </c>
      <c r="H592" s="11" t="n">
        <v>2110101</v>
      </c>
      <c r="I592" s="13" t="s">
        <v>31</v>
      </c>
      <c r="J592" s="14" t="n">
        <v>1445080</v>
      </c>
      <c r="K592" s="14"/>
      <c r="L592" s="11" t="n">
        <v>2560</v>
      </c>
      <c r="M592" s="13" t="s">
        <v>105</v>
      </c>
      <c r="N592" s="15" t="s">
        <v>33</v>
      </c>
      <c r="O592" s="15"/>
      <c r="P592" s="11" t="n">
        <v>113</v>
      </c>
      <c r="Q592" s="13" t="s">
        <v>34</v>
      </c>
      <c r="R592" s="13" t="s">
        <v>35</v>
      </c>
      <c r="S592" s="11" t="n">
        <v>1130101</v>
      </c>
      <c r="T592" s="13" t="s">
        <v>36</v>
      </c>
      <c r="U592" s="16" t="n">
        <v>1919.18</v>
      </c>
      <c r="V592" s="16"/>
      <c r="W592" s="17" t="n">
        <v>0</v>
      </c>
      <c r="X592" s="15" t="s">
        <v>403</v>
      </c>
      <c r="Y592" s="15"/>
      <c r="Z592" s="1" t="str">
        <f aca="false">IF($T592="","",IFERROR(INDEX('Resumo Grupos'!$AC$3:$AC$2000,MATCH($T592,'Resumo Grupos'!$AB$3:$AB$2000,0)),"n/d"))</f>
        <v>Mercadoria</v>
      </c>
    </row>
    <row r="593" customFormat="false" ht="28.5" hidden="false" customHeight="true" outlineLevel="0" collapsed="false">
      <c r="A593" s="11" t="n">
        <v>2</v>
      </c>
      <c r="B593" s="12" t="n">
        <v>46227</v>
      </c>
      <c r="C593" s="12" t="n">
        <v>46227</v>
      </c>
      <c r="D593" s="11" t="n">
        <v>1037</v>
      </c>
      <c r="E593" s="13" t="s">
        <v>364</v>
      </c>
      <c r="F593" s="11" t="n">
        <v>34</v>
      </c>
      <c r="G593" s="13" t="s">
        <v>87</v>
      </c>
      <c r="H593" s="11" t="n">
        <v>1110203</v>
      </c>
      <c r="I593" s="13" t="s">
        <v>100</v>
      </c>
      <c r="J593" s="14" t="n">
        <v>1445096</v>
      </c>
      <c r="K593" s="14"/>
      <c r="L593" s="11" t="n">
        <v>195547</v>
      </c>
      <c r="M593" s="13" t="s">
        <v>105</v>
      </c>
      <c r="N593" s="15" t="s">
        <v>41</v>
      </c>
      <c r="O593" s="15"/>
      <c r="P593" s="11" t="n">
        <v>113</v>
      </c>
      <c r="Q593" s="13" t="s">
        <v>34</v>
      </c>
      <c r="R593" s="13" t="s">
        <v>35</v>
      </c>
      <c r="S593" s="11" t="n">
        <v>1130101</v>
      </c>
      <c r="T593" s="13" t="s">
        <v>36</v>
      </c>
      <c r="U593" s="16" t="n">
        <v>325</v>
      </c>
      <c r="V593" s="16"/>
      <c r="W593" s="17" t="n">
        <v>0</v>
      </c>
      <c r="X593" s="15" t="s">
        <v>648</v>
      </c>
      <c r="Y593" s="15"/>
      <c r="Z593" s="1" t="str">
        <f aca="false">IF($T593="","",IFERROR(INDEX('Resumo Grupos'!$AC$3:$AC$2000,MATCH($T593,'Resumo Grupos'!$AB$3:$AB$2000,0)),"n/d"))</f>
        <v>Mercadoria</v>
      </c>
    </row>
    <row r="594" customFormat="false" ht="39" hidden="false" customHeight="true" outlineLevel="0" collapsed="false">
      <c r="A594" s="11" t="n">
        <v>2</v>
      </c>
      <c r="B594" s="12" t="n">
        <v>46227</v>
      </c>
      <c r="C594" s="12" t="n">
        <v>46227</v>
      </c>
      <c r="D594" s="11" t="n">
        <v>48</v>
      </c>
      <c r="E594" s="13" t="s">
        <v>112</v>
      </c>
      <c r="F594" s="11" t="n">
        <v>13</v>
      </c>
      <c r="G594" s="13" t="s">
        <v>113</v>
      </c>
      <c r="H594" s="11" t="n">
        <v>2110101</v>
      </c>
      <c r="I594" s="13" t="s">
        <v>31</v>
      </c>
      <c r="J594" s="14" t="n">
        <v>1445121</v>
      </c>
      <c r="K594" s="14"/>
      <c r="L594" s="11" t="n">
        <v>2561</v>
      </c>
      <c r="M594" s="13" t="s">
        <v>105</v>
      </c>
      <c r="N594" s="15" t="s">
        <v>33</v>
      </c>
      <c r="O594" s="15"/>
      <c r="P594" s="11" t="n">
        <v>113</v>
      </c>
      <c r="Q594" s="13" t="s">
        <v>34</v>
      </c>
      <c r="R594" s="13" t="s">
        <v>35</v>
      </c>
      <c r="S594" s="11" t="n">
        <v>1130101</v>
      </c>
      <c r="T594" s="13" t="s">
        <v>36</v>
      </c>
      <c r="U594" s="16" t="n">
        <v>280</v>
      </c>
      <c r="V594" s="16"/>
      <c r="W594" s="17" t="n">
        <v>280</v>
      </c>
      <c r="X594" s="15" t="s">
        <v>649</v>
      </c>
      <c r="Y594" s="15"/>
      <c r="Z594" s="1" t="str">
        <f aca="false">IF($T594="","",IFERROR(INDEX('Resumo Grupos'!$AC$3:$AC$2000,MATCH($T594,'Resumo Grupos'!$AB$3:$AB$2000,0)),"n/d"))</f>
        <v>Mercadoria</v>
      </c>
    </row>
    <row r="595" customFormat="false" ht="39" hidden="false" customHeight="true" outlineLevel="0" collapsed="false">
      <c r="A595" s="11" t="n">
        <v>2</v>
      </c>
      <c r="B595" s="12" t="n">
        <v>46228</v>
      </c>
      <c r="C595" s="12" t="n">
        <v>46228</v>
      </c>
      <c r="D595" s="11" t="n">
        <v>48</v>
      </c>
      <c r="E595" s="13" t="s">
        <v>112</v>
      </c>
      <c r="F595" s="11" t="n">
        <v>13</v>
      </c>
      <c r="G595" s="13" t="s">
        <v>113</v>
      </c>
      <c r="H595" s="11" t="n">
        <v>2110101</v>
      </c>
      <c r="I595" s="13" t="s">
        <v>31</v>
      </c>
      <c r="J595" s="14" t="n">
        <v>1448190</v>
      </c>
      <c r="K595" s="14"/>
      <c r="L595" s="11" t="n">
        <v>2562</v>
      </c>
      <c r="M595" s="13" t="s">
        <v>105</v>
      </c>
      <c r="N595" s="15" t="s">
        <v>33</v>
      </c>
      <c r="O595" s="15"/>
      <c r="P595" s="11" t="n">
        <v>113</v>
      </c>
      <c r="Q595" s="13" t="s">
        <v>34</v>
      </c>
      <c r="R595" s="13" t="s">
        <v>35</v>
      </c>
      <c r="S595" s="11" t="n">
        <v>1130101</v>
      </c>
      <c r="T595" s="13" t="s">
        <v>36</v>
      </c>
      <c r="U595" s="16" t="n">
        <v>200</v>
      </c>
      <c r="V595" s="16"/>
      <c r="W595" s="17" t="n">
        <v>200</v>
      </c>
      <c r="X595" s="15" t="s">
        <v>650</v>
      </c>
      <c r="Y595" s="15"/>
      <c r="Z595" s="1" t="str">
        <f aca="false">IF($T595="","",IFERROR(INDEX('Resumo Grupos'!$AC$3:$AC$2000,MATCH($T595,'Resumo Grupos'!$AB$3:$AB$2000,0)),"n/d"))</f>
        <v>Mercadoria</v>
      </c>
    </row>
    <row r="596" customFormat="false" ht="48" hidden="false" customHeight="true" outlineLevel="0" collapsed="false">
      <c r="A596" s="11" t="n">
        <v>2</v>
      </c>
      <c r="B596" s="12" t="n">
        <v>46228</v>
      </c>
      <c r="C596" s="12" t="n">
        <v>46231</v>
      </c>
      <c r="D596" s="11" t="n">
        <v>642</v>
      </c>
      <c r="E596" s="13" t="s">
        <v>315</v>
      </c>
      <c r="F596" s="11" t="n">
        <v>24</v>
      </c>
      <c r="G596" s="13" t="s">
        <v>30</v>
      </c>
      <c r="H596" s="11" t="n">
        <v>1110203</v>
      </c>
      <c r="I596" s="13" t="s">
        <v>100</v>
      </c>
      <c r="J596" s="14" t="n">
        <v>1448216</v>
      </c>
      <c r="K596" s="14"/>
      <c r="L596" s="11" t="n">
        <v>196004</v>
      </c>
      <c r="M596" s="13" t="s">
        <v>105</v>
      </c>
      <c r="N596" s="15" t="s">
        <v>41</v>
      </c>
      <c r="O596" s="15"/>
      <c r="P596" s="11" t="n">
        <v>113</v>
      </c>
      <c r="Q596" s="13" t="s">
        <v>34</v>
      </c>
      <c r="R596" s="13" t="s">
        <v>35</v>
      </c>
      <c r="S596" s="11" t="n">
        <v>1130101</v>
      </c>
      <c r="T596" s="13" t="s">
        <v>36</v>
      </c>
      <c r="U596" s="16" t="n">
        <v>168</v>
      </c>
      <c r="V596" s="16"/>
      <c r="W596" s="17" t="n">
        <v>0</v>
      </c>
      <c r="X596" s="15" t="s">
        <v>651</v>
      </c>
      <c r="Y596" s="15"/>
      <c r="Z596" s="1" t="str">
        <f aca="false">IF($T596="","",IFERROR(INDEX('Resumo Grupos'!$AC$3:$AC$2000,MATCH($T596,'Resumo Grupos'!$AB$3:$AB$2000,0)),"n/d"))</f>
        <v>Mercadoria</v>
      </c>
    </row>
    <row r="597" customFormat="false" ht="39" hidden="false" customHeight="true" outlineLevel="0" collapsed="false">
      <c r="A597" s="11" t="n">
        <v>2</v>
      </c>
      <c r="B597" s="12" t="n">
        <v>46228</v>
      </c>
      <c r="C597" s="12" t="n">
        <v>46241</v>
      </c>
      <c r="D597" s="11" t="n">
        <v>1643</v>
      </c>
      <c r="E597" s="13" t="s">
        <v>203</v>
      </c>
      <c r="F597" s="11" t="n">
        <v>24</v>
      </c>
      <c r="G597" s="13" t="s">
        <v>30</v>
      </c>
      <c r="H597" s="11" t="n">
        <v>1110203</v>
      </c>
      <c r="I597" s="13" t="s">
        <v>100</v>
      </c>
      <c r="J597" s="14" t="n">
        <v>1448223</v>
      </c>
      <c r="K597" s="14"/>
      <c r="L597" s="11" t="n">
        <v>196009</v>
      </c>
      <c r="M597" s="13" t="s">
        <v>105</v>
      </c>
      <c r="N597" s="15" t="s">
        <v>41</v>
      </c>
      <c r="O597" s="15"/>
      <c r="P597" s="11" t="n">
        <v>113</v>
      </c>
      <c r="Q597" s="13" t="s">
        <v>34</v>
      </c>
      <c r="R597" s="13" t="s">
        <v>35</v>
      </c>
      <c r="S597" s="11" t="n">
        <v>1130101</v>
      </c>
      <c r="T597" s="13" t="s">
        <v>36</v>
      </c>
      <c r="U597" s="16" t="n">
        <v>228</v>
      </c>
      <c r="V597" s="16"/>
      <c r="W597" s="17" t="n">
        <v>0</v>
      </c>
      <c r="X597" s="15" t="s">
        <v>652</v>
      </c>
      <c r="Y597" s="15"/>
      <c r="Z597" s="1" t="str">
        <f aca="false">IF($T597="","",IFERROR(INDEX('Resumo Grupos'!$AC$3:$AC$2000,MATCH($T597,'Resumo Grupos'!$AB$3:$AB$2000,0)),"n/d"))</f>
        <v>Mercadoria</v>
      </c>
    </row>
    <row r="598" customFormat="false" ht="57" hidden="false" customHeight="true" outlineLevel="0" collapsed="false">
      <c r="A598" s="11" t="n">
        <v>2</v>
      </c>
      <c r="B598" s="12" t="n">
        <v>46228</v>
      </c>
      <c r="C598" s="12" t="n">
        <v>46231</v>
      </c>
      <c r="D598" s="11" t="n">
        <v>1899</v>
      </c>
      <c r="E598" s="13" t="s">
        <v>287</v>
      </c>
      <c r="F598" s="11" t="n">
        <v>24</v>
      </c>
      <c r="G598" s="13" t="s">
        <v>30</v>
      </c>
      <c r="H598" s="11" t="n">
        <v>1110203</v>
      </c>
      <c r="I598" s="13" t="s">
        <v>100</v>
      </c>
      <c r="J598" s="14" t="n">
        <v>1448470</v>
      </c>
      <c r="K598" s="14"/>
      <c r="L598" s="11" t="n">
        <v>196059</v>
      </c>
      <c r="M598" s="13" t="s">
        <v>105</v>
      </c>
      <c r="N598" s="15" t="s">
        <v>41</v>
      </c>
      <c r="O598" s="15"/>
      <c r="P598" s="11" t="n">
        <v>113</v>
      </c>
      <c r="Q598" s="13" t="s">
        <v>34</v>
      </c>
      <c r="R598" s="13" t="s">
        <v>35</v>
      </c>
      <c r="S598" s="11" t="n">
        <v>1130101</v>
      </c>
      <c r="T598" s="13" t="s">
        <v>36</v>
      </c>
      <c r="U598" s="16" t="n">
        <v>239.7</v>
      </c>
      <c r="V598" s="16"/>
      <c r="W598" s="17" t="n">
        <v>0</v>
      </c>
      <c r="X598" s="15" t="s">
        <v>653</v>
      </c>
      <c r="Y598" s="15"/>
      <c r="Z598" s="1" t="str">
        <f aca="false">IF($T598="","",IFERROR(INDEX('Resumo Grupos'!$AC$3:$AC$2000,MATCH($T598,'Resumo Grupos'!$AB$3:$AB$2000,0)),"n/d"))</f>
        <v>Mercadoria</v>
      </c>
    </row>
    <row r="599" customFormat="false" ht="48" hidden="false" customHeight="true" outlineLevel="0" collapsed="false">
      <c r="A599" s="11" t="n">
        <v>2</v>
      </c>
      <c r="B599" s="12" t="n">
        <v>46228</v>
      </c>
      <c r="C599" s="12" t="n">
        <v>46241</v>
      </c>
      <c r="D599" s="11" t="n">
        <v>1635</v>
      </c>
      <c r="E599" s="13" t="s">
        <v>122</v>
      </c>
      <c r="F599" s="11" t="n">
        <v>24</v>
      </c>
      <c r="G599" s="13" t="s">
        <v>30</v>
      </c>
      <c r="H599" s="11" t="n">
        <v>1110203</v>
      </c>
      <c r="I599" s="13" t="s">
        <v>100</v>
      </c>
      <c r="J599" s="14" t="n">
        <v>1448481</v>
      </c>
      <c r="K599" s="14"/>
      <c r="L599" s="11" t="n">
        <v>196060</v>
      </c>
      <c r="M599" s="13" t="s">
        <v>105</v>
      </c>
      <c r="N599" s="15" t="s">
        <v>41</v>
      </c>
      <c r="O599" s="15"/>
      <c r="P599" s="11" t="n">
        <v>113</v>
      </c>
      <c r="Q599" s="13" t="s">
        <v>34</v>
      </c>
      <c r="R599" s="13" t="s">
        <v>35</v>
      </c>
      <c r="S599" s="11" t="n">
        <v>1130101</v>
      </c>
      <c r="T599" s="13" t="s">
        <v>36</v>
      </c>
      <c r="U599" s="16" t="n">
        <v>740.52</v>
      </c>
      <c r="V599" s="16"/>
      <c r="W599" s="17" t="n">
        <v>0</v>
      </c>
      <c r="X599" s="15" t="s">
        <v>654</v>
      </c>
      <c r="Y599" s="15"/>
      <c r="Z599" s="1" t="str">
        <f aca="false">IF($T599="","",IFERROR(INDEX('Resumo Grupos'!$AC$3:$AC$2000,MATCH($T599,'Resumo Grupos'!$AB$3:$AB$2000,0)),"n/d"))</f>
        <v>Mercadoria</v>
      </c>
    </row>
    <row r="600" customFormat="false" ht="48" hidden="false" customHeight="true" outlineLevel="0" collapsed="false">
      <c r="A600" s="11" t="n">
        <v>2</v>
      </c>
      <c r="B600" s="12" t="n">
        <v>46228</v>
      </c>
      <c r="C600" s="12" t="n">
        <v>46248</v>
      </c>
      <c r="D600" s="11" t="n">
        <v>1635</v>
      </c>
      <c r="E600" s="13" t="s">
        <v>122</v>
      </c>
      <c r="F600" s="11" t="n">
        <v>24</v>
      </c>
      <c r="G600" s="13" t="s">
        <v>30</v>
      </c>
      <c r="H600" s="11" t="n">
        <v>1110203</v>
      </c>
      <c r="I600" s="13" t="s">
        <v>100</v>
      </c>
      <c r="J600" s="14" t="n">
        <v>1448485</v>
      </c>
      <c r="K600" s="14"/>
      <c r="L600" s="11" t="n">
        <v>196062</v>
      </c>
      <c r="M600" s="13" t="s">
        <v>105</v>
      </c>
      <c r="N600" s="15" t="s">
        <v>41</v>
      </c>
      <c r="O600" s="15"/>
      <c r="P600" s="11" t="n">
        <v>113</v>
      </c>
      <c r="Q600" s="13" t="s">
        <v>34</v>
      </c>
      <c r="R600" s="13" t="s">
        <v>35</v>
      </c>
      <c r="S600" s="11" t="n">
        <v>1130101</v>
      </c>
      <c r="T600" s="13" t="s">
        <v>36</v>
      </c>
      <c r="U600" s="16" t="n">
        <v>740.52</v>
      </c>
      <c r="V600" s="16"/>
      <c r="W600" s="17" t="n">
        <v>0</v>
      </c>
      <c r="X600" s="15" t="s">
        <v>654</v>
      </c>
      <c r="Y600" s="15"/>
      <c r="Z600" s="1" t="str">
        <f aca="false">IF($T600="","",IFERROR(INDEX('Resumo Grupos'!$AC$3:$AC$2000,MATCH($T600,'Resumo Grupos'!$AB$3:$AB$2000,0)),"n/d"))</f>
        <v>Mercadoria</v>
      </c>
    </row>
    <row r="601" customFormat="false" ht="39" hidden="false" customHeight="true" outlineLevel="0" collapsed="false">
      <c r="A601" s="11" t="n">
        <v>2</v>
      </c>
      <c r="B601" s="12" t="n">
        <v>46230</v>
      </c>
      <c r="C601" s="12" t="n">
        <v>46234</v>
      </c>
      <c r="D601" s="11" t="n">
        <v>10018</v>
      </c>
      <c r="E601" s="13" t="s">
        <v>368</v>
      </c>
      <c r="F601" s="11" t="n">
        <v>34</v>
      </c>
      <c r="G601" s="13" t="s">
        <v>87</v>
      </c>
      <c r="H601" s="11" t="n">
        <v>1110203</v>
      </c>
      <c r="I601" s="13" t="s">
        <v>100</v>
      </c>
      <c r="J601" s="14" t="n">
        <v>1458308</v>
      </c>
      <c r="K601" s="14"/>
      <c r="L601" s="11" t="n">
        <v>197244</v>
      </c>
      <c r="M601" s="13" t="s">
        <v>105</v>
      </c>
      <c r="N601" s="15" t="s">
        <v>41</v>
      </c>
      <c r="O601" s="15"/>
      <c r="P601" s="11" t="n">
        <v>113</v>
      </c>
      <c r="Q601" s="13" t="s">
        <v>34</v>
      </c>
      <c r="R601" s="13" t="s">
        <v>35</v>
      </c>
      <c r="S601" s="11" t="n">
        <v>1130101</v>
      </c>
      <c r="T601" s="13" t="s">
        <v>36</v>
      </c>
      <c r="U601" s="16" t="n">
        <v>950</v>
      </c>
      <c r="V601" s="16"/>
      <c r="W601" s="17" t="n">
        <v>0</v>
      </c>
      <c r="X601" s="15" t="s">
        <v>655</v>
      </c>
      <c r="Y601" s="15"/>
      <c r="Z601" s="1" t="str">
        <f aca="false">IF($T601="","",IFERROR(INDEX('Resumo Grupos'!$AC$3:$AC$2000,MATCH($T601,'Resumo Grupos'!$AB$3:$AB$2000,0)),"n/d"))</f>
        <v>Mercadoria</v>
      </c>
    </row>
    <row r="602" customFormat="false" ht="28.5" hidden="false" customHeight="true" outlineLevel="0" collapsed="false">
      <c r="A602" s="11" t="n">
        <v>2</v>
      </c>
      <c r="B602" s="12" t="n">
        <v>46230</v>
      </c>
      <c r="C602" s="12" t="n">
        <v>46234</v>
      </c>
      <c r="D602" s="11" t="n">
        <v>1683</v>
      </c>
      <c r="E602" s="13" t="s">
        <v>328</v>
      </c>
      <c r="F602" s="11" t="n">
        <v>34</v>
      </c>
      <c r="G602" s="13" t="s">
        <v>87</v>
      </c>
      <c r="H602" s="11" t="n">
        <v>1110203</v>
      </c>
      <c r="I602" s="13" t="s">
        <v>100</v>
      </c>
      <c r="J602" s="14" t="n">
        <v>1458309</v>
      </c>
      <c r="K602" s="14"/>
      <c r="L602" s="11" t="n">
        <v>197250</v>
      </c>
      <c r="M602" s="13" t="s">
        <v>105</v>
      </c>
      <c r="N602" s="15" t="s">
        <v>41</v>
      </c>
      <c r="O602" s="15"/>
      <c r="P602" s="11" t="n">
        <v>113</v>
      </c>
      <c r="Q602" s="13" t="s">
        <v>34</v>
      </c>
      <c r="R602" s="13" t="s">
        <v>35</v>
      </c>
      <c r="S602" s="11" t="n">
        <v>1130101</v>
      </c>
      <c r="T602" s="13" t="s">
        <v>36</v>
      </c>
      <c r="U602" s="16" t="n">
        <v>158</v>
      </c>
      <c r="V602" s="16"/>
      <c r="W602" s="17" t="n">
        <v>0</v>
      </c>
      <c r="X602" s="15" t="s">
        <v>329</v>
      </c>
      <c r="Y602" s="15"/>
      <c r="Z602" s="1" t="str">
        <f aca="false">IF($T602="","",IFERROR(INDEX('Resumo Grupos'!$AC$3:$AC$2000,MATCH($T602,'Resumo Grupos'!$AB$3:$AB$2000,0)),"n/d"))</f>
        <v>Mercadoria</v>
      </c>
    </row>
    <row r="603" customFormat="false" ht="39" hidden="false" customHeight="true" outlineLevel="0" collapsed="false">
      <c r="A603" s="11" t="n">
        <v>2</v>
      </c>
      <c r="B603" s="12" t="n">
        <v>46230</v>
      </c>
      <c r="C603" s="12" t="n">
        <v>46235</v>
      </c>
      <c r="D603" s="11" t="n">
        <v>754</v>
      </c>
      <c r="E603" s="13" t="s">
        <v>321</v>
      </c>
      <c r="F603" s="11" t="n">
        <v>24</v>
      </c>
      <c r="G603" s="13" t="s">
        <v>30</v>
      </c>
      <c r="H603" s="11" t="n">
        <v>1110203</v>
      </c>
      <c r="I603" s="13" t="s">
        <v>100</v>
      </c>
      <c r="J603" s="14" t="n">
        <v>1458315</v>
      </c>
      <c r="K603" s="14"/>
      <c r="L603" s="11" t="n">
        <v>197252</v>
      </c>
      <c r="M603" s="13" t="s">
        <v>105</v>
      </c>
      <c r="N603" s="15" t="s">
        <v>41</v>
      </c>
      <c r="O603" s="15"/>
      <c r="P603" s="11" t="n">
        <v>113</v>
      </c>
      <c r="Q603" s="13" t="s">
        <v>34</v>
      </c>
      <c r="R603" s="13" t="s">
        <v>35</v>
      </c>
      <c r="S603" s="11" t="n">
        <v>1130101</v>
      </c>
      <c r="T603" s="13" t="s">
        <v>36</v>
      </c>
      <c r="U603" s="16" t="n">
        <v>528</v>
      </c>
      <c r="V603" s="16"/>
      <c r="W603" s="17" t="n">
        <v>0</v>
      </c>
      <c r="X603" s="15" t="s">
        <v>656</v>
      </c>
      <c r="Y603" s="15"/>
      <c r="Z603" s="1" t="str">
        <f aca="false">IF($T603="","",IFERROR(INDEX('Resumo Grupos'!$AC$3:$AC$2000,MATCH($T603,'Resumo Grupos'!$AB$3:$AB$2000,0)),"n/d"))</f>
        <v>Mercadoria</v>
      </c>
    </row>
    <row r="604" customFormat="false" ht="48" hidden="false" customHeight="true" outlineLevel="0" collapsed="false">
      <c r="A604" s="11" t="n">
        <v>2</v>
      </c>
      <c r="B604" s="12" t="n">
        <v>46230</v>
      </c>
      <c r="C604" s="12" t="n">
        <v>46237</v>
      </c>
      <c r="D604" s="11" t="n">
        <v>1269</v>
      </c>
      <c r="E604" s="13" t="s">
        <v>657</v>
      </c>
      <c r="F604" s="11" t="n">
        <v>24</v>
      </c>
      <c r="G604" s="13" t="s">
        <v>30</v>
      </c>
      <c r="H604" s="11" t="n">
        <v>1110203</v>
      </c>
      <c r="I604" s="13" t="s">
        <v>100</v>
      </c>
      <c r="J604" s="14" t="n">
        <v>1458373</v>
      </c>
      <c r="K604" s="14"/>
      <c r="L604" s="11" t="n">
        <v>197275</v>
      </c>
      <c r="M604" s="13" t="s">
        <v>105</v>
      </c>
      <c r="N604" s="15" t="s">
        <v>41</v>
      </c>
      <c r="O604" s="15"/>
      <c r="P604" s="11" t="n">
        <v>113</v>
      </c>
      <c r="Q604" s="13" t="s">
        <v>34</v>
      </c>
      <c r="R604" s="13" t="s">
        <v>35</v>
      </c>
      <c r="S604" s="11" t="n">
        <v>1130101</v>
      </c>
      <c r="T604" s="13" t="s">
        <v>36</v>
      </c>
      <c r="U604" s="16" t="n">
        <v>778</v>
      </c>
      <c r="V604" s="16"/>
      <c r="W604" s="17" t="n">
        <v>0</v>
      </c>
      <c r="X604" s="15" t="s">
        <v>658</v>
      </c>
      <c r="Y604" s="15"/>
      <c r="Z604" s="1" t="str">
        <f aca="false">IF($T604="","",IFERROR(INDEX('Resumo Grupos'!$AC$3:$AC$2000,MATCH($T604,'Resumo Grupos'!$AB$3:$AB$2000,0)),"n/d"))</f>
        <v>Mercadoria</v>
      </c>
    </row>
    <row r="605" customFormat="false" ht="3" hidden="false" customHeight="tru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</row>
    <row r="606" customFormat="false" ht="9.75" hidden="false" customHeight="true" outlineLevel="0" collapsed="false">
      <c r="A606" s="19" t="s">
        <v>659</v>
      </c>
      <c r="B606" s="19"/>
      <c r="C606" s="19"/>
      <c r="D606" s="19"/>
      <c r="E606" s="19"/>
      <c r="F606" s="19"/>
      <c r="G606" s="19"/>
      <c r="H606" s="19"/>
      <c r="I606" s="19"/>
      <c r="J606" s="19"/>
      <c r="K606" s="20" t="s">
        <v>660</v>
      </c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1" t="s">
        <v>661</v>
      </c>
      <c r="W606" s="21"/>
      <c r="X606" s="21"/>
      <c r="Y606" s="22" t="s">
        <v>662</v>
      </c>
    </row>
  </sheetData>
  <mergeCells count="2397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  <mergeCell ref="J10:K10"/>
    <mergeCell ref="N10:O10"/>
    <mergeCell ref="U10:V10"/>
    <mergeCell ref="X10:Y10"/>
    <mergeCell ref="J11:K11"/>
    <mergeCell ref="N11:O11"/>
    <mergeCell ref="U11:V11"/>
    <mergeCell ref="X11:Y11"/>
    <mergeCell ref="J12:K12"/>
    <mergeCell ref="N12:O12"/>
    <mergeCell ref="U12:V12"/>
    <mergeCell ref="X12:Y12"/>
    <mergeCell ref="J13:K13"/>
    <mergeCell ref="N13:O13"/>
    <mergeCell ref="U13:V13"/>
    <mergeCell ref="X13:Y13"/>
    <mergeCell ref="J14:K14"/>
    <mergeCell ref="N14:O14"/>
    <mergeCell ref="U14:V14"/>
    <mergeCell ref="X14:Y14"/>
    <mergeCell ref="J15:K15"/>
    <mergeCell ref="N15:O15"/>
    <mergeCell ref="U15:V15"/>
    <mergeCell ref="X15:Y15"/>
    <mergeCell ref="J16:K16"/>
    <mergeCell ref="N16:O16"/>
    <mergeCell ref="U16:V16"/>
    <mergeCell ref="X16:Y16"/>
    <mergeCell ref="J17:K17"/>
    <mergeCell ref="N17:O17"/>
    <mergeCell ref="U17:V17"/>
    <mergeCell ref="X17:Y17"/>
    <mergeCell ref="J18:K18"/>
    <mergeCell ref="N18:O18"/>
    <mergeCell ref="U18:V18"/>
    <mergeCell ref="X18:Y18"/>
    <mergeCell ref="J19:K19"/>
    <mergeCell ref="N19:O19"/>
    <mergeCell ref="U19:V19"/>
    <mergeCell ref="X19:Y19"/>
    <mergeCell ref="J20:K20"/>
    <mergeCell ref="N20:O20"/>
    <mergeCell ref="U20:V20"/>
    <mergeCell ref="X20:Y20"/>
    <mergeCell ref="J21:K21"/>
    <mergeCell ref="N21:O21"/>
    <mergeCell ref="U21:V21"/>
    <mergeCell ref="X21:Y21"/>
    <mergeCell ref="J22:K22"/>
    <mergeCell ref="N22:O22"/>
    <mergeCell ref="U22:V22"/>
    <mergeCell ref="X22:Y22"/>
    <mergeCell ref="J23:K23"/>
    <mergeCell ref="N23:O23"/>
    <mergeCell ref="U23:V23"/>
    <mergeCell ref="X23:Y23"/>
    <mergeCell ref="J24:K24"/>
    <mergeCell ref="N24:O24"/>
    <mergeCell ref="U24:V24"/>
    <mergeCell ref="X24:Y24"/>
    <mergeCell ref="J25:K25"/>
    <mergeCell ref="N25:O25"/>
    <mergeCell ref="U25:V25"/>
    <mergeCell ref="X25:Y25"/>
    <mergeCell ref="J26:K26"/>
    <mergeCell ref="N26:O26"/>
    <mergeCell ref="U26:V26"/>
    <mergeCell ref="X26:Y26"/>
    <mergeCell ref="J27:K27"/>
    <mergeCell ref="N27:O27"/>
    <mergeCell ref="U27:V27"/>
    <mergeCell ref="X27:Y27"/>
    <mergeCell ref="J28:K28"/>
    <mergeCell ref="N28:O28"/>
    <mergeCell ref="U28:V28"/>
    <mergeCell ref="X28:Y28"/>
    <mergeCell ref="J29:K29"/>
    <mergeCell ref="N29:O29"/>
    <mergeCell ref="U29:V29"/>
    <mergeCell ref="X29:Y29"/>
    <mergeCell ref="J30:K30"/>
    <mergeCell ref="N30:O30"/>
    <mergeCell ref="U30:V30"/>
    <mergeCell ref="X30:Y30"/>
    <mergeCell ref="J31:K31"/>
    <mergeCell ref="N31:O31"/>
    <mergeCell ref="U31:V31"/>
    <mergeCell ref="X31:Y31"/>
    <mergeCell ref="J32:K32"/>
    <mergeCell ref="N32:O32"/>
    <mergeCell ref="U32:V32"/>
    <mergeCell ref="X32:Y32"/>
    <mergeCell ref="J33:K33"/>
    <mergeCell ref="N33:O33"/>
    <mergeCell ref="U33:V33"/>
    <mergeCell ref="X33:Y33"/>
    <mergeCell ref="J34:K34"/>
    <mergeCell ref="N34:O34"/>
    <mergeCell ref="U34:V34"/>
    <mergeCell ref="X34:Y34"/>
    <mergeCell ref="J35:K35"/>
    <mergeCell ref="N35:O35"/>
    <mergeCell ref="U35:V35"/>
    <mergeCell ref="X35:Y35"/>
    <mergeCell ref="J36:K36"/>
    <mergeCell ref="N36:O36"/>
    <mergeCell ref="U36:V36"/>
    <mergeCell ref="X36:Y36"/>
    <mergeCell ref="J37:K37"/>
    <mergeCell ref="N37:O37"/>
    <mergeCell ref="U37:V37"/>
    <mergeCell ref="X37:Y37"/>
    <mergeCell ref="J38:K38"/>
    <mergeCell ref="N38:O38"/>
    <mergeCell ref="U38:V38"/>
    <mergeCell ref="X38:Y38"/>
    <mergeCell ref="J39:K39"/>
    <mergeCell ref="N39:O39"/>
    <mergeCell ref="U39:V39"/>
    <mergeCell ref="X39:Y39"/>
    <mergeCell ref="J40:K40"/>
    <mergeCell ref="N40:O40"/>
    <mergeCell ref="U40:V40"/>
    <mergeCell ref="X40:Y40"/>
    <mergeCell ref="J41:K41"/>
    <mergeCell ref="N41:O41"/>
    <mergeCell ref="U41:V41"/>
    <mergeCell ref="X41:Y41"/>
    <mergeCell ref="J42:K42"/>
    <mergeCell ref="N42:O42"/>
    <mergeCell ref="U42:V42"/>
    <mergeCell ref="X42:Y42"/>
    <mergeCell ref="J43:K43"/>
    <mergeCell ref="N43:O43"/>
    <mergeCell ref="U43:V43"/>
    <mergeCell ref="X43:Y43"/>
    <mergeCell ref="J44:K44"/>
    <mergeCell ref="N44:O44"/>
    <mergeCell ref="U44:V44"/>
    <mergeCell ref="X44:Y44"/>
    <mergeCell ref="J45:K45"/>
    <mergeCell ref="N45:O45"/>
    <mergeCell ref="U45:V45"/>
    <mergeCell ref="X45:Y45"/>
    <mergeCell ref="J46:K46"/>
    <mergeCell ref="N46:O46"/>
    <mergeCell ref="U46:V46"/>
    <mergeCell ref="X46:Y46"/>
    <mergeCell ref="J47:K47"/>
    <mergeCell ref="N47:O47"/>
    <mergeCell ref="U47:V47"/>
    <mergeCell ref="X47:Y47"/>
    <mergeCell ref="J48:K48"/>
    <mergeCell ref="N48:O48"/>
    <mergeCell ref="U48:V48"/>
    <mergeCell ref="X48:Y48"/>
    <mergeCell ref="J49:K49"/>
    <mergeCell ref="N49:O49"/>
    <mergeCell ref="U49:V49"/>
    <mergeCell ref="X49:Y49"/>
    <mergeCell ref="J50:K50"/>
    <mergeCell ref="N50:O50"/>
    <mergeCell ref="U50:V50"/>
    <mergeCell ref="X50:Y50"/>
    <mergeCell ref="J51:K51"/>
    <mergeCell ref="N51:O51"/>
    <mergeCell ref="U51:V51"/>
    <mergeCell ref="X51:Y51"/>
    <mergeCell ref="J52:K52"/>
    <mergeCell ref="N52:O52"/>
    <mergeCell ref="U52:V52"/>
    <mergeCell ref="X52:Y52"/>
    <mergeCell ref="J53:K53"/>
    <mergeCell ref="N53:O53"/>
    <mergeCell ref="U53:V53"/>
    <mergeCell ref="X53:Y53"/>
    <mergeCell ref="J54:K54"/>
    <mergeCell ref="N54:O54"/>
    <mergeCell ref="U54:V54"/>
    <mergeCell ref="X54:Y54"/>
    <mergeCell ref="J55:K55"/>
    <mergeCell ref="N55:O55"/>
    <mergeCell ref="U55:V55"/>
    <mergeCell ref="X55:Y55"/>
    <mergeCell ref="J56:K56"/>
    <mergeCell ref="N56:O56"/>
    <mergeCell ref="U56:V56"/>
    <mergeCell ref="X56:Y56"/>
    <mergeCell ref="J57:K57"/>
    <mergeCell ref="N57:O57"/>
    <mergeCell ref="U57:V57"/>
    <mergeCell ref="X57:Y57"/>
    <mergeCell ref="J58:K58"/>
    <mergeCell ref="N58:O58"/>
    <mergeCell ref="U58:V58"/>
    <mergeCell ref="X58:Y58"/>
    <mergeCell ref="J59:K59"/>
    <mergeCell ref="N59:O59"/>
    <mergeCell ref="U59:V59"/>
    <mergeCell ref="X59:Y59"/>
    <mergeCell ref="J60:K60"/>
    <mergeCell ref="N60:O60"/>
    <mergeCell ref="U60:V60"/>
    <mergeCell ref="X60:Y60"/>
    <mergeCell ref="J61:K61"/>
    <mergeCell ref="N61:O61"/>
    <mergeCell ref="U61:V61"/>
    <mergeCell ref="X61:Y61"/>
    <mergeCell ref="J62:K62"/>
    <mergeCell ref="N62:O62"/>
    <mergeCell ref="U62:V62"/>
    <mergeCell ref="X62:Y62"/>
    <mergeCell ref="J63:K63"/>
    <mergeCell ref="N63:O63"/>
    <mergeCell ref="U63:V63"/>
    <mergeCell ref="X63:Y63"/>
    <mergeCell ref="J64:K64"/>
    <mergeCell ref="N64:O64"/>
    <mergeCell ref="U64:V64"/>
    <mergeCell ref="X64:Y64"/>
    <mergeCell ref="J65:K65"/>
    <mergeCell ref="N65:O65"/>
    <mergeCell ref="U65:V65"/>
    <mergeCell ref="X65:Y65"/>
    <mergeCell ref="J66:K66"/>
    <mergeCell ref="N66:O66"/>
    <mergeCell ref="U66:V66"/>
    <mergeCell ref="X66:Y66"/>
    <mergeCell ref="J67:K67"/>
    <mergeCell ref="N67:O67"/>
    <mergeCell ref="U67:V67"/>
    <mergeCell ref="X67:Y67"/>
    <mergeCell ref="J68:K68"/>
    <mergeCell ref="N68:O68"/>
    <mergeCell ref="U68:V68"/>
    <mergeCell ref="X68:Y68"/>
    <mergeCell ref="J69:K69"/>
    <mergeCell ref="N69:O69"/>
    <mergeCell ref="U69:V69"/>
    <mergeCell ref="X69:Y69"/>
    <mergeCell ref="J70:K70"/>
    <mergeCell ref="N70:O70"/>
    <mergeCell ref="U70:V70"/>
    <mergeCell ref="X70:Y70"/>
    <mergeCell ref="J71:K71"/>
    <mergeCell ref="N71:O71"/>
    <mergeCell ref="U71:V71"/>
    <mergeCell ref="X71:Y71"/>
    <mergeCell ref="J72:K72"/>
    <mergeCell ref="N72:O72"/>
    <mergeCell ref="U72:V72"/>
    <mergeCell ref="X72:Y72"/>
    <mergeCell ref="J73:K73"/>
    <mergeCell ref="N73:O73"/>
    <mergeCell ref="U73:V73"/>
    <mergeCell ref="X73:Y73"/>
    <mergeCell ref="J74:K74"/>
    <mergeCell ref="N74:O74"/>
    <mergeCell ref="U74:V74"/>
    <mergeCell ref="X74:Y74"/>
    <mergeCell ref="J75:K75"/>
    <mergeCell ref="N75:O75"/>
    <mergeCell ref="U75:V75"/>
    <mergeCell ref="X75:Y75"/>
    <mergeCell ref="J76:K76"/>
    <mergeCell ref="N76:O76"/>
    <mergeCell ref="U76:V76"/>
    <mergeCell ref="X76:Y76"/>
    <mergeCell ref="J77:K77"/>
    <mergeCell ref="N77:O77"/>
    <mergeCell ref="U77:V77"/>
    <mergeCell ref="X77:Y77"/>
    <mergeCell ref="J78:K78"/>
    <mergeCell ref="N78:O78"/>
    <mergeCell ref="U78:V78"/>
    <mergeCell ref="X78:Y78"/>
    <mergeCell ref="J79:K79"/>
    <mergeCell ref="N79:O79"/>
    <mergeCell ref="U79:V79"/>
    <mergeCell ref="X79:Y79"/>
    <mergeCell ref="J80:K80"/>
    <mergeCell ref="N80:O80"/>
    <mergeCell ref="U80:V80"/>
    <mergeCell ref="X80:Y80"/>
    <mergeCell ref="J81:K81"/>
    <mergeCell ref="N81:O81"/>
    <mergeCell ref="U81:V81"/>
    <mergeCell ref="X81:Y81"/>
    <mergeCell ref="J82:K82"/>
    <mergeCell ref="N82:O82"/>
    <mergeCell ref="U82:V82"/>
    <mergeCell ref="X82:Y82"/>
    <mergeCell ref="J83:K83"/>
    <mergeCell ref="N83:O83"/>
    <mergeCell ref="U83:V83"/>
    <mergeCell ref="X83:Y83"/>
    <mergeCell ref="J84:K84"/>
    <mergeCell ref="N84:O84"/>
    <mergeCell ref="U84:V84"/>
    <mergeCell ref="X84:Y84"/>
    <mergeCell ref="J85:K85"/>
    <mergeCell ref="N85:O85"/>
    <mergeCell ref="U85:V85"/>
    <mergeCell ref="X85:Y85"/>
    <mergeCell ref="J86:K86"/>
    <mergeCell ref="N86:O86"/>
    <mergeCell ref="U86:V86"/>
    <mergeCell ref="X86:Y86"/>
    <mergeCell ref="J87:K87"/>
    <mergeCell ref="N87:O87"/>
    <mergeCell ref="U87:V87"/>
    <mergeCell ref="X87:Y87"/>
    <mergeCell ref="J88:K88"/>
    <mergeCell ref="N88:O88"/>
    <mergeCell ref="U88:V88"/>
    <mergeCell ref="X88:Y88"/>
    <mergeCell ref="J89:K89"/>
    <mergeCell ref="N89:O89"/>
    <mergeCell ref="U89:V89"/>
    <mergeCell ref="X89:Y89"/>
    <mergeCell ref="J90:K90"/>
    <mergeCell ref="N90:O90"/>
    <mergeCell ref="U90:V90"/>
    <mergeCell ref="X90:Y90"/>
    <mergeCell ref="J91:K91"/>
    <mergeCell ref="N91:O91"/>
    <mergeCell ref="U91:V91"/>
    <mergeCell ref="X91:Y91"/>
    <mergeCell ref="J92:K92"/>
    <mergeCell ref="N92:O92"/>
    <mergeCell ref="U92:V92"/>
    <mergeCell ref="X92:Y92"/>
    <mergeCell ref="J93:K93"/>
    <mergeCell ref="N93:O93"/>
    <mergeCell ref="U93:V93"/>
    <mergeCell ref="X93:Y93"/>
    <mergeCell ref="J94:K94"/>
    <mergeCell ref="N94:O94"/>
    <mergeCell ref="U94:V94"/>
    <mergeCell ref="X94:Y94"/>
    <mergeCell ref="J95:K95"/>
    <mergeCell ref="N95:O95"/>
    <mergeCell ref="U95:V95"/>
    <mergeCell ref="X95:Y95"/>
    <mergeCell ref="J96:K96"/>
    <mergeCell ref="N96:O96"/>
    <mergeCell ref="U96:V96"/>
    <mergeCell ref="X96:Y96"/>
    <mergeCell ref="J97:K97"/>
    <mergeCell ref="N97:O97"/>
    <mergeCell ref="U97:V97"/>
    <mergeCell ref="X97:Y97"/>
    <mergeCell ref="J98:K98"/>
    <mergeCell ref="N98:O98"/>
    <mergeCell ref="U98:V98"/>
    <mergeCell ref="X98:Y98"/>
    <mergeCell ref="J99:K99"/>
    <mergeCell ref="N99:O99"/>
    <mergeCell ref="U99:V99"/>
    <mergeCell ref="X99:Y99"/>
    <mergeCell ref="J100:K100"/>
    <mergeCell ref="N100:O100"/>
    <mergeCell ref="U100:V100"/>
    <mergeCell ref="X100:Y100"/>
    <mergeCell ref="J101:K101"/>
    <mergeCell ref="N101:O101"/>
    <mergeCell ref="U101:V101"/>
    <mergeCell ref="X101:Y101"/>
    <mergeCell ref="J102:K102"/>
    <mergeCell ref="N102:O102"/>
    <mergeCell ref="U102:V102"/>
    <mergeCell ref="X102:Y102"/>
    <mergeCell ref="J103:K103"/>
    <mergeCell ref="N103:O103"/>
    <mergeCell ref="U103:V103"/>
    <mergeCell ref="X103:Y103"/>
    <mergeCell ref="J104:K104"/>
    <mergeCell ref="N104:O104"/>
    <mergeCell ref="U104:V104"/>
    <mergeCell ref="X104:Y104"/>
    <mergeCell ref="J105:K105"/>
    <mergeCell ref="N105:O105"/>
    <mergeCell ref="U105:V105"/>
    <mergeCell ref="X105:Y105"/>
    <mergeCell ref="J106:K106"/>
    <mergeCell ref="N106:O106"/>
    <mergeCell ref="U106:V106"/>
    <mergeCell ref="X106:Y106"/>
    <mergeCell ref="J107:K107"/>
    <mergeCell ref="N107:O107"/>
    <mergeCell ref="U107:V107"/>
    <mergeCell ref="X107:Y107"/>
    <mergeCell ref="J108:K108"/>
    <mergeCell ref="N108:O108"/>
    <mergeCell ref="U108:V108"/>
    <mergeCell ref="X108:Y108"/>
    <mergeCell ref="J109:K109"/>
    <mergeCell ref="N109:O109"/>
    <mergeCell ref="U109:V109"/>
    <mergeCell ref="X109:Y109"/>
    <mergeCell ref="J110:K110"/>
    <mergeCell ref="N110:O110"/>
    <mergeCell ref="U110:V110"/>
    <mergeCell ref="X110:Y110"/>
    <mergeCell ref="J111:K111"/>
    <mergeCell ref="N111:O111"/>
    <mergeCell ref="U111:V111"/>
    <mergeCell ref="X111:Y111"/>
    <mergeCell ref="J112:K112"/>
    <mergeCell ref="N112:O112"/>
    <mergeCell ref="U112:V112"/>
    <mergeCell ref="X112:Y112"/>
    <mergeCell ref="J113:K113"/>
    <mergeCell ref="N113:O113"/>
    <mergeCell ref="U113:V113"/>
    <mergeCell ref="X113:Y113"/>
    <mergeCell ref="J114:K114"/>
    <mergeCell ref="N114:O114"/>
    <mergeCell ref="U114:V114"/>
    <mergeCell ref="X114:Y114"/>
    <mergeCell ref="J115:K115"/>
    <mergeCell ref="N115:O115"/>
    <mergeCell ref="U115:V115"/>
    <mergeCell ref="X115:Y115"/>
    <mergeCell ref="J116:K116"/>
    <mergeCell ref="N116:O116"/>
    <mergeCell ref="U116:V116"/>
    <mergeCell ref="X116:Y116"/>
    <mergeCell ref="J117:K117"/>
    <mergeCell ref="N117:O117"/>
    <mergeCell ref="U117:V117"/>
    <mergeCell ref="X117:Y117"/>
    <mergeCell ref="J118:K118"/>
    <mergeCell ref="N118:O118"/>
    <mergeCell ref="U118:V118"/>
    <mergeCell ref="X118:Y118"/>
    <mergeCell ref="J119:K119"/>
    <mergeCell ref="N119:O119"/>
    <mergeCell ref="U119:V119"/>
    <mergeCell ref="X119:Y119"/>
    <mergeCell ref="J120:K120"/>
    <mergeCell ref="N120:O120"/>
    <mergeCell ref="U120:V120"/>
    <mergeCell ref="X120:Y120"/>
    <mergeCell ref="J121:K121"/>
    <mergeCell ref="N121:O121"/>
    <mergeCell ref="U121:V121"/>
    <mergeCell ref="X121:Y121"/>
    <mergeCell ref="J122:K122"/>
    <mergeCell ref="N122:O122"/>
    <mergeCell ref="U122:V122"/>
    <mergeCell ref="X122:Y122"/>
    <mergeCell ref="J123:K123"/>
    <mergeCell ref="N123:O123"/>
    <mergeCell ref="U123:V123"/>
    <mergeCell ref="X123:Y123"/>
    <mergeCell ref="J124:K124"/>
    <mergeCell ref="N124:O124"/>
    <mergeCell ref="U124:V124"/>
    <mergeCell ref="X124:Y124"/>
    <mergeCell ref="J125:K125"/>
    <mergeCell ref="N125:O125"/>
    <mergeCell ref="U125:V125"/>
    <mergeCell ref="X125:Y125"/>
    <mergeCell ref="J126:K126"/>
    <mergeCell ref="N126:O126"/>
    <mergeCell ref="U126:V126"/>
    <mergeCell ref="X126:Y126"/>
    <mergeCell ref="J127:K127"/>
    <mergeCell ref="N127:O127"/>
    <mergeCell ref="U127:V127"/>
    <mergeCell ref="X127:Y127"/>
    <mergeCell ref="J128:K128"/>
    <mergeCell ref="N128:O128"/>
    <mergeCell ref="U128:V128"/>
    <mergeCell ref="X128:Y128"/>
    <mergeCell ref="J129:K129"/>
    <mergeCell ref="N129:O129"/>
    <mergeCell ref="U129:V129"/>
    <mergeCell ref="X129:Y129"/>
    <mergeCell ref="J130:K130"/>
    <mergeCell ref="N130:O130"/>
    <mergeCell ref="U130:V130"/>
    <mergeCell ref="X130:Y130"/>
    <mergeCell ref="J131:K131"/>
    <mergeCell ref="N131:O131"/>
    <mergeCell ref="U131:V131"/>
    <mergeCell ref="X131:Y131"/>
    <mergeCell ref="J132:K132"/>
    <mergeCell ref="N132:O132"/>
    <mergeCell ref="U132:V132"/>
    <mergeCell ref="X132:Y132"/>
    <mergeCell ref="J133:K133"/>
    <mergeCell ref="N133:O133"/>
    <mergeCell ref="U133:V133"/>
    <mergeCell ref="X133:Y133"/>
    <mergeCell ref="J134:K134"/>
    <mergeCell ref="N134:O134"/>
    <mergeCell ref="U134:V134"/>
    <mergeCell ref="X134:Y134"/>
    <mergeCell ref="J135:K135"/>
    <mergeCell ref="N135:O135"/>
    <mergeCell ref="U135:V135"/>
    <mergeCell ref="X135:Y135"/>
    <mergeCell ref="J136:K136"/>
    <mergeCell ref="N136:O136"/>
    <mergeCell ref="U136:V136"/>
    <mergeCell ref="X136:Y136"/>
    <mergeCell ref="J137:K137"/>
    <mergeCell ref="N137:O137"/>
    <mergeCell ref="U137:V137"/>
    <mergeCell ref="X137:Y137"/>
    <mergeCell ref="J138:K138"/>
    <mergeCell ref="N138:O138"/>
    <mergeCell ref="U138:V138"/>
    <mergeCell ref="X138:Y138"/>
    <mergeCell ref="J139:K139"/>
    <mergeCell ref="N139:O139"/>
    <mergeCell ref="U139:V139"/>
    <mergeCell ref="X139:Y139"/>
    <mergeCell ref="J140:K140"/>
    <mergeCell ref="N140:O140"/>
    <mergeCell ref="U140:V140"/>
    <mergeCell ref="X140:Y140"/>
    <mergeCell ref="J141:K141"/>
    <mergeCell ref="N141:O141"/>
    <mergeCell ref="U141:V141"/>
    <mergeCell ref="X141:Y141"/>
    <mergeCell ref="J142:K142"/>
    <mergeCell ref="N142:O142"/>
    <mergeCell ref="U142:V142"/>
    <mergeCell ref="X142:Y142"/>
    <mergeCell ref="J143:K143"/>
    <mergeCell ref="N143:O143"/>
    <mergeCell ref="U143:V143"/>
    <mergeCell ref="X143:Y143"/>
    <mergeCell ref="J144:K144"/>
    <mergeCell ref="N144:O144"/>
    <mergeCell ref="U144:V144"/>
    <mergeCell ref="X144:Y144"/>
    <mergeCell ref="J145:K145"/>
    <mergeCell ref="N145:O145"/>
    <mergeCell ref="U145:V145"/>
    <mergeCell ref="X145:Y145"/>
    <mergeCell ref="J146:K146"/>
    <mergeCell ref="N146:O146"/>
    <mergeCell ref="U146:V146"/>
    <mergeCell ref="X146:Y146"/>
    <mergeCell ref="J147:K147"/>
    <mergeCell ref="N147:O147"/>
    <mergeCell ref="U147:V147"/>
    <mergeCell ref="X147:Y147"/>
    <mergeCell ref="J148:K148"/>
    <mergeCell ref="N148:O148"/>
    <mergeCell ref="U148:V148"/>
    <mergeCell ref="X148:Y148"/>
    <mergeCell ref="J149:K149"/>
    <mergeCell ref="N149:O149"/>
    <mergeCell ref="U149:V149"/>
    <mergeCell ref="X149:Y149"/>
    <mergeCell ref="J150:K150"/>
    <mergeCell ref="N150:O150"/>
    <mergeCell ref="U150:V150"/>
    <mergeCell ref="X150:Y150"/>
    <mergeCell ref="J151:K151"/>
    <mergeCell ref="N151:O151"/>
    <mergeCell ref="U151:V151"/>
    <mergeCell ref="X151:Y151"/>
    <mergeCell ref="J152:K152"/>
    <mergeCell ref="N152:O152"/>
    <mergeCell ref="U152:V152"/>
    <mergeCell ref="X152:Y152"/>
    <mergeCell ref="J153:K153"/>
    <mergeCell ref="N153:O153"/>
    <mergeCell ref="U153:V153"/>
    <mergeCell ref="X153:Y153"/>
    <mergeCell ref="J154:K154"/>
    <mergeCell ref="N154:O154"/>
    <mergeCell ref="U154:V154"/>
    <mergeCell ref="X154:Y154"/>
    <mergeCell ref="J155:K155"/>
    <mergeCell ref="N155:O155"/>
    <mergeCell ref="U155:V155"/>
    <mergeCell ref="X155:Y155"/>
    <mergeCell ref="J156:K156"/>
    <mergeCell ref="N156:O156"/>
    <mergeCell ref="U156:V156"/>
    <mergeCell ref="X156:Y156"/>
    <mergeCell ref="J157:K157"/>
    <mergeCell ref="N157:O157"/>
    <mergeCell ref="U157:V157"/>
    <mergeCell ref="X157:Y157"/>
    <mergeCell ref="J158:K158"/>
    <mergeCell ref="N158:O158"/>
    <mergeCell ref="U158:V158"/>
    <mergeCell ref="X158:Y158"/>
    <mergeCell ref="J159:K159"/>
    <mergeCell ref="N159:O159"/>
    <mergeCell ref="U159:V159"/>
    <mergeCell ref="X159:Y159"/>
    <mergeCell ref="J160:K160"/>
    <mergeCell ref="N160:O160"/>
    <mergeCell ref="U160:V160"/>
    <mergeCell ref="X160:Y160"/>
    <mergeCell ref="J161:K161"/>
    <mergeCell ref="N161:O161"/>
    <mergeCell ref="U161:V161"/>
    <mergeCell ref="X161:Y161"/>
    <mergeCell ref="J162:K162"/>
    <mergeCell ref="N162:O162"/>
    <mergeCell ref="U162:V162"/>
    <mergeCell ref="X162:Y162"/>
    <mergeCell ref="J163:K163"/>
    <mergeCell ref="N163:O163"/>
    <mergeCell ref="U163:V163"/>
    <mergeCell ref="X163:Y163"/>
    <mergeCell ref="J164:K164"/>
    <mergeCell ref="N164:O164"/>
    <mergeCell ref="U164:V164"/>
    <mergeCell ref="X164:Y164"/>
    <mergeCell ref="J165:K165"/>
    <mergeCell ref="N165:O165"/>
    <mergeCell ref="U165:V165"/>
    <mergeCell ref="X165:Y165"/>
    <mergeCell ref="J166:K166"/>
    <mergeCell ref="N166:O166"/>
    <mergeCell ref="U166:V166"/>
    <mergeCell ref="X166:Y166"/>
    <mergeCell ref="J167:K167"/>
    <mergeCell ref="N167:O167"/>
    <mergeCell ref="U167:V167"/>
    <mergeCell ref="X167:Y167"/>
    <mergeCell ref="J168:K168"/>
    <mergeCell ref="N168:O168"/>
    <mergeCell ref="U168:V168"/>
    <mergeCell ref="X168:Y168"/>
    <mergeCell ref="J169:K169"/>
    <mergeCell ref="N169:O169"/>
    <mergeCell ref="U169:V169"/>
    <mergeCell ref="X169:Y169"/>
    <mergeCell ref="J170:K170"/>
    <mergeCell ref="N170:O170"/>
    <mergeCell ref="U170:V170"/>
    <mergeCell ref="X170:Y170"/>
    <mergeCell ref="J171:K171"/>
    <mergeCell ref="N171:O171"/>
    <mergeCell ref="U171:V171"/>
    <mergeCell ref="X171:Y171"/>
    <mergeCell ref="J172:K172"/>
    <mergeCell ref="N172:O172"/>
    <mergeCell ref="U172:V172"/>
    <mergeCell ref="X172:Y172"/>
    <mergeCell ref="J173:K173"/>
    <mergeCell ref="N173:O173"/>
    <mergeCell ref="U173:V173"/>
    <mergeCell ref="X173:Y173"/>
    <mergeCell ref="J174:K174"/>
    <mergeCell ref="N174:O174"/>
    <mergeCell ref="U174:V174"/>
    <mergeCell ref="X174:Y174"/>
    <mergeCell ref="J175:K175"/>
    <mergeCell ref="N175:O175"/>
    <mergeCell ref="U175:V175"/>
    <mergeCell ref="X175:Y175"/>
    <mergeCell ref="J176:K176"/>
    <mergeCell ref="N176:O176"/>
    <mergeCell ref="U176:V176"/>
    <mergeCell ref="X176:Y176"/>
    <mergeCell ref="J177:K177"/>
    <mergeCell ref="N177:O177"/>
    <mergeCell ref="U177:V177"/>
    <mergeCell ref="X177:Y177"/>
    <mergeCell ref="J178:K178"/>
    <mergeCell ref="N178:O178"/>
    <mergeCell ref="U178:V178"/>
    <mergeCell ref="X178:Y178"/>
    <mergeCell ref="J179:K179"/>
    <mergeCell ref="N179:O179"/>
    <mergeCell ref="U179:V179"/>
    <mergeCell ref="X179:Y179"/>
    <mergeCell ref="J180:K180"/>
    <mergeCell ref="N180:O180"/>
    <mergeCell ref="U180:V180"/>
    <mergeCell ref="X180:Y180"/>
    <mergeCell ref="J181:K181"/>
    <mergeCell ref="N181:O181"/>
    <mergeCell ref="U181:V181"/>
    <mergeCell ref="X181:Y181"/>
    <mergeCell ref="J182:K182"/>
    <mergeCell ref="N182:O182"/>
    <mergeCell ref="U182:V182"/>
    <mergeCell ref="X182:Y182"/>
    <mergeCell ref="J183:K183"/>
    <mergeCell ref="N183:O183"/>
    <mergeCell ref="U183:V183"/>
    <mergeCell ref="X183:Y183"/>
    <mergeCell ref="J184:K184"/>
    <mergeCell ref="N184:O184"/>
    <mergeCell ref="U184:V184"/>
    <mergeCell ref="X184:Y184"/>
    <mergeCell ref="J185:K185"/>
    <mergeCell ref="N185:O185"/>
    <mergeCell ref="U185:V185"/>
    <mergeCell ref="X185:Y185"/>
    <mergeCell ref="J186:K186"/>
    <mergeCell ref="N186:O186"/>
    <mergeCell ref="U186:V186"/>
    <mergeCell ref="X186:Y186"/>
    <mergeCell ref="J187:K187"/>
    <mergeCell ref="N187:O187"/>
    <mergeCell ref="U187:V187"/>
    <mergeCell ref="X187:Y187"/>
    <mergeCell ref="J188:K188"/>
    <mergeCell ref="N188:O188"/>
    <mergeCell ref="U188:V188"/>
    <mergeCell ref="X188:Y188"/>
    <mergeCell ref="J189:K189"/>
    <mergeCell ref="N189:O189"/>
    <mergeCell ref="U189:V189"/>
    <mergeCell ref="X189:Y189"/>
    <mergeCell ref="J190:K190"/>
    <mergeCell ref="N190:O190"/>
    <mergeCell ref="U190:V190"/>
    <mergeCell ref="X190:Y190"/>
    <mergeCell ref="J191:K191"/>
    <mergeCell ref="N191:O191"/>
    <mergeCell ref="U191:V191"/>
    <mergeCell ref="X191:Y191"/>
    <mergeCell ref="J192:K192"/>
    <mergeCell ref="N192:O192"/>
    <mergeCell ref="U192:V192"/>
    <mergeCell ref="X192:Y192"/>
    <mergeCell ref="J193:K193"/>
    <mergeCell ref="N193:O193"/>
    <mergeCell ref="U193:V193"/>
    <mergeCell ref="X193:Y193"/>
    <mergeCell ref="J194:K194"/>
    <mergeCell ref="N194:O194"/>
    <mergeCell ref="U194:V194"/>
    <mergeCell ref="X194:Y194"/>
    <mergeCell ref="J195:K195"/>
    <mergeCell ref="N195:O195"/>
    <mergeCell ref="U195:V195"/>
    <mergeCell ref="X195:Y195"/>
    <mergeCell ref="J196:K196"/>
    <mergeCell ref="N196:O196"/>
    <mergeCell ref="U196:V196"/>
    <mergeCell ref="X196:Y196"/>
    <mergeCell ref="J197:K197"/>
    <mergeCell ref="N197:O197"/>
    <mergeCell ref="U197:V197"/>
    <mergeCell ref="X197:Y197"/>
    <mergeCell ref="J198:K198"/>
    <mergeCell ref="N198:O198"/>
    <mergeCell ref="U198:V198"/>
    <mergeCell ref="X198:Y198"/>
    <mergeCell ref="J199:K199"/>
    <mergeCell ref="N199:O199"/>
    <mergeCell ref="U199:V199"/>
    <mergeCell ref="X199:Y199"/>
    <mergeCell ref="J200:K200"/>
    <mergeCell ref="N200:O200"/>
    <mergeCell ref="U200:V200"/>
    <mergeCell ref="X200:Y200"/>
    <mergeCell ref="J201:K201"/>
    <mergeCell ref="N201:O201"/>
    <mergeCell ref="U201:V201"/>
    <mergeCell ref="X201:Y201"/>
    <mergeCell ref="J202:K202"/>
    <mergeCell ref="N202:O202"/>
    <mergeCell ref="U202:V202"/>
    <mergeCell ref="X202:Y202"/>
    <mergeCell ref="J203:K203"/>
    <mergeCell ref="N203:O203"/>
    <mergeCell ref="U203:V203"/>
    <mergeCell ref="X203:Y203"/>
    <mergeCell ref="J204:K204"/>
    <mergeCell ref="N204:O204"/>
    <mergeCell ref="U204:V204"/>
    <mergeCell ref="X204:Y204"/>
    <mergeCell ref="J205:K205"/>
    <mergeCell ref="N205:O205"/>
    <mergeCell ref="U205:V205"/>
    <mergeCell ref="X205:Y205"/>
    <mergeCell ref="J206:K206"/>
    <mergeCell ref="N206:O206"/>
    <mergeCell ref="U206:V206"/>
    <mergeCell ref="X206:Y206"/>
    <mergeCell ref="J207:K207"/>
    <mergeCell ref="N207:O207"/>
    <mergeCell ref="U207:V207"/>
    <mergeCell ref="X207:Y207"/>
    <mergeCell ref="J208:K208"/>
    <mergeCell ref="N208:O208"/>
    <mergeCell ref="U208:V208"/>
    <mergeCell ref="X208:Y208"/>
    <mergeCell ref="J209:K209"/>
    <mergeCell ref="N209:O209"/>
    <mergeCell ref="U209:V209"/>
    <mergeCell ref="X209:Y209"/>
    <mergeCell ref="J210:K210"/>
    <mergeCell ref="N210:O210"/>
    <mergeCell ref="U210:V210"/>
    <mergeCell ref="X210:Y210"/>
    <mergeCell ref="J211:K211"/>
    <mergeCell ref="N211:O211"/>
    <mergeCell ref="U211:V211"/>
    <mergeCell ref="X211:Y211"/>
    <mergeCell ref="J212:K212"/>
    <mergeCell ref="N212:O212"/>
    <mergeCell ref="U212:V212"/>
    <mergeCell ref="X212:Y212"/>
    <mergeCell ref="J213:K213"/>
    <mergeCell ref="N213:O213"/>
    <mergeCell ref="U213:V213"/>
    <mergeCell ref="X213:Y213"/>
    <mergeCell ref="J214:K214"/>
    <mergeCell ref="N214:O214"/>
    <mergeCell ref="U214:V214"/>
    <mergeCell ref="X214:Y214"/>
    <mergeCell ref="J215:K215"/>
    <mergeCell ref="N215:O215"/>
    <mergeCell ref="U215:V215"/>
    <mergeCell ref="X215:Y215"/>
    <mergeCell ref="J216:K216"/>
    <mergeCell ref="N216:O216"/>
    <mergeCell ref="U216:V216"/>
    <mergeCell ref="X216:Y216"/>
    <mergeCell ref="J217:K217"/>
    <mergeCell ref="N217:O217"/>
    <mergeCell ref="U217:V217"/>
    <mergeCell ref="X217:Y217"/>
    <mergeCell ref="J218:K218"/>
    <mergeCell ref="N218:O218"/>
    <mergeCell ref="U218:V218"/>
    <mergeCell ref="X218:Y218"/>
    <mergeCell ref="J219:K219"/>
    <mergeCell ref="N219:O219"/>
    <mergeCell ref="U219:V219"/>
    <mergeCell ref="X219:Y219"/>
    <mergeCell ref="J220:K220"/>
    <mergeCell ref="N220:O220"/>
    <mergeCell ref="U220:V220"/>
    <mergeCell ref="X220:Y220"/>
    <mergeCell ref="J221:K221"/>
    <mergeCell ref="N221:O221"/>
    <mergeCell ref="U221:V221"/>
    <mergeCell ref="X221:Y221"/>
    <mergeCell ref="J222:K222"/>
    <mergeCell ref="N222:O222"/>
    <mergeCell ref="U222:V222"/>
    <mergeCell ref="X222:Y222"/>
    <mergeCell ref="J223:K223"/>
    <mergeCell ref="N223:O223"/>
    <mergeCell ref="U223:V223"/>
    <mergeCell ref="X223:Y223"/>
    <mergeCell ref="J224:K224"/>
    <mergeCell ref="N224:O224"/>
    <mergeCell ref="U224:V224"/>
    <mergeCell ref="X224:Y224"/>
    <mergeCell ref="J225:K225"/>
    <mergeCell ref="N225:O225"/>
    <mergeCell ref="U225:V225"/>
    <mergeCell ref="X225:Y225"/>
    <mergeCell ref="J226:K226"/>
    <mergeCell ref="N226:O226"/>
    <mergeCell ref="U226:V226"/>
    <mergeCell ref="X226:Y226"/>
    <mergeCell ref="J227:K227"/>
    <mergeCell ref="N227:O227"/>
    <mergeCell ref="U227:V227"/>
    <mergeCell ref="X227:Y227"/>
    <mergeCell ref="J228:K228"/>
    <mergeCell ref="N228:O228"/>
    <mergeCell ref="U228:V228"/>
    <mergeCell ref="X228:Y228"/>
    <mergeCell ref="J229:K229"/>
    <mergeCell ref="N229:O229"/>
    <mergeCell ref="U229:V229"/>
    <mergeCell ref="X229:Y229"/>
    <mergeCell ref="J230:K230"/>
    <mergeCell ref="N230:O230"/>
    <mergeCell ref="U230:V230"/>
    <mergeCell ref="X230:Y230"/>
    <mergeCell ref="J231:K231"/>
    <mergeCell ref="N231:O231"/>
    <mergeCell ref="U231:V231"/>
    <mergeCell ref="X231:Y231"/>
    <mergeCell ref="J232:K232"/>
    <mergeCell ref="N232:O232"/>
    <mergeCell ref="U232:V232"/>
    <mergeCell ref="X232:Y232"/>
    <mergeCell ref="J233:K233"/>
    <mergeCell ref="N233:O233"/>
    <mergeCell ref="U233:V233"/>
    <mergeCell ref="X233:Y233"/>
    <mergeCell ref="J234:K234"/>
    <mergeCell ref="N234:O234"/>
    <mergeCell ref="U234:V234"/>
    <mergeCell ref="X234:Y234"/>
    <mergeCell ref="J235:K235"/>
    <mergeCell ref="N235:O235"/>
    <mergeCell ref="U235:V235"/>
    <mergeCell ref="X235:Y235"/>
    <mergeCell ref="J236:K236"/>
    <mergeCell ref="N236:O236"/>
    <mergeCell ref="U236:V236"/>
    <mergeCell ref="X236:Y236"/>
    <mergeCell ref="J237:K237"/>
    <mergeCell ref="N237:O237"/>
    <mergeCell ref="U237:V237"/>
    <mergeCell ref="X237:Y237"/>
    <mergeCell ref="J238:K238"/>
    <mergeCell ref="N238:O238"/>
    <mergeCell ref="U238:V238"/>
    <mergeCell ref="X238:Y238"/>
    <mergeCell ref="J239:K239"/>
    <mergeCell ref="N239:O239"/>
    <mergeCell ref="U239:V239"/>
    <mergeCell ref="X239:Y239"/>
    <mergeCell ref="J240:K240"/>
    <mergeCell ref="N240:O240"/>
    <mergeCell ref="U240:V240"/>
    <mergeCell ref="X240:Y240"/>
    <mergeCell ref="J241:K241"/>
    <mergeCell ref="N241:O241"/>
    <mergeCell ref="U241:V241"/>
    <mergeCell ref="X241:Y241"/>
    <mergeCell ref="J242:K242"/>
    <mergeCell ref="N242:O242"/>
    <mergeCell ref="U242:V242"/>
    <mergeCell ref="X242:Y242"/>
    <mergeCell ref="J243:K243"/>
    <mergeCell ref="N243:O243"/>
    <mergeCell ref="U243:V243"/>
    <mergeCell ref="X243:Y243"/>
    <mergeCell ref="J244:K244"/>
    <mergeCell ref="N244:O244"/>
    <mergeCell ref="U244:V244"/>
    <mergeCell ref="X244:Y244"/>
    <mergeCell ref="J245:K245"/>
    <mergeCell ref="N245:O245"/>
    <mergeCell ref="U245:V245"/>
    <mergeCell ref="X245:Y245"/>
    <mergeCell ref="J246:K246"/>
    <mergeCell ref="N246:O246"/>
    <mergeCell ref="U246:V246"/>
    <mergeCell ref="X246:Y246"/>
    <mergeCell ref="J247:K247"/>
    <mergeCell ref="N247:O247"/>
    <mergeCell ref="U247:V247"/>
    <mergeCell ref="X247:Y247"/>
    <mergeCell ref="J248:K248"/>
    <mergeCell ref="N248:O248"/>
    <mergeCell ref="U248:V248"/>
    <mergeCell ref="X248:Y248"/>
    <mergeCell ref="J249:K249"/>
    <mergeCell ref="N249:O249"/>
    <mergeCell ref="U249:V249"/>
    <mergeCell ref="X249:Y249"/>
    <mergeCell ref="J250:K250"/>
    <mergeCell ref="N250:O250"/>
    <mergeCell ref="U250:V250"/>
    <mergeCell ref="X250:Y250"/>
    <mergeCell ref="J251:K251"/>
    <mergeCell ref="N251:O251"/>
    <mergeCell ref="U251:V251"/>
    <mergeCell ref="X251:Y251"/>
    <mergeCell ref="J252:K252"/>
    <mergeCell ref="N252:O252"/>
    <mergeCell ref="U252:V252"/>
    <mergeCell ref="X252:Y252"/>
    <mergeCell ref="J253:K253"/>
    <mergeCell ref="N253:O253"/>
    <mergeCell ref="U253:V253"/>
    <mergeCell ref="X253:Y253"/>
    <mergeCell ref="J254:K254"/>
    <mergeCell ref="N254:O254"/>
    <mergeCell ref="U254:V254"/>
    <mergeCell ref="X254:Y254"/>
    <mergeCell ref="J255:K255"/>
    <mergeCell ref="N255:O255"/>
    <mergeCell ref="U255:V255"/>
    <mergeCell ref="X255:Y255"/>
    <mergeCell ref="J256:K256"/>
    <mergeCell ref="N256:O256"/>
    <mergeCell ref="U256:V256"/>
    <mergeCell ref="X256:Y256"/>
    <mergeCell ref="J257:K257"/>
    <mergeCell ref="N257:O257"/>
    <mergeCell ref="U257:V257"/>
    <mergeCell ref="X257:Y257"/>
    <mergeCell ref="J258:K258"/>
    <mergeCell ref="N258:O258"/>
    <mergeCell ref="U258:V258"/>
    <mergeCell ref="X258:Y258"/>
    <mergeCell ref="J259:K259"/>
    <mergeCell ref="N259:O259"/>
    <mergeCell ref="U259:V259"/>
    <mergeCell ref="X259:Y259"/>
    <mergeCell ref="J260:K260"/>
    <mergeCell ref="N260:O260"/>
    <mergeCell ref="U260:V260"/>
    <mergeCell ref="X260:Y260"/>
    <mergeCell ref="J261:K261"/>
    <mergeCell ref="N261:O261"/>
    <mergeCell ref="U261:V261"/>
    <mergeCell ref="X261:Y261"/>
    <mergeCell ref="J262:K262"/>
    <mergeCell ref="N262:O262"/>
    <mergeCell ref="U262:V262"/>
    <mergeCell ref="X262:Y262"/>
    <mergeCell ref="J263:K263"/>
    <mergeCell ref="N263:O263"/>
    <mergeCell ref="U263:V263"/>
    <mergeCell ref="X263:Y263"/>
    <mergeCell ref="J264:K264"/>
    <mergeCell ref="N264:O264"/>
    <mergeCell ref="U264:V264"/>
    <mergeCell ref="X264:Y264"/>
    <mergeCell ref="J265:K265"/>
    <mergeCell ref="N265:O265"/>
    <mergeCell ref="U265:V265"/>
    <mergeCell ref="X265:Y265"/>
    <mergeCell ref="J266:K266"/>
    <mergeCell ref="N266:O266"/>
    <mergeCell ref="U266:V266"/>
    <mergeCell ref="X266:Y266"/>
    <mergeCell ref="J267:K267"/>
    <mergeCell ref="N267:O267"/>
    <mergeCell ref="U267:V267"/>
    <mergeCell ref="X267:Y267"/>
    <mergeCell ref="J268:K268"/>
    <mergeCell ref="N268:O268"/>
    <mergeCell ref="U268:V268"/>
    <mergeCell ref="X268:Y268"/>
    <mergeCell ref="J269:K269"/>
    <mergeCell ref="N269:O269"/>
    <mergeCell ref="U269:V269"/>
    <mergeCell ref="X269:Y269"/>
    <mergeCell ref="J270:K270"/>
    <mergeCell ref="N270:O270"/>
    <mergeCell ref="U270:V270"/>
    <mergeCell ref="X270:Y270"/>
    <mergeCell ref="J271:K271"/>
    <mergeCell ref="N271:O271"/>
    <mergeCell ref="U271:V271"/>
    <mergeCell ref="X271:Y271"/>
    <mergeCell ref="J272:K272"/>
    <mergeCell ref="N272:O272"/>
    <mergeCell ref="U272:V272"/>
    <mergeCell ref="X272:Y272"/>
    <mergeCell ref="J273:K273"/>
    <mergeCell ref="N273:O273"/>
    <mergeCell ref="U273:V273"/>
    <mergeCell ref="X273:Y273"/>
    <mergeCell ref="J274:K274"/>
    <mergeCell ref="N274:O274"/>
    <mergeCell ref="U274:V274"/>
    <mergeCell ref="X274:Y274"/>
    <mergeCell ref="J275:K275"/>
    <mergeCell ref="N275:O275"/>
    <mergeCell ref="U275:V275"/>
    <mergeCell ref="X275:Y275"/>
    <mergeCell ref="J276:K276"/>
    <mergeCell ref="N276:O276"/>
    <mergeCell ref="U276:V276"/>
    <mergeCell ref="X276:Y276"/>
    <mergeCell ref="J277:K277"/>
    <mergeCell ref="N277:O277"/>
    <mergeCell ref="U277:V277"/>
    <mergeCell ref="X277:Y277"/>
    <mergeCell ref="J278:K278"/>
    <mergeCell ref="N278:O278"/>
    <mergeCell ref="U278:V278"/>
    <mergeCell ref="X278:Y278"/>
    <mergeCell ref="J279:K279"/>
    <mergeCell ref="N279:O279"/>
    <mergeCell ref="U279:V279"/>
    <mergeCell ref="X279:Y279"/>
    <mergeCell ref="J280:K280"/>
    <mergeCell ref="N280:O280"/>
    <mergeCell ref="U280:V280"/>
    <mergeCell ref="X280:Y280"/>
    <mergeCell ref="J281:K281"/>
    <mergeCell ref="N281:O281"/>
    <mergeCell ref="U281:V281"/>
    <mergeCell ref="X281:Y281"/>
    <mergeCell ref="J282:K282"/>
    <mergeCell ref="N282:O282"/>
    <mergeCell ref="U282:V282"/>
    <mergeCell ref="X282:Y282"/>
    <mergeCell ref="J283:K283"/>
    <mergeCell ref="N283:O283"/>
    <mergeCell ref="U283:V283"/>
    <mergeCell ref="X283:Y283"/>
    <mergeCell ref="J284:K284"/>
    <mergeCell ref="N284:O284"/>
    <mergeCell ref="U284:V284"/>
    <mergeCell ref="X284:Y284"/>
    <mergeCell ref="J285:K285"/>
    <mergeCell ref="N285:O285"/>
    <mergeCell ref="U285:V285"/>
    <mergeCell ref="X285:Y285"/>
    <mergeCell ref="J286:K286"/>
    <mergeCell ref="N286:O286"/>
    <mergeCell ref="U286:V286"/>
    <mergeCell ref="X286:Y286"/>
    <mergeCell ref="J287:K287"/>
    <mergeCell ref="N287:O287"/>
    <mergeCell ref="U287:V287"/>
    <mergeCell ref="X287:Y287"/>
    <mergeCell ref="J288:K288"/>
    <mergeCell ref="N288:O288"/>
    <mergeCell ref="U288:V288"/>
    <mergeCell ref="X288:Y288"/>
    <mergeCell ref="J289:K289"/>
    <mergeCell ref="N289:O289"/>
    <mergeCell ref="U289:V289"/>
    <mergeCell ref="X289:Y289"/>
    <mergeCell ref="J290:K290"/>
    <mergeCell ref="N290:O290"/>
    <mergeCell ref="U290:V290"/>
    <mergeCell ref="X290:Y290"/>
    <mergeCell ref="J291:K291"/>
    <mergeCell ref="N291:O291"/>
    <mergeCell ref="U291:V291"/>
    <mergeCell ref="X291:Y291"/>
    <mergeCell ref="J292:K292"/>
    <mergeCell ref="N292:O292"/>
    <mergeCell ref="U292:V292"/>
    <mergeCell ref="X292:Y292"/>
    <mergeCell ref="J293:K293"/>
    <mergeCell ref="N293:O293"/>
    <mergeCell ref="U293:V293"/>
    <mergeCell ref="X293:Y293"/>
    <mergeCell ref="J294:K294"/>
    <mergeCell ref="N294:O294"/>
    <mergeCell ref="U294:V294"/>
    <mergeCell ref="X294:Y294"/>
    <mergeCell ref="J295:K295"/>
    <mergeCell ref="N295:O295"/>
    <mergeCell ref="U295:V295"/>
    <mergeCell ref="X295:Y295"/>
    <mergeCell ref="J296:K296"/>
    <mergeCell ref="N296:O296"/>
    <mergeCell ref="U296:V296"/>
    <mergeCell ref="X296:Y296"/>
    <mergeCell ref="J297:K297"/>
    <mergeCell ref="N297:O297"/>
    <mergeCell ref="U297:V297"/>
    <mergeCell ref="X297:Y297"/>
    <mergeCell ref="J298:K298"/>
    <mergeCell ref="N298:O298"/>
    <mergeCell ref="U298:V298"/>
    <mergeCell ref="X298:Y298"/>
    <mergeCell ref="J299:K299"/>
    <mergeCell ref="N299:O299"/>
    <mergeCell ref="U299:V299"/>
    <mergeCell ref="X299:Y299"/>
    <mergeCell ref="J300:K300"/>
    <mergeCell ref="N300:O300"/>
    <mergeCell ref="U300:V300"/>
    <mergeCell ref="X300:Y300"/>
    <mergeCell ref="J301:K301"/>
    <mergeCell ref="N301:O301"/>
    <mergeCell ref="U301:V301"/>
    <mergeCell ref="X301:Y301"/>
    <mergeCell ref="J302:K302"/>
    <mergeCell ref="N302:O302"/>
    <mergeCell ref="U302:V302"/>
    <mergeCell ref="X302:Y302"/>
    <mergeCell ref="J303:K303"/>
    <mergeCell ref="N303:O303"/>
    <mergeCell ref="U303:V303"/>
    <mergeCell ref="X303:Y303"/>
    <mergeCell ref="J304:K304"/>
    <mergeCell ref="N304:O304"/>
    <mergeCell ref="U304:V304"/>
    <mergeCell ref="X304:Y304"/>
    <mergeCell ref="J305:K305"/>
    <mergeCell ref="N305:O305"/>
    <mergeCell ref="U305:V305"/>
    <mergeCell ref="X305:Y305"/>
    <mergeCell ref="J306:K306"/>
    <mergeCell ref="N306:O306"/>
    <mergeCell ref="U306:V306"/>
    <mergeCell ref="X306:Y306"/>
    <mergeCell ref="J307:K307"/>
    <mergeCell ref="N307:O307"/>
    <mergeCell ref="U307:V307"/>
    <mergeCell ref="X307:Y307"/>
    <mergeCell ref="J308:K308"/>
    <mergeCell ref="N308:O308"/>
    <mergeCell ref="U308:V308"/>
    <mergeCell ref="X308:Y308"/>
    <mergeCell ref="J309:K309"/>
    <mergeCell ref="N309:O309"/>
    <mergeCell ref="U309:V309"/>
    <mergeCell ref="X309:Y309"/>
    <mergeCell ref="J310:K310"/>
    <mergeCell ref="N310:O310"/>
    <mergeCell ref="U310:V310"/>
    <mergeCell ref="X310:Y310"/>
    <mergeCell ref="J311:K311"/>
    <mergeCell ref="N311:O311"/>
    <mergeCell ref="U311:V311"/>
    <mergeCell ref="X311:Y311"/>
    <mergeCell ref="J312:K312"/>
    <mergeCell ref="N312:O312"/>
    <mergeCell ref="U312:V312"/>
    <mergeCell ref="X312:Y312"/>
    <mergeCell ref="J313:K313"/>
    <mergeCell ref="N313:O313"/>
    <mergeCell ref="U313:V313"/>
    <mergeCell ref="X313:Y313"/>
    <mergeCell ref="J314:K314"/>
    <mergeCell ref="N314:O314"/>
    <mergeCell ref="U314:V314"/>
    <mergeCell ref="X314:Y314"/>
    <mergeCell ref="J315:K315"/>
    <mergeCell ref="N315:O315"/>
    <mergeCell ref="U315:V315"/>
    <mergeCell ref="X315:Y315"/>
    <mergeCell ref="J316:K316"/>
    <mergeCell ref="N316:O316"/>
    <mergeCell ref="U316:V316"/>
    <mergeCell ref="X316:Y316"/>
    <mergeCell ref="J317:K317"/>
    <mergeCell ref="N317:O317"/>
    <mergeCell ref="U317:V317"/>
    <mergeCell ref="X317:Y317"/>
    <mergeCell ref="J318:K318"/>
    <mergeCell ref="N318:O318"/>
    <mergeCell ref="U318:V318"/>
    <mergeCell ref="X318:Y318"/>
    <mergeCell ref="J319:K319"/>
    <mergeCell ref="N319:O319"/>
    <mergeCell ref="U319:V319"/>
    <mergeCell ref="X319:Y319"/>
    <mergeCell ref="J320:K320"/>
    <mergeCell ref="N320:O320"/>
    <mergeCell ref="U320:V320"/>
    <mergeCell ref="X320:Y320"/>
    <mergeCell ref="J321:K321"/>
    <mergeCell ref="N321:O321"/>
    <mergeCell ref="U321:V321"/>
    <mergeCell ref="X321:Y321"/>
    <mergeCell ref="J322:K322"/>
    <mergeCell ref="N322:O322"/>
    <mergeCell ref="U322:V322"/>
    <mergeCell ref="X322:Y322"/>
    <mergeCell ref="J323:K323"/>
    <mergeCell ref="N323:O323"/>
    <mergeCell ref="U323:V323"/>
    <mergeCell ref="X323:Y323"/>
    <mergeCell ref="J324:K324"/>
    <mergeCell ref="N324:O324"/>
    <mergeCell ref="U324:V324"/>
    <mergeCell ref="X324:Y324"/>
    <mergeCell ref="J325:K325"/>
    <mergeCell ref="N325:O325"/>
    <mergeCell ref="U325:V325"/>
    <mergeCell ref="X325:Y325"/>
    <mergeCell ref="J326:K326"/>
    <mergeCell ref="N326:O326"/>
    <mergeCell ref="U326:V326"/>
    <mergeCell ref="X326:Y326"/>
    <mergeCell ref="J327:K327"/>
    <mergeCell ref="N327:O327"/>
    <mergeCell ref="U327:V327"/>
    <mergeCell ref="X327:Y327"/>
    <mergeCell ref="J328:K328"/>
    <mergeCell ref="N328:O328"/>
    <mergeCell ref="U328:V328"/>
    <mergeCell ref="X328:Y328"/>
    <mergeCell ref="J329:K329"/>
    <mergeCell ref="N329:O329"/>
    <mergeCell ref="U329:V329"/>
    <mergeCell ref="X329:Y329"/>
    <mergeCell ref="J330:K330"/>
    <mergeCell ref="N330:O330"/>
    <mergeCell ref="U330:V330"/>
    <mergeCell ref="X330:Y330"/>
    <mergeCell ref="J331:K331"/>
    <mergeCell ref="N331:O331"/>
    <mergeCell ref="U331:V331"/>
    <mergeCell ref="X331:Y331"/>
    <mergeCell ref="J332:K332"/>
    <mergeCell ref="N332:O332"/>
    <mergeCell ref="U332:V332"/>
    <mergeCell ref="X332:Y332"/>
    <mergeCell ref="J333:K333"/>
    <mergeCell ref="N333:O333"/>
    <mergeCell ref="U333:V333"/>
    <mergeCell ref="X333:Y333"/>
    <mergeCell ref="J334:K334"/>
    <mergeCell ref="N334:O334"/>
    <mergeCell ref="U334:V334"/>
    <mergeCell ref="X334:Y334"/>
    <mergeCell ref="J335:K335"/>
    <mergeCell ref="N335:O335"/>
    <mergeCell ref="U335:V335"/>
    <mergeCell ref="X335:Y335"/>
    <mergeCell ref="J336:K336"/>
    <mergeCell ref="N336:O336"/>
    <mergeCell ref="U336:V336"/>
    <mergeCell ref="X336:Y336"/>
    <mergeCell ref="J337:K337"/>
    <mergeCell ref="N337:O337"/>
    <mergeCell ref="U337:V337"/>
    <mergeCell ref="X337:Y337"/>
    <mergeCell ref="J338:K338"/>
    <mergeCell ref="N338:O338"/>
    <mergeCell ref="U338:V338"/>
    <mergeCell ref="X338:Y338"/>
    <mergeCell ref="J339:K339"/>
    <mergeCell ref="N339:O339"/>
    <mergeCell ref="U339:V339"/>
    <mergeCell ref="X339:Y339"/>
    <mergeCell ref="J340:K340"/>
    <mergeCell ref="N340:O340"/>
    <mergeCell ref="U340:V340"/>
    <mergeCell ref="X340:Y340"/>
    <mergeCell ref="J341:K341"/>
    <mergeCell ref="N341:O341"/>
    <mergeCell ref="U341:V341"/>
    <mergeCell ref="X341:Y341"/>
    <mergeCell ref="J342:K342"/>
    <mergeCell ref="N342:O342"/>
    <mergeCell ref="U342:V342"/>
    <mergeCell ref="X342:Y342"/>
    <mergeCell ref="J343:K343"/>
    <mergeCell ref="N343:O343"/>
    <mergeCell ref="U343:V343"/>
    <mergeCell ref="X343:Y343"/>
    <mergeCell ref="J344:K344"/>
    <mergeCell ref="N344:O344"/>
    <mergeCell ref="U344:V344"/>
    <mergeCell ref="X344:Y344"/>
    <mergeCell ref="J345:K345"/>
    <mergeCell ref="N345:O345"/>
    <mergeCell ref="U345:V345"/>
    <mergeCell ref="X345:Y345"/>
    <mergeCell ref="J346:K346"/>
    <mergeCell ref="N346:O346"/>
    <mergeCell ref="U346:V346"/>
    <mergeCell ref="X346:Y346"/>
    <mergeCell ref="J347:K347"/>
    <mergeCell ref="N347:O347"/>
    <mergeCell ref="U347:V347"/>
    <mergeCell ref="X347:Y347"/>
    <mergeCell ref="J348:K348"/>
    <mergeCell ref="N348:O348"/>
    <mergeCell ref="U348:V348"/>
    <mergeCell ref="X348:Y348"/>
    <mergeCell ref="J349:K349"/>
    <mergeCell ref="N349:O349"/>
    <mergeCell ref="U349:V349"/>
    <mergeCell ref="X349:Y349"/>
    <mergeCell ref="J350:K350"/>
    <mergeCell ref="N350:O350"/>
    <mergeCell ref="U350:V350"/>
    <mergeCell ref="X350:Y350"/>
    <mergeCell ref="J351:K351"/>
    <mergeCell ref="N351:O351"/>
    <mergeCell ref="U351:V351"/>
    <mergeCell ref="X351:Y351"/>
    <mergeCell ref="J352:K352"/>
    <mergeCell ref="N352:O352"/>
    <mergeCell ref="U352:V352"/>
    <mergeCell ref="X352:Y352"/>
    <mergeCell ref="J353:K353"/>
    <mergeCell ref="N353:O353"/>
    <mergeCell ref="U353:V353"/>
    <mergeCell ref="X353:Y353"/>
    <mergeCell ref="J354:K354"/>
    <mergeCell ref="N354:O354"/>
    <mergeCell ref="U354:V354"/>
    <mergeCell ref="X354:Y354"/>
    <mergeCell ref="J355:K355"/>
    <mergeCell ref="N355:O355"/>
    <mergeCell ref="U355:V355"/>
    <mergeCell ref="X355:Y355"/>
    <mergeCell ref="J356:K356"/>
    <mergeCell ref="N356:O356"/>
    <mergeCell ref="U356:V356"/>
    <mergeCell ref="X356:Y356"/>
    <mergeCell ref="J357:K357"/>
    <mergeCell ref="N357:O357"/>
    <mergeCell ref="U357:V357"/>
    <mergeCell ref="X357:Y357"/>
    <mergeCell ref="J358:K358"/>
    <mergeCell ref="N358:O358"/>
    <mergeCell ref="U358:V358"/>
    <mergeCell ref="X358:Y358"/>
    <mergeCell ref="J359:K359"/>
    <mergeCell ref="N359:O359"/>
    <mergeCell ref="U359:V359"/>
    <mergeCell ref="X359:Y359"/>
    <mergeCell ref="J360:K360"/>
    <mergeCell ref="N360:O360"/>
    <mergeCell ref="U360:V360"/>
    <mergeCell ref="X360:Y360"/>
    <mergeCell ref="J361:K361"/>
    <mergeCell ref="N361:O361"/>
    <mergeCell ref="U361:V361"/>
    <mergeCell ref="X361:Y361"/>
    <mergeCell ref="J362:K362"/>
    <mergeCell ref="N362:O362"/>
    <mergeCell ref="U362:V362"/>
    <mergeCell ref="X362:Y362"/>
    <mergeCell ref="J363:K363"/>
    <mergeCell ref="N363:O363"/>
    <mergeCell ref="U363:V363"/>
    <mergeCell ref="X363:Y363"/>
    <mergeCell ref="J364:K364"/>
    <mergeCell ref="N364:O364"/>
    <mergeCell ref="U364:V364"/>
    <mergeCell ref="X364:Y364"/>
    <mergeCell ref="J365:K365"/>
    <mergeCell ref="N365:O365"/>
    <mergeCell ref="U365:V365"/>
    <mergeCell ref="X365:Y365"/>
    <mergeCell ref="J366:K366"/>
    <mergeCell ref="N366:O366"/>
    <mergeCell ref="U366:V366"/>
    <mergeCell ref="X366:Y366"/>
    <mergeCell ref="J367:K367"/>
    <mergeCell ref="N367:O367"/>
    <mergeCell ref="U367:V367"/>
    <mergeCell ref="X367:Y367"/>
    <mergeCell ref="J368:K368"/>
    <mergeCell ref="N368:O368"/>
    <mergeCell ref="U368:V368"/>
    <mergeCell ref="X368:Y368"/>
    <mergeCell ref="J369:K369"/>
    <mergeCell ref="N369:O369"/>
    <mergeCell ref="U369:V369"/>
    <mergeCell ref="X369:Y369"/>
    <mergeCell ref="J370:K370"/>
    <mergeCell ref="N370:O370"/>
    <mergeCell ref="U370:V370"/>
    <mergeCell ref="X370:Y370"/>
    <mergeCell ref="J371:K371"/>
    <mergeCell ref="N371:O371"/>
    <mergeCell ref="U371:V371"/>
    <mergeCell ref="X371:Y371"/>
    <mergeCell ref="J372:K372"/>
    <mergeCell ref="N372:O372"/>
    <mergeCell ref="U372:V372"/>
    <mergeCell ref="X372:Y372"/>
    <mergeCell ref="J373:K373"/>
    <mergeCell ref="N373:O373"/>
    <mergeCell ref="U373:V373"/>
    <mergeCell ref="X373:Y373"/>
    <mergeCell ref="J374:K374"/>
    <mergeCell ref="N374:O374"/>
    <mergeCell ref="U374:V374"/>
    <mergeCell ref="X374:Y374"/>
    <mergeCell ref="J375:K375"/>
    <mergeCell ref="N375:O375"/>
    <mergeCell ref="U375:V375"/>
    <mergeCell ref="X375:Y375"/>
    <mergeCell ref="J376:K376"/>
    <mergeCell ref="N376:O376"/>
    <mergeCell ref="U376:V376"/>
    <mergeCell ref="X376:Y376"/>
    <mergeCell ref="J377:K377"/>
    <mergeCell ref="N377:O377"/>
    <mergeCell ref="U377:V377"/>
    <mergeCell ref="X377:Y377"/>
    <mergeCell ref="J378:K378"/>
    <mergeCell ref="N378:O378"/>
    <mergeCell ref="U378:V378"/>
    <mergeCell ref="X378:Y378"/>
    <mergeCell ref="J379:K379"/>
    <mergeCell ref="N379:O379"/>
    <mergeCell ref="U379:V379"/>
    <mergeCell ref="X379:Y379"/>
    <mergeCell ref="J380:K380"/>
    <mergeCell ref="N380:O380"/>
    <mergeCell ref="U380:V380"/>
    <mergeCell ref="X380:Y380"/>
    <mergeCell ref="J381:K381"/>
    <mergeCell ref="N381:O381"/>
    <mergeCell ref="U381:V381"/>
    <mergeCell ref="X381:Y381"/>
    <mergeCell ref="J382:K382"/>
    <mergeCell ref="N382:O382"/>
    <mergeCell ref="U382:V382"/>
    <mergeCell ref="X382:Y382"/>
    <mergeCell ref="J383:K383"/>
    <mergeCell ref="N383:O383"/>
    <mergeCell ref="U383:V383"/>
    <mergeCell ref="X383:Y383"/>
    <mergeCell ref="J384:K384"/>
    <mergeCell ref="N384:O384"/>
    <mergeCell ref="U384:V384"/>
    <mergeCell ref="X384:Y384"/>
    <mergeCell ref="J385:K385"/>
    <mergeCell ref="N385:O385"/>
    <mergeCell ref="U385:V385"/>
    <mergeCell ref="X385:Y385"/>
    <mergeCell ref="J386:K386"/>
    <mergeCell ref="N386:O386"/>
    <mergeCell ref="U386:V386"/>
    <mergeCell ref="X386:Y386"/>
    <mergeCell ref="J387:K387"/>
    <mergeCell ref="N387:O387"/>
    <mergeCell ref="U387:V387"/>
    <mergeCell ref="X387:Y387"/>
    <mergeCell ref="J388:K388"/>
    <mergeCell ref="N388:O388"/>
    <mergeCell ref="U388:V388"/>
    <mergeCell ref="X388:Y388"/>
    <mergeCell ref="J389:K389"/>
    <mergeCell ref="N389:O389"/>
    <mergeCell ref="U389:V389"/>
    <mergeCell ref="X389:Y389"/>
    <mergeCell ref="J390:K390"/>
    <mergeCell ref="N390:O390"/>
    <mergeCell ref="U390:V390"/>
    <mergeCell ref="X390:Y390"/>
    <mergeCell ref="J391:K391"/>
    <mergeCell ref="N391:O391"/>
    <mergeCell ref="U391:V391"/>
    <mergeCell ref="X391:Y391"/>
    <mergeCell ref="J392:K392"/>
    <mergeCell ref="N392:O392"/>
    <mergeCell ref="U392:V392"/>
    <mergeCell ref="X392:Y392"/>
    <mergeCell ref="J393:K393"/>
    <mergeCell ref="N393:O393"/>
    <mergeCell ref="U393:V393"/>
    <mergeCell ref="X393:Y393"/>
    <mergeCell ref="J394:K394"/>
    <mergeCell ref="N394:O394"/>
    <mergeCell ref="U394:V394"/>
    <mergeCell ref="X394:Y394"/>
    <mergeCell ref="J395:K395"/>
    <mergeCell ref="N395:O395"/>
    <mergeCell ref="U395:V395"/>
    <mergeCell ref="X395:Y395"/>
    <mergeCell ref="J396:K396"/>
    <mergeCell ref="N396:O396"/>
    <mergeCell ref="U396:V396"/>
    <mergeCell ref="X396:Y396"/>
    <mergeCell ref="J397:K397"/>
    <mergeCell ref="N397:O397"/>
    <mergeCell ref="U397:V397"/>
    <mergeCell ref="X397:Y397"/>
    <mergeCell ref="J398:K398"/>
    <mergeCell ref="N398:O398"/>
    <mergeCell ref="U398:V398"/>
    <mergeCell ref="X398:Y398"/>
    <mergeCell ref="J399:K399"/>
    <mergeCell ref="N399:O399"/>
    <mergeCell ref="U399:V399"/>
    <mergeCell ref="X399:Y399"/>
    <mergeCell ref="J400:K400"/>
    <mergeCell ref="N400:O400"/>
    <mergeCell ref="U400:V400"/>
    <mergeCell ref="X400:Y400"/>
    <mergeCell ref="J401:K401"/>
    <mergeCell ref="N401:O401"/>
    <mergeCell ref="U401:V401"/>
    <mergeCell ref="X401:Y401"/>
    <mergeCell ref="J402:K402"/>
    <mergeCell ref="N402:O402"/>
    <mergeCell ref="U402:V402"/>
    <mergeCell ref="X402:Y402"/>
    <mergeCell ref="J403:K403"/>
    <mergeCell ref="N403:O403"/>
    <mergeCell ref="U403:V403"/>
    <mergeCell ref="X403:Y403"/>
    <mergeCell ref="J404:K404"/>
    <mergeCell ref="N404:O404"/>
    <mergeCell ref="U404:V404"/>
    <mergeCell ref="X404:Y404"/>
    <mergeCell ref="J405:K405"/>
    <mergeCell ref="N405:O405"/>
    <mergeCell ref="U405:V405"/>
    <mergeCell ref="X405:Y405"/>
    <mergeCell ref="J406:K406"/>
    <mergeCell ref="N406:O406"/>
    <mergeCell ref="U406:V406"/>
    <mergeCell ref="X406:Y406"/>
    <mergeCell ref="J407:K407"/>
    <mergeCell ref="N407:O407"/>
    <mergeCell ref="U407:V407"/>
    <mergeCell ref="X407:Y407"/>
    <mergeCell ref="J408:K408"/>
    <mergeCell ref="N408:O408"/>
    <mergeCell ref="U408:V408"/>
    <mergeCell ref="X408:Y408"/>
    <mergeCell ref="J409:K409"/>
    <mergeCell ref="N409:O409"/>
    <mergeCell ref="U409:V409"/>
    <mergeCell ref="X409:Y409"/>
    <mergeCell ref="J410:K410"/>
    <mergeCell ref="N410:O410"/>
    <mergeCell ref="U410:V410"/>
    <mergeCell ref="X410:Y410"/>
    <mergeCell ref="J411:K411"/>
    <mergeCell ref="N411:O411"/>
    <mergeCell ref="U411:V411"/>
    <mergeCell ref="X411:Y411"/>
    <mergeCell ref="J412:K412"/>
    <mergeCell ref="N412:O412"/>
    <mergeCell ref="U412:V412"/>
    <mergeCell ref="X412:Y412"/>
    <mergeCell ref="J413:K413"/>
    <mergeCell ref="N413:O413"/>
    <mergeCell ref="U413:V413"/>
    <mergeCell ref="X413:Y413"/>
    <mergeCell ref="J414:K414"/>
    <mergeCell ref="N414:O414"/>
    <mergeCell ref="U414:V414"/>
    <mergeCell ref="X414:Y414"/>
    <mergeCell ref="J415:K415"/>
    <mergeCell ref="N415:O415"/>
    <mergeCell ref="U415:V415"/>
    <mergeCell ref="X415:Y415"/>
    <mergeCell ref="J416:K416"/>
    <mergeCell ref="N416:O416"/>
    <mergeCell ref="U416:V416"/>
    <mergeCell ref="X416:Y416"/>
    <mergeCell ref="J417:K417"/>
    <mergeCell ref="N417:O417"/>
    <mergeCell ref="U417:V417"/>
    <mergeCell ref="X417:Y417"/>
    <mergeCell ref="J418:K418"/>
    <mergeCell ref="N418:O418"/>
    <mergeCell ref="U418:V418"/>
    <mergeCell ref="X418:Y418"/>
    <mergeCell ref="J419:K419"/>
    <mergeCell ref="N419:O419"/>
    <mergeCell ref="U419:V419"/>
    <mergeCell ref="X419:Y419"/>
    <mergeCell ref="J420:K420"/>
    <mergeCell ref="N420:O420"/>
    <mergeCell ref="U420:V420"/>
    <mergeCell ref="X420:Y420"/>
    <mergeCell ref="J421:K421"/>
    <mergeCell ref="N421:O421"/>
    <mergeCell ref="U421:V421"/>
    <mergeCell ref="X421:Y421"/>
    <mergeCell ref="J422:K422"/>
    <mergeCell ref="N422:O422"/>
    <mergeCell ref="U422:V422"/>
    <mergeCell ref="X422:Y422"/>
    <mergeCell ref="J423:K423"/>
    <mergeCell ref="N423:O423"/>
    <mergeCell ref="U423:V423"/>
    <mergeCell ref="X423:Y423"/>
    <mergeCell ref="J424:K424"/>
    <mergeCell ref="N424:O424"/>
    <mergeCell ref="U424:V424"/>
    <mergeCell ref="X424:Y424"/>
    <mergeCell ref="J425:K425"/>
    <mergeCell ref="N425:O425"/>
    <mergeCell ref="U425:V425"/>
    <mergeCell ref="X425:Y425"/>
    <mergeCell ref="J426:K426"/>
    <mergeCell ref="N426:O426"/>
    <mergeCell ref="U426:V426"/>
    <mergeCell ref="X426:Y426"/>
    <mergeCell ref="J427:K427"/>
    <mergeCell ref="N427:O427"/>
    <mergeCell ref="U427:V427"/>
    <mergeCell ref="X427:Y427"/>
    <mergeCell ref="J428:K428"/>
    <mergeCell ref="N428:O428"/>
    <mergeCell ref="U428:V428"/>
    <mergeCell ref="X428:Y428"/>
    <mergeCell ref="J429:K429"/>
    <mergeCell ref="N429:O429"/>
    <mergeCell ref="U429:V429"/>
    <mergeCell ref="X429:Y429"/>
    <mergeCell ref="J430:K430"/>
    <mergeCell ref="N430:O430"/>
    <mergeCell ref="U430:V430"/>
    <mergeCell ref="X430:Y430"/>
    <mergeCell ref="J431:K431"/>
    <mergeCell ref="N431:O431"/>
    <mergeCell ref="U431:V431"/>
    <mergeCell ref="X431:Y431"/>
    <mergeCell ref="J432:K432"/>
    <mergeCell ref="N432:O432"/>
    <mergeCell ref="U432:V432"/>
    <mergeCell ref="X432:Y432"/>
    <mergeCell ref="J433:K433"/>
    <mergeCell ref="N433:O433"/>
    <mergeCell ref="U433:V433"/>
    <mergeCell ref="X433:Y433"/>
    <mergeCell ref="J434:K434"/>
    <mergeCell ref="N434:O434"/>
    <mergeCell ref="U434:V434"/>
    <mergeCell ref="X434:Y434"/>
    <mergeCell ref="J435:K435"/>
    <mergeCell ref="N435:O435"/>
    <mergeCell ref="U435:V435"/>
    <mergeCell ref="X435:Y435"/>
    <mergeCell ref="J436:K436"/>
    <mergeCell ref="N436:O436"/>
    <mergeCell ref="U436:V436"/>
    <mergeCell ref="X436:Y436"/>
    <mergeCell ref="J437:K437"/>
    <mergeCell ref="N437:O437"/>
    <mergeCell ref="U437:V437"/>
    <mergeCell ref="X437:Y437"/>
    <mergeCell ref="J438:K438"/>
    <mergeCell ref="N438:O438"/>
    <mergeCell ref="U438:V438"/>
    <mergeCell ref="X438:Y438"/>
    <mergeCell ref="J439:K439"/>
    <mergeCell ref="N439:O439"/>
    <mergeCell ref="U439:V439"/>
    <mergeCell ref="X439:Y439"/>
    <mergeCell ref="J440:K440"/>
    <mergeCell ref="N440:O440"/>
    <mergeCell ref="U440:V440"/>
    <mergeCell ref="X440:Y440"/>
    <mergeCell ref="J441:K441"/>
    <mergeCell ref="N441:O441"/>
    <mergeCell ref="U441:V441"/>
    <mergeCell ref="X441:Y441"/>
    <mergeCell ref="J442:K442"/>
    <mergeCell ref="N442:O442"/>
    <mergeCell ref="U442:V442"/>
    <mergeCell ref="X442:Y442"/>
    <mergeCell ref="J443:K443"/>
    <mergeCell ref="N443:O443"/>
    <mergeCell ref="U443:V443"/>
    <mergeCell ref="X443:Y443"/>
    <mergeCell ref="J444:K444"/>
    <mergeCell ref="N444:O444"/>
    <mergeCell ref="U444:V444"/>
    <mergeCell ref="X444:Y444"/>
    <mergeCell ref="J445:K445"/>
    <mergeCell ref="N445:O445"/>
    <mergeCell ref="U445:V445"/>
    <mergeCell ref="X445:Y445"/>
    <mergeCell ref="J446:K446"/>
    <mergeCell ref="N446:O446"/>
    <mergeCell ref="U446:V446"/>
    <mergeCell ref="X446:Y446"/>
    <mergeCell ref="J447:K447"/>
    <mergeCell ref="N447:O447"/>
    <mergeCell ref="U447:V447"/>
    <mergeCell ref="X447:Y447"/>
    <mergeCell ref="J448:K448"/>
    <mergeCell ref="N448:O448"/>
    <mergeCell ref="U448:V448"/>
    <mergeCell ref="X448:Y448"/>
    <mergeCell ref="J449:K449"/>
    <mergeCell ref="N449:O449"/>
    <mergeCell ref="U449:V449"/>
    <mergeCell ref="X449:Y449"/>
    <mergeCell ref="J450:K450"/>
    <mergeCell ref="N450:O450"/>
    <mergeCell ref="U450:V450"/>
    <mergeCell ref="X450:Y450"/>
    <mergeCell ref="J451:K451"/>
    <mergeCell ref="N451:O451"/>
    <mergeCell ref="U451:V451"/>
    <mergeCell ref="X451:Y451"/>
    <mergeCell ref="J452:K452"/>
    <mergeCell ref="N452:O452"/>
    <mergeCell ref="U452:V452"/>
    <mergeCell ref="X452:Y452"/>
    <mergeCell ref="J453:K453"/>
    <mergeCell ref="N453:O453"/>
    <mergeCell ref="U453:V453"/>
    <mergeCell ref="X453:Y453"/>
    <mergeCell ref="J454:K454"/>
    <mergeCell ref="N454:O454"/>
    <mergeCell ref="U454:V454"/>
    <mergeCell ref="X454:Y454"/>
    <mergeCell ref="J455:K455"/>
    <mergeCell ref="N455:O455"/>
    <mergeCell ref="U455:V455"/>
    <mergeCell ref="X455:Y455"/>
    <mergeCell ref="J456:K456"/>
    <mergeCell ref="N456:O456"/>
    <mergeCell ref="U456:V456"/>
    <mergeCell ref="X456:Y456"/>
    <mergeCell ref="J457:K457"/>
    <mergeCell ref="N457:O457"/>
    <mergeCell ref="U457:V457"/>
    <mergeCell ref="X457:Y457"/>
    <mergeCell ref="J458:K458"/>
    <mergeCell ref="N458:O458"/>
    <mergeCell ref="U458:V458"/>
    <mergeCell ref="X458:Y458"/>
    <mergeCell ref="J459:K459"/>
    <mergeCell ref="N459:O459"/>
    <mergeCell ref="U459:V459"/>
    <mergeCell ref="X459:Y459"/>
    <mergeCell ref="J460:K460"/>
    <mergeCell ref="N460:O460"/>
    <mergeCell ref="U460:V460"/>
    <mergeCell ref="X460:Y460"/>
    <mergeCell ref="J461:K461"/>
    <mergeCell ref="N461:O461"/>
    <mergeCell ref="U461:V461"/>
    <mergeCell ref="X461:Y461"/>
    <mergeCell ref="J462:K462"/>
    <mergeCell ref="N462:O462"/>
    <mergeCell ref="U462:V462"/>
    <mergeCell ref="X462:Y462"/>
    <mergeCell ref="J463:K463"/>
    <mergeCell ref="N463:O463"/>
    <mergeCell ref="U463:V463"/>
    <mergeCell ref="X463:Y463"/>
    <mergeCell ref="J464:K464"/>
    <mergeCell ref="N464:O464"/>
    <mergeCell ref="U464:V464"/>
    <mergeCell ref="X464:Y464"/>
    <mergeCell ref="J465:K465"/>
    <mergeCell ref="N465:O465"/>
    <mergeCell ref="U465:V465"/>
    <mergeCell ref="X465:Y465"/>
    <mergeCell ref="J466:K466"/>
    <mergeCell ref="N466:O466"/>
    <mergeCell ref="U466:V466"/>
    <mergeCell ref="X466:Y466"/>
    <mergeCell ref="J467:K467"/>
    <mergeCell ref="N467:O467"/>
    <mergeCell ref="U467:V467"/>
    <mergeCell ref="X467:Y467"/>
    <mergeCell ref="J468:K468"/>
    <mergeCell ref="N468:O468"/>
    <mergeCell ref="U468:V468"/>
    <mergeCell ref="X468:Y468"/>
    <mergeCell ref="J469:K469"/>
    <mergeCell ref="N469:O469"/>
    <mergeCell ref="U469:V469"/>
    <mergeCell ref="X469:Y469"/>
    <mergeCell ref="J470:K470"/>
    <mergeCell ref="N470:O470"/>
    <mergeCell ref="U470:V470"/>
    <mergeCell ref="X470:Y470"/>
    <mergeCell ref="J471:K471"/>
    <mergeCell ref="N471:O471"/>
    <mergeCell ref="U471:V471"/>
    <mergeCell ref="X471:Y471"/>
    <mergeCell ref="J472:K472"/>
    <mergeCell ref="N472:O472"/>
    <mergeCell ref="U472:V472"/>
    <mergeCell ref="X472:Y472"/>
    <mergeCell ref="J473:K473"/>
    <mergeCell ref="N473:O473"/>
    <mergeCell ref="U473:V473"/>
    <mergeCell ref="X473:Y473"/>
    <mergeCell ref="J474:K474"/>
    <mergeCell ref="N474:O474"/>
    <mergeCell ref="U474:V474"/>
    <mergeCell ref="X474:Y474"/>
    <mergeCell ref="J475:K475"/>
    <mergeCell ref="N475:O475"/>
    <mergeCell ref="U475:V475"/>
    <mergeCell ref="X475:Y475"/>
    <mergeCell ref="J476:K476"/>
    <mergeCell ref="N476:O476"/>
    <mergeCell ref="U476:V476"/>
    <mergeCell ref="X476:Y476"/>
    <mergeCell ref="J477:K477"/>
    <mergeCell ref="N477:O477"/>
    <mergeCell ref="U477:V477"/>
    <mergeCell ref="X477:Y477"/>
    <mergeCell ref="J478:K478"/>
    <mergeCell ref="N478:O478"/>
    <mergeCell ref="U478:V478"/>
    <mergeCell ref="X478:Y478"/>
    <mergeCell ref="J479:K479"/>
    <mergeCell ref="N479:O479"/>
    <mergeCell ref="U479:V479"/>
    <mergeCell ref="X479:Y479"/>
    <mergeCell ref="J480:K480"/>
    <mergeCell ref="N480:O480"/>
    <mergeCell ref="U480:V480"/>
    <mergeCell ref="X480:Y480"/>
    <mergeCell ref="J481:K481"/>
    <mergeCell ref="N481:O481"/>
    <mergeCell ref="U481:V481"/>
    <mergeCell ref="X481:Y481"/>
    <mergeCell ref="J482:K482"/>
    <mergeCell ref="N482:O482"/>
    <mergeCell ref="U482:V482"/>
    <mergeCell ref="X482:Y482"/>
    <mergeCell ref="J483:K483"/>
    <mergeCell ref="N483:O483"/>
    <mergeCell ref="U483:V483"/>
    <mergeCell ref="X483:Y483"/>
    <mergeCell ref="J484:K484"/>
    <mergeCell ref="N484:O484"/>
    <mergeCell ref="U484:V484"/>
    <mergeCell ref="X484:Y484"/>
    <mergeCell ref="J485:K485"/>
    <mergeCell ref="N485:O485"/>
    <mergeCell ref="U485:V485"/>
    <mergeCell ref="X485:Y485"/>
    <mergeCell ref="J486:K486"/>
    <mergeCell ref="N486:O486"/>
    <mergeCell ref="U486:V486"/>
    <mergeCell ref="X486:Y486"/>
    <mergeCell ref="J487:K487"/>
    <mergeCell ref="N487:O487"/>
    <mergeCell ref="U487:V487"/>
    <mergeCell ref="X487:Y487"/>
    <mergeCell ref="J488:K488"/>
    <mergeCell ref="N488:O488"/>
    <mergeCell ref="U488:V488"/>
    <mergeCell ref="X488:Y488"/>
    <mergeCell ref="J489:K489"/>
    <mergeCell ref="N489:O489"/>
    <mergeCell ref="U489:V489"/>
    <mergeCell ref="X489:Y489"/>
    <mergeCell ref="J490:K490"/>
    <mergeCell ref="N490:O490"/>
    <mergeCell ref="U490:V490"/>
    <mergeCell ref="X490:Y490"/>
    <mergeCell ref="J491:K491"/>
    <mergeCell ref="N491:O491"/>
    <mergeCell ref="U491:V491"/>
    <mergeCell ref="X491:Y491"/>
    <mergeCell ref="J492:K492"/>
    <mergeCell ref="N492:O492"/>
    <mergeCell ref="U492:V492"/>
    <mergeCell ref="X492:Y492"/>
    <mergeCell ref="J493:K493"/>
    <mergeCell ref="N493:O493"/>
    <mergeCell ref="U493:V493"/>
    <mergeCell ref="X493:Y493"/>
    <mergeCell ref="J494:K494"/>
    <mergeCell ref="N494:O494"/>
    <mergeCell ref="U494:V494"/>
    <mergeCell ref="X494:Y494"/>
    <mergeCell ref="J495:K495"/>
    <mergeCell ref="N495:O495"/>
    <mergeCell ref="U495:V495"/>
    <mergeCell ref="X495:Y495"/>
    <mergeCell ref="J496:K496"/>
    <mergeCell ref="N496:O496"/>
    <mergeCell ref="U496:V496"/>
    <mergeCell ref="X496:Y496"/>
    <mergeCell ref="J497:K497"/>
    <mergeCell ref="N497:O497"/>
    <mergeCell ref="U497:V497"/>
    <mergeCell ref="X497:Y497"/>
    <mergeCell ref="J498:K498"/>
    <mergeCell ref="N498:O498"/>
    <mergeCell ref="U498:V498"/>
    <mergeCell ref="X498:Y498"/>
    <mergeCell ref="J499:K499"/>
    <mergeCell ref="N499:O499"/>
    <mergeCell ref="U499:V499"/>
    <mergeCell ref="X499:Y499"/>
    <mergeCell ref="J500:K500"/>
    <mergeCell ref="N500:O500"/>
    <mergeCell ref="U500:V500"/>
    <mergeCell ref="X500:Y500"/>
    <mergeCell ref="J501:K501"/>
    <mergeCell ref="N501:O501"/>
    <mergeCell ref="U501:V501"/>
    <mergeCell ref="X501:Y501"/>
    <mergeCell ref="J502:K502"/>
    <mergeCell ref="N502:O502"/>
    <mergeCell ref="U502:V502"/>
    <mergeCell ref="X502:Y502"/>
    <mergeCell ref="J503:K503"/>
    <mergeCell ref="N503:O503"/>
    <mergeCell ref="U503:V503"/>
    <mergeCell ref="X503:Y503"/>
    <mergeCell ref="J504:K504"/>
    <mergeCell ref="N504:O504"/>
    <mergeCell ref="U504:V504"/>
    <mergeCell ref="X504:Y504"/>
    <mergeCell ref="J505:K505"/>
    <mergeCell ref="N505:O505"/>
    <mergeCell ref="U505:V505"/>
    <mergeCell ref="X505:Y505"/>
    <mergeCell ref="J506:K506"/>
    <mergeCell ref="N506:O506"/>
    <mergeCell ref="U506:V506"/>
    <mergeCell ref="X506:Y506"/>
    <mergeCell ref="J507:K507"/>
    <mergeCell ref="N507:O507"/>
    <mergeCell ref="U507:V507"/>
    <mergeCell ref="X507:Y507"/>
    <mergeCell ref="J508:K508"/>
    <mergeCell ref="N508:O508"/>
    <mergeCell ref="U508:V508"/>
    <mergeCell ref="X508:Y508"/>
    <mergeCell ref="J509:K509"/>
    <mergeCell ref="N509:O509"/>
    <mergeCell ref="U509:V509"/>
    <mergeCell ref="X509:Y509"/>
    <mergeCell ref="J510:K510"/>
    <mergeCell ref="N510:O510"/>
    <mergeCell ref="U510:V510"/>
    <mergeCell ref="X510:Y510"/>
    <mergeCell ref="J511:K511"/>
    <mergeCell ref="N511:O511"/>
    <mergeCell ref="U511:V511"/>
    <mergeCell ref="X511:Y511"/>
    <mergeCell ref="J512:K512"/>
    <mergeCell ref="N512:O512"/>
    <mergeCell ref="U512:V512"/>
    <mergeCell ref="X512:Y512"/>
    <mergeCell ref="J513:K513"/>
    <mergeCell ref="N513:O513"/>
    <mergeCell ref="U513:V513"/>
    <mergeCell ref="X513:Y513"/>
    <mergeCell ref="J514:K514"/>
    <mergeCell ref="N514:O514"/>
    <mergeCell ref="U514:V514"/>
    <mergeCell ref="X514:Y514"/>
    <mergeCell ref="J515:K515"/>
    <mergeCell ref="N515:O515"/>
    <mergeCell ref="U515:V515"/>
    <mergeCell ref="X515:Y515"/>
    <mergeCell ref="J516:K516"/>
    <mergeCell ref="N516:O516"/>
    <mergeCell ref="U516:V516"/>
    <mergeCell ref="X516:Y516"/>
    <mergeCell ref="J517:K517"/>
    <mergeCell ref="N517:O517"/>
    <mergeCell ref="U517:V517"/>
    <mergeCell ref="X517:Y517"/>
    <mergeCell ref="J518:K518"/>
    <mergeCell ref="N518:O518"/>
    <mergeCell ref="U518:V518"/>
    <mergeCell ref="X518:Y518"/>
    <mergeCell ref="J519:K519"/>
    <mergeCell ref="N519:O519"/>
    <mergeCell ref="U519:V519"/>
    <mergeCell ref="X519:Y519"/>
    <mergeCell ref="J520:K520"/>
    <mergeCell ref="N520:O520"/>
    <mergeCell ref="U520:V520"/>
    <mergeCell ref="X520:Y520"/>
    <mergeCell ref="J521:K521"/>
    <mergeCell ref="N521:O521"/>
    <mergeCell ref="U521:V521"/>
    <mergeCell ref="X521:Y521"/>
    <mergeCell ref="J522:K522"/>
    <mergeCell ref="N522:O522"/>
    <mergeCell ref="U522:V522"/>
    <mergeCell ref="X522:Y522"/>
    <mergeCell ref="J523:K523"/>
    <mergeCell ref="N523:O523"/>
    <mergeCell ref="U523:V523"/>
    <mergeCell ref="X523:Y523"/>
    <mergeCell ref="J524:K524"/>
    <mergeCell ref="N524:O524"/>
    <mergeCell ref="U524:V524"/>
    <mergeCell ref="X524:Y524"/>
    <mergeCell ref="J525:K525"/>
    <mergeCell ref="N525:O525"/>
    <mergeCell ref="U525:V525"/>
    <mergeCell ref="X525:Y525"/>
    <mergeCell ref="J526:K526"/>
    <mergeCell ref="N526:O526"/>
    <mergeCell ref="U526:V526"/>
    <mergeCell ref="X526:Y526"/>
    <mergeCell ref="J527:K527"/>
    <mergeCell ref="N527:O527"/>
    <mergeCell ref="U527:V527"/>
    <mergeCell ref="X527:Y527"/>
    <mergeCell ref="J528:K528"/>
    <mergeCell ref="N528:O528"/>
    <mergeCell ref="U528:V528"/>
    <mergeCell ref="X528:Y528"/>
    <mergeCell ref="J529:K529"/>
    <mergeCell ref="N529:O529"/>
    <mergeCell ref="U529:V529"/>
    <mergeCell ref="X529:Y529"/>
    <mergeCell ref="J530:K530"/>
    <mergeCell ref="N530:O530"/>
    <mergeCell ref="U530:V530"/>
    <mergeCell ref="X530:Y530"/>
    <mergeCell ref="J531:K531"/>
    <mergeCell ref="N531:O531"/>
    <mergeCell ref="U531:V531"/>
    <mergeCell ref="X531:Y531"/>
    <mergeCell ref="J532:K532"/>
    <mergeCell ref="N532:O532"/>
    <mergeCell ref="U532:V532"/>
    <mergeCell ref="X532:Y532"/>
    <mergeCell ref="J533:K533"/>
    <mergeCell ref="N533:O533"/>
    <mergeCell ref="U533:V533"/>
    <mergeCell ref="X533:Y533"/>
    <mergeCell ref="J534:K534"/>
    <mergeCell ref="N534:O534"/>
    <mergeCell ref="U534:V534"/>
    <mergeCell ref="X534:Y534"/>
    <mergeCell ref="J535:K535"/>
    <mergeCell ref="N535:O535"/>
    <mergeCell ref="U535:V535"/>
    <mergeCell ref="X535:Y535"/>
    <mergeCell ref="J536:K536"/>
    <mergeCell ref="N536:O536"/>
    <mergeCell ref="U536:V536"/>
    <mergeCell ref="X536:Y536"/>
    <mergeCell ref="J537:K537"/>
    <mergeCell ref="N537:O537"/>
    <mergeCell ref="U537:V537"/>
    <mergeCell ref="X537:Y537"/>
    <mergeCell ref="J538:K538"/>
    <mergeCell ref="N538:O538"/>
    <mergeCell ref="U538:V538"/>
    <mergeCell ref="X538:Y538"/>
    <mergeCell ref="J539:K539"/>
    <mergeCell ref="N539:O539"/>
    <mergeCell ref="U539:V539"/>
    <mergeCell ref="X539:Y539"/>
    <mergeCell ref="J540:K540"/>
    <mergeCell ref="N540:O540"/>
    <mergeCell ref="U540:V540"/>
    <mergeCell ref="X540:Y540"/>
    <mergeCell ref="J541:K541"/>
    <mergeCell ref="N541:O541"/>
    <mergeCell ref="U541:V541"/>
    <mergeCell ref="X541:Y541"/>
    <mergeCell ref="J542:K542"/>
    <mergeCell ref="N542:O542"/>
    <mergeCell ref="U542:V542"/>
    <mergeCell ref="X542:Y542"/>
    <mergeCell ref="J543:K543"/>
    <mergeCell ref="N543:O543"/>
    <mergeCell ref="U543:V543"/>
    <mergeCell ref="X543:Y543"/>
    <mergeCell ref="J544:K544"/>
    <mergeCell ref="N544:O544"/>
    <mergeCell ref="U544:V544"/>
    <mergeCell ref="X544:Y544"/>
    <mergeCell ref="J545:K545"/>
    <mergeCell ref="N545:O545"/>
    <mergeCell ref="U545:V545"/>
    <mergeCell ref="X545:Y545"/>
    <mergeCell ref="J546:K546"/>
    <mergeCell ref="N546:O546"/>
    <mergeCell ref="U546:V546"/>
    <mergeCell ref="X546:Y546"/>
    <mergeCell ref="J547:K547"/>
    <mergeCell ref="N547:O547"/>
    <mergeCell ref="U547:V547"/>
    <mergeCell ref="X547:Y547"/>
    <mergeCell ref="J548:K548"/>
    <mergeCell ref="N548:O548"/>
    <mergeCell ref="U548:V548"/>
    <mergeCell ref="X548:Y548"/>
    <mergeCell ref="J549:K549"/>
    <mergeCell ref="N549:O549"/>
    <mergeCell ref="U549:V549"/>
    <mergeCell ref="X549:Y549"/>
    <mergeCell ref="J550:K550"/>
    <mergeCell ref="N550:O550"/>
    <mergeCell ref="U550:V550"/>
    <mergeCell ref="X550:Y550"/>
    <mergeCell ref="J551:K551"/>
    <mergeCell ref="N551:O551"/>
    <mergeCell ref="U551:V551"/>
    <mergeCell ref="X551:Y551"/>
    <mergeCell ref="J552:K552"/>
    <mergeCell ref="N552:O552"/>
    <mergeCell ref="U552:V552"/>
    <mergeCell ref="X552:Y552"/>
    <mergeCell ref="J553:K553"/>
    <mergeCell ref="N553:O553"/>
    <mergeCell ref="U553:V553"/>
    <mergeCell ref="X553:Y553"/>
    <mergeCell ref="J554:K554"/>
    <mergeCell ref="N554:O554"/>
    <mergeCell ref="U554:V554"/>
    <mergeCell ref="X554:Y554"/>
    <mergeCell ref="J555:K555"/>
    <mergeCell ref="N555:O555"/>
    <mergeCell ref="U555:V555"/>
    <mergeCell ref="X555:Y555"/>
    <mergeCell ref="J556:K556"/>
    <mergeCell ref="N556:O556"/>
    <mergeCell ref="U556:V556"/>
    <mergeCell ref="X556:Y556"/>
    <mergeCell ref="J557:K557"/>
    <mergeCell ref="N557:O557"/>
    <mergeCell ref="U557:V557"/>
    <mergeCell ref="X557:Y557"/>
    <mergeCell ref="J558:K558"/>
    <mergeCell ref="N558:O558"/>
    <mergeCell ref="U558:V558"/>
    <mergeCell ref="X558:Y558"/>
    <mergeCell ref="J559:K559"/>
    <mergeCell ref="N559:O559"/>
    <mergeCell ref="U559:V559"/>
    <mergeCell ref="X559:Y559"/>
    <mergeCell ref="J560:K560"/>
    <mergeCell ref="N560:O560"/>
    <mergeCell ref="U560:V560"/>
    <mergeCell ref="X560:Y560"/>
    <mergeCell ref="J561:K561"/>
    <mergeCell ref="N561:O561"/>
    <mergeCell ref="U561:V561"/>
    <mergeCell ref="X561:Y561"/>
    <mergeCell ref="J562:K562"/>
    <mergeCell ref="N562:O562"/>
    <mergeCell ref="U562:V562"/>
    <mergeCell ref="X562:Y562"/>
    <mergeCell ref="J563:K563"/>
    <mergeCell ref="N563:O563"/>
    <mergeCell ref="U563:V563"/>
    <mergeCell ref="X563:Y563"/>
    <mergeCell ref="J564:K564"/>
    <mergeCell ref="N564:O564"/>
    <mergeCell ref="U564:V564"/>
    <mergeCell ref="X564:Y564"/>
    <mergeCell ref="J565:K565"/>
    <mergeCell ref="N565:O565"/>
    <mergeCell ref="U565:V565"/>
    <mergeCell ref="X565:Y565"/>
    <mergeCell ref="J566:K566"/>
    <mergeCell ref="N566:O566"/>
    <mergeCell ref="U566:V566"/>
    <mergeCell ref="X566:Y566"/>
    <mergeCell ref="J567:K567"/>
    <mergeCell ref="N567:O567"/>
    <mergeCell ref="U567:V567"/>
    <mergeCell ref="X567:Y567"/>
    <mergeCell ref="J568:K568"/>
    <mergeCell ref="N568:O568"/>
    <mergeCell ref="U568:V568"/>
    <mergeCell ref="X568:Y568"/>
    <mergeCell ref="J569:K569"/>
    <mergeCell ref="N569:O569"/>
    <mergeCell ref="U569:V569"/>
    <mergeCell ref="X569:Y569"/>
    <mergeCell ref="J570:K570"/>
    <mergeCell ref="N570:O570"/>
    <mergeCell ref="U570:V570"/>
    <mergeCell ref="X570:Y570"/>
    <mergeCell ref="J571:K571"/>
    <mergeCell ref="N571:O571"/>
    <mergeCell ref="U571:V571"/>
    <mergeCell ref="X571:Y571"/>
    <mergeCell ref="J572:K572"/>
    <mergeCell ref="N572:O572"/>
    <mergeCell ref="U572:V572"/>
    <mergeCell ref="X572:Y572"/>
    <mergeCell ref="J573:K573"/>
    <mergeCell ref="N573:O573"/>
    <mergeCell ref="U573:V573"/>
    <mergeCell ref="X573:Y573"/>
    <mergeCell ref="J574:K574"/>
    <mergeCell ref="N574:O574"/>
    <mergeCell ref="U574:V574"/>
    <mergeCell ref="X574:Y574"/>
    <mergeCell ref="J575:K575"/>
    <mergeCell ref="N575:O575"/>
    <mergeCell ref="U575:V575"/>
    <mergeCell ref="X575:Y575"/>
    <mergeCell ref="J576:K576"/>
    <mergeCell ref="N576:O576"/>
    <mergeCell ref="U576:V576"/>
    <mergeCell ref="X576:Y576"/>
    <mergeCell ref="J577:K577"/>
    <mergeCell ref="N577:O577"/>
    <mergeCell ref="U577:V577"/>
    <mergeCell ref="X577:Y577"/>
    <mergeCell ref="J578:K578"/>
    <mergeCell ref="N578:O578"/>
    <mergeCell ref="U578:V578"/>
    <mergeCell ref="X578:Y578"/>
    <mergeCell ref="J579:K579"/>
    <mergeCell ref="N579:O579"/>
    <mergeCell ref="U579:V579"/>
    <mergeCell ref="X579:Y579"/>
    <mergeCell ref="J580:K580"/>
    <mergeCell ref="N580:O580"/>
    <mergeCell ref="U580:V580"/>
    <mergeCell ref="X580:Y580"/>
    <mergeCell ref="J581:K581"/>
    <mergeCell ref="N581:O581"/>
    <mergeCell ref="U581:V581"/>
    <mergeCell ref="X581:Y581"/>
    <mergeCell ref="J582:K582"/>
    <mergeCell ref="N582:O582"/>
    <mergeCell ref="U582:V582"/>
    <mergeCell ref="X582:Y582"/>
    <mergeCell ref="J583:K583"/>
    <mergeCell ref="N583:O583"/>
    <mergeCell ref="U583:V583"/>
    <mergeCell ref="X583:Y583"/>
    <mergeCell ref="J584:K584"/>
    <mergeCell ref="N584:O584"/>
    <mergeCell ref="U584:V584"/>
    <mergeCell ref="X584:Y584"/>
    <mergeCell ref="J585:K585"/>
    <mergeCell ref="N585:O585"/>
    <mergeCell ref="U585:V585"/>
    <mergeCell ref="X585:Y585"/>
    <mergeCell ref="J586:K586"/>
    <mergeCell ref="N586:O586"/>
    <mergeCell ref="U586:V586"/>
    <mergeCell ref="X586:Y586"/>
    <mergeCell ref="J587:K587"/>
    <mergeCell ref="N587:O587"/>
    <mergeCell ref="U587:V587"/>
    <mergeCell ref="X587:Y587"/>
    <mergeCell ref="J588:K588"/>
    <mergeCell ref="N588:O588"/>
    <mergeCell ref="U588:V588"/>
    <mergeCell ref="X588:Y588"/>
    <mergeCell ref="J589:K589"/>
    <mergeCell ref="N589:O589"/>
    <mergeCell ref="U589:V589"/>
    <mergeCell ref="X589:Y589"/>
    <mergeCell ref="J590:K590"/>
    <mergeCell ref="N590:O590"/>
    <mergeCell ref="U590:V590"/>
    <mergeCell ref="X590:Y590"/>
    <mergeCell ref="J591:K591"/>
    <mergeCell ref="N591:O591"/>
    <mergeCell ref="U591:V591"/>
    <mergeCell ref="X591:Y591"/>
    <mergeCell ref="J592:K592"/>
    <mergeCell ref="N592:O592"/>
    <mergeCell ref="U592:V592"/>
    <mergeCell ref="X592:Y592"/>
    <mergeCell ref="J593:K593"/>
    <mergeCell ref="N593:O593"/>
    <mergeCell ref="U593:V593"/>
    <mergeCell ref="X593:Y593"/>
    <mergeCell ref="J594:K594"/>
    <mergeCell ref="N594:O594"/>
    <mergeCell ref="U594:V594"/>
    <mergeCell ref="X594:Y594"/>
    <mergeCell ref="J595:K595"/>
    <mergeCell ref="N595:O595"/>
    <mergeCell ref="U595:V595"/>
    <mergeCell ref="X595:Y595"/>
    <mergeCell ref="J596:K596"/>
    <mergeCell ref="N596:O596"/>
    <mergeCell ref="U596:V596"/>
    <mergeCell ref="X596:Y596"/>
    <mergeCell ref="J597:K597"/>
    <mergeCell ref="N597:O597"/>
    <mergeCell ref="U597:V597"/>
    <mergeCell ref="X597:Y597"/>
    <mergeCell ref="J598:K598"/>
    <mergeCell ref="N598:O598"/>
    <mergeCell ref="U598:V598"/>
    <mergeCell ref="X598:Y598"/>
    <mergeCell ref="J599:K599"/>
    <mergeCell ref="N599:O599"/>
    <mergeCell ref="U599:V599"/>
    <mergeCell ref="X599:Y599"/>
    <mergeCell ref="J600:K600"/>
    <mergeCell ref="N600:O600"/>
    <mergeCell ref="U600:V600"/>
    <mergeCell ref="X600:Y600"/>
    <mergeCell ref="J601:K601"/>
    <mergeCell ref="N601:O601"/>
    <mergeCell ref="U601:V601"/>
    <mergeCell ref="X601:Y601"/>
    <mergeCell ref="J602:K602"/>
    <mergeCell ref="N602:O602"/>
    <mergeCell ref="U602:V602"/>
    <mergeCell ref="X602:Y602"/>
    <mergeCell ref="J603:K603"/>
    <mergeCell ref="N603:O603"/>
    <mergeCell ref="U603:V603"/>
    <mergeCell ref="X603:Y603"/>
    <mergeCell ref="J604:K604"/>
    <mergeCell ref="N604:O604"/>
    <mergeCell ref="U604:V604"/>
    <mergeCell ref="X604:Y604"/>
    <mergeCell ref="A605:Y605"/>
    <mergeCell ref="A606:J606"/>
    <mergeCell ref="K606:U606"/>
    <mergeCell ref="V606:X606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42"/>
    <col collapsed="false" customWidth="true" hidden="false" outlineLevel="0" max="3" min="3" style="1" width="16"/>
    <col collapsed="false" customWidth="true" hidden="false" outlineLevel="0" max="4" min="4" style="1" width="50"/>
  </cols>
  <sheetData>
    <row r="1" customFormat="false" ht="15" hidden="false" customHeight="true" outlineLevel="0" collapsed="false">
      <c r="A1" s="23" t="s">
        <v>663</v>
      </c>
      <c r="B1" s="23" t="s">
        <v>11</v>
      </c>
      <c r="C1" s="23" t="s">
        <v>664</v>
      </c>
      <c r="D1" s="23" t="s">
        <v>27</v>
      </c>
    </row>
    <row r="2" customFormat="false" ht="15" hidden="false" customHeight="true" outlineLevel="0" collapsed="false">
      <c r="A2" s="24" t="n">
        <f aca="false">Report!C50</f>
        <v>46204</v>
      </c>
      <c r="B2" s="25" t="str">
        <f aca="false">Report!E50</f>
        <v>FALCAO INDUSTRIA DE ALIMENTOS LTDA</v>
      </c>
      <c r="C2" s="26" t="n">
        <f aca="false">Report!U50</f>
        <v>922.07</v>
      </c>
      <c r="D2" s="25" t="str">
        <f aca="false">Report!X50</f>
        <v>NF 34450 ELLEN</v>
      </c>
    </row>
    <row r="3" customFormat="false" ht="15" hidden="false" customHeight="true" outlineLevel="0" collapsed="false">
      <c r="A3" s="24" t="n">
        <f aca="false">Report!C51</f>
        <v>46204</v>
      </c>
      <c r="B3" s="25" t="str">
        <f aca="false">Report!E51</f>
        <v>FALCAO INDUSTRIA DE ALIMENTOS LTDA</v>
      </c>
      <c r="C3" s="26" t="n">
        <f aca="false">Report!U51</f>
        <v>550.99</v>
      </c>
      <c r="D3" s="25" t="str">
        <f aca="false">Report!X51</f>
        <v>NF 30199 ELLEN</v>
      </c>
    </row>
    <row r="4" customFormat="false" ht="15" hidden="false" customHeight="true" outlineLevel="0" collapsed="false">
      <c r="A4" s="24" t="n">
        <f aca="false">Report!C56</f>
        <v>46204</v>
      </c>
      <c r="B4" s="25" t="str">
        <f aca="false">Report!E56</f>
        <v>BRF S A</v>
      </c>
      <c r="C4" s="26" t="n">
        <f aca="false">Report!U56</f>
        <v>1104.14</v>
      </c>
      <c r="D4" s="25" t="str">
        <f aca="false">Report!X56</f>
        <v>NF 1595886 ELLEN</v>
      </c>
    </row>
    <row r="5" customFormat="false" ht="15" hidden="false" customHeight="true" outlineLevel="0" collapsed="false">
      <c r="A5" s="24" t="n">
        <f aca="false">Report!C67</f>
        <v>46204</v>
      </c>
      <c r="B5" s="25" t="str">
        <f aca="false">Report!E67</f>
        <v>ADRIANA DISTRIBUIDORA DE PRODUTOS ALIMEN</v>
      </c>
      <c r="C5" s="26" t="n">
        <f aca="false">Report!U67</f>
        <v>589.08</v>
      </c>
      <c r="D5" s="25" t="str">
        <f aca="false">Report!X67</f>
        <v>NF 878758 ELLEN</v>
      </c>
    </row>
    <row r="6" customFormat="false" ht="15" hidden="false" customHeight="true" outlineLevel="0" collapsed="false">
      <c r="A6" s="24" t="n">
        <f aca="false">Report!C82</f>
        <v>46204</v>
      </c>
      <c r="B6" s="25" t="str">
        <f aca="false">Report!E82</f>
        <v>OESA COMERCIO E REPRESENTACOES S/A</v>
      </c>
      <c r="C6" s="26" t="n">
        <f aca="false">Report!U82</f>
        <v>61.57</v>
      </c>
      <c r="D6" s="25" t="str">
        <f aca="false">Report!X82</f>
        <v>NF 416678 ELLEN</v>
      </c>
    </row>
    <row r="7" customFormat="false" ht="15" hidden="false" customHeight="true" outlineLevel="0" collapsed="false">
      <c r="A7" s="24" t="n">
        <f aca="false">Report!C86</f>
        <v>46204</v>
      </c>
      <c r="B7" s="25" t="str">
        <f aca="false">Report!E86</f>
        <v>FALCAO INDUSTRIA DE ALIMENTOS LTDA</v>
      </c>
      <c r="C7" s="26" t="n">
        <f aca="false">Report!U86</f>
        <v>551.88</v>
      </c>
      <c r="D7" s="25" t="str">
        <f aca="false">Report!X86</f>
        <v>NF 30415 ELLEN</v>
      </c>
    </row>
    <row r="8" customFormat="false" ht="15" hidden="false" customHeight="true" outlineLevel="0" collapsed="false">
      <c r="A8" s="24" t="n">
        <f aca="false">Report!C88</f>
        <v>46204</v>
      </c>
      <c r="B8" s="25" t="str">
        <f aca="false">Report!E88</f>
        <v>TRES CORACOES ALIMENTOS S.A.</v>
      </c>
      <c r="C8" s="26" t="n">
        <f aca="false">Report!U88</f>
        <v>877.26</v>
      </c>
      <c r="D8" s="25" t="str">
        <f aca="false">Report!X88</f>
        <v>NF 346452 ELLEN</v>
      </c>
    </row>
    <row r="9" customFormat="false" ht="15" hidden="false" customHeight="true" outlineLevel="0" collapsed="false">
      <c r="A9" s="24" t="n">
        <f aca="false">Report!C123</f>
        <v>46204</v>
      </c>
      <c r="B9" s="25" t="str">
        <f aca="false">Report!E123</f>
        <v>BRF S A</v>
      </c>
      <c r="C9" s="26" t="n">
        <f aca="false">Report!U123</f>
        <v>671.16</v>
      </c>
      <c r="D9" s="25" t="str">
        <f aca="false">Report!X123</f>
        <v>NF 1598763 ELLEN</v>
      </c>
    </row>
    <row r="10" customFormat="false" ht="15" hidden="false" customHeight="true" outlineLevel="0" collapsed="false">
      <c r="A10" s="24" t="n">
        <f aca="false">Report!C152</f>
        <v>46204</v>
      </c>
      <c r="B10" s="25" t="str">
        <f aca="false">Report!E152</f>
        <v>LINU LOJAS DE VARIEDADES LTDA</v>
      </c>
      <c r="C10" s="26" t="n">
        <f aca="false">Report!U152</f>
        <v>2913</v>
      </c>
      <c r="D10" s="25" t="str">
        <f aca="false">Report!X152</f>
        <v>NF 596 CARTÃO DIA 1 - AV -ELLEN</v>
      </c>
    </row>
    <row r="11" customFormat="false" ht="15" hidden="false" customHeight="true" outlineLevel="0" collapsed="false">
      <c r="A11" s="24" t="n">
        <f aca="false">Report!C153</f>
        <v>46204</v>
      </c>
      <c r="B11" s="25" t="str">
        <f aca="false">Report!E153</f>
        <v>A. CORREA JUNIOR</v>
      </c>
      <c r="C11" s="26" t="n">
        <f aca="false">Report!U153</f>
        <v>1290.17</v>
      </c>
      <c r="D11" s="25" t="str">
        <f aca="false">Report!X153</f>
        <v>NF 1829 CARTÃO DIA 1 PARC 1/3 - ELLEN</v>
      </c>
    </row>
    <row r="12" customFormat="false" ht="15" hidden="false" customHeight="true" outlineLevel="0" collapsed="false">
      <c r="A12" s="24" t="n">
        <f aca="false">Report!C156</f>
        <v>46204</v>
      </c>
      <c r="B12" s="25" t="str">
        <f aca="false">Report!E156</f>
        <v>SHMILY COMERCIO DE ARTIGOS DO VESTUARIO</v>
      </c>
      <c r="C12" s="26" t="n">
        <f aca="false">Report!U156</f>
        <v>1377</v>
      </c>
      <c r="D12" s="25" t="str">
        <f aca="false">Report!X156</f>
        <v>NF 420 CARTÃO DIA - AV - ELLEN</v>
      </c>
    </row>
    <row r="13" customFormat="false" ht="15" hidden="false" customHeight="true" outlineLevel="0" collapsed="false">
      <c r="A13" s="24" t="n">
        <f aca="false">Report!C157</f>
        <v>46204</v>
      </c>
      <c r="B13" s="25" t="str">
        <f aca="false">Report!E157</f>
        <v>XF 10 LOJA DE VARIEDADES LTDA</v>
      </c>
      <c r="C13" s="26" t="n">
        <f aca="false">Report!U157</f>
        <v>683.06</v>
      </c>
      <c r="D13" s="25" t="str">
        <f aca="false">Report!X157</f>
        <v>NF 1006 CARTÃO DIA 1 PARC 1/2 - ELLEN</v>
      </c>
    </row>
    <row r="14" customFormat="false" ht="15" hidden="false" customHeight="true" outlineLevel="0" collapsed="false">
      <c r="A14" s="24" t="n">
        <f aca="false">Report!C159</f>
        <v>46204</v>
      </c>
      <c r="B14" s="25" t="str">
        <f aca="false">Report!E159</f>
        <v>ILTON DA SILVA DOURADO 75418711253</v>
      </c>
      <c r="C14" s="26" t="n">
        <f aca="false">Report!U159</f>
        <v>1195</v>
      </c>
      <c r="D14" s="25" t="str">
        <f aca="false">Report!X159</f>
        <v>NF 2316 CARTÃO DIA 1 - AV - ELLEN</v>
      </c>
    </row>
    <row r="15" customFormat="false" ht="15" hidden="false" customHeight="true" outlineLevel="0" collapsed="false">
      <c r="A15" s="24" t="n">
        <f aca="false">Report!C160</f>
        <v>46204</v>
      </c>
      <c r="B15" s="25" t="str">
        <f aca="false">Report!E160</f>
        <v>LUIS HENRIQUE FROTA MAGALHAES</v>
      </c>
      <c r="C15" s="26" t="n">
        <f aca="false">Report!U160</f>
        <v>351.53</v>
      </c>
      <c r="D15" s="25" t="str">
        <f aca="false">Report!X160</f>
        <v>NF 1948 CARTÃO DIA 1 - PARC 1/2 - ELLEN</v>
      </c>
    </row>
    <row r="16" customFormat="false" ht="15" hidden="false" customHeight="true" outlineLevel="0" collapsed="false">
      <c r="A16" s="24" t="n">
        <f aca="false">Report!C168</f>
        <v>46204</v>
      </c>
      <c r="B16" s="25" t="str">
        <f aca="false">Report!E168</f>
        <v>J G COMERCIO DE PRODUTOS ALIMENTICIOS LTDA</v>
      </c>
      <c r="C16" s="26" t="n">
        <f aca="false">Report!U168</f>
        <v>314.44</v>
      </c>
      <c r="D16" s="25" t="str">
        <f aca="false">Report!X168</f>
        <v>NF 388857 ELLEN</v>
      </c>
    </row>
    <row r="17" customFormat="false" ht="15" hidden="false" customHeight="true" outlineLevel="0" collapsed="false">
      <c r="A17" s="24" t="n">
        <f aca="false">Report!C191</f>
        <v>46204</v>
      </c>
      <c r="B17" s="25" t="str">
        <f aca="false">Report!E191</f>
        <v>PANIFICADORA E CONFEITARIA REAL MADRI LTDA</v>
      </c>
      <c r="C17" s="26" t="n">
        <f aca="false">Report!U191</f>
        <v>345.65</v>
      </c>
      <c r="D17" s="25" t="str">
        <f aca="false">Report!X191</f>
        <v>NF 685 ELLEN</v>
      </c>
    </row>
    <row r="18" customFormat="false" ht="15" hidden="false" customHeight="true" outlineLevel="0" collapsed="false">
      <c r="A18" s="24" t="n">
        <f aca="false">Report!C201</f>
        <v>46204</v>
      </c>
      <c r="B18" s="25" t="str">
        <f aca="false">Report!E201</f>
        <v>J W N DOS SANTOS</v>
      </c>
      <c r="C18" s="26" t="n">
        <f aca="false">Report!U201</f>
        <v>310</v>
      </c>
      <c r="D18" s="25" t="str">
        <f aca="false">Report!X201</f>
        <v>NF 325 ELLEN</v>
      </c>
    </row>
    <row r="19" customFormat="false" ht="15" hidden="false" customHeight="true" outlineLevel="0" collapsed="false">
      <c r="A19" s="24" t="n">
        <f aca="false">Report!C222</f>
        <v>46204</v>
      </c>
      <c r="B19" s="25" t="str">
        <f aca="false">Report!E222</f>
        <v>NEYLIANE S DE OLIVEIRA &amp; CIA LTDA</v>
      </c>
      <c r="C19" s="26" t="n">
        <f aca="false">Report!U222</f>
        <v>210</v>
      </c>
      <c r="D19" s="25" t="str">
        <f aca="false">Report!X222</f>
        <v>COMPRAS - 15L DE ACAI - PG NO P 1/7/26 ELLEN</v>
      </c>
    </row>
    <row r="20" customFormat="false" ht="15" hidden="false" customHeight="true" outlineLevel="0" collapsed="false">
      <c r="A20" s="24" t="n">
        <f aca="false">Report!C247</f>
        <v>46204</v>
      </c>
      <c r="B20" s="25" t="str">
        <f aca="false">Report!E247</f>
        <v>JUROS A FORNECEDOR</v>
      </c>
      <c r="C20" s="26" t="n">
        <f aca="false">Report!U247</f>
        <v>70.33</v>
      </c>
      <c r="D20" s="25" t="str">
        <f aca="false">Report!X247</f>
        <v>JUROS FORNEC. MO2</v>
      </c>
    </row>
    <row r="21" customFormat="false" ht="15" hidden="false" customHeight="true" outlineLevel="0" collapsed="false">
      <c r="A21" s="24" t="n">
        <f aca="false">Report!C53</f>
        <v>46205</v>
      </c>
      <c r="B21" s="25" t="str">
        <f aca="false">Report!E53</f>
        <v>CB COMERCIO E DISTRIBUIDORA DE ALIMENTOS</v>
      </c>
      <c r="C21" s="26" t="n">
        <f aca="false">Report!U53</f>
        <v>844.74</v>
      </c>
      <c r="D21" s="25" t="str">
        <f aca="false">Report!X53</f>
        <v>NF 843147 ELLEN</v>
      </c>
    </row>
    <row r="22" customFormat="false" ht="15" hidden="false" customHeight="true" outlineLevel="0" collapsed="false">
      <c r="A22" s="24" t="n">
        <f aca="false">Report!C54</f>
        <v>46205</v>
      </c>
      <c r="B22" s="25" t="str">
        <f aca="false">Report!E54</f>
        <v>DUNORTE DISTRIBUIDORA DE PRODUTOS DE CONSUMO LTDA</v>
      </c>
      <c r="C22" s="26" t="n">
        <f aca="false">Report!U54</f>
        <v>1105.95</v>
      </c>
      <c r="D22" s="25" t="str">
        <f aca="false">Report!X54</f>
        <v>NF 3201284 ELLEN</v>
      </c>
    </row>
    <row r="23" customFormat="false" ht="15" hidden="false" customHeight="true" outlineLevel="0" collapsed="false">
      <c r="A23" s="24" t="n">
        <f aca="false">Report!C58</f>
        <v>46205</v>
      </c>
      <c r="B23" s="25" t="str">
        <f aca="false">Report!E58</f>
        <v>DURAES DISTRIBUIDORA DE ESTIVAS LTDA</v>
      </c>
      <c r="C23" s="26" t="n">
        <f aca="false">Report!U58</f>
        <v>383.47</v>
      </c>
      <c r="D23" s="25" t="str">
        <f aca="false">Report!X58</f>
        <v>NF 645628 ELLEN</v>
      </c>
    </row>
    <row r="24" customFormat="false" ht="15" hidden="false" customHeight="true" outlineLevel="0" collapsed="false">
      <c r="A24" s="24" t="n">
        <f aca="false">Report!C60</f>
        <v>46205</v>
      </c>
      <c r="B24" s="25" t="str">
        <f aca="false">Report!E60</f>
        <v>NESTLÉ BRASIL LTDA.</v>
      </c>
      <c r="C24" s="26" t="n">
        <f aca="false">Report!U60</f>
        <v>731.24</v>
      </c>
      <c r="D24" s="25" t="str">
        <f aca="false">Report!X60</f>
        <v>NF 1415530 ELLEN</v>
      </c>
    </row>
    <row r="25" customFormat="false" ht="15" hidden="false" customHeight="true" outlineLevel="0" collapsed="false">
      <c r="A25" s="24" t="n">
        <f aca="false">Report!C64</f>
        <v>46205</v>
      </c>
      <c r="B25" s="25" t="str">
        <f aca="false">Report!E64</f>
        <v>NESTLÉ BRASIL LTDA.</v>
      </c>
      <c r="C25" s="26" t="n">
        <f aca="false">Report!U64</f>
        <v>1484.53</v>
      </c>
      <c r="D25" s="25" t="str">
        <f aca="false">Report!X64</f>
        <v>NF 1415529 ELLEN</v>
      </c>
    </row>
    <row r="26" customFormat="false" ht="15" hidden="false" customHeight="true" outlineLevel="0" collapsed="false">
      <c r="A26" s="24" t="n">
        <f aca="false">Report!C65</f>
        <v>46205</v>
      </c>
      <c r="B26" s="25" t="str">
        <f aca="false">Report!E65</f>
        <v>MARTINS COM SERV DISTR SA</v>
      </c>
      <c r="C26" s="26" t="n">
        <f aca="false">Report!U65</f>
        <v>613.33</v>
      </c>
      <c r="D26" s="25" t="str">
        <f aca="false">Report!X65</f>
        <v>NF 1771887 ELLEN</v>
      </c>
    </row>
    <row r="27" customFormat="false" ht="15" hidden="false" customHeight="true" outlineLevel="0" collapsed="false">
      <c r="A27" s="24" t="n">
        <f aca="false">Report!C74</f>
        <v>46205</v>
      </c>
      <c r="B27" s="25" t="str">
        <f aca="false">Report!E74</f>
        <v>RISADINHA LTDA</v>
      </c>
      <c r="C27" s="26" t="n">
        <f aca="false">Report!U74</f>
        <v>550.4</v>
      </c>
      <c r="D27" s="25" t="str">
        <f aca="false">Report!X74</f>
        <v>NF 658429 ELLEN</v>
      </c>
    </row>
    <row r="28" customFormat="false" ht="15" hidden="false" customHeight="true" outlineLevel="0" collapsed="false">
      <c r="A28" s="24" t="n">
        <f aca="false">Report!C91</f>
        <v>46205</v>
      </c>
      <c r="B28" s="25" t="str">
        <f aca="false">Report!E91</f>
        <v>BRASIL NORTE BEBIDAS S/A</v>
      </c>
      <c r="C28" s="26" t="n">
        <f aca="false">Report!U91</f>
        <v>1579.97</v>
      </c>
      <c r="D28" s="25" t="str">
        <f aca="false">Report!X91</f>
        <v>NF 1887053 ELLEN</v>
      </c>
    </row>
    <row r="29" customFormat="false" ht="15" hidden="false" customHeight="true" outlineLevel="0" collapsed="false">
      <c r="A29" s="24" t="n">
        <f aca="false">Report!C92</f>
        <v>46205</v>
      </c>
      <c r="B29" s="25" t="str">
        <f aca="false">Report!E92</f>
        <v>BRASIL NORTE BEBIDAS S/A</v>
      </c>
      <c r="C29" s="26" t="n">
        <f aca="false">Report!U92</f>
        <v>105.91</v>
      </c>
      <c r="D29" s="25" t="str">
        <f aca="false">Report!X92</f>
        <v>NF 1165748 ELLEN</v>
      </c>
    </row>
    <row r="30" customFormat="false" ht="15" hidden="false" customHeight="true" outlineLevel="0" collapsed="false">
      <c r="A30" s="24" t="n">
        <f aca="false">Report!C95</f>
        <v>46205</v>
      </c>
      <c r="B30" s="25" t="str">
        <f aca="false">Report!E95</f>
        <v>FH DISTRIBUIDORA DE ALIM. E BEBIDAS LTDA</v>
      </c>
      <c r="C30" s="26" t="n">
        <f aca="false">Report!U95</f>
        <v>496.2</v>
      </c>
      <c r="D30" s="25" t="str">
        <f aca="false">Report!X95</f>
        <v>NF 326863 ELLEN</v>
      </c>
    </row>
    <row r="31" customFormat="false" ht="15" hidden="false" customHeight="true" outlineLevel="0" collapsed="false">
      <c r="A31" s="24" t="n">
        <f aca="false">Report!C98</f>
        <v>46205</v>
      </c>
      <c r="B31" s="25" t="str">
        <f aca="false">Report!E98</f>
        <v>J G COMERCIO DE PRODUTOS ALIMENTICIOS LTDA</v>
      </c>
      <c r="C31" s="26" t="n">
        <f aca="false">Report!U98</f>
        <v>2664.53</v>
      </c>
      <c r="D31" s="25" t="str">
        <f aca="false">Report!X98</f>
        <v>NF 387833 ELLEN</v>
      </c>
    </row>
    <row r="32" customFormat="false" ht="15" hidden="false" customHeight="true" outlineLevel="0" collapsed="false">
      <c r="A32" s="24" t="n">
        <f aca="false">Report!C107</f>
        <v>46205</v>
      </c>
      <c r="B32" s="25" t="str">
        <f aca="false">Report!E107</f>
        <v>SL DISTRIBUIDORA COM. DE PROD. ALIMENTIC</v>
      </c>
      <c r="C32" s="26" t="n">
        <f aca="false">Report!U107</f>
        <v>552.38</v>
      </c>
      <c r="D32" s="25" t="str">
        <f aca="false">Report!X107</f>
        <v>NF 10423 ELLEN</v>
      </c>
    </row>
    <row r="33" customFormat="false" ht="15" hidden="false" customHeight="true" outlineLevel="0" collapsed="false">
      <c r="A33" s="24" t="n">
        <f aca="false">Report!C114</f>
        <v>46205</v>
      </c>
      <c r="B33" s="25" t="str">
        <f aca="false">Report!E114</f>
        <v>T A DE MATTOS COMIM EIRELI</v>
      </c>
      <c r="C33" s="26" t="n">
        <f aca="false">Report!U114</f>
        <v>228</v>
      </c>
      <c r="D33" s="25" t="str">
        <f aca="false">Report!X114</f>
        <v>NF 10605 ELLEN</v>
      </c>
    </row>
    <row r="34" customFormat="false" ht="15" hidden="false" customHeight="true" outlineLevel="0" collapsed="false">
      <c r="A34" s="24" t="n">
        <f aca="false">Report!C185</f>
        <v>46205</v>
      </c>
      <c r="B34" s="25" t="str">
        <f aca="false">Report!E185</f>
        <v>REAL BEBIDAS DA AMAZONIA LTDA</v>
      </c>
      <c r="C34" s="26" t="n">
        <f aca="false">Report!U185</f>
        <v>262</v>
      </c>
      <c r="D34" s="25" t="str">
        <f aca="false">Report!X185</f>
        <v>NF 590547 ELLEN</v>
      </c>
    </row>
    <row r="35" customFormat="false" ht="15" hidden="false" customHeight="true" outlineLevel="0" collapsed="false">
      <c r="A35" s="24" t="n">
        <f aca="false">Report!C186</f>
        <v>46205</v>
      </c>
      <c r="B35" s="25" t="str">
        <f aca="false">Report!E186</f>
        <v>LIMA E BARANDA COMERCIO DE PRODUTOS REGI</v>
      </c>
      <c r="C35" s="26" t="n">
        <f aca="false">Report!U186</f>
        <v>199</v>
      </c>
      <c r="D35" s="25" t="str">
        <f aca="false">Report!X186</f>
        <v>NF 31144 ELLEN</v>
      </c>
    </row>
    <row r="36" customFormat="false" ht="15" hidden="false" customHeight="true" outlineLevel="0" collapsed="false">
      <c r="A36" s="24" t="n">
        <f aca="false">Report!C215</f>
        <v>46205</v>
      </c>
      <c r="B36" s="25" t="str">
        <f aca="false">Report!E215</f>
        <v>ADICSO FABIAN GONZALEZ MONTILLA 70302186</v>
      </c>
      <c r="C36" s="26" t="n">
        <f aca="false">Report!U215</f>
        <v>180</v>
      </c>
      <c r="D36" s="25" t="str">
        <f aca="false">Report!X215</f>
        <v>NF 515 ELLEN</v>
      </c>
    </row>
    <row r="37" customFormat="false" ht="15" hidden="false" customHeight="true" outlineLevel="0" collapsed="false">
      <c r="A37" s="24" t="n">
        <f aca="false">Report!C572</f>
        <v>46205</v>
      </c>
      <c r="B37" s="25" t="str">
        <f aca="false">Report!E572</f>
        <v>H L M PADARIA E CONFEITARIA LTDA</v>
      </c>
      <c r="C37" s="26" t="n">
        <f aca="false">Report!U572</f>
        <v>140</v>
      </c>
      <c r="D37" s="25" t="str">
        <f aca="false">Report!X572</f>
        <v>NF 64 COMPRAS-BOLO PG NO P 2/7 ELLEN</v>
      </c>
    </row>
    <row r="38" customFormat="false" ht="15" hidden="false" customHeight="true" outlineLevel="0" collapsed="false">
      <c r="A38" s="24" t="n">
        <f aca="false">Report!C57</f>
        <v>46206</v>
      </c>
      <c r="B38" s="25" t="str">
        <f aca="false">Report!E57</f>
        <v>FENNIX BRASIL DISTRIBUIDORA DE PRODUTOS</v>
      </c>
      <c r="C38" s="26" t="n">
        <f aca="false">Report!U57</f>
        <v>866.36</v>
      </c>
      <c r="D38" s="25" t="str">
        <f aca="false">Report!X57</f>
        <v>NF 394904 ELLEN</v>
      </c>
    </row>
    <row r="39" customFormat="false" ht="15" hidden="false" customHeight="true" outlineLevel="0" collapsed="false">
      <c r="A39" s="24" t="n">
        <f aca="false">Report!C61</f>
        <v>46206</v>
      </c>
      <c r="B39" s="25" t="str">
        <f aca="false">Report!E61</f>
        <v>DUNORTE DISTRIBUIDORA DE PRODUTOS DE CONSUMO LTDA</v>
      </c>
      <c r="C39" s="26" t="n">
        <f aca="false">Report!U61</f>
        <v>892.08</v>
      </c>
      <c r="D39" s="25" t="str">
        <f aca="false">Report!X61</f>
        <v>NF 3201857 ELLEN</v>
      </c>
    </row>
    <row r="40" customFormat="false" ht="15" hidden="false" customHeight="true" outlineLevel="0" collapsed="false">
      <c r="A40" s="24" t="n">
        <f aca="false">Report!C100</f>
        <v>46206</v>
      </c>
      <c r="B40" s="25" t="str">
        <f aca="false">Report!E100</f>
        <v>DISTRIBUIDORA FARIAS LTDA.</v>
      </c>
      <c r="C40" s="26" t="n">
        <f aca="false">Report!U100</f>
        <v>658.25</v>
      </c>
      <c r="D40" s="25" t="str">
        <f aca="false">Report!X100</f>
        <v>NF 674938 ELLEN</v>
      </c>
    </row>
    <row r="41" customFormat="false" ht="15" hidden="false" customHeight="true" outlineLevel="0" collapsed="false">
      <c r="A41" s="24" t="n">
        <f aca="false">Report!C101</f>
        <v>46206</v>
      </c>
      <c r="B41" s="25" t="str">
        <f aca="false">Report!E101</f>
        <v>DISTRIBUIDORA FARIAS LTDA.</v>
      </c>
      <c r="C41" s="26" t="n">
        <f aca="false">Report!U101</f>
        <v>1055.34</v>
      </c>
      <c r="D41" s="25" t="str">
        <f aca="false">Report!X101</f>
        <v>NF 674937 ELLEN</v>
      </c>
    </row>
    <row r="42" customFormat="false" ht="15" hidden="false" customHeight="true" outlineLevel="0" collapsed="false">
      <c r="A42" s="24" t="n">
        <f aca="false">Report!C115</f>
        <v>46206</v>
      </c>
      <c r="B42" s="25" t="str">
        <f aca="false">Report!E115</f>
        <v>OESA COMERCIO E REPRESENTACOES S/A</v>
      </c>
      <c r="C42" s="26" t="n">
        <f aca="false">Report!U115</f>
        <v>619.99</v>
      </c>
      <c r="D42" s="25" t="str">
        <f aca="false">Report!X115</f>
        <v>NF 419092 ELLEN</v>
      </c>
    </row>
    <row r="43" customFormat="false" ht="15" hidden="false" customHeight="true" outlineLevel="0" collapsed="false">
      <c r="A43" s="24" t="n">
        <f aca="false">Report!C120</f>
        <v>46206</v>
      </c>
      <c r="B43" s="25" t="str">
        <f aca="false">Report!E120</f>
        <v>DISTRIBUIDORA LOPES LTDA</v>
      </c>
      <c r="C43" s="26" t="n">
        <f aca="false">Report!U120</f>
        <v>1154.89</v>
      </c>
      <c r="D43" s="25" t="str">
        <f aca="false">Report!X120</f>
        <v>NF 1676804 ELLEN</v>
      </c>
    </row>
    <row r="44" customFormat="false" ht="15" hidden="false" customHeight="true" outlineLevel="0" collapsed="false">
      <c r="A44" s="24" t="n">
        <f aca="false">Report!C133</f>
        <v>46206</v>
      </c>
      <c r="B44" s="25" t="str">
        <f aca="false">Report!E133</f>
        <v>BRAGA TABACARIA EIRELI ME</v>
      </c>
      <c r="C44" s="26" t="n">
        <f aca="false">Report!U133</f>
        <v>1433.64</v>
      </c>
      <c r="D44" s="25" t="str">
        <f aca="false">Report!X133</f>
        <v>NF 18762 ELLEN</v>
      </c>
    </row>
    <row r="45" customFormat="false" ht="15" hidden="false" customHeight="true" outlineLevel="0" collapsed="false">
      <c r="A45" s="24" t="n">
        <f aca="false">Report!C187</f>
        <v>46206</v>
      </c>
      <c r="B45" s="25" t="str">
        <f aca="false">Report!E187</f>
        <v>BROTHERS  INDUSTRIA DE ALIMENTOS LTDA</v>
      </c>
      <c r="C45" s="26" t="n">
        <f aca="false">Report!U187</f>
        <v>305.38</v>
      </c>
      <c r="D45" s="25" t="str">
        <f aca="false">Report!X187</f>
        <v>NF 102906 ELLEN</v>
      </c>
    </row>
    <row r="46" customFormat="false" ht="15" hidden="false" customHeight="true" outlineLevel="0" collapsed="false">
      <c r="A46" s="24" t="n">
        <f aca="false">Report!C193</f>
        <v>46206</v>
      </c>
      <c r="B46" s="25" t="str">
        <f aca="false">Report!E193</f>
        <v>L S M COMERCIO DE ALIMENTOS E NAVEGACAO</v>
      </c>
      <c r="C46" s="26" t="n">
        <f aca="false">Report!U193</f>
        <v>1184.07</v>
      </c>
      <c r="D46" s="25" t="str">
        <f aca="false">Report!X193</f>
        <v>NF 305929 ELLEN</v>
      </c>
    </row>
    <row r="47" customFormat="false" ht="15" hidden="false" customHeight="true" outlineLevel="0" collapsed="false">
      <c r="A47" s="24" t="n">
        <f aca="false">Report!C198</f>
        <v>46206</v>
      </c>
      <c r="B47" s="25" t="str">
        <f aca="false">Report!E198</f>
        <v>SOUZA CRUZ LTDA.</v>
      </c>
      <c r="C47" s="26" t="n">
        <f aca="false">Report!U198</f>
        <v>5761.35</v>
      </c>
      <c r="D47" s="25" t="str">
        <f aca="false">Report!X198</f>
        <v>NF 564993 ELLEN</v>
      </c>
    </row>
    <row r="48" customFormat="false" ht="15" hidden="false" customHeight="true" outlineLevel="0" collapsed="false">
      <c r="A48" s="24" t="n">
        <f aca="false">Report!C203</f>
        <v>46206</v>
      </c>
      <c r="B48" s="25" t="str">
        <f aca="false">Report!E203</f>
        <v>BRAGA TABACARIA EIRELI ME</v>
      </c>
      <c r="C48" s="26" t="n">
        <f aca="false">Report!U203</f>
        <v>796.74</v>
      </c>
      <c r="D48" s="25" t="str">
        <f aca="false">Report!X203</f>
        <v>NF 18889 ELLEN</v>
      </c>
    </row>
    <row r="49" customFormat="false" ht="15" hidden="false" customHeight="true" outlineLevel="0" collapsed="false">
      <c r="A49" s="24" t="n">
        <f aca="false">Report!C204</f>
        <v>46206</v>
      </c>
      <c r="B49" s="25" t="str">
        <f aca="false">Report!E204</f>
        <v>MAXFRI DISTRIUIDORA LTDA</v>
      </c>
      <c r="C49" s="26" t="n">
        <f aca="false">Report!U204</f>
        <v>1997.03</v>
      </c>
      <c r="D49" s="25" t="str">
        <f aca="false">Report!X204</f>
        <v>NF 14560 ELLEN</v>
      </c>
    </row>
    <row r="50" customFormat="false" ht="15" hidden="false" customHeight="true" outlineLevel="0" collapsed="false">
      <c r="A50" s="24" t="n">
        <f aca="false">Report!C205</f>
        <v>46206</v>
      </c>
      <c r="B50" s="25" t="str">
        <f aca="false">Report!E205</f>
        <v>J G COMERCIO DE PRODUTOS ALIMENTICIOS LTDA</v>
      </c>
      <c r="C50" s="26" t="n">
        <f aca="false">Report!U205</f>
        <v>371.88</v>
      </c>
      <c r="D50" s="25" t="str">
        <f aca="false">Report!X205</f>
        <v>NF 389368 ELLEN</v>
      </c>
    </row>
    <row r="51" customFormat="false" ht="15" hidden="false" customHeight="true" outlineLevel="0" collapsed="false">
      <c r="A51" s="24" t="n">
        <f aca="false">Report!C207</f>
        <v>46206</v>
      </c>
      <c r="B51" s="25" t="str">
        <f aca="false">Report!E207</f>
        <v>CRBS S/A</v>
      </c>
      <c r="C51" s="26" t="n">
        <f aca="false">Report!U207</f>
        <v>2177.83</v>
      </c>
      <c r="D51" s="25" t="str">
        <f aca="false">Report!X207</f>
        <v>NF 877177 ELLEN</v>
      </c>
    </row>
    <row r="52" customFormat="false" ht="15" hidden="false" customHeight="true" outlineLevel="0" collapsed="false">
      <c r="A52" s="24" t="n">
        <f aca="false">Report!C208</f>
        <v>46206</v>
      </c>
      <c r="B52" s="25" t="str">
        <f aca="false">Report!E208</f>
        <v>CRBS S/A</v>
      </c>
      <c r="C52" s="26" t="n">
        <f aca="false">Report!U208</f>
        <v>1.55</v>
      </c>
      <c r="D52" s="25" t="str">
        <f aca="false">Report!X208</f>
        <v>NF 877177 REF TARIFA AMBEV - ELLEN</v>
      </c>
    </row>
    <row r="53" customFormat="false" ht="15" hidden="false" customHeight="true" outlineLevel="0" collapsed="false">
      <c r="A53" s="24" t="n">
        <f aca="false">Report!C213</f>
        <v>46206</v>
      </c>
      <c r="B53" s="25" t="str">
        <f aca="false">Report!E213</f>
        <v>BRAGA TABACARIA EIRELI ME</v>
      </c>
      <c r="C53" s="26" t="n">
        <f aca="false">Report!U213</f>
        <v>534.44</v>
      </c>
      <c r="D53" s="25" t="str">
        <f aca="false">Report!X213</f>
        <v>S/NF - CATUABA/COPO/XAROPE-ELLEN</v>
      </c>
    </row>
    <row r="54" customFormat="false" ht="15" hidden="false" customHeight="true" outlineLevel="0" collapsed="false">
      <c r="A54" s="24" t="n">
        <f aca="false">Report!C245</f>
        <v>46206</v>
      </c>
      <c r="B54" s="25" t="str">
        <f aca="false">Report!E245</f>
        <v>NEYLIANE S DE OLIVEIRA &amp; CIA LTDA</v>
      </c>
      <c r="C54" s="26" t="n">
        <f aca="false">Report!U245</f>
        <v>280</v>
      </c>
      <c r="D54" s="25" t="str">
        <f aca="false">Report!X245</f>
        <v>COMPRAS-20L DE ACAI-PG NO P 3/7/26-ELLEN</v>
      </c>
    </row>
    <row r="55" customFormat="false" ht="15" hidden="false" customHeight="true" outlineLevel="0" collapsed="false">
      <c r="A55" s="24" t="n">
        <f aca="false">Report!C262</f>
        <v>46206</v>
      </c>
      <c r="B55" s="25" t="str">
        <f aca="false">Report!E262</f>
        <v>NEYLIANE S DE OLIVEIRA &amp; CIA LTDA</v>
      </c>
      <c r="C55" s="26" t="n">
        <f aca="false">Report!U262</f>
        <v>1082.6</v>
      </c>
      <c r="D55" s="25" t="str">
        <f aca="false">Report!X262</f>
        <v>FEIRA SR RENATO - PG POTE LJ2 - ELLEN</v>
      </c>
    </row>
    <row r="56" customFormat="false" ht="15" hidden="false" customHeight="true" outlineLevel="0" collapsed="false">
      <c r="A56" s="24" t="n">
        <f aca="false">Report!C263</f>
        <v>46206</v>
      </c>
      <c r="B56" s="25" t="str">
        <f aca="false">Report!E263</f>
        <v>FEIRA</v>
      </c>
      <c r="C56" s="26" t="n">
        <f aca="false">Report!U263</f>
        <v>280</v>
      </c>
      <c r="D56" s="25" t="str">
        <f aca="false">Report!X263</f>
        <v>FEIRA SR RENATO-PERA/UVA-SOMAR C NF2522-PG POTE LJ2-ELLEN</v>
      </c>
    </row>
    <row r="57" customFormat="false" ht="15" hidden="false" customHeight="true" outlineLevel="0" collapsed="false">
      <c r="A57" s="24" t="n">
        <f aca="false">Report!C529</f>
        <v>46206</v>
      </c>
      <c r="B57" s="25" t="str">
        <f aca="false">Report!E529</f>
        <v>H L M PADARIA E CONFEITARIA LTDA</v>
      </c>
      <c r="C57" s="26" t="n">
        <f aca="false">Report!U529</f>
        <v>120</v>
      </c>
      <c r="D57" s="25" t="str">
        <f aca="false">Report!X529</f>
        <v>NF 17 COMPRAS-BOLO PG NO P 3/7 ELLEN</v>
      </c>
    </row>
    <row r="58" customFormat="false" ht="15" hidden="false" customHeight="true" outlineLevel="0" collapsed="false">
      <c r="A58" s="24" t="n">
        <f aca="false">Report!C42</f>
        <v>46207</v>
      </c>
      <c r="B58" s="25" t="str">
        <f aca="false">Report!E42</f>
        <v>OPPORTUNITY ALIMENTOS PARA ANIMAIS LTDA</v>
      </c>
      <c r="C58" s="26" t="n">
        <f aca="false">Report!U42</f>
        <v>938.27</v>
      </c>
      <c r="D58" s="25" t="str">
        <f aca="false">Report!X42</f>
        <v>NF 33745 ELLEN</v>
      </c>
    </row>
    <row r="59" customFormat="false" ht="15" hidden="false" customHeight="true" outlineLevel="0" collapsed="false">
      <c r="A59" s="24" t="n">
        <f aca="false">Report!C135</f>
        <v>46207</v>
      </c>
      <c r="B59" s="25" t="str">
        <f aca="false">Report!E135</f>
        <v>BRASIL NORTE BEBIDAS S/A</v>
      </c>
      <c r="C59" s="26" t="n">
        <f aca="false">Report!U135</f>
        <v>50.85</v>
      </c>
      <c r="D59" s="25" t="str">
        <f aca="false">Report!X135</f>
        <v>NF 1169404 ELLEN</v>
      </c>
    </row>
    <row r="60" customFormat="false" ht="15" hidden="false" customHeight="true" outlineLevel="0" collapsed="false">
      <c r="A60" s="24" t="n">
        <f aca="false">Report!C136</f>
        <v>46207</v>
      </c>
      <c r="B60" s="25" t="str">
        <f aca="false">Report!E136</f>
        <v>BRASIL NORTE BEBIDAS S/A</v>
      </c>
      <c r="C60" s="26" t="n">
        <f aca="false">Report!U136</f>
        <v>467.76</v>
      </c>
      <c r="D60" s="25" t="str">
        <f aca="false">Report!X136</f>
        <v>NF 1890993 ELLEN</v>
      </c>
    </row>
    <row r="61" customFormat="false" ht="15" hidden="false" customHeight="true" outlineLevel="0" collapsed="false">
      <c r="A61" s="24" t="n">
        <f aca="false">Report!C179</f>
        <v>46207</v>
      </c>
      <c r="B61" s="25" t="str">
        <f aca="false">Report!E179</f>
        <v>COMERCIO DE FRIOS MANAUS LTDA</v>
      </c>
      <c r="C61" s="26" t="n">
        <f aca="false">Report!U179</f>
        <v>4001</v>
      </c>
      <c r="D61" s="25" t="str">
        <f aca="false">Report!X179</f>
        <v>NF 172089 ELLEN</v>
      </c>
    </row>
    <row r="62" customFormat="false" ht="15" hidden="false" customHeight="true" outlineLevel="0" collapsed="false">
      <c r="A62" s="24" t="n">
        <f aca="false">Report!C209</f>
        <v>46207</v>
      </c>
      <c r="B62" s="25" t="str">
        <f aca="false">Report!E209</f>
        <v>MAXFRI DISTRIUIDORA LTDA</v>
      </c>
      <c r="C62" s="26" t="n">
        <f aca="false">Report!U209</f>
        <v>2606.5</v>
      </c>
      <c r="D62" s="25" t="str">
        <f aca="false">Report!X209</f>
        <v>NF 14569 ELLEN</v>
      </c>
    </row>
    <row r="63" customFormat="false" ht="15" hidden="false" customHeight="true" outlineLevel="0" collapsed="false">
      <c r="A63" s="24" t="n">
        <f aca="false">Report!C573</f>
        <v>46207</v>
      </c>
      <c r="B63" s="25" t="str">
        <f aca="false">Report!E573</f>
        <v>H L M PADARIA E CONFEITARIA LTDA</v>
      </c>
      <c r="C63" s="26" t="n">
        <f aca="false">Report!U573</f>
        <v>140</v>
      </c>
      <c r="D63" s="25" t="str">
        <f aca="false">Report!X573</f>
        <v>NF 65 COMPRAS BOLO - PG NO P 4/7 ELLEN</v>
      </c>
    </row>
    <row r="64" customFormat="false" ht="15" hidden="false" customHeight="true" outlineLevel="0" collapsed="false">
      <c r="A64" s="24" t="n">
        <f aca="false">Report!C62</f>
        <v>46209</v>
      </c>
      <c r="B64" s="25" t="str">
        <f aca="false">Report!E62</f>
        <v>ADRIANA DISTRIBUIDORA DE PRODUTOS ALIMEN</v>
      </c>
      <c r="C64" s="26" t="n">
        <f aca="false">Report!U62</f>
        <v>791.31</v>
      </c>
      <c r="D64" s="25" t="str">
        <f aca="false">Report!X62</f>
        <v>NF 878392 ELLEN</v>
      </c>
    </row>
    <row r="65" customFormat="false" ht="15" hidden="false" customHeight="true" outlineLevel="0" collapsed="false">
      <c r="A65" s="24" t="n">
        <f aca="false">Report!C71</f>
        <v>46209</v>
      </c>
      <c r="B65" s="25" t="str">
        <f aca="false">Report!E71</f>
        <v>DUNORTE DISTRIBUIDORA DE PRODUTOS DE CONSUMO LTDA</v>
      </c>
      <c r="C65" s="26" t="n">
        <f aca="false">Report!U71</f>
        <v>643.05</v>
      </c>
      <c r="D65" s="25" t="str">
        <f aca="false">Report!X71</f>
        <v>NF 3202460 ELLEN</v>
      </c>
    </row>
    <row r="66" customFormat="false" ht="15" hidden="false" customHeight="true" outlineLevel="0" collapsed="false">
      <c r="A66" s="24" t="n">
        <f aca="false">Report!C126</f>
        <v>46209</v>
      </c>
      <c r="B66" s="25" t="str">
        <f aca="false">Report!E126</f>
        <v>ROCHA E PAIVA LTDA</v>
      </c>
      <c r="C66" s="26" t="n">
        <f aca="false">Report!U126</f>
        <v>591.51</v>
      </c>
      <c r="D66" s="25" t="str">
        <f aca="false">Report!X126</f>
        <v>NF 207912 ELLEN</v>
      </c>
    </row>
    <row r="67" customFormat="false" ht="15" hidden="false" customHeight="true" outlineLevel="0" collapsed="false">
      <c r="A67" s="24" t="n">
        <f aca="false">Report!C144</f>
        <v>46209</v>
      </c>
      <c r="B67" s="25" t="str">
        <f aca="false">Report!E144</f>
        <v>FENNIX BRASIL DISTRIBUIDORA DE PRODUTOS</v>
      </c>
      <c r="C67" s="26" t="n">
        <f aca="false">Report!U144</f>
        <v>675.35</v>
      </c>
      <c r="D67" s="25" t="str">
        <f aca="false">Report!X144</f>
        <v>NF 310316 ELLEN</v>
      </c>
    </row>
    <row r="68" customFormat="false" ht="15" hidden="false" customHeight="true" outlineLevel="0" collapsed="false">
      <c r="A68" s="24" t="n">
        <f aca="false">Report!C146</f>
        <v>46209</v>
      </c>
      <c r="B68" s="25" t="str">
        <f aca="false">Report!E146</f>
        <v>DURAES DISTRIBUIDORA DE ESTIVAS LTDA</v>
      </c>
      <c r="C68" s="26" t="n">
        <f aca="false">Report!U146</f>
        <v>347.17</v>
      </c>
      <c r="D68" s="25" t="str">
        <f aca="false">Report!X146</f>
        <v>NF 646732 ELLEN</v>
      </c>
    </row>
    <row r="69" customFormat="false" ht="15" hidden="false" customHeight="true" outlineLevel="0" collapsed="false">
      <c r="A69" s="24" t="n">
        <f aca="false">Report!C217</f>
        <v>46209</v>
      </c>
      <c r="B69" s="25" t="str">
        <f aca="false">Report!E217</f>
        <v>PANIFICADORA E CONFEITARIA REAL MADRI LTDA</v>
      </c>
      <c r="C69" s="26" t="n">
        <f aca="false">Report!U217</f>
        <v>304.75</v>
      </c>
      <c r="D69" s="25" t="str">
        <f aca="false">Report!X217</f>
        <v>NF 690 ELLEN</v>
      </c>
    </row>
    <row r="70" customFormat="false" ht="15" hidden="false" customHeight="true" outlineLevel="0" collapsed="false">
      <c r="A70" s="24" t="n">
        <f aca="false">Report!C231</f>
        <v>46209</v>
      </c>
      <c r="B70" s="25" t="str">
        <f aca="false">Report!E231</f>
        <v>FE COMERCIO DE MATERIAIS DE CONSTRUCAO</v>
      </c>
      <c r="C70" s="26" t="n">
        <f aca="false">Report!U231</f>
        <v>819.53</v>
      </c>
      <c r="D70" s="25" t="str">
        <f aca="false">Report!X231</f>
        <v>NF 4467 ELLEN</v>
      </c>
    </row>
    <row r="71" customFormat="false" ht="15" hidden="false" customHeight="true" outlineLevel="0" collapsed="false">
      <c r="A71" s="24" t="n">
        <f aca="false">Report!C246</f>
        <v>46209</v>
      </c>
      <c r="B71" s="25" t="str">
        <f aca="false">Report!E246</f>
        <v>J W N DOS SANTOS</v>
      </c>
      <c r="C71" s="26" t="n">
        <f aca="false">Report!U246</f>
        <v>398</v>
      </c>
      <c r="D71" s="25" t="str">
        <f aca="false">Report!X246</f>
        <v>NF 337 ELLEN</v>
      </c>
    </row>
    <row r="72" customFormat="false" ht="15" hidden="false" customHeight="true" outlineLevel="0" collapsed="false">
      <c r="A72" s="24" t="n">
        <f aca="false">Report!C283</f>
        <v>46209</v>
      </c>
      <c r="B72" s="25" t="str">
        <f aca="false">Report!E283</f>
        <v>NEYLIANE S DE OLIVEIRA &amp; CIA LTDA</v>
      </c>
      <c r="C72" s="26" t="n">
        <f aca="false">Report!U283</f>
        <v>210</v>
      </c>
      <c r="D72" s="25" t="str">
        <f aca="false">Report!X283</f>
        <v>COMPRAS - 15L DE ACAI - PG NO P 6/7/26 ELLEN</v>
      </c>
    </row>
    <row r="73" customFormat="false" ht="15" hidden="false" customHeight="true" outlineLevel="0" collapsed="false">
      <c r="A73" s="24" t="n">
        <f aca="false">Report!C290</f>
        <v>46209</v>
      </c>
      <c r="B73" s="25" t="str">
        <f aca="false">Report!E290</f>
        <v>LOURIVAL ALMEIDA DA SILVA 17128784845</v>
      </c>
      <c r="C73" s="26" t="n">
        <f aca="false">Report!U290</f>
        <v>160.32</v>
      </c>
      <c r="D73" s="25" t="str">
        <f aca="false">Report!X290</f>
        <v>NF 512 ELLEN</v>
      </c>
    </row>
    <row r="74" customFormat="false" ht="15" hidden="false" customHeight="true" outlineLevel="0" collapsed="false">
      <c r="A74" s="24" t="n">
        <f aca="false">Report!C43</f>
        <v>46210</v>
      </c>
      <c r="B74" s="25" t="str">
        <f aca="false">Report!E43</f>
        <v>BF COMERCIO DE ALIMENTOS REPRESENTACAO L</v>
      </c>
      <c r="C74" s="26" t="n">
        <f aca="false">Report!U43</f>
        <v>303.19</v>
      </c>
      <c r="D74" s="25" t="str">
        <f aca="false">Report!X43</f>
        <v>NF 20868 ELLEN</v>
      </c>
    </row>
    <row r="75" customFormat="false" ht="15" hidden="false" customHeight="true" outlineLevel="0" collapsed="false">
      <c r="A75" s="24" t="n">
        <f aca="false">Report!C49</f>
        <v>46210</v>
      </c>
      <c r="B75" s="25" t="str">
        <f aca="false">Report!E49</f>
        <v>BONNA VITTA INDUSTRIA E COMERCIO LTDA.</v>
      </c>
      <c r="C75" s="26" t="n">
        <f aca="false">Report!U49</f>
        <v>642.4</v>
      </c>
      <c r="D75" s="25" t="str">
        <f aca="false">Report!X49</f>
        <v>NF 518105 ELLEN</v>
      </c>
    </row>
    <row r="76" customFormat="false" ht="15" hidden="false" customHeight="true" outlineLevel="0" collapsed="false">
      <c r="A76" s="24" t="n">
        <f aca="false">Report!C70</f>
        <v>46210</v>
      </c>
      <c r="B76" s="25" t="str">
        <f aca="false">Report!E70</f>
        <v>INNOVAR DISTRIBUIDORA DE COSMETICOS E MEDICAMENTOS LTDA</v>
      </c>
      <c r="C76" s="26" t="n">
        <f aca="false">Report!U70</f>
        <v>360.24</v>
      </c>
      <c r="D76" s="25" t="str">
        <f aca="false">Report!X70</f>
        <v>NF 102727 ELLEN</v>
      </c>
    </row>
    <row r="77" customFormat="false" ht="15" hidden="false" customHeight="true" outlineLevel="0" collapsed="false">
      <c r="A77" s="24" t="n">
        <f aca="false">Report!C81</f>
        <v>46210</v>
      </c>
      <c r="B77" s="25" t="str">
        <f aca="false">Report!E81</f>
        <v>BONNA VITTA INDUSTRIA E COMERCIO LTDA.</v>
      </c>
      <c r="C77" s="26" t="n">
        <f aca="false">Report!U81</f>
        <v>684</v>
      </c>
      <c r="D77" s="25" t="str">
        <f aca="false">Report!X81</f>
        <v>NF 518753 ELLEN</v>
      </c>
    </row>
    <row r="78" customFormat="false" ht="15" hidden="false" customHeight="true" outlineLevel="0" collapsed="false">
      <c r="A78" s="24" t="n">
        <f aca="false">Report!C97</f>
        <v>46210</v>
      </c>
      <c r="B78" s="25" t="str">
        <f aca="false">Report!E97</f>
        <v>NATUREZA COMERCIO DE DESCARTAVEIS LTDA</v>
      </c>
      <c r="C78" s="26" t="n">
        <f aca="false">Report!U97</f>
        <v>326.84</v>
      </c>
      <c r="D78" s="25" t="str">
        <f aca="false">Report!X97</f>
        <v>NF 729265 ELLEN</v>
      </c>
    </row>
    <row r="79" customFormat="false" ht="15" hidden="false" customHeight="true" outlineLevel="0" collapsed="false">
      <c r="A79" s="24" t="n">
        <f aca="false">Report!C137</f>
        <v>46210</v>
      </c>
      <c r="B79" s="25" t="str">
        <f aca="false">Report!E137</f>
        <v>BRASIL NORTE BEBIDAS S/A</v>
      </c>
      <c r="C79" s="26" t="n">
        <f aca="false">Report!U137</f>
        <v>22.95</v>
      </c>
      <c r="D79" s="25" t="str">
        <f aca="false">Report!X137</f>
        <v>NF 1170564 ELLEN</v>
      </c>
    </row>
    <row r="80" customFormat="false" ht="15" hidden="false" customHeight="true" outlineLevel="0" collapsed="false">
      <c r="A80" s="24" t="n">
        <f aca="false">Report!C138</f>
        <v>46210</v>
      </c>
      <c r="B80" s="25" t="str">
        <f aca="false">Report!E138</f>
        <v>BRASIL NORTE BEBIDAS S/A</v>
      </c>
      <c r="C80" s="26" t="n">
        <f aca="false">Report!U138</f>
        <v>840.06</v>
      </c>
      <c r="D80" s="25" t="str">
        <f aca="false">Report!X138</f>
        <v>NF 1893322 ELLEN</v>
      </c>
    </row>
    <row r="81" customFormat="false" ht="15" hidden="false" customHeight="true" outlineLevel="0" collapsed="false">
      <c r="A81" s="24" t="n">
        <f aca="false">Report!C139</f>
        <v>46210</v>
      </c>
      <c r="B81" s="25" t="str">
        <f aca="false">Report!E139</f>
        <v>BRASIL NORTE BEBIDAS S/A</v>
      </c>
      <c r="C81" s="26" t="n">
        <f aca="false">Report!U139</f>
        <v>2287.85</v>
      </c>
      <c r="D81" s="25" t="str">
        <f aca="false">Report!X139</f>
        <v>NF 1171501 ELLEN</v>
      </c>
    </row>
    <row r="82" customFormat="false" ht="15" hidden="false" customHeight="true" outlineLevel="0" collapsed="false">
      <c r="A82" s="24" t="n">
        <f aca="false">Report!C140</f>
        <v>46210</v>
      </c>
      <c r="B82" s="25" t="str">
        <f aca="false">Report!E140</f>
        <v>BRASIL NORTE BEBIDAS S/A</v>
      </c>
      <c r="C82" s="26" t="n">
        <f aca="false">Report!U140</f>
        <v>97.97</v>
      </c>
      <c r="D82" s="25" t="n">
        <f aca="false">Report!X140</f>
        <v>0</v>
      </c>
    </row>
    <row r="83" customFormat="false" ht="15" hidden="false" customHeight="true" outlineLevel="0" collapsed="false">
      <c r="A83" s="24" t="n">
        <f aca="false">Report!C192</f>
        <v>46210</v>
      </c>
      <c r="B83" s="25" t="str">
        <f aca="false">Report!E192</f>
        <v>NESTLÉ BRASIL LTDA.</v>
      </c>
      <c r="C83" s="26" t="n">
        <f aca="false">Report!U192</f>
        <v>418.83</v>
      </c>
      <c r="D83" s="25" t="str">
        <f aca="false">Report!X192</f>
        <v>NF 1420058 ELLEN</v>
      </c>
    </row>
    <row r="84" customFormat="false" ht="15" hidden="false" customHeight="true" outlineLevel="0" collapsed="false">
      <c r="A84" s="24" t="n">
        <f aca="false">Report!C196</f>
        <v>46210</v>
      </c>
      <c r="B84" s="25" t="str">
        <f aca="false">Report!E196</f>
        <v>H. L. DO NASCIMENTO</v>
      </c>
      <c r="C84" s="26" t="n">
        <f aca="false">Report!U196</f>
        <v>358.65</v>
      </c>
      <c r="D84" s="25" t="str">
        <f aca="false">Report!X196</f>
        <v>NF 5720 ELLEN</v>
      </c>
    </row>
    <row r="85" customFormat="false" ht="15" hidden="false" customHeight="true" outlineLevel="0" collapsed="false">
      <c r="A85" s="24" t="n">
        <f aca="false">Report!C214</f>
        <v>46210</v>
      </c>
      <c r="B85" s="25" t="str">
        <f aca="false">Report!E214</f>
        <v>JAB COMERCIO DE PRODUTOS ALIMENTICIOS LT</v>
      </c>
      <c r="C85" s="26" t="n">
        <f aca="false">Report!U214</f>
        <v>122</v>
      </c>
      <c r="D85" s="25" t="str">
        <f aca="false">Report!X214</f>
        <v>NF 3453 ELLEN</v>
      </c>
    </row>
    <row r="86" customFormat="false" ht="15" hidden="false" customHeight="true" outlineLevel="0" collapsed="false">
      <c r="A86" s="24" t="n">
        <f aca="false">Report!C216</f>
        <v>46210</v>
      </c>
      <c r="B86" s="25" t="str">
        <f aca="false">Report!E216</f>
        <v>SAO JOSE COMERCIO DE LATICINIOS E FRIOS</v>
      </c>
      <c r="C86" s="26" t="n">
        <f aca="false">Report!U216</f>
        <v>589.5</v>
      </c>
      <c r="D86" s="25" t="str">
        <f aca="false">Report!X216</f>
        <v>NF 3507 ELLEN</v>
      </c>
    </row>
    <row r="87" customFormat="false" ht="15" hidden="false" customHeight="true" outlineLevel="0" collapsed="false">
      <c r="A87" s="24" t="n">
        <f aca="false">Report!C221</f>
        <v>46210</v>
      </c>
      <c r="B87" s="25" t="str">
        <f aca="false">Report!E221</f>
        <v>SILVA E SANTOS FRIGORIFICO LTDA</v>
      </c>
      <c r="C87" s="26" t="n">
        <f aca="false">Report!U221</f>
        <v>3140</v>
      </c>
      <c r="D87" s="25" t="str">
        <f aca="false">Report!X221</f>
        <v>NF 31492 ELLEN</v>
      </c>
    </row>
    <row r="88" customFormat="false" ht="15" hidden="false" customHeight="true" outlineLevel="0" collapsed="false">
      <c r="A88" s="24" t="n">
        <f aca="false">Report!C223</f>
        <v>46210</v>
      </c>
      <c r="B88" s="25" t="str">
        <f aca="false">Report!E223</f>
        <v>NOVA FRIOS COMERCIO ATACADISTA DE LATICINIOS LTDA</v>
      </c>
      <c r="C88" s="26" t="n">
        <f aca="false">Report!U223</f>
        <v>236.18</v>
      </c>
      <c r="D88" s="25" t="str">
        <f aca="false">Report!X223</f>
        <v>NF 3933 ELLEN</v>
      </c>
    </row>
    <row r="89" customFormat="false" ht="15" hidden="false" customHeight="true" outlineLevel="0" collapsed="false">
      <c r="A89" s="24" t="n">
        <f aca="false">Report!C273</f>
        <v>46210</v>
      </c>
      <c r="B89" s="25" t="str">
        <f aca="false">Report!E273</f>
        <v>ADICSO FABIAN GONZALEZ MONTILLA 70302186</v>
      </c>
      <c r="C89" s="26" t="n">
        <f aca="false">Report!U273</f>
        <v>240</v>
      </c>
      <c r="D89" s="25" t="str">
        <f aca="false">Report!X273</f>
        <v>NF 520 ELLEN</v>
      </c>
    </row>
    <row r="90" customFormat="false" ht="15" hidden="false" customHeight="true" outlineLevel="0" collapsed="false">
      <c r="A90" s="24" t="n">
        <f aca="false">Report!C292</f>
        <v>46210</v>
      </c>
      <c r="B90" s="25" t="str">
        <f aca="false">Report!E292</f>
        <v>NEYLIANE S DE OLIVEIRA &amp; CIA LTDA</v>
      </c>
      <c r="C90" s="26" t="n">
        <f aca="false">Report!U292</f>
        <v>2024.65</v>
      </c>
      <c r="D90" s="25" t="str">
        <f aca="false">Report!X292</f>
        <v>FEIRA SR RENATO - PG P LJ1 - ELLEN</v>
      </c>
    </row>
    <row r="91" customFormat="false" ht="15" hidden="false" customHeight="true" outlineLevel="0" collapsed="false">
      <c r="A91" s="24" t="n">
        <f aca="false">Report!C293</f>
        <v>46210</v>
      </c>
      <c r="B91" s="25" t="str">
        <f aca="false">Report!E293</f>
        <v>FEIRA</v>
      </c>
      <c r="C91" s="26" t="n">
        <f aca="false">Report!U293</f>
        <v>220</v>
      </c>
      <c r="D91" s="25" t="str">
        <f aca="false">Report!X293</f>
        <v>FEIRA SR RENATO - MACA/UVA-PG P LJ1 -SOMAR C NF2528-ELLEN</v>
      </c>
    </row>
    <row r="92" customFormat="false" ht="15" hidden="false" customHeight="true" outlineLevel="0" collapsed="false">
      <c r="A92" s="24" t="n">
        <f aca="false">Report!C530</f>
        <v>46210</v>
      </c>
      <c r="B92" s="25" t="str">
        <f aca="false">Report!E530</f>
        <v>H L M PADARIA E CONFEITARIA LTDA</v>
      </c>
      <c r="C92" s="26" t="n">
        <f aca="false">Report!U530</f>
        <v>120</v>
      </c>
      <c r="D92" s="25" t="str">
        <f aca="false">Report!X530</f>
        <v>NF 18 COMPRAS-BOLO PG NO P 7/7/26 ELLEN</v>
      </c>
    </row>
    <row r="93" customFormat="false" ht="15" hidden="false" customHeight="true" outlineLevel="0" collapsed="false">
      <c r="A93" s="24" t="n">
        <f aca="false">Report!C68</f>
        <v>46211</v>
      </c>
      <c r="B93" s="25" t="str">
        <f aca="false">Report!E68</f>
        <v>ADRIANA DISTRIBUIDORA DE PRODUTOS ALIMEN</v>
      </c>
      <c r="C93" s="26" t="n">
        <f aca="false">Report!U68</f>
        <v>589.08</v>
      </c>
      <c r="D93" s="25" t="str">
        <f aca="false">Report!X68</f>
        <v>NF 878758 ELLEN</v>
      </c>
    </row>
    <row r="94" customFormat="false" ht="15" hidden="false" customHeight="true" outlineLevel="0" collapsed="false">
      <c r="A94" s="24" t="n">
        <f aca="false">Report!C78</f>
        <v>46211</v>
      </c>
      <c r="B94" s="25" t="str">
        <f aca="false">Report!E78</f>
        <v>FUNNY PET DISTRIBUIDORA DE ALIMENTOS PAR</v>
      </c>
      <c r="C94" s="26" t="n">
        <f aca="false">Report!U78</f>
        <v>1589.28</v>
      </c>
      <c r="D94" s="25" t="str">
        <f aca="false">Report!X78</f>
        <v>NF 20499 ELLEN</v>
      </c>
    </row>
    <row r="95" customFormat="false" ht="15" hidden="false" customHeight="true" outlineLevel="0" collapsed="false">
      <c r="A95" s="24" t="n">
        <f aca="false">Report!C83</f>
        <v>46211</v>
      </c>
      <c r="B95" s="25" t="str">
        <f aca="false">Report!E83</f>
        <v>OESA COMERCIO E REPRESENTACOES S/A</v>
      </c>
      <c r="C95" s="26" t="n">
        <f aca="false">Report!U83</f>
        <v>61.58</v>
      </c>
      <c r="D95" s="25" t="str">
        <f aca="false">Report!X83</f>
        <v>NF 416678 ELLEN</v>
      </c>
    </row>
    <row r="96" customFormat="false" ht="15" hidden="false" customHeight="true" outlineLevel="0" collapsed="false">
      <c r="A96" s="24" t="n">
        <f aca="false">Report!C89</f>
        <v>46211</v>
      </c>
      <c r="B96" s="25" t="str">
        <f aca="false">Report!E89</f>
        <v>TRES CORACOES ALIMENTOS S.A.</v>
      </c>
      <c r="C96" s="26" t="n">
        <f aca="false">Report!U89</f>
        <v>877.29</v>
      </c>
      <c r="D96" s="25" t="str">
        <f aca="false">Report!X89</f>
        <v>NF 346452 ELLEN</v>
      </c>
    </row>
    <row r="97" customFormat="false" ht="15" hidden="false" customHeight="true" outlineLevel="0" collapsed="false">
      <c r="A97" s="24" t="n">
        <f aca="false">Report!C105</f>
        <v>46211</v>
      </c>
      <c r="B97" s="25" t="str">
        <f aca="false">Report!E105</f>
        <v>NATUREZA COMERCIO DE DESCARTAVEIS LTDA</v>
      </c>
      <c r="C97" s="26" t="n">
        <f aca="false">Report!U105</f>
        <v>381.51</v>
      </c>
      <c r="D97" s="25" t="str">
        <f aca="false">Report!X105</f>
        <v>NF 729799 ELLEN</v>
      </c>
    </row>
    <row r="98" customFormat="false" ht="15" hidden="false" customHeight="true" outlineLevel="0" collapsed="false">
      <c r="A98" s="24" t="n">
        <f aca="false">Report!C106</f>
        <v>46211</v>
      </c>
      <c r="B98" s="25" t="str">
        <f aca="false">Report!E106</f>
        <v>COARI DISTRIBUIDORA DE BEBIDAS LTDA</v>
      </c>
      <c r="C98" s="26" t="n">
        <f aca="false">Report!U106</f>
        <v>324.43</v>
      </c>
      <c r="D98" s="25" t="str">
        <f aca="false">Report!X106</f>
        <v>NF 252 ELLEN</v>
      </c>
    </row>
    <row r="99" customFormat="false" ht="15" hidden="false" customHeight="true" outlineLevel="0" collapsed="false">
      <c r="A99" s="24" t="n">
        <f aca="false">Report!C124</f>
        <v>46211</v>
      </c>
      <c r="B99" s="25" t="str">
        <f aca="false">Report!E124</f>
        <v>BRF S A</v>
      </c>
      <c r="C99" s="26" t="n">
        <f aca="false">Report!U124</f>
        <v>671.15</v>
      </c>
      <c r="D99" s="25" t="str">
        <f aca="false">Report!X124</f>
        <v>NF 1598763 ELLEN</v>
      </c>
    </row>
    <row r="100" customFormat="false" ht="15" hidden="false" customHeight="true" outlineLevel="0" collapsed="false">
      <c r="A100" s="24" t="n">
        <f aca="false">Report!C166</f>
        <v>46211</v>
      </c>
      <c r="B100" s="25" t="str">
        <f aca="false">Report!E166</f>
        <v>D DE J SANTOS LTDA</v>
      </c>
      <c r="C100" s="26" t="n">
        <f aca="false">Report!U166</f>
        <v>845</v>
      </c>
      <c r="D100" s="25" t="str">
        <f aca="false">Report!X166</f>
        <v>NF 253 ELLEN</v>
      </c>
    </row>
    <row r="101" customFormat="false" ht="15" hidden="false" customHeight="true" outlineLevel="0" collapsed="false">
      <c r="A101" s="24" t="n">
        <f aca="false">Report!C169</f>
        <v>46211</v>
      </c>
      <c r="B101" s="25" t="str">
        <f aca="false">Report!E169</f>
        <v>J G COMERCIO DE PRODUTOS ALIMENTICIOS LTDA</v>
      </c>
      <c r="C101" s="26" t="n">
        <f aca="false">Report!U169</f>
        <v>314.44</v>
      </c>
      <c r="D101" s="25" t="str">
        <f aca="false">Report!X169</f>
        <v>NF 388857 ELLEN</v>
      </c>
    </row>
    <row r="102" customFormat="false" ht="15" hidden="false" customHeight="true" outlineLevel="0" collapsed="false">
      <c r="A102" s="24" t="n">
        <f aca="false">Report!C178</f>
        <v>46211</v>
      </c>
      <c r="B102" s="25" t="str">
        <f aca="false">Report!E178</f>
        <v>ORIENTE COM. ATACADISTA E REPRES. LTDA</v>
      </c>
      <c r="C102" s="26" t="n">
        <f aca="false">Report!U178</f>
        <v>1159.5</v>
      </c>
      <c r="D102" s="25" t="str">
        <f aca="false">Report!X178</f>
        <v>NF 1996 ELLEN</v>
      </c>
    </row>
    <row r="103" customFormat="false" ht="15" hidden="false" customHeight="true" outlineLevel="0" collapsed="false">
      <c r="A103" s="24" t="n">
        <f aca="false">Report!C189</f>
        <v>46211</v>
      </c>
      <c r="B103" s="25" t="str">
        <f aca="false">Report!E189</f>
        <v>BRF S A</v>
      </c>
      <c r="C103" s="26" t="n">
        <f aca="false">Report!U189</f>
        <v>1881.47</v>
      </c>
      <c r="D103" s="25" t="str">
        <f aca="false">Report!X189</f>
        <v>NF 1600681 ELLEN</v>
      </c>
    </row>
    <row r="104" customFormat="false" ht="15" hidden="false" customHeight="true" outlineLevel="0" collapsed="false">
      <c r="A104" s="24" t="n">
        <f aca="false">Report!C271</f>
        <v>46211</v>
      </c>
      <c r="B104" s="25" t="str">
        <f aca="false">Report!E271</f>
        <v>PANIFICADORA E CONFEITARIA REAL MADRI LTDA</v>
      </c>
      <c r="C104" s="26" t="n">
        <f aca="false">Report!U271</f>
        <v>379.6</v>
      </c>
      <c r="D104" s="25" t="str">
        <f aca="false">Report!X271</f>
        <v>NF 698 ELLEN</v>
      </c>
    </row>
    <row r="105" customFormat="false" ht="15" hidden="false" customHeight="true" outlineLevel="0" collapsed="false">
      <c r="A105" s="24" t="n">
        <f aca="false">Report!C301</f>
        <v>46211</v>
      </c>
      <c r="B105" s="25" t="str">
        <f aca="false">Report!E301</f>
        <v>L. DOS SANTOS PIMENTEL LTDA</v>
      </c>
      <c r="C105" s="26" t="n">
        <f aca="false">Report!U301</f>
        <v>164.5</v>
      </c>
      <c r="D105" s="25" t="str">
        <f aca="false">Report!X301</f>
        <v>NF 294 COMPRAS-IOGURTE CASEIRO-ELLEN</v>
      </c>
    </row>
    <row r="106" customFormat="false" ht="15" hidden="false" customHeight="true" outlineLevel="0" collapsed="false">
      <c r="A106" s="24" t="n">
        <f aca="false">Report!C52</f>
        <v>46212</v>
      </c>
      <c r="B106" s="25" t="str">
        <f aca="false">Report!E52</f>
        <v>DISTRIBUIDORA LOPES LTDA</v>
      </c>
      <c r="C106" s="26" t="n">
        <f aca="false">Report!U52</f>
        <v>478.8</v>
      </c>
      <c r="D106" s="25" t="str">
        <f aca="false">Report!X52</f>
        <v>NF 1671078 ELLEN</v>
      </c>
    </row>
    <row r="107" customFormat="false" ht="15" hidden="false" customHeight="true" outlineLevel="0" collapsed="false">
      <c r="A107" s="24" t="n">
        <f aca="false">Report!C55</f>
        <v>46212</v>
      </c>
      <c r="B107" s="25" t="str">
        <f aca="false">Report!E55</f>
        <v>DUNORTE DISTRIBUIDORA DE PRODUTOS DE CONSUMO LTDA</v>
      </c>
      <c r="C107" s="26" t="n">
        <f aca="false">Report!U55</f>
        <v>1105.95</v>
      </c>
      <c r="D107" s="25" t="str">
        <f aca="false">Report!X55</f>
        <v>NF 3201284 ELLEN</v>
      </c>
    </row>
    <row r="108" customFormat="false" ht="15" hidden="false" customHeight="true" outlineLevel="0" collapsed="false">
      <c r="A108" s="24" t="n">
        <f aca="false">Report!C59</f>
        <v>46212</v>
      </c>
      <c r="B108" s="25" t="str">
        <f aca="false">Report!E59</f>
        <v>DURAES DISTRIBUIDORA DE ESTIVAS LTDA</v>
      </c>
      <c r="C108" s="26" t="n">
        <f aca="false">Report!U59</f>
        <v>383.47</v>
      </c>
      <c r="D108" s="25" t="str">
        <f aca="false">Report!X59</f>
        <v>NF 645628 ELLEN</v>
      </c>
    </row>
    <row r="109" customFormat="false" ht="15" hidden="false" customHeight="true" outlineLevel="0" collapsed="false">
      <c r="A109" s="24" t="n">
        <f aca="false">Report!C66</f>
        <v>46212</v>
      </c>
      <c r="B109" s="25" t="str">
        <f aca="false">Report!E66</f>
        <v>MARTINS COM SERV DISTR SA</v>
      </c>
      <c r="C109" s="26" t="n">
        <f aca="false">Report!U66</f>
        <v>613.33</v>
      </c>
      <c r="D109" s="25" t="str">
        <f aca="false">Report!X66</f>
        <v>NF 1771887 ELLEN</v>
      </c>
    </row>
    <row r="110" customFormat="false" ht="15" hidden="false" customHeight="true" outlineLevel="0" collapsed="false">
      <c r="A110" s="24" t="n">
        <f aca="false">Report!C75</f>
        <v>46212</v>
      </c>
      <c r="B110" s="25" t="str">
        <f aca="false">Report!E75</f>
        <v>RISADINHA LTDA</v>
      </c>
      <c r="C110" s="26" t="n">
        <f aca="false">Report!U75</f>
        <v>550.4</v>
      </c>
      <c r="D110" s="25" t="str">
        <f aca="false">Report!X75</f>
        <v>NF 658429 ELLEN</v>
      </c>
    </row>
    <row r="111" customFormat="false" ht="15" hidden="false" customHeight="true" outlineLevel="0" collapsed="false">
      <c r="A111" s="24" t="n">
        <f aca="false">Report!C85</f>
        <v>46212</v>
      </c>
      <c r="B111" s="25" t="str">
        <f aca="false">Report!E85</f>
        <v>VIA CERTA INDUSTRIA E COMERCIO DE SANEANTES LTDA</v>
      </c>
      <c r="C111" s="26" t="n">
        <f aca="false">Report!U85</f>
        <v>1222.04</v>
      </c>
      <c r="D111" s="25" t="str">
        <f aca="false">Report!X85</f>
        <v>NF 41243 ELLEN</v>
      </c>
    </row>
    <row r="112" customFormat="false" ht="15" hidden="false" customHeight="true" outlineLevel="0" collapsed="false">
      <c r="A112" s="24" t="n">
        <f aca="false">Report!C96</f>
        <v>46212</v>
      </c>
      <c r="B112" s="25" t="str">
        <f aca="false">Report!E96</f>
        <v>FH DISTRIBUIDORA DE ALIM. E BEBIDAS LTDA</v>
      </c>
      <c r="C112" s="26" t="n">
        <f aca="false">Report!U96</f>
        <v>496.2</v>
      </c>
      <c r="D112" s="25" t="str">
        <f aca="false">Report!X96</f>
        <v>NF 326863 ELLEN</v>
      </c>
    </row>
    <row r="113" customFormat="false" ht="15" hidden="false" customHeight="true" outlineLevel="0" collapsed="false">
      <c r="A113" s="24" t="n">
        <f aca="false">Report!C99</f>
        <v>46212</v>
      </c>
      <c r="B113" s="25" t="str">
        <f aca="false">Report!E99</f>
        <v>J G COMERCIO DE PRODUTOS ALIMENTICIOS LTDA</v>
      </c>
      <c r="C113" s="26" t="n">
        <f aca="false">Report!U99</f>
        <v>2664.54</v>
      </c>
      <c r="D113" s="25" t="str">
        <f aca="false">Report!X99</f>
        <v>NF 387833 ELLEN</v>
      </c>
    </row>
    <row r="114" customFormat="false" ht="15" hidden="false" customHeight="true" outlineLevel="0" collapsed="false">
      <c r="A114" s="24" t="n">
        <f aca="false">Report!C108</f>
        <v>46212</v>
      </c>
      <c r="B114" s="25" t="str">
        <f aca="false">Report!E108</f>
        <v>SL DISTRIBUIDORA COM. DE PROD. ALIMENTIC</v>
      </c>
      <c r="C114" s="26" t="n">
        <f aca="false">Report!U108</f>
        <v>552.37</v>
      </c>
      <c r="D114" s="25" t="str">
        <f aca="false">Report!X108</f>
        <v>NF 10423 ELLEN</v>
      </c>
    </row>
    <row r="115" customFormat="false" ht="15" hidden="false" customHeight="true" outlineLevel="0" collapsed="false">
      <c r="A115" s="24" t="n">
        <f aca="false">Report!C130</f>
        <v>46212</v>
      </c>
      <c r="B115" s="25" t="str">
        <f aca="false">Report!E130</f>
        <v>SB COMERCIO LTDA</v>
      </c>
      <c r="C115" s="26" t="n">
        <f aca="false">Report!U130</f>
        <v>653.65</v>
      </c>
      <c r="D115" s="25" t="str">
        <f aca="false">Report!X130</f>
        <v>NF 1959276 ELLEN</v>
      </c>
    </row>
    <row r="116" customFormat="false" ht="15" hidden="false" customHeight="true" outlineLevel="0" collapsed="false">
      <c r="A116" s="24" t="n">
        <f aca="false">Report!C176</f>
        <v>46212</v>
      </c>
      <c r="B116" s="25" t="str">
        <f aca="false">Report!E176</f>
        <v>BRASIL NORTE BEBIDAS S/A</v>
      </c>
      <c r="C116" s="26" t="n">
        <f aca="false">Report!U176</f>
        <v>1547.44</v>
      </c>
      <c r="D116" s="25" t="str">
        <f aca="false">Report!X176</f>
        <v>NF 1899276 ELLEN</v>
      </c>
    </row>
    <row r="117" customFormat="false" ht="15" hidden="false" customHeight="true" outlineLevel="0" collapsed="false">
      <c r="A117" s="24" t="n">
        <f aca="false">Report!C177</f>
        <v>46212</v>
      </c>
      <c r="B117" s="25" t="str">
        <f aca="false">Report!E177</f>
        <v>BRASIL NORTE BEBIDAS S/A</v>
      </c>
      <c r="C117" s="26" t="n">
        <f aca="false">Report!U177</f>
        <v>124.47</v>
      </c>
      <c r="D117" s="25" t="str">
        <f aca="false">Report!X177</f>
        <v>NF 1175404 ELLEN</v>
      </c>
    </row>
    <row r="118" customFormat="false" ht="15" hidden="false" customHeight="true" outlineLevel="0" collapsed="false">
      <c r="A118" s="24" t="n">
        <f aca="false">Report!C197</f>
        <v>46212</v>
      </c>
      <c r="B118" s="25" t="str">
        <f aca="false">Report!E197</f>
        <v>AMERICANA DISTRIBUIDORA DE BEBIDAS E MERCADORIAS LTDA</v>
      </c>
      <c r="C118" s="26" t="n">
        <f aca="false">Report!U197</f>
        <v>155.16</v>
      </c>
      <c r="D118" s="25" t="str">
        <f aca="false">Report!X197</f>
        <v>NF 77922 ELLEN</v>
      </c>
    </row>
    <row r="119" customFormat="false" ht="15" hidden="false" customHeight="true" outlineLevel="0" collapsed="false">
      <c r="A119" s="24" t="n">
        <f aca="false">Report!C227</f>
        <v>46212</v>
      </c>
      <c r="B119" s="25" t="str">
        <f aca="false">Report!E227</f>
        <v>J G COMERCIO DE PRODUTOS ALIMENTICIOS LTDA</v>
      </c>
      <c r="C119" s="26" t="n">
        <f aca="false">Report!U227</f>
        <v>2005.45</v>
      </c>
      <c r="D119" s="25" t="str">
        <f aca="false">Report!X227</f>
        <v>NF 390211 ELLEN</v>
      </c>
    </row>
    <row r="120" customFormat="false" ht="15" hidden="false" customHeight="true" outlineLevel="0" collapsed="false">
      <c r="A120" s="24" t="n">
        <f aca="false">Report!C248</f>
        <v>46212</v>
      </c>
      <c r="B120" s="25" t="str">
        <f aca="false">Report!E248</f>
        <v>BRAGA TABACARIA EIRELI ME</v>
      </c>
      <c r="C120" s="26" t="n">
        <f aca="false">Report!U248</f>
        <v>1073.2</v>
      </c>
      <c r="D120" s="25" t="str">
        <f aca="false">Report!X248</f>
        <v>NF 18998 ELLEN</v>
      </c>
    </row>
    <row r="121" customFormat="false" ht="15" hidden="false" customHeight="true" outlineLevel="0" collapsed="false">
      <c r="A121" s="24" t="n">
        <f aca="false">Report!C327</f>
        <v>46212</v>
      </c>
      <c r="B121" s="25" t="str">
        <f aca="false">Report!E327</f>
        <v>ADICSO FABIAN GONZALEZ MONTILLA 70302186</v>
      </c>
      <c r="C121" s="26" t="n">
        <f aca="false">Report!U327</f>
        <v>240</v>
      </c>
      <c r="D121" s="25" t="str">
        <f aca="false">Report!X327</f>
        <v>NF 524 ELLEN</v>
      </c>
    </row>
    <row r="122" customFormat="false" ht="15" hidden="false" customHeight="true" outlineLevel="0" collapsed="false">
      <c r="A122" s="24" t="n">
        <f aca="false">Report!C353</f>
        <v>46212</v>
      </c>
      <c r="B122" s="25" t="str">
        <f aca="false">Report!E353</f>
        <v>NEYLIANE S DE OLIVEIRA &amp; CIA LTDA</v>
      </c>
      <c r="C122" s="26" t="n">
        <f aca="false">Report!U353</f>
        <v>210</v>
      </c>
      <c r="D122" s="25" t="str">
        <f aca="false">Report!X353</f>
        <v>COMPRAS - 15L ACAI - PG NO P 9/7/26-ELLEN</v>
      </c>
    </row>
    <row r="123" customFormat="false" ht="15" hidden="false" customHeight="true" outlineLevel="0" collapsed="false">
      <c r="A123" s="24" t="n">
        <f aca="false">Report!C102</f>
        <v>46213</v>
      </c>
      <c r="B123" s="25" t="str">
        <f aca="false">Report!E102</f>
        <v>DISTRIBUIDORA FARIAS LTDA.</v>
      </c>
      <c r="C123" s="26" t="n">
        <f aca="false">Report!U102</f>
        <v>1055.34</v>
      </c>
      <c r="D123" s="25" t="str">
        <f aca="false">Report!X102</f>
        <v>NF 674937 ELLEN</v>
      </c>
    </row>
    <row r="124" customFormat="false" ht="15" hidden="false" customHeight="true" outlineLevel="0" collapsed="false">
      <c r="A124" s="24" t="n">
        <f aca="false">Report!C116</f>
        <v>46213</v>
      </c>
      <c r="B124" s="25" t="str">
        <f aca="false">Report!E116</f>
        <v>OESA COMERCIO E REPRESENTACOES S/A</v>
      </c>
      <c r="C124" s="26" t="n">
        <f aca="false">Report!U116</f>
        <v>620</v>
      </c>
      <c r="D124" s="25" t="str">
        <f aca="false">Report!X116</f>
        <v>NF 419092 ELLEN</v>
      </c>
    </row>
    <row r="125" customFormat="false" ht="15" hidden="false" customHeight="true" outlineLevel="0" collapsed="false">
      <c r="A125" s="24" t="n">
        <f aca="false">Report!C121</f>
        <v>46213</v>
      </c>
      <c r="B125" s="25" t="str">
        <f aca="false">Report!E121</f>
        <v>DISTRIBUIDORA LOPES LTDA</v>
      </c>
      <c r="C125" s="26" t="n">
        <f aca="false">Report!U121</f>
        <v>1154.88</v>
      </c>
      <c r="D125" s="25" t="str">
        <f aca="false">Report!X121</f>
        <v>NF 1676804 ELLEN</v>
      </c>
    </row>
    <row r="126" customFormat="false" ht="15" hidden="false" customHeight="true" outlineLevel="0" collapsed="false">
      <c r="A126" s="24" t="n">
        <f aca="false">Report!C134</f>
        <v>46213</v>
      </c>
      <c r="B126" s="25" t="str">
        <f aca="false">Report!E134</f>
        <v>BRAGA TABACARIA EIRELI ME</v>
      </c>
      <c r="C126" s="26" t="n">
        <f aca="false">Report!U134</f>
        <v>1433.64</v>
      </c>
      <c r="D126" s="25" t="str">
        <f aca="false">Report!X134</f>
        <v>NF 18762 ELLEN</v>
      </c>
    </row>
    <row r="127" customFormat="false" ht="15" hidden="false" customHeight="true" outlineLevel="0" collapsed="false">
      <c r="A127" s="24" t="n">
        <f aca="false">Report!C142</f>
        <v>46213</v>
      </c>
      <c r="B127" s="25" t="str">
        <f aca="false">Report!E142</f>
        <v>AGM INDUSTRIA COMERCIO E REPRESENTACAO LTDA</v>
      </c>
      <c r="C127" s="26" t="n">
        <f aca="false">Report!U142</f>
        <v>603.5</v>
      </c>
      <c r="D127" s="25" t="str">
        <f aca="false">Report!X142</f>
        <v>NF 47502 ELLEN</v>
      </c>
    </row>
    <row r="128" customFormat="false" ht="15" hidden="false" customHeight="true" outlineLevel="0" collapsed="false">
      <c r="A128" s="24" t="n">
        <f aca="false">Report!C143</f>
        <v>46213</v>
      </c>
      <c r="B128" s="25" t="str">
        <f aca="false">Report!E143</f>
        <v>AGM COMERCIO E DISTRIBUIDORA DE MATERIAS DE PERFUMARIA E LIMPEZA LTDA</v>
      </c>
      <c r="C128" s="26" t="n">
        <f aca="false">Report!U143</f>
        <v>592.5</v>
      </c>
      <c r="D128" s="25" t="str">
        <f aca="false">Report!X143</f>
        <v>NF 161137 ELLEN</v>
      </c>
    </row>
    <row r="129" customFormat="false" ht="15" hidden="false" customHeight="true" outlineLevel="0" collapsed="false">
      <c r="A129" s="24" t="n">
        <f aca="false">Report!C181</f>
        <v>46213</v>
      </c>
      <c r="B129" s="25" t="str">
        <f aca="false">Report!E181</f>
        <v>E. D. SENA &amp; CIA LTDA</v>
      </c>
      <c r="C129" s="26" t="n">
        <f aca="false">Report!U181</f>
        <v>531.2</v>
      </c>
      <c r="D129" s="25" t="str">
        <f aca="false">Report!X181</f>
        <v>NF 9495 ELLEN</v>
      </c>
    </row>
    <row r="130" customFormat="false" ht="15" hidden="false" customHeight="true" outlineLevel="0" collapsed="false">
      <c r="A130" s="24" t="n">
        <f aca="false">Report!C194</f>
        <v>46213</v>
      </c>
      <c r="B130" s="25" t="str">
        <f aca="false">Report!E194</f>
        <v>L S M COMERCIO DE ALIMENTOS E NAVEGACAO</v>
      </c>
      <c r="C130" s="26" t="n">
        <f aca="false">Report!U194</f>
        <v>1184.07</v>
      </c>
      <c r="D130" s="25" t="str">
        <f aca="false">Report!X194</f>
        <v>NF 305929 ELLEN</v>
      </c>
    </row>
    <row r="131" customFormat="false" ht="15" hidden="false" customHeight="true" outlineLevel="0" collapsed="false">
      <c r="A131" s="24" t="n">
        <f aca="false">Report!C199</f>
        <v>46213</v>
      </c>
      <c r="B131" s="25" t="str">
        <f aca="false">Report!E199</f>
        <v>SOUZA CRUZ LTDA.</v>
      </c>
      <c r="C131" s="26" t="n">
        <f aca="false">Report!U199</f>
        <v>5621.36</v>
      </c>
      <c r="D131" s="25" t="str">
        <f aca="false">Report!X199</f>
        <v>NF 564993 ELLEN</v>
      </c>
    </row>
    <row r="132" customFormat="false" ht="15" hidden="false" customHeight="true" outlineLevel="0" collapsed="false">
      <c r="A132" s="24" t="n">
        <f aca="false">Report!C206</f>
        <v>46213</v>
      </c>
      <c r="B132" s="25" t="str">
        <f aca="false">Report!E206</f>
        <v>J G COMERCIO DE PRODUTOS ALIMENTICIOS LTDA</v>
      </c>
      <c r="C132" s="26" t="n">
        <f aca="false">Report!U206</f>
        <v>371.88</v>
      </c>
      <c r="D132" s="25" t="n">
        <f aca="false">Report!X206</f>
        <v>0</v>
      </c>
    </row>
    <row r="133" customFormat="false" ht="15" hidden="false" customHeight="true" outlineLevel="0" collapsed="false">
      <c r="A133" s="24" t="n">
        <f aca="false">Report!C241</f>
        <v>46213</v>
      </c>
      <c r="B133" s="25" t="str">
        <f aca="false">Report!E241</f>
        <v>BROTHERS  INDUSTRIA DE ALIMENTOS LTDA</v>
      </c>
      <c r="C133" s="26" t="n">
        <f aca="false">Report!U241</f>
        <v>279.82</v>
      </c>
      <c r="D133" s="25" t="str">
        <f aca="false">Report!X241</f>
        <v>NF 1030058 ELLEN</v>
      </c>
    </row>
    <row r="134" customFormat="false" ht="15" hidden="false" customHeight="true" outlineLevel="0" collapsed="false">
      <c r="A134" s="24" t="n">
        <f aca="false">Report!C244</f>
        <v>46213</v>
      </c>
      <c r="B134" s="25" t="str">
        <f aca="false">Report!E244</f>
        <v>H. L. DO NASCIMENTO</v>
      </c>
      <c r="C134" s="26" t="n">
        <f aca="false">Report!U244</f>
        <v>430.3</v>
      </c>
      <c r="D134" s="25" t="str">
        <f aca="false">Report!X244</f>
        <v>NF 5765 ELLEN</v>
      </c>
    </row>
    <row r="135" customFormat="false" ht="15" hidden="false" customHeight="true" outlineLevel="0" collapsed="false">
      <c r="A135" s="24" t="n">
        <f aca="false">Report!C250</f>
        <v>46213</v>
      </c>
      <c r="B135" s="25" t="str">
        <f aca="false">Report!E250</f>
        <v>G A COMERCIO DE PRODUTOS HOSPITALARES LTDA</v>
      </c>
      <c r="C135" s="26" t="n">
        <f aca="false">Report!U250</f>
        <v>368.4</v>
      </c>
      <c r="D135" s="25" t="str">
        <f aca="false">Report!X250</f>
        <v>NF 890 ELLEN</v>
      </c>
    </row>
    <row r="136" customFormat="false" ht="15" hidden="false" customHeight="true" outlineLevel="0" collapsed="false">
      <c r="A136" s="24" t="n">
        <f aca="false">Report!C267</f>
        <v>46213</v>
      </c>
      <c r="B136" s="25" t="str">
        <f aca="false">Report!E267</f>
        <v>CRBS S/A</v>
      </c>
      <c r="C136" s="26" t="n">
        <f aca="false">Report!U267</f>
        <v>2293.67</v>
      </c>
      <c r="D136" s="25" t="str">
        <f aca="false">Report!X267</f>
        <v>NF 888702 ELLEN</v>
      </c>
    </row>
    <row r="137" customFormat="false" ht="15" hidden="false" customHeight="true" outlineLevel="0" collapsed="false">
      <c r="A137" s="24" t="n">
        <f aca="false">Report!C268</f>
        <v>46213</v>
      </c>
      <c r="B137" s="25" t="str">
        <f aca="false">Report!E268</f>
        <v>CRBS S/A</v>
      </c>
      <c r="C137" s="26" t="n">
        <f aca="false">Report!U268</f>
        <v>1.55</v>
      </c>
      <c r="D137" s="25" t="str">
        <f aca="false">Report!X268</f>
        <v>NF 888702 REF TARIFA AMBEV - ELLEN</v>
      </c>
    </row>
    <row r="138" customFormat="false" ht="15" hidden="false" customHeight="true" outlineLevel="0" collapsed="false">
      <c r="A138" s="24" t="n">
        <f aca="false">Report!C269</f>
        <v>46213</v>
      </c>
      <c r="B138" s="25" t="str">
        <f aca="false">Report!E269</f>
        <v>FRUTAL INDUSTRIA E COMERCIO LTDA</v>
      </c>
      <c r="C138" s="26" t="n">
        <f aca="false">Report!U269</f>
        <v>393.86</v>
      </c>
      <c r="D138" s="25" t="str">
        <f aca="false">Report!X269</f>
        <v>NF 225160 ELLEN</v>
      </c>
    </row>
    <row r="139" customFormat="false" ht="15" hidden="false" customHeight="true" outlineLevel="0" collapsed="false">
      <c r="A139" s="24" t="n">
        <f aca="false">Report!C270</f>
        <v>46213</v>
      </c>
      <c r="B139" s="25" t="str">
        <f aca="false">Report!E270</f>
        <v>NORTELAC DISTRIBUIDORA DE FRIOS LTDA</v>
      </c>
      <c r="C139" s="26" t="n">
        <f aca="false">Report!U270</f>
        <v>460</v>
      </c>
      <c r="D139" s="25" t="str">
        <f aca="false">Report!X270</f>
        <v>NF 42910 ELLEN</v>
      </c>
    </row>
    <row r="140" customFormat="false" ht="15" hidden="false" customHeight="true" outlineLevel="0" collapsed="false">
      <c r="A140" s="24" t="n">
        <f aca="false">Report!C272</f>
        <v>46213</v>
      </c>
      <c r="B140" s="25" t="str">
        <f aca="false">Report!E272</f>
        <v>MAXFRI DISTRIUIDORA LTDA</v>
      </c>
      <c r="C140" s="26" t="n">
        <f aca="false">Report!U272</f>
        <v>5738.21</v>
      </c>
      <c r="D140" s="25" t="str">
        <f aca="false">Report!X272</f>
        <v>NF 14615 ELLEN</v>
      </c>
    </row>
    <row r="141" customFormat="false" ht="15" hidden="false" customHeight="true" outlineLevel="0" collapsed="false">
      <c r="A141" s="24" t="n">
        <f aca="false">Report!C294</f>
        <v>46213</v>
      </c>
      <c r="B141" s="25" t="str">
        <f aca="false">Report!E294</f>
        <v>BRAGA TABACARIA EIRELI ME</v>
      </c>
      <c r="C141" s="26" t="n">
        <f aca="false">Report!U294</f>
        <v>148.2</v>
      </c>
      <c r="D141" s="25" t="str">
        <f aca="false">Report!X294</f>
        <v>S/NF - COMPRAS-CACHACA/SKARLOFF - ELLEN</v>
      </c>
    </row>
    <row r="142" customFormat="false" ht="15" hidden="false" customHeight="true" outlineLevel="0" collapsed="false">
      <c r="A142" s="24" t="n">
        <f aca="false">Report!C381</f>
        <v>46213</v>
      </c>
      <c r="B142" s="25" t="str">
        <f aca="false">Report!E381</f>
        <v>NEYLIANE S DE OLIVEIRA &amp; CIA LTDA</v>
      </c>
      <c r="C142" s="26" t="n">
        <f aca="false">Report!U381</f>
        <v>1838.6</v>
      </c>
      <c r="D142" s="25" t="str">
        <f aca="false">Report!X381</f>
        <v>FEIRA SR RENATO - PG P LJ1 - ELLEN</v>
      </c>
    </row>
    <row r="143" customFormat="false" ht="15" hidden="false" customHeight="true" outlineLevel="0" collapsed="false">
      <c r="A143" s="24" t="n">
        <f aca="false">Report!C531</f>
        <v>46213</v>
      </c>
      <c r="B143" s="25" t="str">
        <f aca="false">Report!E531</f>
        <v>H L M PADARIA E CONFEITARIA LTDA</v>
      </c>
      <c r="C143" s="26" t="n">
        <f aca="false">Report!U531</f>
        <v>200</v>
      </c>
      <c r="D143" s="25" t="str">
        <f aca="false">Report!X531</f>
        <v>NF 20 COMPRAS-BOLO PG NO P 10/7/26 ELLEN</v>
      </c>
    </row>
    <row r="144" customFormat="false" ht="15" hidden="false" customHeight="true" outlineLevel="0" collapsed="false">
      <c r="A144" s="24" t="n">
        <f aca="false">Report!C165</f>
        <v>46214</v>
      </c>
      <c r="B144" s="25" t="str">
        <f aca="false">Report!E165</f>
        <v>MARE DISTRIBUIDORA DE BEBIDAS E DE PRODUTOS ALIMENTICIOS LTDA</v>
      </c>
      <c r="C144" s="26" t="n">
        <f aca="false">Report!U165</f>
        <v>1831.6</v>
      </c>
      <c r="D144" s="25" t="str">
        <f aca="false">Report!X165</f>
        <v>NF 1378386 ELLEN</v>
      </c>
    </row>
    <row r="145" customFormat="false" ht="15" hidden="false" customHeight="true" outlineLevel="0" collapsed="false">
      <c r="A145" s="24" t="n">
        <f aca="false">Report!C240</f>
        <v>46214</v>
      </c>
      <c r="B145" s="25" t="str">
        <f aca="false">Report!E240</f>
        <v>DISTRIBUIDORA LOPES LTDA</v>
      </c>
      <c r="C145" s="26" t="n">
        <f aca="false">Report!U240</f>
        <v>832.51</v>
      </c>
      <c r="D145" s="25" t="str">
        <f aca="false">Report!X240</f>
        <v>NF 1686081 ELLEN</v>
      </c>
    </row>
    <row r="146" customFormat="false" ht="15" hidden="false" customHeight="true" outlineLevel="0" collapsed="false">
      <c r="A146" s="24" t="n">
        <f aca="false">Report!C170</f>
        <v>46215</v>
      </c>
      <c r="B146" s="25" t="str">
        <f aca="false">Report!E170</f>
        <v>PRIME PET DISTRIBUIDORA LTDA</v>
      </c>
      <c r="C146" s="26" t="n">
        <f aca="false">Report!U170</f>
        <v>1361.81</v>
      </c>
      <c r="D146" s="25" t="str">
        <f aca="false">Report!X170</f>
        <v>NF 10860 ELLEN</v>
      </c>
    </row>
    <row r="147" customFormat="false" ht="15" hidden="false" customHeight="true" outlineLevel="0" collapsed="false">
      <c r="A147" s="24" t="n">
        <f aca="false">Report!C10</f>
        <v>46216</v>
      </c>
      <c r="B147" s="25" t="str">
        <f aca="false">Report!E10</f>
        <v>DURAES DISTRIBUIDORA DE ESTIVAS LTDA</v>
      </c>
      <c r="C147" s="26" t="n">
        <f aca="false">Report!U10</f>
        <v>347.18</v>
      </c>
      <c r="D147" s="25" t="str">
        <f aca="false">Report!X10</f>
        <v>NF 646732 ELLEN</v>
      </c>
    </row>
    <row r="148" customFormat="false" ht="15" hidden="false" customHeight="true" outlineLevel="0" collapsed="false">
      <c r="A148" s="24" t="n">
        <f aca="false">Report!C63</f>
        <v>46216</v>
      </c>
      <c r="B148" s="25" t="str">
        <f aca="false">Report!E63</f>
        <v>ADRIANA DISTRIBUIDORA DE PRODUTOS ALIMEN</v>
      </c>
      <c r="C148" s="26" t="n">
        <f aca="false">Report!U63</f>
        <v>791.31</v>
      </c>
      <c r="D148" s="25" t="str">
        <f aca="false">Report!X63</f>
        <v>NF 878392 ELLEN</v>
      </c>
    </row>
    <row r="149" customFormat="false" ht="15" hidden="false" customHeight="true" outlineLevel="0" collapsed="false">
      <c r="A149" s="24" t="n">
        <f aca="false">Report!C72</f>
        <v>46216</v>
      </c>
      <c r="B149" s="25" t="str">
        <f aca="false">Report!E72</f>
        <v>DUNORTE DISTRIBUIDORA DE PRODUTOS DE CONSUMO LTDA</v>
      </c>
      <c r="C149" s="26" t="n">
        <f aca="false">Report!U72</f>
        <v>643.05</v>
      </c>
      <c r="D149" s="25" t="str">
        <f aca="false">Report!X72</f>
        <v>NF 3202460 ELLEN</v>
      </c>
    </row>
    <row r="150" customFormat="false" ht="15" hidden="false" customHeight="true" outlineLevel="0" collapsed="false">
      <c r="A150" s="24" t="n">
        <f aca="false">Report!C127</f>
        <v>46216</v>
      </c>
      <c r="B150" s="25" t="str">
        <f aca="false">Report!E127</f>
        <v>ROCHA E PAIVA LTDA</v>
      </c>
      <c r="C150" s="26" t="n">
        <f aca="false">Report!U127</f>
        <v>591.52</v>
      </c>
      <c r="D150" s="25" t="str">
        <f aca="false">Report!X127</f>
        <v>NF 207912 ELLEN</v>
      </c>
    </row>
    <row r="151" customFormat="false" ht="15" hidden="false" customHeight="true" outlineLevel="0" collapsed="false">
      <c r="A151" s="24" t="n">
        <f aca="false">Report!C129</f>
        <v>46216</v>
      </c>
      <c r="B151" s="25" t="str">
        <f aca="false">Report!E129</f>
        <v>ATACADAO S.A.</v>
      </c>
      <c r="C151" s="26" t="n">
        <f aca="false">Report!U129</f>
        <v>671.67</v>
      </c>
      <c r="D151" s="25" t="str">
        <f aca="false">Report!X129</f>
        <v>NF 1894392 ELLEN</v>
      </c>
    </row>
    <row r="152" customFormat="false" ht="15" hidden="false" customHeight="true" outlineLevel="0" collapsed="false">
      <c r="A152" s="24" t="n">
        <f aca="false">Report!C145</f>
        <v>46216</v>
      </c>
      <c r="B152" s="25" t="str">
        <f aca="false">Report!E145</f>
        <v>FENNIX BRASIL DISTRIBUIDORA DE PRODUTOS</v>
      </c>
      <c r="C152" s="26" t="n">
        <f aca="false">Report!U145</f>
        <v>675.35</v>
      </c>
      <c r="D152" s="25" t="str">
        <f aca="false">Report!X145</f>
        <v>NF 310316 ELLEN</v>
      </c>
    </row>
    <row r="153" customFormat="false" ht="15" hidden="false" customHeight="true" outlineLevel="0" collapsed="false">
      <c r="A153" s="24" t="n">
        <f aca="false">Report!C257</f>
        <v>46216</v>
      </c>
      <c r="B153" s="25" t="str">
        <f aca="false">Report!E257</f>
        <v>ADRIANO FEITOSA OLIVEIRA LTDA</v>
      </c>
      <c r="C153" s="26" t="n">
        <f aca="false">Report!U257</f>
        <v>2388.97</v>
      </c>
      <c r="D153" s="25" t="str">
        <f aca="false">Report!X257</f>
        <v>NF 322 ELLEN</v>
      </c>
    </row>
    <row r="154" customFormat="false" ht="15" hidden="false" customHeight="true" outlineLevel="0" collapsed="false">
      <c r="A154" s="24" t="n">
        <f aca="false">Report!C284</f>
        <v>46216</v>
      </c>
      <c r="B154" s="25" t="str">
        <f aca="false">Report!E284</f>
        <v>JAB COMERCIO DE PRODUTOS ALIMENTICIOS LT</v>
      </c>
      <c r="C154" s="26" t="n">
        <f aca="false">Report!U284</f>
        <v>142</v>
      </c>
      <c r="D154" s="25" t="str">
        <f aca="false">Report!X284</f>
        <v>NF 3500 ELLEN</v>
      </c>
    </row>
    <row r="155" customFormat="false" ht="15" hidden="false" customHeight="true" outlineLevel="0" collapsed="false">
      <c r="A155" s="24" t="n">
        <f aca="false">Report!C289</f>
        <v>46216</v>
      </c>
      <c r="B155" s="25" t="str">
        <f aca="false">Report!E289</f>
        <v>NOVA FRIOS COMERCIO ATACADISTA DE LATICINIOS LTDA</v>
      </c>
      <c r="C155" s="26" t="n">
        <f aca="false">Report!U289</f>
        <v>194.08</v>
      </c>
      <c r="D155" s="25" t="str">
        <f aca="false">Report!X289</f>
        <v>NF 3993 ELLEN</v>
      </c>
    </row>
    <row r="156" customFormat="false" ht="15" hidden="false" customHeight="true" outlineLevel="0" collapsed="false">
      <c r="A156" s="24" t="n">
        <f aca="false">Report!C305</f>
        <v>46216</v>
      </c>
      <c r="B156" s="25" t="str">
        <f aca="false">Report!E305</f>
        <v>NEYLIANE S DE OLIVEIRA &amp; CIA LTDA</v>
      </c>
      <c r="C156" s="26" t="n">
        <f aca="false">Report!U305</f>
        <v>560</v>
      </c>
      <c r="D156" s="25" t="str">
        <f aca="false">Report!X305</f>
        <v>COMPRAS - FARINHA DAGUA DE FEIRA - ELLEN</v>
      </c>
    </row>
    <row r="157" customFormat="false" ht="15" hidden="false" customHeight="true" outlineLevel="0" collapsed="false">
      <c r="A157" s="24" t="n">
        <f aca="false">Report!C329</f>
        <v>46216</v>
      </c>
      <c r="B157" s="25" t="str">
        <f aca="false">Report!E329</f>
        <v>PANIFICADORA E CONFEITARIA REAL MADRI LTDA</v>
      </c>
      <c r="C157" s="26" t="n">
        <f aca="false">Report!U329</f>
        <v>259.75</v>
      </c>
      <c r="D157" s="25" t="str">
        <f aca="false">Report!X329</f>
        <v>NF 704 ELLEN</v>
      </c>
    </row>
    <row r="158" customFormat="false" ht="15" hidden="false" customHeight="true" outlineLevel="0" collapsed="false">
      <c r="A158" s="24" t="n">
        <f aca="false">Report!C371</f>
        <v>46216</v>
      </c>
      <c r="B158" s="25" t="str">
        <f aca="false">Report!E371</f>
        <v>J W N DOS SANTOS</v>
      </c>
      <c r="C158" s="26" t="n">
        <f aca="false">Report!U371</f>
        <v>225</v>
      </c>
      <c r="D158" s="25" t="str">
        <f aca="false">Report!X371</f>
        <v>NF 351 ELLEN</v>
      </c>
    </row>
    <row r="159" customFormat="false" ht="15" hidden="false" customHeight="true" outlineLevel="0" collapsed="false">
      <c r="A159" s="24" t="n">
        <f aca="false">Report!C398</f>
        <v>46216</v>
      </c>
      <c r="B159" s="25" t="str">
        <f aca="false">Report!E398</f>
        <v>NEYLIANE S DE OLIVEIRA &amp; CIA LTDA</v>
      </c>
      <c r="C159" s="26" t="n">
        <f aca="false">Report!U398</f>
        <v>210</v>
      </c>
      <c r="D159" s="25" t="str">
        <f aca="false">Report!X398</f>
        <v>COMPRAS 15L DE AÇAI - PG NO P 11/7/26 ELLEN</v>
      </c>
    </row>
    <row r="160" customFormat="false" ht="15" hidden="false" customHeight="true" outlineLevel="0" collapsed="false">
      <c r="A160" s="24" t="n">
        <f aca="false">Report!C532</f>
        <v>46216</v>
      </c>
      <c r="B160" s="25" t="str">
        <f aca="false">Report!E532</f>
        <v>H L M PADARIA E CONFEITARIA LTDA</v>
      </c>
      <c r="C160" s="26" t="n">
        <f aca="false">Report!U532</f>
        <v>120</v>
      </c>
      <c r="D160" s="25" t="str">
        <f aca="false">Report!X532</f>
        <v>NF 19 COMPRAS-BOLO PG NO P 13/7/26 ELLEN</v>
      </c>
    </row>
    <row r="161" customFormat="false" ht="15" hidden="false" customHeight="true" outlineLevel="0" collapsed="false">
      <c r="A161" s="24" t="n">
        <f aca="false">Report!C167</f>
        <v>46217</v>
      </c>
      <c r="B161" s="25" t="str">
        <f aca="false">Report!E167</f>
        <v>BONNA VITTA INDUSTRIA E COMERCIO LTDA.</v>
      </c>
      <c r="C161" s="26" t="n">
        <f aca="false">Report!U167</f>
        <v>304.45</v>
      </c>
      <c r="D161" s="25" t="str">
        <f aca="false">Report!X167</f>
        <v>NF 519349 ELLEN</v>
      </c>
    </row>
    <row r="162" customFormat="false" ht="15" hidden="false" customHeight="true" outlineLevel="0" collapsed="false">
      <c r="A162" s="24" t="n">
        <f aca="false">Report!C210</f>
        <v>46217</v>
      </c>
      <c r="B162" s="25" t="str">
        <f aca="false">Report!E210</f>
        <v>BRASIL NORTE BEBIDAS S/A</v>
      </c>
      <c r="C162" s="26" t="n">
        <f aca="false">Report!U210</f>
        <v>29.3</v>
      </c>
      <c r="D162" s="25" t="str">
        <f aca="false">Report!X210</f>
        <v>NF 1180339 ELLEN</v>
      </c>
    </row>
    <row r="163" customFormat="false" ht="15" hidden="false" customHeight="true" outlineLevel="0" collapsed="false">
      <c r="A163" s="24" t="n">
        <f aca="false">Report!C211</f>
        <v>46217</v>
      </c>
      <c r="B163" s="25" t="str">
        <f aca="false">Report!E211</f>
        <v>BRASIL NORTE BEBIDAS S/A</v>
      </c>
      <c r="C163" s="26" t="n">
        <f aca="false">Report!U211</f>
        <v>156.29</v>
      </c>
      <c r="D163" s="25" t="str">
        <f aca="false">Report!X211</f>
        <v>NF 1906318 ELLEN</v>
      </c>
    </row>
    <row r="164" customFormat="false" ht="15" hidden="false" customHeight="true" outlineLevel="0" collapsed="false">
      <c r="A164" s="24" t="n">
        <f aca="false">Report!C212</f>
        <v>46217</v>
      </c>
      <c r="B164" s="25" t="str">
        <f aca="false">Report!E212</f>
        <v>BRASIL NORTE BEBIDAS S/A</v>
      </c>
      <c r="C164" s="26" t="n">
        <f aca="false">Report!U212</f>
        <v>974.53</v>
      </c>
      <c r="D164" s="25" t="str">
        <f aca="false">Report!X212</f>
        <v>NF 1906109 ELLEN</v>
      </c>
    </row>
    <row r="165" customFormat="false" ht="15" hidden="false" customHeight="true" outlineLevel="0" collapsed="false">
      <c r="A165" s="24" t="n">
        <f aca="false">Report!C218</f>
        <v>46217</v>
      </c>
      <c r="B165" s="25" t="str">
        <f aca="false">Report!E218</f>
        <v>MARTINS COM SERV DISTR SA</v>
      </c>
      <c r="C165" s="26" t="n">
        <f aca="false">Report!U218</f>
        <v>542.11</v>
      </c>
      <c r="D165" s="25" t="str">
        <f aca="false">Report!X218</f>
        <v>NF 1777487 ELLEN</v>
      </c>
    </row>
    <row r="166" customFormat="false" ht="15" hidden="false" customHeight="true" outlineLevel="0" collapsed="false">
      <c r="A166" s="24" t="n">
        <f aca="false">Report!C275</f>
        <v>46217</v>
      </c>
      <c r="B166" s="25" t="str">
        <f aca="false">Report!E275</f>
        <v>COMERCIO DE FRIOS MANAUS LTDA</v>
      </c>
      <c r="C166" s="26" t="n">
        <f aca="false">Report!U275</f>
        <v>2243.2</v>
      </c>
      <c r="D166" s="25" t="str">
        <f aca="false">Report!X275</f>
        <v>NF 172659 ELLEN</v>
      </c>
    </row>
    <row r="167" customFormat="false" ht="15" hidden="false" customHeight="true" outlineLevel="0" collapsed="false">
      <c r="A167" s="24" t="n">
        <f aca="false">Report!C285</f>
        <v>46217</v>
      </c>
      <c r="B167" s="25" t="str">
        <f aca="false">Report!E285</f>
        <v>FEIRA</v>
      </c>
      <c r="C167" s="26" t="n">
        <f aca="false">Report!U285</f>
        <v>770</v>
      </c>
      <c r="D167" s="25" t="str">
        <f aca="false">Report!X285</f>
        <v>FEIRA SR RENATO-PG P LJ1-ALHO/MAÇA/UVA-SOMAR C NF2542-ELLEN</v>
      </c>
    </row>
    <row r="168" customFormat="false" ht="15" hidden="false" customHeight="true" outlineLevel="0" collapsed="false">
      <c r="A168" s="24" t="n">
        <f aca="false">Report!C287</f>
        <v>46217</v>
      </c>
      <c r="B168" s="25" t="str">
        <f aca="false">Report!E287</f>
        <v>BROTHERS  INDUSTRIA DE ALIMENTOS LTDA</v>
      </c>
      <c r="C168" s="26" t="n">
        <f aca="false">Report!U287</f>
        <v>248.78</v>
      </c>
      <c r="D168" s="25" t="str">
        <f aca="false">Report!X287</f>
        <v>NF 1030653 ELLEN</v>
      </c>
    </row>
    <row r="169" customFormat="false" ht="15" hidden="false" customHeight="true" outlineLevel="0" collapsed="false">
      <c r="A169" s="24" t="n">
        <f aca="false">Report!C303</f>
        <v>46217</v>
      </c>
      <c r="B169" s="25" t="str">
        <f aca="false">Report!E303</f>
        <v>NEYLIANE S DE OLIVEIRA &amp; CIA LTDA</v>
      </c>
      <c r="C169" s="26" t="n">
        <f aca="false">Report!U303</f>
        <v>1046</v>
      </c>
      <c r="D169" s="25" t="str">
        <f aca="false">Report!X303</f>
        <v>COMPRAS - FARINHA CRUZEIRO - ELLEN</v>
      </c>
    </row>
    <row r="170" customFormat="false" ht="15" hidden="false" customHeight="true" outlineLevel="0" collapsed="false">
      <c r="A170" s="24" t="n">
        <f aca="false">Report!C334</f>
        <v>46217</v>
      </c>
      <c r="B170" s="25" t="str">
        <f aca="false">Report!E334</f>
        <v>SILVA E SANTOS FRIGORIFICO LTDA</v>
      </c>
      <c r="C170" s="26" t="n">
        <f aca="false">Report!U334</f>
        <v>1411.05</v>
      </c>
      <c r="D170" s="25" t="str">
        <f aca="false">Report!X334</f>
        <v>NF 31674 ELLEN</v>
      </c>
    </row>
    <row r="171" customFormat="false" ht="15" hidden="false" customHeight="true" outlineLevel="0" collapsed="false">
      <c r="A171" s="24" t="n">
        <f aca="false">Report!C338</f>
        <v>46217</v>
      </c>
      <c r="B171" s="25" t="str">
        <f aca="false">Report!E338</f>
        <v>NEYLIANE S DE OLIVEIRA &amp; CIA LTDA</v>
      </c>
      <c r="C171" s="26" t="n">
        <f aca="false">Report!U338</f>
        <v>290</v>
      </c>
      <c r="D171" s="25" t="str">
        <f aca="false">Report!X338</f>
        <v>COMPRAS - VISCERAS (BOLETO) ELLEN</v>
      </c>
    </row>
    <row r="172" customFormat="false" ht="15" hidden="false" customHeight="true" outlineLevel="0" collapsed="false">
      <c r="A172" s="24" t="n">
        <f aca="false">Report!C384</f>
        <v>46217</v>
      </c>
      <c r="B172" s="25" t="str">
        <f aca="false">Report!E384</f>
        <v>ADICSO FABIAN GONZALEZ MONTILLA 70302186</v>
      </c>
      <c r="C172" s="26" t="n">
        <f aca="false">Report!U384</f>
        <v>180</v>
      </c>
      <c r="D172" s="25" t="str">
        <f aca="false">Report!X384</f>
        <v>NF 527 ELLEN</v>
      </c>
    </row>
    <row r="173" customFormat="false" ht="15" hidden="false" customHeight="true" outlineLevel="0" collapsed="false">
      <c r="A173" s="24" t="n">
        <f aca="false">Report!C385</f>
        <v>46217</v>
      </c>
      <c r="B173" s="25" t="str">
        <f aca="false">Report!E385</f>
        <v>PANIFICADORA E CONFEITARIA REAL MADRI LTDA</v>
      </c>
      <c r="C173" s="26" t="n">
        <f aca="false">Report!U385</f>
        <v>307.11</v>
      </c>
      <c r="D173" s="25" t="str">
        <f aca="false">Report!X385</f>
        <v>NF 708 ELLEN</v>
      </c>
    </row>
    <row r="174" customFormat="false" ht="15" hidden="false" customHeight="true" outlineLevel="0" collapsed="false">
      <c r="A174" s="24" t="n">
        <f aca="false">Report!C388</f>
        <v>46217</v>
      </c>
      <c r="B174" s="25" t="str">
        <f aca="false">Report!E388</f>
        <v>NSB COMERCIO ATACADISTA E VAREJISTA DE P</v>
      </c>
      <c r="C174" s="26" t="n">
        <f aca="false">Report!U388</f>
        <v>378.89</v>
      </c>
      <c r="D174" s="25" t="str">
        <f aca="false">Report!X388</f>
        <v>NF 7874 ELLEN</v>
      </c>
    </row>
    <row r="175" customFormat="false" ht="15" hidden="false" customHeight="true" outlineLevel="0" collapsed="false">
      <c r="A175" s="24" t="n">
        <f aca="false">Report!C422</f>
        <v>46217</v>
      </c>
      <c r="B175" s="25" t="str">
        <f aca="false">Report!E422</f>
        <v>NEYLIANE S DE OLIVEIRA &amp; CIA LTDA</v>
      </c>
      <c r="C175" s="26" t="n">
        <f aca="false">Report!U422</f>
        <v>1946.36</v>
      </c>
      <c r="D175" s="25" t="str">
        <f aca="false">Report!X422</f>
        <v>FEIRA SR RENATO - PG P LJ1 - ELLEN</v>
      </c>
    </row>
    <row r="176" customFormat="false" ht="15" hidden="false" customHeight="true" outlineLevel="0" collapsed="false">
      <c r="A176" s="24" t="n">
        <f aca="false">Report!C425</f>
        <v>46217</v>
      </c>
      <c r="B176" s="25" t="str">
        <f aca="false">Report!E425</f>
        <v>NEYLIANE S DE OLIVEIRA &amp; CIA LTDA</v>
      </c>
      <c r="C176" s="26" t="n">
        <f aca="false">Report!U425</f>
        <v>182</v>
      </c>
      <c r="D176" s="25" t="str">
        <f aca="false">Report!X425</f>
        <v>COMPRAS - 13L DE AÇAI- PG NO P 14/7/26 ELLEN</v>
      </c>
    </row>
    <row r="177" customFormat="false" ht="15" hidden="false" customHeight="true" outlineLevel="0" collapsed="false">
      <c r="A177" s="24" t="n">
        <f aca="false">Report!C69</f>
        <v>46218</v>
      </c>
      <c r="B177" s="25" t="str">
        <f aca="false">Report!E69</f>
        <v>ADRIANA DISTRIBUIDORA DE PRODUTOS ALIMEN</v>
      </c>
      <c r="C177" s="26" t="n">
        <f aca="false">Report!U69</f>
        <v>589.08</v>
      </c>
      <c r="D177" s="25" t="str">
        <f aca="false">Report!X69</f>
        <v>NF 878758 ELLEN</v>
      </c>
    </row>
    <row r="178" customFormat="false" ht="15" hidden="false" customHeight="true" outlineLevel="0" collapsed="false">
      <c r="A178" s="24" t="n">
        <f aca="false">Report!C84</f>
        <v>46218</v>
      </c>
      <c r="B178" s="25" t="str">
        <f aca="false">Report!E84</f>
        <v>OESA COMERCIO E REPRESENTACOES S/A</v>
      </c>
      <c r="C178" s="26" t="n">
        <f aca="false">Report!U84</f>
        <v>61.58</v>
      </c>
      <c r="D178" s="25" t="str">
        <f aca="false">Report!X84</f>
        <v>NF 416678 ELLEN</v>
      </c>
    </row>
    <row r="179" customFormat="false" ht="15" hidden="false" customHeight="true" outlineLevel="0" collapsed="false">
      <c r="A179" s="24" t="n">
        <f aca="false">Report!C190</f>
        <v>46218</v>
      </c>
      <c r="B179" s="25" t="str">
        <f aca="false">Report!E190</f>
        <v>BRF S A</v>
      </c>
      <c r="C179" s="26" t="n">
        <f aca="false">Report!U190</f>
        <v>1881.46</v>
      </c>
      <c r="D179" s="25" t="str">
        <f aca="false">Report!X190</f>
        <v>NF 1600681 ELLEN</v>
      </c>
    </row>
    <row r="180" customFormat="false" ht="15" hidden="false" customHeight="true" outlineLevel="0" collapsed="false">
      <c r="A180" s="24" t="n">
        <f aca="false">Report!C224</f>
        <v>46218</v>
      </c>
      <c r="B180" s="25" t="str">
        <f aca="false">Report!E224</f>
        <v>TAPAJOS COM DE PERFUMARIA COSMETICOS E G</v>
      </c>
      <c r="C180" s="26" t="n">
        <f aca="false">Report!U224</f>
        <v>296</v>
      </c>
      <c r="D180" s="25" t="str">
        <f aca="false">Report!X224</f>
        <v>NF 576435 ELLEN</v>
      </c>
    </row>
    <row r="181" customFormat="false" ht="15" hidden="false" customHeight="true" outlineLevel="0" collapsed="false">
      <c r="A181" s="24" t="n">
        <f aca="false">Report!C225</f>
        <v>46218</v>
      </c>
      <c r="B181" s="25" t="str">
        <f aca="false">Report!E225</f>
        <v>EDSON AGUIAR DE SOUZA</v>
      </c>
      <c r="C181" s="26" t="n">
        <f aca="false">Report!U225</f>
        <v>123</v>
      </c>
      <c r="D181" s="25" t="str">
        <f aca="false">Report!X225</f>
        <v>COMPRAS - CHEIRO-VERDE - ELLEN</v>
      </c>
    </row>
    <row r="182" customFormat="false" ht="15" hidden="false" customHeight="true" outlineLevel="0" collapsed="false">
      <c r="A182" s="24" t="n">
        <f aca="false">Report!C230</f>
        <v>46218</v>
      </c>
      <c r="B182" s="25" t="str">
        <f aca="false">Report!E230</f>
        <v>TOYA INDUSTRIA E COMERCIO LTDA.</v>
      </c>
      <c r="C182" s="26" t="n">
        <f aca="false">Report!U230</f>
        <v>868.37</v>
      </c>
      <c r="D182" s="25" t="str">
        <f aca="false">Report!X230</f>
        <v>NF 254582 ELLEN</v>
      </c>
    </row>
    <row r="183" customFormat="false" ht="15" hidden="false" customHeight="true" outlineLevel="0" collapsed="false">
      <c r="A183" s="24" t="n">
        <f aca="false">Report!C264</f>
        <v>46218</v>
      </c>
      <c r="B183" s="25" t="str">
        <f aca="false">Report!E264</f>
        <v>EDSON AGUIAR DE SOUZA</v>
      </c>
      <c r="C183" s="26" t="n">
        <f aca="false">Report!U264</f>
        <v>89.5</v>
      </c>
      <c r="D183" s="25" t="str">
        <f aca="false">Report!X264</f>
        <v>COMPRAS - CHEIRO-VERDE - ELLEN</v>
      </c>
    </row>
    <row r="184" customFormat="false" ht="15" hidden="false" customHeight="true" outlineLevel="0" collapsed="false">
      <c r="A184" s="24" t="n">
        <f aca="false">Report!C274</f>
        <v>46218</v>
      </c>
      <c r="B184" s="25" t="str">
        <f aca="false">Report!E274</f>
        <v>EDSON AGUIAR DE SOUZA</v>
      </c>
      <c r="C184" s="26" t="n">
        <f aca="false">Report!U274</f>
        <v>140</v>
      </c>
      <c r="D184" s="25" t="str">
        <f aca="false">Report!X274</f>
        <v>COMPRAS - CHEIRO-VERDE - ELLEN</v>
      </c>
    </row>
    <row r="185" customFormat="false" ht="15" hidden="false" customHeight="true" outlineLevel="0" collapsed="false">
      <c r="A185" s="24" t="n">
        <f aca="false">Report!C291</f>
        <v>46218</v>
      </c>
      <c r="B185" s="25" t="str">
        <f aca="false">Report!E291</f>
        <v>EDSON AGUIAR DE SOUZA</v>
      </c>
      <c r="C185" s="26" t="n">
        <f aca="false">Report!U291</f>
        <v>130</v>
      </c>
      <c r="D185" s="25" t="str">
        <f aca="false">Report!X291</f>
        <v>COMPRAS - CHEIRO-VERDE - ELLEN</v>
      </c>
    </row>
    <row r="186" customFormat="false" ht="15" hidden="false" customHeight="true" outlineLevel="0" collapsed="false">
      <c r="A186" s="24" t="n">
        <f aca="false">Report!C328</f>
        <v>46218</v>
      </c>
      <c r="B186" s="25" t="str">
        <f aca="false">Report!E328</f>
        <v>SAO JOSE COMERCIO DE LATICINIOS E FRIOS</v>
      </c>
      <c r="C186" s="26" t="n">
        <f aca="false">Report!U328</f>
        <v>505.5</v>
      </c>
      <c r="D186" s="25" t="str">
        <f aca="false">Report!X328</f>
        <v>NF 3570 ELLEN</v>
      </c>
    </row>
    <row r="187" customFormat="false" ht="15" hidden="false" customHeight="true" outlineLevel="0" collapsed="false">
      <c r="A187" s="24" t="n">
        <f aca="false">Report!C330</f>
        <v>46218</v>
      </c>
      <c r="B187" s="25" t="str">
        <f aca="false">Report!E330</f>
        <v>EDSON AGUIAR DE SOUZA</v>
      </c>
      <c r="C187" s="26" t="n">
        <f aca="false">Report!U330</f>
        <v>129.5</v>
      </c>
      <c r="D187" s="25" t="str">
        <f aca="false">Report!X330</f>
        <v>COMPRAS - CHEIRO-VERDE - ELLEN</v>
      </c>
    </row>
    <row r="188" customFormat="false" ht="15" hidden="false" customHeight="true" outlineLevel="0" collapsed="false">
      <c r="A188" s="24" t="n">
        <f aca="false">Report!C335</f>
        <v>46218</v>
      </c>
      <c r="B188" s="25" t="str">
        <f aca="false">Report!E335</f>
        <v>FEMAR IND E COM DE BEBIDAS LTDA</v>
      </c>
      <c r="C188" s="26" t="n">
        <f aca="false">Report!U335</f>
        <v>316.08</v>
      </c>
      <c r="D188" s="25" t="str">
        <f aca="false">Report!X335</f>
        <v>NF 53410 ELLEN</v>
      </c>
    </row>
    <row r="189" customFormat="false" ht="15" hidden="false" customHeight="true" outlineLevel="0" collapsed="false">
      <c r="A189" s="24" t="n">
        <f aca="false">Report!C339</f>
        <v>46218</v>
      </c>
      <c r="B189" s="25" t="str">
        <f aca="false">Report!E339</f>
        <v>ADRIANO FEITOSA OLIVEIRA LTDA</v>
      </c>
      <c r="C189" s="26" t="n">
        <f aca="false">Report!U339</f>
        <v>915</v>
      </c>
      <c r="D189" s="25" t="str">
        <f aca="false">Report!X339</f>
        <v>NF 331 ELLEN</v>
      </c>
    </row>
    <row r="190" customFormat="false" ht="15" hidden="false" customHeight="true" outlineLevel="0" collapsed="false">
      <c r="A190" s="24" t="n">
        <f aca="false">Report!C347</f>
        <v>46218</v>
      </c>
      <c r="B190" s="25" t="str">
        <f aca="false">Report!E347</f>
        <v>LIMA E BARANDA COMERCIO DE PRODUTOS REGI</v>
      </c>
      <c r="C190" s="26" t="n">
        <f aca="false">Report!U347</f>
        <v>329</v>
      </c>
      <c r="D190" s="25" t="str">
        <f aca="false">Report!X347</f>
        <v>NF 31344 ELLEN</v>
      </c>
    </row>
    <row r="191" customFormat="false" ht="15" hidden="false" customHeight="true" outlineLevel="0" collapsed="false">
      <c r="A191" s="24" t="n">
        <f aca="false">Report!C387</f>
        <v>46218</v>
      </c>
      <c r="B191" s="25" t="str">
        <f aca="false">Report!E387</f>
        <v>EDSON AGUIAR DE SOUZA</v>
      </c>
      <c r="C191" s="26" t="n">
        <f aca="false">Report!U387</f>
        <v>61.5</v>
      </c>
      <c r="D191" s="25" t="str">
        <f aca="false">Report!X387</f>
        <v>COMPRAS - CHEIRO-VERDE - ELLEN</v>
      </c>
    </row>
    <row r="192" customFormat="false" ht="15" hidden="false" customHeight="true" outlineLevel="0" collapsed="false">
      <c r="A192" s="24" t="n">
        <f aca="false">Report!C392</f>
        <v>46218</v>
      </c>
      <c r="B192" s="25" t="str">
        <f aca="false">Report!E392</f>
        <v>EDSON AGUIAR DE SOUZA</v>
      </c>
      <c r="C192" s="26" t="n">
        <f aca="false">Report!U392</f>
        <v>174</v>
      </c>
      <c r="D192" s="25" t="str">
        <f aca="false">Report!X392</f>
        <v>COMPRAS - CHEIRO-VERDE - ELLEN</v>
      </c>
    </row>
    <row r="193" customFormat="false" ht="15" hidden="false" customHeight="true" outlineLevel="0" collapsed="false">
      <c r="A193" s="24" t="n">
        <f aca="false">Report!C410</f>
        <v>46218</v>
      </c>
      <c r="B193" s="25" t="str">
        <f aca="false">Report!E410</f>
        <v>EDSON AGUIAR DE SOUZA</v>
      </c>
      <c r="C193" s="26" t="n">
        <f aca="false">Report!U410</f>
        <v>117</v>
      </c>
      <c r="D193" s="25" t="str">
        <f aca="false">Report!X410</f>
        <v>COMPRAS - CHEIRO-VERDE - ELLEN</v>
      </c>
    </row>
    <row r="194" customFormat="false" ht="15" hidden="false" customHeight="true" outlineLevel="0" collapsed="false">
      <c r="A194" s="24" t="n">
        <f aca="false">Report!C437</f>
        <v>46218</v>
      </c>
      <c r="B194" s="25" t="str">
        <f aca="false">Report!E437</f>
        <v>EDSON AGUIAR DE SOUZA</v>
      </c>
      <c r="C194" s="26" t="n">
        <f aca="false">Report!U437</f>
        <v>76.5</v>
      </c>
      <c r="D194" s="25" t="str">
        <f aca="false">Report!X437</f>
        <v>COMPRAS - CHEIRO-VERDE - ELLEN</v>
      </c>
    </row>
    <row r="195" customFormat="false" ht="15" hidden="false" customHeight="true" outlineLevel="0" collapsed="false">
      <c r="A195" s="24" t="n">
        <f aca="false">Report!C533</f>
        <v>46218</v>
      </c>
      <c r="B195" s="25" t="str">
        <f aca="false">Report!E533</f>
        <v>H L M PADARIA E CONFEITARIA LTDA</v>
      </c>
      <c r="C195" s="26" t="n">
        <f aca="false">Report!U533</f>
        <v>140</v>
      </c>
      <c r="D195" s="25" t="str">
        <f aca="false">Report!X533</f>
        <v>NF 22 COMPRAS-BOLO PG NO P 15/7/26 ELLEN</v>
      </c>
    </row>
    <row r="196" customFormat="false" ht="15" hidden="false" customHeight="true" outlineLevel="0" collapsed="false">
      <c r="A196" s="24" t="n">
        <f aca="false">Report!C76</f>
        <v>46219</v>
      </c>
      <c r="B196" s="25" t="str">
        <f aca="false">Report!E76</f>
        <v>RISADINHA LTDA</v>
      </c>
      <c r="C196" s="26" t="n">
        <f aca="false">Report!U76</f>
        <v>550.4</v>
      </c>
      <c r="D196" s="25" t="str">
        <f aca="false">Report!X76</f>
        <v>NF 658429 ELLEN</v>
      </c>
    </row>
    <row r="197" customFormat="false" ht="15" hidden="false" customHeight="true" outlineLevel="0" collapsed="false">
      <c r="A197" s="24" t="n">
        <f aca="false">Report!C131</f>
        <v>46219</v>
      </c>
      <c r="B197" s="25" t="str">
        <f aca="false">Report!E131</f>
        <v>SB COMERCIO LTDA</v>
      </c>
      <c r="C197" s="26" t="n">
        <f aca="false">Report!U131</f>
        <v>653.65</v>
      </c>
      <c r="D197" s="25" t="str">
        <f aca="false">Report!X131</f>
        <v>NF 1959276 ELLEN</v>
      </c>
    </row>
    <row r="198" customFormat="false" ht="15" hidden="false" customHeight="true" outlineLevel="0" collapsed="false">
      <c r="A198" s="24" t="n">
        <f aca="false">Report!C226</f>
        <v>46219</v>
      </c>
      <c r="B198" s="25" t="str">
        <f aca="false">Report!E226</f>
        <v>DA FRUTA DISTRIBUIDORA LTDA</v>
      </c>
      <c r="C198" s="26" t="n">
        <f aca="false">Report!U226</f>
        <v>652.4</v>
      </c>
      <c r="D198" s="25" t="str">
        <f aca="false">Report!X226</f>
        <v>NF 196323 ELLEN</v>
      </c>
    </row>
    <row r="199" customFormat="false" ht="15" hidden="false" customHeight="true" outlineLevel="0" collapsed="false">
      <c r="A199" s="24" t="n">
        <f aca="false">Report!C228</f>
        <v>46219</v>
      </c>
      <c r="B199" s="25" t="str">
        <f aca="false">Report!E228</f>
        <v>J G COMERCIO DE PRODUTOS ALIMENTICIOS LTDA</v>
      </c>
      <c r="C199" s="26" t="n">
        <f aca="false">Report!U228</f>
        <v>2005.45</v>
      </c>
      <c r="D199" s="25" t="str">
        <f aca="false">Report!X228</f>
        <v>NF 390211 ELLEN</v>
      </c>
    </row>
    <row r="200" customFormat="false" ht="15" hidden="false" customHeight="true" outlineLevel="0" collapsed="false">
      <c r="A200" s="24" t="n">
        <f aca="false">Report!C232</f>
        <v>46219</v>
      </c>
      <c r="B200" s="25" t="str">
        <f aca="false">Report!E232</f>
        <v>FE COMERCIO DE MATERIAIS DE CONSTRUCAO</v>
      </c>
      <c r="C200" s="26" t="n">
        <f aca="false">Report!U232</f>
        <v>819.52</v>
      </c>
      <c r="D200" s="25" t="str">
        <f aca="false">Report!X232</f>
        <v>NF 4467 ELLEN</v>
      </c>
    </row>
    <row r="201" customFormat="false" ht="15" hidden="false" customHeight="true" outlineLevel="0" collapsed="false">
      <c r="A201" s="24" t="n">
        <f aca="false">Report!C249</f>
        <v>46219</v>
      </c>
      <c r="B201" s="25" t="str">
        <f aca="false">Report!E249</f>
        <v>BRAGA TABACARIA EIRELI ME</v>
      </c>
      <c r="C201" s="26" t="n">
        <f aca="false">Report!U249</f>
        <v>1073.2</v>
      </c>
      <c r="D201" s="25" t="str">
        <f aca="false">Report!X249</f>
        <v>NF 18998 ELLEN</v>
      </c>
    </row>
    <row r="202" customFormat="false" ht="15" hidden="false" customHeight="true" outlineLevel="0" collapsed="false">
      <c r="A202" s="24" t="n">
        <f aca="false">Report!C336</f>
        <v>46219</v>
      </c>
      <c r="B202" s="25" t="str">
        <f aca="false">Report!E336</f>
        <v>DISTRIBUIDORA LOPES LTDA</v>
      </c>
      <c r="C202" s="26" t="n">
        <f aca="false">Report!U336</f>
        <v>197.37</v>
      </c>
      <c r="D202" s="25" t="str">
        <f aca="false">Report!X336</f>
        <v>NF 1688844 ELLEN</v>
      </c>
    </row>
    <row r="203" customFormat="false" ht="15" hidden="false" customHeight="true" outlineLevel="0" collapsed="false">
      <c r="A203" s="24" t="n">
        <f aca="false">Report!C360</f>
        <v>46219</v>
      </c>
      <c r="B203" s="25" t="str">
        <f aca="false">Report!E360</f>
        <v>SILVA E SANTOS FRIGORIFICO LTDA</v>
      </c>
      <c r="C203" s="26" t="n">
        <f aca="false">Report!U360</f>
        <v>3640</v>
      </c>
      <c r="D203" s="25" t="str">
        <f aca="false">Report!X360</f>
        <v>NF 31703 ELLEN</v>
      </c>
    </row>
    <row r="204" customFormat="false" ht="15" hidden="false" customHeight="true" outlineLevel="0" collapsed="false">
      <c r="A204" s="24" t="n">
        <f aca="false">Report!C365</f>
        <v>46219</v>
      </c>
      <c r="B204" s="25" t="str">
        <f aca="false">Report!E365</f>
        <v>REAL BEBIDAS DA AMAZONIA LTDA</v>
      </c>
      <c r="C204" s="26" t="n">
        <f aca="false">Report!U365</f>
        <v>280</v>
      </c>
      <c r="D204" s="25" t="str">
        <f aca="false">Report!X365</f>
        <v>NF 599833 ELLEN</v>
      </c>
    </row>
    <row r="205" customFormat="false" ht="15" hidden="false" customHeight="true" outlineLevel="0" collapsed="false">
      <c r="A205" s="24" t="n">
        <f aca="false">Report!C372</f>
        <v>46219</v>
      </c>
      <c r="B205" s="25" t="str">
        <f aca="false">Report!E372</f>
        <v>CHERRYS SEMI JOIAS LTDA</v>
      </c>
      <c r="C205" s="26" t="n">
        <f aca="false">Report!U372</f>
        <v>435</v>
      </c>
      <c r="D205" s="25" t="str">
        <f aca="false">Report!X372</f>
        <v>NF 462 ELLEN</v>
      </c>
    </row>
    <row r="206" customFormat="false" ht="15" hidden="false" customHeight="true" outlineLevel="0" collapsed="false">
      <c r="A206" s="24" t="n">
        <f aca="false">Report!C374</f>
        <v>46219</v>
      </c>
      <c r="B206" s="25" t="str">
        <f aca="false">Report!E374</f>
        <v>64.225.624 ROBERTO REIS AROUCHE</v>
      </c>
      <c r="C206" s="26" t="n">
        <f aca="false">Report!U374</f>
        <v>432</v>
      </c>
      <c r="D206" s="25" t="str">
        <f aca="false">Report!X374</f>
        <v>NF 66 ELLEN</v>
      </c>
    </row>
    <row r="207" customFormat="false" ht="15" hidden="false" customHeight="true" outlineLevel="0" collapsed="false">
      <c r="A207" s="24" t="n">
        <f aca="false">Report!C103</f>
        <v>46220</v>
      </c>
      <c r="B207" s="25" t="str">
        <f aca="false">Report!E103</f>
        <v>DISTRIBUIDORA FARIAS LTDA.</v>
      </c>
      <c r="C207" s="26" t="n">
        <f aca="false">Report!U103</f>
        <v>1055.33</v>
      </c>
      <c r="D207" s="25" t="str">
        <f aca="false">Report!X103</f>
        <v>NF 674937 ELLEN</v>
      </c>
    </row>
    <row r="208" customFormat="false" ht="15" hidden="false" customHeight="true" outlineLevel="0" collapsed="false">
      <c r="A208" s="24" t="n">
        <f aca="false">Report!C117</f>
        <v>46220</v>
      </c>
      <c r="B208" s="25" t="str">
        <f aca="false">Report!E117</f>
        <v>OESA COMERCIO E REPRESENTACOES S/A</v>
      </c>
      <c r="C208" s="26" t="n">
        <f aca="false">Report!U117</f>
        <v>620</v>
      </c>
      <c r="D208" s="25" t="str">
        <f aca="false">Report!X117</f>
        <v>NF 419092 ELLEN</v>
      </c>
    </row>
    <row r="209" customFormat="false" ht="15" hidden="false" customHeight="true" outlineLevel="0" collapsed="false">
      <c r="A209" s="24" t="n">
        <f aca="false">Report!C122</f>
        <v>46220</v>
      </c>
      <c r="B209" s="25" t="str">
        <f aca="false">Report!E122</f>
        <v>DISTRIBUIDORA LOPES LTDA</v>
      </c>
      <c r="C209" s="26" t="n">
        <f aca="false">Report!U122</f>
        <v>1154.88</v>
      </c>
      <c r="D209" s="25" t="str">
        <f aca="false">Report!X122</f>
        <v>NF 1676804 ELLEN</v>
      </c>
    </row>
    <row r="210" customFormat="false" ht="15" hidden="false" customHeight="true" outlineLevel="0" collapsed="false">
      <c r="A210" s="24" t="n">
        <f aca="false">Report!C147</f>
        <v>46220</v>
      </c>
      <c r="B210" s="25" t="str">
        <f aca="false">Report!E147</f>
        <v>BRF S A</v>
      </c>
      <c r="C210" s="26" t="n">
        <f aca="false">Report!U147</f>
        <v>1031.78</v>
      </c>
      <c r="D210" s="25" t="str">
        <f aca="false">Report!X147</f>
        <v>NF 1604119 ELLEN</v>
      </c>
    </row>
    <row r="211" customFormat="false" ht="15" hidden="false" customHeight="true" outlineLevel="0" collapsed="false">
      <c r="A211" s="24" t="n">
        <f aca="false">Report!C195</f>
        <v>46220</v>
      </c>
      <c r="B211" s="25" t="str">
        <f aca="false">Report!E195</f>
        <v>L S M COMERCIO DE ALIMENTOS E NAVEGACAO</v>
      </c>
      <c r="C211" s="26" t="n">
        <f aca="false">Report!U195</f>
        <v>1184.06</v>
      </c>
      <c r="D211" s="25" t="str">
        <f aca="false">Report!X195</f>
        <v>NF 305929 ELLEN</v>
      </c>
    </row>
    <row r="212" customFormat="false" ht="15" hidden="false" customHeight="true" outlineLevel="0" collapsed="false">
      <c r="A212" s="24" t="n">
        <f aca="false">Report!C200</f>
        <v>46220</v>
      </c>
      <c r="B212" s="25" t="str">
        <f aca="false">Report!E200</f>
        <v>SOUZA CRUZ LTDA.</v>
      </c>
      <c r="C212" s="26" t="n">
        <f aca="false">Report!U200</f>
        <v>5791.7</v>
      </c>
      <c r="D212" s="25" t="str">
        <f aca="false">Report!X200</f>
        <v>NF 564993 ELLEN</v>
      </c>
    </row>
    <row r="213" customFormat="false" ht="15" hidden="false" customHeight="true" outlineLevel="0" collapsed="false">
      <c r="A213" s="24" t="n">
        <f aca="false">Report!C251</f>
        <v>46220</v>
      </c>
      <c r="B213" s="25" t="str">
        <f aca="false">Report!E251</f>
        <v>G A COMERCIO DE PRODUTOS HOSPITALARES LTDA</v>
      </c>
      <c r="C213" s="26" t="n">
        <f aca="false">Report!U251</f>
        <v>368.4</v>
      </c>
      <c r="D213" s="25" t="str">
        <f aca="false">Report!X251</f>
        <v>NF 890 ELLEN</v>
      </c>
    </row>
    <row r="214" customFormat="false" ht="15" hidden="false" customHeight="true" outlineLevel="0" collapsed="false">
      <c r="A214" s="24" t="n">
        <f aca="false">Report!C361</f>
        <v>46220</v>
      </c>
      <c r="B214" s="25" t="str">
        <f aca="false">Report!E361</f>
        <v>H. L. DO NASCIMENTO</v>
      </c>
      <c r="C214" s="26" t="n">
        <f aca="false">Report!U361</f>
        <v>519.65</v>
      </c>
      <c r="D214" s="25" t="str">
        <f aca="false">Report!X361</f>
        <v>NF 5786 ELLEN</v>
      </c>
    </row>
    <row r="215" customFormat="false" ht="15" hidden="false" customHeight="true" outlineLevel="0" collapsed="false">
      <c r="A215" s="24" t="n">
        <f aca="false">Report!C364</f>
        <v>46220</v>
      </c>
      <c r="B215" s="25" t="str">
        <f aca="false">Report!E364</f>
        <v>BROTHERS  INDUSTRIA DE ALIMENTOS LTDA</v>
      </c>
      <c r="C215" s="26" t="n">
        <f aca="false">Report!U364</f>
        <v>250.08</v>
      </c>
      <c r="D215" s="25" t="str">
        <f aca="false">Report!X364</f>
        <v>NF 1031214 ELLEN</v>
      </c>
    </row>
    <row r="216" customFormat="false" ht="15" hidden="false" customHeight="true" outlineLevel="0" collapsed="false">
      <c r="A216" s="24" t="n">
        <f aca="false">Report!C376</f>
        <v>46220</v>
      </c>
      <c r="B216" s="25" t="str">
        <f aca="false">Report!E376</f>
        <v>J. S. MOREIRA ALVES LTDA</v>
      </c>
      <c r="C216" s="26" t="n">
        <f aca="false">Report!U376</f>
        <v>150</v>
      </c>
      <c r="D216" s="25" t="str">
        <f aca="false">Report!X376</f>
        <v>NF 2635 ELLEN</v>
      </c>
    </row>
    <row r="217" customFormat="false" ht="15" hidden="false" customHeight="true" outlineLevel="0" collapsed="false">
      <c r="A217" s="24" t="n">
        <f aca="false">Report!C379</f>
        <v>46220</v>
      </c>
      <c r="B217" s="25" t="str">
        <f aca="false">Report!E379</f>
        <v>ADRIANO FEITOSA OLIVEIRA LTDA</v>
      </c>
      <c r="C217" s="26" t="n">
        <f aca="false">Report!U379</f>
        <v>1171.37</v>
      </c>
      <c r="D217" s="25" t="str">
        <f aca="false">Report!X379</f>
        <v>NF 333 ELLEN</v>
      </c>
    </row>
    <row r="218" customFormat="false" ht="15" hidden="false" customHeight="true" outlineLevel="0" collapsed="false">
      <c r="A218" s="24" t="n">
        <f aca="false">Report!C382</f>
        <v>46220</v>
      </c>
      <c r="B218" s="25" t="str">
        <f aca="false">Report!E382</f>
        <v>SOUZA CRUZ LTDA.</v>
      </c>
      <c r="C218" s="26" t="n">
        <f aca="false">Report!U382</f>
        <v>4572.86</v>
      </c>
      <c r="D218" s="25" t="str">
        <f aca="false">Report!X382</f>
        <v>NF 566541 ELLEN</v>
      </c>
    </row>
    <row r="219" customFormat="false" ht="15" hidden="false" customHeight="true" outlineLevel="0" collapsed="false">
      <c r="A219" s="24" t="n">
        <f aca="false">Report!C400</f>
        <v>46220</v>
      </c>
      <c r="B219" s="25" t="str">
        <f aca="false">Report!E400</f>
        <v>PANIFICADORA E CONFEITARIA REAL MADRI LTDA</v>
      </c>
      <c r="C219" s="26" t="n">
        <f aca="false">Report!U400</f>
        <v>135</v>
      </c>
      <c r="D219" s="25" t="str">
        <f aca="false">Report!X400</f>
        <v>NF 711 ELLEN</v>
      </c>
    </row>
    <row r="220" customFormat="false" ht="15" hidden="false" customHeight="true" outlineLevel="0" collapsed="false">
      <c r="A220" s="24" t="n">
        <f aca="false">Report!C484</f>
        <v>46220</v>
      </c>
      <c r="B220" s="25" t="str">
        <f aca="false">Report!E484</f>
        <v>NEYLIANE S DE OLIVEIRA &amp; CIA LTDA</v>
      </c>
      <c r="C220" s="26" t="n">
        <f aca="false">Report!U484</f>
        <v>280</v>
      </c>
      <c r="D220" s="25" t="str">
        <f aca="false">Report!X484</f>
        <v>COMPRAS - 20L DE AÇAI - PG NO P 17/7/26 - ELLEN</v>
      </c>
    </row>
    <row r="221" customFormat="false" ht="15" hidden="false" customHeight="true" outlineLevel="0" collapsed="false">
      <c r="A221" s="24" t="n">
        <f aca="false">Report!C486</f>
        <v>46220</v>
      </c>
      <c r="B221" s="25" t="str">
        <f aca="false">Report!E486</f>
        <v>NEYLIANE S DE OLIVEIRA &amp; CIA LTDA</v>
      </c>
      <c r="C221" s="26" t="n">
        <f aca="false">Report!U486</f>
        <v>1392.72</v>
      </c>
      <c r="D221" s="25" t="str">
        <f aca="false">Report!X486</f>
        <v>FEIRA SR RENATO - PG P LJ1 - ELLEN</v>
      </c>
    </row>
    <row r="222" customFormat="false" ht="15" hidden="false" customHeight="true" outlineLevel="0" collapsed="false">
      <c r="A222" s="24" t="n">
        <f aca="false">Report!C534</f>
        <v>46220</v>
      </c>
      <c r="B222" s="25" t="str">
        <f aca="false">Report!E534</f>
        <v>H L M PADARIA E CONFEITARIA LTDA</v>
      </c>
      <c r="C222" s="26" t="n">
        <f aca="false">Report!U534</f>
        <v>140</v>
      </c>
      <c r="D222" s="25" t="str">
        <f aca="false">Report!X534</f>
        <v>NF 23 COMPRAS-BOLO PG NO P 17/7/26 ELLEN</v>
      </c>
    </row>
    <row r="223" customFormat="false" ht="15" hidden="false" customHeight="true" outlineLevel="0" collapsed="false">
      <c r="A223" s="24" t="n">
        <f aca="false">Report!C79</f>
        <v>46221</v>
      </c>
      <c r="B223" s="25" t="str">
        <f aca="false">Report!E79</f>
        <v>FUNNY PET DISTRIBUIDORA DE ALIMENTOS PAR</v>
      </c>
      <c r="C223" s="26" t="n">
        <f aca="false">Report!U79</f>
        <v>1589.28</v>
      </c>
      <c r="D223" s="25" t="str">
        <f aca="false">Report!X79</f>
        <v>NF 20499 ELLEN</v>
      </c>
    </row>
    <row r="224" customFormat="false" ht="15" hidden="false" customHeight="true" outlineLevel="0" collapsed="false">
      <c r="A224" s="24" t="n">
        <f aca="false">Report!C104</f>
        <v>46221</v>
      </c>
      <c r="B224" s="25" t="str">
        <f aca="false">Report!E104</f>
        <v>FORTVET DISTRIBUIDORA LTDA</v>
      </c>
      <c r="C224" s="26" t="n">
        <f aca="false">Report!U104</f>
        <v>660</v>
      </c>
      <c r="D224" s="25" t="str">
        <f aca="false">Report!X104</f>
        <v>NF 2495 ELLEN</v>
      </c>
    </row>
    <row r="225" customFormat="false" ht="15" hidden="false" customHeight="true" outlineLevel="0" collapsed="false">
      <c r="A225" s="24" t="n">
        <f aca="false">Report!C411</f>
        <v>46221</v>
      </c>
      <c r="B225" s="25" t="str">
        <f aca="false">Report!E411</f>
        <v>MAXFRI DISTRIUIDORA LTDA</v>
      </c>
      <c r="C225" s="26" t="n">
        <f aca="false">Report!U411</f>
        <v>4043.8</v>
      </c>
      <c r="D225" s="25" t="str">
        <f aca="false">Report!X411</f>
        <v>NF 14685 ELLEN</v>
      </c>
    </row>
    <row r="226" customFormat="false" ht="15" hidden="false" customHeight="true" outlineLevel="0" collapsed="false">
      <c r="A226" s="24" t="n">
        <f aca="false">Report!C535</f>
        <v>46221</v>
      </c>
      <c r="B226" s="25" t="str">
        <f aca="false">Report!E535</f>
        <v>H L M PADARIA E CONFEITARIA LTDA</v>
      </c>
      <c r="C226" s="26" t="n">
        <f aca="false">Report!U535</f>
        <v>120</v>
      </c>
      <c r="D226" s="25" t="str">
        <f aca="false">Report!X535</f>
        <v>NF 35 COMPRAS-BOLO PG NO P 18/7/26 ELLEN</v>
      </c>
    </row>
    <row r="227" customFormat="false" ht="15" hidden="false" customHeight="true" outlineLevel="0" collapsed="false">
      <c r="A227" s="24" t="n">
        <f aca="false">Report!C164</f>
        <v>46222</v>
      </c>
      <c r="B227" s="25" t="str">
        <f aca="false">Report!E164</f>
        <v>MAXPEL COMERCIAL LTDA</v>
      </c>
      <c r="C227" s="26" t="n">
        <f aca="false">Report!U164</f>
        <v>1996.2</v>
      </c>
      <c r="D227" s="25" t="str">
        <f aca="false">Report!X164</f>
        <v>NF 316130 ELLEN</v>
      </c>
    </row>
    <row r="228" customFormat="false" ht="15" hidden="false" customHeight="true" outlineLevel="0" collapsed="false">
      <c r="A228" s="24" t="n">
        <f aca="false">Report!C421</f>
        <v>46222</v>
      </c>
      <c r="B228" s="25" t="str">
        <f aca="false">Report!E421</f>
        <v>ADF DISTRIBUIDORA DE BEBIDAS LTDA</v>
      </c>
      <c r="C228" s="26" t="n">
        <f aca="false">Report!U421</f>
        <v>277.6</v>
      </c>
      <c r="D228" s="25" t="str">
        <f aca="false">Report!X421</f>
        <v>NF 473151 ELLEN</v>
      </c>
    </row>
    <row r="229" customFormat="false" ht="15" hidden="false" customHeight="true" outlineLevel="0" collapsed="false">
      <c r="A229" s="24" t="n">
        <f aca="false">Report!C128</f>
        <v>46223</v>
      </c>
      <c r="B229" s="25" t="str">
        <f aca="false">Report!E128</f>
        <v>ROCHA E PAIVA LTDA</v>
      </c>
      <c r="C229" s="26" t="n">
        <f aca="false">Report!U128</f>
        <v>591.52</v>
      </c>
      <c r="D229" s="25" t="str">
        <f aca="false">Report!X128</f>
        <v>NF 207912 ELLEN</v>
      </c>
    </row>
    <row r="230" customFormat="false" ht="15" hidden="false" customHeight="true" outlineLevel="0" collapsed="false">
      <c r="A230" s="24" t="n">
        <f aca="false">Report!C182</f>
        <v>46223</v>
      </c>
      <c r="B230" s="25" t="str">
        <f aca="false">Report!E182</f>
        <v>E. D. SENA &amp; CIA LTDA</v>
      </c>
      <c r="C230" s="26" t="n">
        <f aca="false">Report!U182</f>
        <v>531.18</v>
      </c>
      <c r="D230" s="25" t="str">
        <f aca="false">Report!X182</f>
        <v>NF 9495 ELLEN</v>
      </c>
    </row>
    <row r="231" customFormat="false" ht="15" hidden="false" customHeight="true" outlineLevel="0" collapsed="false">
      <c r="A231" s="24" t="n">
        <f aca="false">Report!C288</f>
        <v>46223</v>
      </c>
      <c r="B231" s="25" t="str">
        <f aca="false">Report!E288</f>
        <v>NEXUS DISTRIBUIDORA</v>
      </c>
      <c r="C231" s="26" t="n">
        <f aca="false">Report!U288</f>
        <v>374.1</v>
      </c>
      <c r="D231" s="25" t="str">
        <f aca="false">Report!X288</f>
        <v>NF 102073 ELLEN</v>
      </c>
    </row>
    <row r="232" customFormat="false" ht="15" hidden="false" customHeight="true" outlineLevel="0" collapsed="false">
      <c r="A232" s="24" t="n">
        <f aca="false">Report!C377</f>
        <v>46223</v>
      </c>
      <c r="B232" s="25" t="str">
        <f aca="false">Report!E377</f>
        <v>CRBS S/A</v>
      </c>
      <c r="C232" s="26" t="n">
        <f aca="false">Report!U377</f>
        <v>661.73</v>
      </c>
      <c r="D232" s="25" t="str">
        <f aca="false">Report!X377</f>
        <v>NF 899238 ELLEN</v>
      </c>
    </row>
    <row r="233" customFormat="false" ht="15" hidden="false" customHeight="true" outlineLevel="0" collapsed="false">
      <c r="A233" s="24" t="n">
        <f aca="false">Report!C399</f>
        <v>46223</v>
      </c>
      <c r="B233" s="25" t="str">
        <f aca="false">Report!E399</f>
        <v>KAROLINY RODRIGUES SOUZA VENANCIO 915783</v>
      </c>
      <c r="C233" s="26" t="n">
        <f aca="false">Report!U399</f>
        <v>250</v>
      </c>
      <c r="D233" s="25" t="str">
        <f aca="false">Report!X399</f>
        <v>NF 1791 ELLEN</v>
      </c>
    </row>
    <row r="234" customFormat="false" ht="15" hidden="false" customHeight="true" outlineLevel="0" collapsed="false">
      <c r="A234" s="24" t="n">
        <f aca="false">Report!C401</f>
        <v>46223</v>
      </c>
      <c r="B234" s="25" t="str">
        <f aca="false">Report!E401</f>
        <v>FENNIX BRASIL DISTRIBUIDORA DE PRODUTOS</v>
      </c>
      <c r="C234" s="26" t="n">
        <f aca="false">Report!U401</f>
        <v>368.05</v>
      </c>
      <c r="D234" s="25" t="str">
        <f aca="false">Report!X401</f>
        <v>NF 312916 ELLEN</v>
      </c>
    </row>
    <row r="235" customFormat="false" ht="15" hidden="false" customHeight="true" outlineLevel="0" collapsed="false">
      <c r="A235" s="24" t="n">
        <f aca="false">Report!C415</f>
        <v>46223</v>
      </c>
      <c r="B235" s="25" t="str">
        <f aca="false">Report!E415</f>
        <v>T. M. L. DA SILVA LTDA</v>
      </c>
      <c r="C235" s="26" t="n">
        <f aca="false">Report!U415</f>
        <v>361.6</v>
      </c>
      <c r="D235" s="25" t="str">
        <f aca="false">Report!X415</f>
        <v>NF 15127 ELLEN</v>
      </c>
    </row>
    <row r="236" customFormat="false" ht="15" hidden="false" customHeight="true" outlineLevel="0" collapsed="false">
      <c r="A236" s="24" t="n">
        <f aca="false">Report!C416</f>
        <v>46223</v>
      </c>
      <c r="B236" s="25" t="str">
        <f aca="false">Report!E416</f>
        <v>NOVA FRIOS COMERCIO ATACADISTA DE LATICINIOS LTDA</v>
      </c>
      <c r="C236" s="26" t="n">
        <f aca="false">Report!U416</f>
        <v>216.75</v>
      </c>
      <c r="D236" s="25" t="str">
        <f aca="false">Report!X416</f>
        <v>NF 4058 ELLEN</v>
      </c>
    </row>
    <row r="237" customFormat="false" ht="15" hidden="false" customHeight="true" outlineLevel="0" collapsed="false">
      <c r="A237" s="24" t="n">
        <f aca="false">Report!C488</f>
        <v>46223</v>
      </c>
      <c r="B237" s="25" t="str">
        <f aca="false">Report!E488</f>
        <v>J W N DOS SANTOS</v>
      </c>
      <c r="C237" s="26" t="n">
        <f aca="false">Report!U488</f>
        <v>228</v>
      </c>
      <c r="D237" s="25" t="str">
        <f aca="false">Report!X488</f>
        <v>NF 364 ELLEN</v>
      </c>
    </row>
    <row r="238" customFormat="false" ht="15" hidden="false" customHeight="true" outlineLevel="0" collapsed="false">
      <c r="A238" s="24" t="n">
        <f aca="false">Report!C521</f>
        <v>46223</v>
      </c>
      <c r="B238" s="25" t="str">
        <f aca="false">Report!E521</f>
        <v>NEYLIANE S DE OLIVEIRA &amp; CIA LTDA</v>
      </c>
      <c r="C238" s="26" t="n">
        <f aca="false">Report!U521</f>
        <v>210</v>
      </c>
      <c r="D238" s="25" t="str">
        <f aca="false">Report!X521</f>
        <v>COMPRAS - 15L DE AÇAI - PG NO P 20/7/26 ELLEN</v>
      </c>
    </row>
    <row r="239" customFormat="false" ht="15" hidden="false" customHeight="true" outlineLevel="0" collapsed="false">
      <c r="A239" s="24" t="n">
        <f aca="false">Report!C119</f>
        <v>46224</v>
      </c>
      <c r="B239" s="25" t="str">
        <f aca="false">Report!E119</f>
        <v>DISTRIBUIDORA LOPES LTDA</v>
      </c>
      <c r="C239" s="26" t="n">
        <f aca="false">Report!U119</f>
        <v>724</v>
      </c>
      <c r="D239" s="25" t="str">
        <f aca="false">Report!X119</f>
        <v>NF 1678138 ELLEN</v>
      </c>
    </row>
    <row r="240" customFormat="false" ht="15" hidden="false" customHeight="true" outlineLevel="0" collapsed="false">
      <c r="A240" s="24" t="n">
        <f aca="false">Report!C219</f>
        <v>46224</v>
      </c>
      <c r="B240" s="25" t="str">
        <f aca="false">Report!E219</f>
        <v>MARTINS COM SERV DISTR SA</v>
      </c>
      <c r="C240" s="26" t="n">
        <f aca="false">Report!U219</f>
        <v>542.11</v>
      </c>
      <c r="D240" s="25" t="str">
        <f aca="false">Report!X219</f>
        <v>NF 1777487 ELLEN</v>
      </c>
    </row>
    <row r="241" customFormat="false" ht="15" hidden="false" customHeight="true" outlineLevel="0" collapsed="false">
      <c r="A241" s="24" t="n">
        <f aca="false">Report!C242</f>
        <v>46224</v>
      </c>
      <c r="B241" s="25" t="str">
        <f aca="false">Report!E242</f>
        <v>MARE DISTRIBUIDORA DE BEBIDAS E DE PRODUTOS ALIMENTICIOS LTDA</v>
      </c>
      <c r="C241" s="26" t="n">
        <f aca="false">Report!U242</f>
        <v>1209.4</v>
      </c>
      <c r="D241" s="25" t="str">
        <f aca="false">Report!X242</f>
        <v>NF 1385251 ELLEN</v>
      </c>
    </row>
    <row r="242" customFormat="false" ht="15" hidden="false" customHeight="true" outlineLevel="0" collapsed="false">
      <c r="A242" s="24" t="n">
        <f aca="false">Report!C276</f>
        <v>46224</v>
      </c>
      <c r="B242" s="25" t="str">
        <f aca="false">Report!E276</f>
        <v>BRASIL NORTE BEBIDAS S/A</v>
      </c>
      <c r="C242" s="26" t="n">
        <f aca="false">Report!U276</f>
        <v>205.13</v>
      </c>
      <c r="D242" s="25" t="str">
        <f aca="false">Report!X276</f>
        <v>NF 1917880 ELLEN</v>
      </c>
    </row>
    <row r="243" customFormat="false" ht="15" hidden="false" customHeight="true" outlineLevel="0" collapsed="false">
      <c r="A243" s="24" t="n">
        <f aca="false">Report!C277</f>
        <v>46224</v>
      </c>
      <c r="B243" s="25" t="str">
        <f aca="false">Report!E277</f>
        <v>BRASIL NORTE BEBIDAS S/A</v>
      </c>
      <c r="C243" s="26" t="n">
        <f aca="false">Report!U277</f>
        <v>63.37</v>
      </c>
      <c r="D243" s="25" t="str">
        <f aca="false">Report!X277</f>
        <v>NF 1187912 ELLEN</v>
      </c>
    </row>
    <row r="244" customFormat="false" ht="15" hidden="false" customHeight="true" outlineLevel="0" collapsed="false">
      <c r="A244" s="24" t="n">
        <f aca="false">Report!C281</f>
        <v>46224</v>
      </c>
      <c r="B244" s="25" t="str">
        <f aca="false">Report!E281</f>
        <v>BRASIL NORTE BEBIDAS S/A</v>
      </c>
      <c r="C244" s="26" t="n">
        <f aca="false">Report!U281</f>
        <v>767.32</v>
      </c>
      <c r="D244" s="25" t="str">
        <f aca="false">Report!X281</f>
        <v>NF 1187910 ELLEN</v>
      </c>
    </row>
    <row r="245" customFormat="false" ht="15" hidden="false" customHeight="true" outlineLevel="0" collapsed="false">
      <c r="A245" s="24" t="n">
        <f aca="false">Report!C282</f>
        <v>46224</v>
      </c>
      <c r="B245" s="25" t="str">
        <f aca="false">Report!E282</f>
        <v>BRASIL NORTE BEBIDAS S/A</v>
      </c>
      <c r="C245" s="26" t="n">
        <f aca="false">Report!U282</f>
        <v>3649.01</v>
      </c>
      <c r="D245" s="25" t="str">
        <f aca="false">Report!X282</f>
        <v>NF 1917854 ELLEN</v>
      </c>
    </row>
    <row r="246" customFormat="false" ht="15" hidden="false" customHeight="true" outlineLevel="0" collapsed="false">
      <c r="A246" s="24" t="n">
        <f aca="false">Report!C389</f>
        <v>46224</v>
      </c>
      <c r="B246" s="25" t="str">
        <f aca="false">Report!E389</f>
        <v>NSB COMERCIO ATACADISTA E VAREJISTA DE P</v>
      </c>
      <c r="C246" s="26" t="n">
        <f aca="false">Report!U389</f>
        <v>378.88</v>
      </c>
      <c r="D246" s="25" t="str">
        <f aca="false">Report!X389</f>
        <v>NF 7874 ELLEN</v>
      </c>
    </row>
    <row r="247" customFormat="false" ht="15" hidden="false" customHeight="true" outlineLevel="0" collapsed="false">
      <c r="A247" s="24" t="n">
        <f aca="false">Report!C409</f>
        <v>46224</v>
      </c>
      <c r="B247" s="25" t="str">
        <f aca="false">Report!E409</f>
        <v>BROTHERS  INDUSTRIA DE ALIMENTOS LTDA</v>
      </c>
      <c r="C247" s="26" t="n">
        <f aca="false">Report!U409</f>
        <v>261.92</v>
      </c>
      <c r="D247" s="25" t="str">
        <f aca="false">Report!X409</f>
        <v>NF 1031749 ELLEN</v>
      </c>
    </row>
    <row r="248" customFormat="false" ht="15" hidden="false" customHeight="true" outlineLevel="0" collapsed="false">
      <c r="A248" s="24" t="n">
        <f aca="false">Report!C455</f>
        <v>46224</v>
      </c>
      <c r="B248" s="25" t="str">
        <f aca="false">Report!E455</f>
        <v>NESTLÉ BRASIL LTDA.</v>
      </c>
      <c r="C248" s="26" t="n">
        <f aca="false">Report!U455</f>
        <v>712.57</v>
      </c>
      <c r="D248" s="25" t="str">
        <f aca="false">Report!X455</f>
        <v>NF 1427668 ELLEN</v>
      </c>
    </row>
    <row r="249" customFormat="false" ht="15" hidden="false" customHeight="true" outlineLevel="0" collapsed="false">
      <c r="A249" s="24" t="n">
        <f aca="false">Report!C476</f>
        <v>46224</v>
      </c>
      <c r="B249" s="25" t="str">
        <f aca="false">Report!E476</f>
        <v>PANIFICADORA E CONFEITARIA REAL MADRI LTDA</v>
      </c>
      <c r="C249" s="26" t="n">
        <f aca="false">Report!U476</f>
        <v>184.9</v>
      </c>
      <c r="D249" s="25" t="str">
        <f aca="false">Report!X476</f>
        <v>NF 719 ELLEN</v>
      </c>
    </row>
    <row r="250" customFormat="false" ht="15" hidden="false" customHeight="true" outlineLevel="0" collapsed="false">
      <c r="A250" s="24" t="n">
        <f aca="false">Report!C491</f>
        <v>46224</v>
      </c>
      <c r="B250" s="25" t="str">
        <f aca="false">Report!E491</f>
        <v>ADICSO FABIAN GONZALEZ MONTILLA 70302186</v>
      </c>
      <c r="C250" s="26" t="n">
        <f aca="false">Report!U491</f>
        <v>180</v>
      </c>
      <c r="D250" s="25" t="str">
        <f aca="false">Report!X491</f>
        <v>NF 535 ELLEN</v>
      </c>
    </row>
    <row r="251" customFormat="false" ht="15" hidden="false" customHeight="true" outlineLevel="0" collapsed="false">
      <c r="A251" s="24" t="n">
        <f aca="false">Report!C536</f>
        <v>46224</v>
      </c>
      <c r="B251" s="25" t="str">
        <f aca="false">Report!E536</f>
        <v>NEYLIANE S DE OLIVEIRA &amp; CIA LTDA</v>
      </c>
      <c r="C251" s="26" t="n">
        <f aca="false">Report!U536</f>
        <v>1446.94</v>
      </c>
      <c r="D251" s="25" t="str">
        <f aca="false">Report!X536</f>
        <v>FEIRA SR RENATO - PG P LJ 1 - ELLEN</v>
      </c>
    </row>
    <row r="252" customFormat="false" ht="15" hidden="false" customHeight="true" outlineLevel="0" collapsed="false">
      <c r="A252" s="24" t="n">
        <f aca="false">Report!C537</f>
        <v>46224</v>
      </c>
      <c r="B252" s="25" t="str">
        <f aca="false">Report!E537</f>
        <v>FEIRA</v>
      </c>
      <c r="C252" s="26" t="n">
        <f aca="false">Report!U537</f>
        <v>190</v>
      </c>
      <c r="D252" s="25" t="str">
        <f aca="false">Report!X537</f>
        <v>FEIRA SR RENATO - PG P LJ1 (MAÇA) SOMAR C NF2554-ELLEN</v>
      </c>
    </row>
    <row r="253" customFormat="false" ht="15" hidden="false" customHeight="true" outlineLevel="0" collapsed="false">
      <c r="A253" s="24" t="n">
        <f aca="false">Report!C538</f>
        <v>46224</v>
      </c>
      <c r="B253" s="25" t="str">
        <f aca="false">Report!E538</f>
        <v>NEYLIANE S DE OLIVEIRA &amp; CIA LTDA</v>
      </c>
      <c r="C253" s="26" t="n">
        <f aca="false">Report!U538</f>
        <v>55</v>
      </c>
      <c r="D253" s="25" t="str">
        <f aca="false">Report!X538</f>
        <v>FEIRA SR RENATO (1 SC LIMÃO) PG P LJ1 - ELLEN</v>
      </c>
    </row>
    <row r="254" customFormat="false" ht="15" hidden="false" customHeight="true" outlineLevel="0" collapsed="false">
      <c r="A254" s="24" t="n">
        <f aca="false">Report!C539</f>
        <v>46224</v>
      </c>
      <c r="B254" s="25" t="str">
        <f aca="false">Report!E539</f>
        <v>NEYLIANE S DE OLIVEIRA &amp; CIA LTDA</v>
      </c>
      <c r="C254" s="26" t="n">
        <f aca="false">Report!U539</f>
        <v>210</v>
      </c>
      <c r="D254" s="25" t="str">
        <f aca="false">Report!X539</f>
        <v>COMPRAS - 15L DE AÇAI - PG NO P 21/7/26 ELLEN</v>
      </c>
    </row>
    <row r="255" customFormat="false" ht="15" hidden="false" customHeight="true" outlineLevel="0" collapsed="false">
      <c r="A255" s="24" t="n">
        <f aca="false">Report!C171</f>
        <v>46225</v>
      </c>
      <c r="B255" s="25" t="str">
        <f aca="false">Report!E171</f>
        <v>PRIME PET DISTRIBUIDORA LTDA</v>
      </c>
      <c r="C255" s="26" t="n">
        <f aca="false">Report!U171</f>
        <v>1361.81</v>
      </c>
      <c r="D255" s="25" t="str">
        <f aca="false">Report!X171</f>
        <v>NF 10860 ELLEN</v>
      </c>
    </row>
    <row r="256" customFormat="false" ht="15" hidden="false" customHeight="true" outlineLevel="0" collapsed="false">
      <c r="A256" s="24" t="n">
        <f aca="false">Report!C175</f>
        <v>46225</v>
      </c>
      <c r="B256" s="25" t="str">
        <f aca="false">Report!E175</f>
        <v>OPPORTUNITY ALIMENTOS PARA ANIMAIS LTDA</v>
      </c>
      <c r="C256" s="26" t="n">
        <f aca="false">Report!U175</f>
        <v>1185.3</v>
      </c>
      <c r="D256" s="25" t="str">
        <f aca="false">Report!X175</f>
        <v>NF 34213 ELLEN</v>
      </c>
    </row>
    <row r="257" customFormat="false" ht="15" hidden="false" customHeight="true" outlineLevel="0" collapsed="false">
      <c r="A257" s="24" t="n">
        <f aca="false">Report!C362</f>
        <v>46225</v>
      </c>
      <c r="B257" s="25" t="str">
        <f aca="false">Report!E362</f>
        <v>BRF S A</v>
      </c>
      <c r="C257" s="26" t="n">
        <f aca="false">Report!U362</f>
        <v>1025.07</v>
      </c>
      <c r="D257" s="25" t="str">
        <f aca="false">Report!X362</f>
        <v>NF 1605936 ELLEN</v>
      </c>
    </row>
    <row r="258" customFormat="false" ht="15" hidden="false" customHeight="true" outlineLevel="0" collapsed="false">
      <c r="A258" s="24" t="n">
        <f aca="false">Report!C438</f>
        <v>46225</v>
      </c>
      <c r="B258" s="25" t="str">
        <f aca="false">Report!E438</f>
        <v>LELE FABRICACAO DE MASSAS LTDA</v>
      </c>
      <c r="C258" s="26" t="n">
        <f aca="false">Report!U438</f>
        <v>200</v>
      </c>
      <c r="D258" s="25" t="str">
        <f aca="false">Report!X438</f>
        <v>NF 16645 ELLEN</v>
      </c>
    </row>
    <row r="259" customFormat="false" ht="15" hidden="false" customHeight="true" outlineLevel="0" collapsed="false">
      <c r="A259" s="24" t="n">
        <f aca="false">Report!C448</f>
        <v>46225</v>
      </c>
      <c r="B259" s="25" t="str">
        <f aca="false">Report!E448</f>
        <v>J G COMERCIO DE PRODUTOS ALIMENTICIOS LTDA</v>
      </c>
      <c r="C259" s="26" t="n">
        <f aca="false">Report!U448</f>
        <v>2806.49</v>
      </c>
      <c r="D259" s="25" t="str">
        <f aca="false">Report!X448</f>
        <v>NF 392537 ELLEN</v>
      </c>
    </row>
    <row r="260" customFormat="false" ht="15" hidden="false" customHeight="true" outlineLevel="0" collapsed="false">
      <c r="A260" s="24" t="n">
        <f aca="false">Report!C464</f>
        <v>46225</v>
      </c>
      <c r="B260" s="25" t="str">
        <f aca="false">Report!E464</f>
        <v>L S M COMERCIO DE ALIMENTOS E NAVEGACAO</v>
      </c>
      <c r="C260" s="26" t="n">
        <f aca="false">Report!U464</f>
        <v>1021.83</v>
      </c>
      <c r="D260" s="25" t="str">
        <f aca="false">Report!X464</f>
        <v>NF 307804 ELLEN</v>
      </c>
    </row>
    <row r="261" customFormat="false" ht="15" hidden="false" customHeight="true" outlineLevel="0" collapsed="false">
      <c r="A261" s="24" t="n">
        <f aca="false">Report!C471</f>
        <v>46225</v>
      </c>
      <c r="B261" s="25" t="str">
        <f aca="false">Report!E471</f>
        <v>MAXFRI DISTRIUIDORA LTDA</v>
      </c>
      <c r="C261" s="26" t="n">
        <f aca="false">Report!U471</f>
        <v>4093.4</v>
      </c>
      <c r="D261" s="25" t="str">
        <f aca="false">Report!X471</f>
        <v>NF 14718 ELLEN</v>
      </c>
    </row>
    <row r="262" customFormat="false" ht="15" hidden="false" customHeight="true" outlineLevel="0" collapsed="false">
      <c r="A262" s="24" t="n">
        <f aca="false">Report!C547</f>
        <v>46225</v>
      </c>
      <c r="B262" s="25" t="str">
        <f aca="false">Report!E547</f>
        <v>NEYLIANE S DE OLIVEIRA &amp; CIA LTDA</v>
      </c>
      <c r="C262" s="26" t="n">
        <f aca="false">Report!U547</f>
        <v>210</v>
      </c>
      <c r="D262" s="25" t="str">
        <f aca="false">Report!X547</f>
        <v>COMPRAS - 15L DE AÇAI - PG NO P 22/7/26 ELLEN</v>
      </c>
    </row>
    <row r="263" customFormat="false" ht="15" hidden="false" customHeight="true" outlineLevel="0" collapsed="false">
      <c r="A263" s="24" t="n">
        <f aca="false">Report!C565</f>
        <v>46225</v>
      </c>
      <c r="B263" s="25" t="str">
        <f aca="false">Report!E565</f>
        <v>H L M PADARIA E CONFEITARIA LTDA</v>
      </c>
      <c r="C263" s="26" t="n">
        <f aca="false">Report!U565</f>
        <v>120</v>
      </c>
      <c r="D263" s="25" t="str">
        <f aca="false">Report!X565</f>
        <v>NF 21 COMPRAS-BOLO PG NO P 22/7 ELLEN</v>
      </c>
    </row>
    <row r="264" customFormat="false" ht="15" hidden="false" customHeight="true" outlineLevel="0" collapsed="false">
      <c r="A264" s="24" t="n">
        <f aca="false">Report!C77</f>
        <v>46226</v>
      </c>
      <c r="B264" s="25" t="str">
        <f aca="false">Report!E77</f>
        <v>RISADINHA LTDA</v>
      </c>
      <c r="C264" s="26" t="n">
        <f aca="false">Report!U77</f>
        <v>550.4</v>
      </c>
      <c r="D264" s="25" t="str">
        <f aca="false">Report!X77</f>
        <v>NF 658429 ELLEN</v>
      </c>
    </row>
    <row r="265" customFormat="false" ht="15" hidden="false" customHeight="true" outlineLevel="0" collapsed="false">
      <c r="A265" s="24" t="n">
        <f aca="false">Report!C132</f>
        <v>46226</v>
      </c>
      <c r="B265" s="25" t="str">
        <f aca="false">Report!E132</f>
        <v>SB COMERCIO LTDA</v>
      </c>
      <c r="C265" s="26" t="n">
        <f aca="false">Report!U132</f>
        <v>653.86</v>
      </c>
      <c r="D265" s="25" t="str">
        <f aca="false">Report!X132</f>
        <v>NF 1959276 ELLEN</v>
      </c>
    </row>
    <row r="266" customFormat="false" ht="15" hidden="false" customHeight="true" outlineLevel="0" collapsed="false">
      <c r="A266" s="24" t="n">
        <f aca="false">Report!C180</f>
        <v>46226</v>
      </c>
      <c r="B266" s="25" t="str">
        <f aca="false">Report!E180</f>
        <v>DISTRIBUIDORA LOPES LTDA</v>
      </c>
      <c r="C266" s="26" t="n">
        <f aca="false">Report!U180</f>
        <v>1383</v>
      </c>
      <c r="D266" s="25" t="str">
        <f aca="false">Report!X180</f>
        <v>NF 1680694 ELLEN</v>
      </c>
    </row>
    <row r="267" customFormat="false" ht="15" hidden="false" customHeight="true" outlineLevel="0" collapsed="false">
      <c r="A267" s="24" t="n">
        <f aca="false">Report!C229</f>
        <v>46226</v>
      </c>
      <c r="B267" s="25" t="str">
        <f aca="false">Report!E229</f>
        <v>J G COMERCIO DE PRODUTOS ALIMENTICIOS LTDA</v>
      </c>
      <c r="C267" s="26" t="n">
        <f aca="false">Report!U229</f>
        <v>2005.44</v>
      </c>
      <c r="D267" s="25" t="str">
        <f aca="false">Report!X229</f>
        <v>NF 390211 ELLEN</v>
      </c>
    </row>
    <row r="268" customFormat="false" ht="15" hidden="false" customHeight="true" outlineLevel="0" collapsed="false">
      <c r="A268" s="24" t="n">
        <f aca="false">Report!C295</f>
        <v>46226</v>
      </c>
      <c r="B268" s="25" t="str">
        <f aca="false">Report!E295</f>
        <v>BRASIL NORTE BEBIDAS S/A</v>
      </c>
      <c r="C268" s="26" t="n">
        <f aca="false">Report!U295</f>
        <v>636.39</v>
      </c>
      <c r="D268" s="25" t="str">
        <f aca="false">Report!X295</f>
        <v>NF 1193391 ELLEN</v>
      </c>
    </row>
    <row r="269" customFormat="false" ht="15" hidden="false" customHeight="true" outlineLevel="0" collapsed="false">
      <c r="A269" s="24" t="n">
        <f aca="false">Report!C296</f>
        <v>46226</v>
      </c>
      <c r="B269" s="25" t="str">
        <f aca="false">Report!E296</f>
        <v>BRASIL NORTE BEBIDAS S/A</v>
      </c>
      <c r="C269" s="26" t="n">
        <f aca="false">Report!U296</f>
        <v>636.39</v>
      </c>
      <c r="D269" s="25" t="str">
        <f aca="false">Report!X296</f>
        <v>NF 1193333 ELLEN</v>
      </c>
    </row>
    <row r="270" customFormat="false" ht="15" hidden="false" customHeight="true" outlineLevel="0" collapsed="false">
      <c r="A270" s="24" t="n">
        <f aca="false">Report!C297</f>
        <v>46226</v>
      </c>
      <c r="B270" s="25" t="str">
        <f aca="false">Report!E297</f>
        <v>BRASIL NORTE BEBIDAS S/A</v>
      </c>
      <c r="C270" s="26" t="n">
        <f aca="false">Report!U297</f>
        <v>76.19</v>
      </c>
      <c r="D270" s="25" t="str">
        <f aca="false">Report!X297</f>
        <v>NF 1923967 ELLEN</v>
      </c>
    </row>
    <row r="271" customFormat="false" ht="15" hidden="false" customHeight="true" outlineLevel="0" collapsed="false">
      <c r="A271" s="24" t="n">
        <f aca="false">Report!C298</f>
        <v>46226</v>
      </c>
      <c r="B271" s="25" t="str">
        <f aca="false">Report!E298</f>
        <v>BRASIL NORTE BEBIDAS S/A</v>
      </c>
      <c r="C271" s="26" t="n">
        <f aca="false">Report!U298</f>
        <v>225.5</v>
      </c>
      <c r="D271" s="25" t="str">
        <f aca="false">Report!X298</f>
        <v>NF 1923963 ELLEN</v>
      </c>
    </row>
    <row r="272" customFormat="false" ht="15" hidden="false" customHeight="true" outlineLevel="0" collapsed="false">
      <c r="A272" s="24" t="n">
        <f aca="false">Report!C299</f>
        <v>46226</v>
      </c>
      <c r="B272" s="25" t="str">
        <f aca="false">Report!E299</f>
        <v>BRASIL NORTE BEBIDAS S/A</v>
      </c>
      <c r="C272" s="26" t="n">
        <f aca="false">Report!U299</f>
        <v>221</v>
      </c>
      <c r="D272" s="25" t="str">
        <f aca="false">Report!X299</f>
        <v>NF 1923964 ELLEN</v>
      </c>
    </row>
    <row r="273" customFormat="false" ht="15" hidden="false" customHeight="true" outlineLevel="0" collapsed="false">
      <c r="A273" s="24" t="n">
        <f aca="false">Report!C302</f>
        <v>46226</v>
      </c>
      <c r="B273" s="25" t="str">
        <f aca="false">Report!E302</f>
        <v>BRASIL NORTE BEBIDAS S/A</v>
      </c>
      <c r="C273" s="26" t="n">
        <f aca="false">Report!U302</f>
        <v>104.51</v>
      </c>
      <c r="D273" s="25" t="str">
        <f aca="false">Report!X302</f>
        <v>NF 1193336 ELLEN</v>
      </c>
    </row>
    <row r="274" customFormat="false" ht="15" hidden="false" customHeight="true" outlineLevel="0" collapsed="false">
      <c r="A274" s="24" t="n">
        <f aca="false">Report!C337</f>
        <v>46226</v>
      </c>
      <c r="B274" s="25" t="str">
        <f aca="false">Report!E337</f>
        <v>CB COMERCIO E DISTRIBUIDORA DE ALIMENTOS</v>
      </c>
      <c r="C274" s="26" t="n">
        <f aca="false">Report!U337</f>
        <v>426.95</v>
      </c>
      <c r="D274" s="25" t="str">
        <f aca="false">Report!X337</f>
        <v>NF 851821 ELLEN</v>
      </c>
    </row>
    <row r="275" customFormat="false" ht="15" hidden="false" customHeight="true" outlineLevel="0" collapsed="false">
      <c r="A275" s="24" t="n">
        <f aca="false">Report!C340</f>
        <v>46226</v>
      </c>
      <c r="B275" s="25" t="str">
        <f aca="false">Report!E340</f>
        <v>EMPRESA BRASILEIRA DE DISTRIBUICAO LTDA</v>
      </c>
      <c r="C275" s="26" t="n">
        <f aca="false">Report!U340</f>
        <v>658.61</v>
      </c>
      <c r="D275" s="25" t="str">
        <f aca="false">Report!X340</f>
        <v>NF 2299705 ELLEN</v>
      </c>
    </row>
    <row r="276" customFormat="false" ht="15" hidden="false" customHeight="true" outlineLevel="0" collapsed="false">
      <c r="A276" s="24" t="n">
        <f aca="false">Report!C343</f>
        <v>46226</v>
      </c>
      <c r="B276" s="25" t="str">
        <f aca="false">Report!E343</f>
        <v>EMPRESA BRASILEIRA DE DISTRIBUICAO LTDA</v>
      </c>
      <c r="C276" s="26" t="n">
        <f aca="false">Report!U343</f>
        <v>377.45</v>
      </c>
      <c r="D276" s="25" t="str">
        <f aca="false">Report!X343</f>
        <v>NF 2299703 ELLEN</v>
      </c>
    </row>
    <row r="277" customFormat="false" ht="15" hidden="false" customHeight="true" outlineLevel="0" collapsed="false">
      <c r="A277" s="24" t="n">
        <f aca="false">Report!C348</f>
        <v>46226</v>
      </c>
      <c r="B277" s="25" t="str">
        <f aca="false">Report!E348</f>
        <v>OCIDENTAL COMERCIO DE FRIOS LTDA</v>
      </c>
      <c r="C277" s="26" t="n">
        <f aca="false">Report!U348</f>
        <v>335.35</v>
      </c>
      <c r="D277" s="25" t="str">
        <f aca="false">Report!X348</f>
        <v>NF 1245696 ELLEN</v>
      </c>
    </row>
    <row r="278" customFormat="false" ht="15" hidden="false" customHeight="true" outlineLevel="0" collapsed="false">
      <c r="A278" s="24" t="n">
        <f aca="false">Report!C366</f>
        <v>46226</v>
      </c>
      <c r="B278" s="25" t="str">
        <f aca="false">Report!E366</f>
        <v>FENNIX BRASIL DISTRIBUIDORA DE PRODUTOS</v>
      </c>
      <c r="C278" s="26" t="n">
        <f aca="false">Report!U366</f>
        <v>321.76</v>
      </c>
      <c r="D278" s="25" t="str">
        <f aca="false">Report!X366</f>
        <v>NF 396261 ELLEN</v>
      </c>
    </row>
    <row r="279" customFormat="false" ht="15" hidden="false" customHeight="true" outlineLevel="0" collapsed="false">
      <c r="A279" s="24" t="n">
        <f aca="false">Report!C368</f>
        <v>46226</v>
      </c>
      <c r="B279" s="25" t="str">
        <f aca="false">Report!E368</f>
        <v>OESA COMERCIO E REPRESENTACOES S/A</v>
      </c>
      <c r="C279" s="26" t="n">
        <f aca="false">Report!U368</f>
        <v>682.64</v>
      </c>
      <c r="D279" s="25" t="str">
        <f aca="false">Report!X368</f>
        <v>NF 426652 ELLEN</v>
      </c>
    </row>
    <row r="280" customFormat="false" ht="15" hidden="false" customHeight="true" outlineLevel="0" collapsed="false">
      <c r="A280" s="24" t="n">
        <f aca="false">Report!C375</f>
        <v>46226</v>
      </c>
      <c r="B280" s="25" t="str">
        <f aca="false">Report!E375</f>
        <v>TOYA INDUSTRIA E COMERCIO LTDA.</v>
      </c>
      <c r="C280" s="26" t="n">
        <f aca="false">Report!U375</f>
        <v>771.01</v>
      </c>
      <c r="D280" s="25" t="str">
        <f aca="false">Report!X375</f>
        <v>NF 255191 ELLEN</v>
      </c>
    </row>
    <row r="281" customFormat="false" ht="15" hidden="false" customHeight="true" outlineLevel="0" collapsed="false">
      <c r="A281" s="24" t="n">
        <f aca="false">Report!C467</f>
        <v>46226</v>
      </c>
      <c r="B281" s="25" t="str">
        <f aca="false">Report!E467</f>
        <v>SAO JOSE COMERCIO DE LATICINIOS E FRIOS</v>
      </c>
      <c r="C281" s="26" t="n">
        <f aca="false">Report!U467</f>
        <v>533.5</v>
      </c>
      <c r="D281" s="25" t="str">
        <f aca="false">Report!X467</f>
        <v>NF 3627 ELLEN</v>
      </c>
    </row>
    <row r="282" customFormat="false" ht="15" hidden="false" customHeight="true" outlineLevel="0" collapsed="false">
      <c r="A282" s="24" t="n">
        <f aca="false">Report!C472</f>
        <v>46226</v>
      </c>
      <c r="B282" s="25" t="str">
        <f aca="false">Report!E472</f>
        <v>OCIDENTAL COMERCIO DE FRIOS LTDA</v>
      </c>
      <c r="C282" s="26" t="n">
        <f aca="false">Report!U472</f>
        <v>593.78</v>
      </c>
      <c r="D282" s="25" t="str">
        <f aca="false">Report!X472</f>
        <v>NF 1248471 ELLEN</v>
      </c>
    </row>
    <row r="283" customFormat="false" ht="15" hidden="false" customHeight="true" outlineLevel="0" collapsed="false">
      <c r="A283" s="24" t="n">
        <f aca="false">Report!C474</f>
        <v>46226</v>
      </c>
      <c r="B283" s="25" t="str">
        <f aca="false">Report!E474</f>
        <v>JAB COMERCIO DE PRODUTOS ALIMENTICIOS LT</v>
      </c>
      <c r="C283" s="26" t="n">
        <f aca="false">Report!U474</f>
        <v>125</v>
      </c>
      <c r="D283" s="25" t="str">
        <f aca="false">Report!X474</f>
        <v>NF 3554 ELLEN</v>
      </c>
    </row>
    <row r="284" customFormat="false" ht="15" hidden="false" customHeight="true" outlineLevel="0" collapsed="false">
      <c r="A284" s="24" t="n">
        <f aca="false">Report!C482</f>
        <v>46226</v>
      </c>
      <c r="B284" s="25" t="str">
        <f aca="false">Report!E482</f>
        <v>DISTRIBUIDORA LOPES LTDA</v>
      </c>
      <c r="C284" s="26" t="n">
        <f aca="false">Report!U482</f>
        <v>281.82</v>
      </c>
      <c r="D284" s="25" t="str">
        <f aca="false">Report!X482</f>
        <v>NF 1693414 ELLEN</v>
      </c>
    </row>
    <row r="285" customFormat="false" ht="15" hidden="false" customHeight="true" outlineLevel="0" collapsed="false">
      <c r="A285" s="24" t="n">
        <f aca="false">Report!C483</f>
        <v>46226</v>
      </c>
      <c r="B285" s="25" t="str">
        <f aca="false">Report!E483</f>
        <v>ADRIANO FEITOSA OLIVEIRA LTDA</v>
      </c>
      <c r="C285" s="26" t="n">
        <f aca="false">Report!U483</f>
        <v>925</v>
      </c>
      <c r="D285" s="25" t="str">
        <f aca="false">Report!X483</f>
        <v>NF 337 ELLEN</v>
      </c>
    </row>
    <row r="286" customFormat="false" ht="15" hidden="false" customHeight="true" outlineLevel="0" collapsed="false">
      <c r="A286" s="24" t="n">
        <f aca="false">Report!C487</f>
        <v>46226</v>
      </c>
      <c r="B286" s="25" t="str">
        <f aca="false">Report!E487</f>
        <v>MAXFRI DISTRIUIDORA LTDA</v>
      </c>
      <c r="C286" s="26" t="n">
        <f aca="false">Report!U487</f>
        <v>1269.94</v>
      </c>
      <c r="D286" s="25" t="str">
        <f aca="false">Report!X487</f>
        <v>NF 14728 ELLEN</v>
      </c>
    </row>
    <row r="287" customFormat="false" ht="15" hidden="false" customHeight="true" outlineLevel="0" collapsed="false">
      <c r="A287" s="24" t="n">
        <f aca="false">Report!C286</f>
        <v>46227</v>
      </c>
      <c r="B287" s="25" t="str">
        <f aca="false">Report!E286</f>
        <v>BRF S A</v>
      </c>
      <c r="C287" s="26" t="n">
        <f aca="false">Report!U286</f>
        <v>1031.77</v>
      </c>
      <c r="D287" s="25" t="str">
        <f aca="false">Report!X286</f>
        <v>NF 1604119 ELLEN</v>
      </c>
    </row>
    <row r="288" customFormat="false" ht="15" hidden="false" customHeight="true" outlineLevel="0" collapsed="false">
      <c r="A288" s="24" t="n">
        <f aca="false">Report!C349</f>
        <v>46227</v>
      </c>
      <c r="B288" s="25" t="str">
        <f aca="false">Report!E349</f>
        <v>BRASIL NORTE BEBIDAS S/A</v>
      </c>
      <c r="C288" s="26" t="n">
        <f aca="false">Report!U349</f>
        <v>659.34</v>
      </c>
      <c r="D288" s="25" t="str">
        <f aca="false">Report!X349</f>
        <v>NF 1194626 ELLEN</v>
      </c>
    </row>
    <row r="289" customFormat="false" ht="15" hidden="false" customHeight="true" outlineLevel="0" collapsed="false">
      <c r="A289" s="24" t="n">
        <f aca="false">Report!C350</f>
        <v>46227</v>
      </c>
      <c r="B289" s="25" t="str">
        <f aca="false">Report!E350</f>
        <v>BRASIL NORTE BEBIDAS S/A</v>
      </c>
      <c r="C289" s="26" t="n">
        <f aca="false">Report!U350</f>
        <v>190.48</v>
      </c>
      <c r="D289" s="25" t="str">
        <f aca="false">Report!X350</f>
        <v>NF 1926959 ELLEN</v>
      </c>
    </row>
    <row r="290" customFormat="false" ht="15" hidden="false" customHeight="true" outlineLevel="0" collapsed="false">
      <c r="A290" s="24" t="n">
        <f aca="false">Report!C351</f>
        <v>46227</v>
      </c>
      <c r="B290" s="25" t="str">
        <f aca="false">Report!E351</f>
        <v>BRASIL NORTE BEBIDAS S/A</v>
      </c>
      <c r="C290" s="26" t="n">
        <f aca="false">Report!U351</f>
        <v>156.88</v>
      </c>
      <c r="D290" s="25" t="str">
        <f aca="false">Report!X351</f>
        <v>NF 1194625 ELLEN</v>
      </c>
    </row>
    <row r="291" customFormat="false" ht="15" hidden="false" customHeight="true" outlineLevel="0" collapsed="false">
      <c r="A291" s="24" t="n">
        <f aca="false">Report!C355</f>
        <v>46227</v>
      </c>
      <c r="B291" s="25" t="str">
        <f aca="false">Report!E355</f>
        <v>DISTRIBUIDORA FARIAS LTDA.</v>
      </c>
      <c r="C291" s="26" t="n">
        <f aca="false">Report!U355</f>
        <v>509.25</v>
      </c>
      <c r="D291" s="25" t="str">
        <f aca="false">Report!X355</f>
        <v>NF 681127 ELLEN</v>
      </c>
    </row>
    <row r="292" customFormat="false" ht="15" hidden="false" customHeight="true" outlineLevel="0" collapsed="false">
      <c r="A292" s="24" t="n">
        <f aca="false">Report!C383</f>
        <v>46227</v>
      </c>
      <c r="B292" s="25" t="str">
        <f aca="false">Report!E383</f>
        <v>SOUZA CRUZ LTDA.</v>
      </c>
      <c r="C292" s="26" t="n">
        <f aca="false">Report!U383</f>
        <v>4572.86</v>
      </c>
      <c r="D292" s="25" t="str">
        <f aca="false">Report!X383</f>
        <v>NF 566541 ELLEN</v>
      </c>
    </row>
    <row r="293" customFormat="false" ht="15" hidden="false" customHeight="true" outlineLevel="0" collapsed="false">
      <c r="A293" s="24" t="n">
        <f aca="false">Report!C407</f>
        <v>46227</v>
      </c>
      <c r="B293" s="25" t="str">
        <f aca="false">Report!E407</f>
        <v>MARQUES &amp; MELO LTDA - FILIAL</v>
      </c>
      <c r="C293" s="26" t="n">
        <f aca="false">Report!U407</f>
        <v>2113</v>
      </c>
      <c r="D293" s="25" t="str">
        <f aca="false">Report!X407</f>
        <v>NF 501201 ELLEN</v>
      </c>
    </row>
    <row r="294" customFormat="false" ht="15" hidden="false" customHeight="true" outlineLevel="0" collapsed="false">
      <c r="A294" s="24" t="n">
        <f aca="false">Report!C412</f>
        <v>46227</v>
      </c>
      <c r="B294" s="25" t="str">
        <f aca="false">Report!E412</f>
        <v>MARTINS COM SERV DISTR SA</v>
      </c>
      <c r="C294" s="26" t="n">
        <f aca="false">Report!U412</f>
        <v>278.28</v>
      </c>
      <c r="D294" s="25" t="str">
        <f aca="false">Report!X412</f>
        <v>NF'S 1781169/1781170 - ELLEN</v>
      </c>
    </row>
    <row r="295" customFormat="false" ht="15" hidden="false" customHeight="true" outlineLevel="0" collapsed="false">
      <c r="A295" s="24" t="n">
        <f aca="false">Report!C475</f>
        <v>46227</v>
      </c>
      <c r="B295" s="25" t="str">
        <f aca="false">Report!E475</f>
        <v>BROTHERS  INDUSTRIA DE ALIMENTOS LTDA</v>
      </c>
      <c r="C295" s="26" t="n">
        <f aca="false">Report!U475</f>
        <v>254.6</v>
      </c>
      <c r="D295" s="25" t="str">
        <f aca="false">Report!X475</f>
        <v>NF 1032250 ELLEN</v>
      </c>
    </row>
    <row r="296" customFormat="false" ht="15" hidden="false" customHeight="true" outlineLevel="0" collapsed="false">
      <c r="A296" s="24" t="n">
        <f aca="false">Report!C485</f>
        <v>46227</v>
      </c>
      <c r="B296" s="25" t="str">
        <f aca="false">Report!E485</f>
        <v>REAL BEBIDAS DA AMAZONIA LTDA</v>
      </c>
      <c r="C296" s="26" t="n">
        <f aca="false">Report!U485</f>
        <v>189</v>
      </c>
      <c r="D296" s="25" t="str">
        <f aca="false">Report!X485</f>
        <v>NF 605020 ELLEN</v>
      </c>
    </row>
    <row r="297" customFormat="false" ht="15" hidden="false" customHeight="true" outlineLevel="0" collapsed="false">
      <c r="A297" s="24" t="n">
        <f aca="false">Report!C524</f>
        <v>46227</v>
      </c>
      <c r="B297" s="25" t="str">
        <f aca="false">Report!E524</f>
        <v>PANIFICADORA E CONFEITARIA REAL MADRI LTDA</v>
      </c>
      <c r="C297" s="26" t="n">
        <f aca="false">Report!U524</f>
        <v>182.36</v>
      </c>
      <c r="D297" s="25" t="str">
        <f aca="false">Report!X524</f>
        <v>NF 724 ELLEN</v>
      </c>
    </row>
    <row r="298" customFormat="false" ht="15" hidden="false" customHeight="true" outlineLevel="0" collapsed="false">
      <c r="A298" s="24" t="n">
        <f aca="false">Report!C592</f>
        <v>46227</v>
      </c>
      <c r="B298" s="25" t="str">
        <f aca="false">Report!E592</f>
        <v>NEYLIANE S DE OLIVEIRA &amp; CIA LTDA</v>
      </c>
      <c r="C298" s="26" t="n">
        <f aca="false">Report!U592</f>
        <v>1919.18</v>
      </c>
      <c r="D298" s="25" t="str">
        <f aca="false">Report!X592</f>
        <v>FEIRA SR RENATO - PG P LJ1 - ELLEN</v>
      </c>
    </row>
    <row r="299" customFormat="false" ht="15" hidden="false" customHeight="true" outlineLevel="0" collapsed="false">
      <c r="A299" s="24" t="n">
        <f aca="false">Report!C593</f>
        <v>46227</v>
      </c>
      <c r="B299" s="25" t="str">
        <f aca="false">Report!E593</f>
        <v>FEIRA</v>
      </c>
      <c r="C299" s="26" t="n">
        <f aca="false">Report!U593</f>
        <v>325</v>
      </c>
      <c r="D299" s="25" t="str">
        <f aca="false">Report!X593</f>
        <v>FEIRA SR RENATO-PG P LJ1 (ALHO/PERA) SOMAR C NF2560-ELLEN</v>
      </c>
    </row>
    <row r="300" customFormat="false" ht="15" hidden="false" customHeight="true" outlineLevel="0" collapsed="false">
      <c r="A300" s="24" t="n">
        <f aca="false">Report!C594</f>
        <v>46227</v>
      </c>
      <c r="B300" s="25" t="str">
        <f aca="false">Report!E594</f>
        <v>NEYLIANE S DE OLIVEIRA &amp; CIA LTDA</v>
      </c>
      <c r="C300" s="26" t="n">
        <f aca="false">Report!U594</f>
        <v>280</v>
      </c>
      <c r="D300" s="25" t="str">
        <f aca="false">Report!X594</f>
        <v>COMPRAS-20L DE AÇAI-PG NO P 24/7 ELLEN</v>
      </c>
    </row>
    <row r="301" customFormat="false" ht="15" hidden="false" customHeight="true" outlineLevel="0" collapsed="false">
      <c r="A301" s="24" t="n">
        <f aca="false">Report!C513</f>
        <v>46228</v>
      </c>
      <c r="B301" s="25" t="str">
        <f aca="false">Report!E513</f>
        <v>MAXFRI DISTRIUIDORA LTDA</v>
      </c>
      <c r="C301" s="26" t="n">
        <f aca="false">Report!U513</f>
        <v>3804</v>
      </c>
      <c r="D301" s="25" t="str">
        <f aca="false">Report!X513</f>
        <v>NF 14751 ELLEN</v>
      </c>
    </row>
    <row r="302" customFormat="false" ht="15" hidden="false" customHeight="true" outlineLevel="0" collapsed="false">
      <c r="A302" s="24" t="n">
        <f aca="false">Report!C595</f>
        <v>46228</v>
      </c>
      <c r="B302" s="25" t="str">
        <f aca="false">Report!E595</f>
        <v>NEYLIANE S DE OLIVEIRA &amp; CIA LTDA</v>
      </c>
      <c r="C302" s="26" t="n">
        <f aca="false">Report!U595</f>
        <v>200</v>
      </c>
      <c r="D302" s="25" t="str">
        <f aca="false">Report!X595</f>
        <v>COMPRAS-10KG PITAYA -PG NO P 25/7 - ELLEN</v>
      </c>
    </row>
    <row r="303" customFormat="false" ht="15" hidden="false" customHeight="true" outlineLevel="0" collapsed="false">
      <c r="A303" s="24" t="n">
        <f aca="false">Report!C233</f>
        <v>46229</v>
      </c>
      <c r="B303" s="25" t="str">
        <f aca="false">Report!E233</f>
        <v>FE COMERCIO DE MATERIAIS DE CONSTRUCAO</v>
      </c>
      <c r="C303" s="26" t="n">
        <f aca="false">Report!U233</f>
        <v>819.53</v>
      </c>
      <c r="D303" s="25" t="str">
        <f aca="false">Report!X233</f>
        <v>NF 4467 ELLEN</v>
      </c>
    </row>
    <row r="304" customFormat="false" ht="15" hidden="false" customHeight="true" outlineLevel="0" collapsed="false">
      <c r="A304" s="24" t="n">
        <f aca="false">Report!C44</f>
        <v>46230</v>
      </c>
      <c r="B304" s="25" t="str">
        <f aca="false">Report!E44</f>
        <v>NEYLIANE S DE OLIVEIRA &amp; CIA LTDA</v>
      </c>
      <c r="C304" s="26" t="n">
        <f aca="false">Report!U44</f>
        <v>210</v>
      </c>
      <c r="D304" s="25" t="str">
        <f aca="false">Report!X44</f>
        <v>COMPRAS - 15L DE AÇAI - PG NO P 27/7/26-ELLEN</v>
      </c>
    </row>
    <row r="305" customFormat="false" ht="15" hidden="false" customHeight="true" outlineLevel="0" collapsed="false">
      <c r="A305" s="24" t="n">
        <f aca="false">Report!C402</f>
        <v>46230</v>
      </c>
      <c r="B305" s="25" t="str">
        <f aca="false">Report!E402</f>
        <v>FENNIX BRASIL DISTRIBUIDORA DE PRODUTOS</v>
      </c>
      <c r="C305" s="26" t="n">
        <f aca="false">Report!U402</f>
        <v>368.06</v>
      </c>
      <c r="D305" s="25" t="str">
        <f aca="false">Report!X402</f>
        <v>NF 312916 ELLEN</v>
      </c>
    </row>
    <row r="306" customFormat="false" ht="15" hidden="false" customHeight="true" outlineLevel="0" collapsed="false">
      <c r="A306" s="24" t="n">
        <f aca="false">Report!C434</f>
        <v>46230</v>
      </c>
      <c r="B306" s="25" t="str">
        <f aca="false">Report!E434</f>
        <v>DUNORTE DISTRIBUIDORA DE PRODUTOS DE CONSUMO LTDA</v>
      </c>
      <c r="C306" s="26" t="n">
        <f aca="false">Report!U434</f>
        <v>1313.59</v>
      </c>
      <c r="D306" s="25" t="n">
        <f aca="false">Report!X434</f>
        <v>0</v>
      </c>
    </row>
    <row r="307" customFormat="false" ht="15" hidden="false" customHeight="true" outlineLevel="0" collapsed="false">
      <c r="A307" s="24" t="n">
        <f aca="false">Report!C445</f>
        <v>46230</v>
      </c>
      <c r="B307" s="25" t="str">
        <f aca="false">Report!E445</f>
        <v>DUNORTE DISTRIBUIDORA DE PRODUTOS DE CONSUMO LTDA</v>
      </c>
      <c r="C307" s="26" t="n">
        <f aca="false">Report!U445</f>
        <v>1385.14</v>
      </c>
      <c r="D307" s="25" t="str">
        <f aca="false">Report!X445</f>
        <v>NF 3218198 ELLEN</v>
      </c>
    </row>
    <row r="308" customFormat="false" ht="15" hidden="false" customHeight="true" outlineLevel="0" collapsed="false">
      <c r="A308" s="24" t="n">
        <f aca="false">Report!C461</f>
        <v>46230</v>
      </c>
      <c r="B308" s="25" t="str">
        <f aca="false">Report!E461</f>
        <v>DUNORTE DISTRIBUIDORA DE PRODUTOS DE CONSUMO LTDA</v>
      </c>
      <c r="C308" s="26" t="n">
        <f aca="false">Report!U461</f>
        <v>918.23</v>
      </c>
      <c r="D308" s="25" t="str">
        <f aca="false">Report!X461</f>
        <v>NF 3218197 ELLEN</v>
      </c>
    </row>
    <row r="309" customFormat="false" ht="15" hidden="false" customHeight="true" outlineLevel="0" collapsed="false">
      <c r="A309" s="24" t="n">
        <f aca="false">Report!C501</f>
        <v>46230</v>
      </c>
      <c r="B309" s="25" t="str">
        <f aca="false">Report!E501</f>
        <v>NEYLIANE S DE OLIVEIRA &amp; CIA LTDA</v>
      </c>
      <c r="C309" s="26" t="n">
        <f aca="false">Report!U501</f>
        <v>949</v>
      </c>
      <c r="D309" s="25" t="str">
        <f aca="false">Report!X501</f>
        <v>COMPRAS - FARINHA CRUZEIRO - ELLEN</v>
      </c>
    </row>
    <row r="310" customFormat="false" ht="15" hidden="false" customHeight="true" outlineLevel="0" collapsed="false">
      <c r="A310" s="24" t="n">
        <f aca="false">Report!C517</f>
        <v>46230</v>
      </c>
      <c r="B310" s="25" t="str">
        <f aca="false">Report!E517</f>
        <v>LIMA E BARANDA COMERCIO DE PRODUTOS REGI</v>
      </c>
      <c r="C310" s="26" t="n">
        <f aca="false">Report!U517</f>
        <v>199</v>
      </c>
      <c r="D310" s="25" t="str">
        <f aca="false">Report!X517</f>
        <v>NF 31515 ELLEN</v>
      </c>
    </row>
    <row r="311" customFormat="false" ht="15" hidden="false" customHeight="true" outlineLevel="0" collapsed="false">
      <c r="A311" s="24" t="n">
        <f aca="false">Report!C522</f>
        <v>46230</v>
      </c>
      <c r="B311" s="25" t="str">
        <f aca="false">Report!E522</f>
        <v>JAB COMERCIO DE PRODUTOS ALIMENTICIOS LT</v>
      </c>
      <c r="C311" s="26" t="n">
        <f aca="false">Report!U522</f>
        <v>179</v>
      </c>
      <c r="D311" s="25" t="str">
        <f aca="false">Report!X522</f>
        <v>NF 3579 ELLEN</v>
      </c>
    </row>
    <row r="312" customFormat="false" ht="15" hidden="false" customHeight="true" outlineLevel="0" collapsed="false">
      <c r="A312" s="24" t="n">
        <f aca="false">Report!C523</f>
        <v>46230</v>
      </c>
      <c r="B312" s="25" t="str">
        <f aca="false">Report!E523</f>
        <v>NOVA FRIOS COMERCIO ATACADISTA DE LATICINIOS LTDA</v>
      </c>
      <c r="C312" s="26" t="n">
        <f aca="false">Report!U523</f>
        <v>232.05</v>
      </c>
      <c r="D312" s="25" t="str">
        <f aca="false">Report!X523</f>
        <v>NF 4132 ELLEN</v>
      </c>
    </row>
    <row r="313" customFormat="false" ht="15" hidden="false" customHeight="true" outlineLevel="0" collapsed="false">
      <c r="A313" s="24" t="n">
        <f aca="false">Report!C564</f>
        <v>46230</v>
      </c>
      <c r="B313" s="25" t="str">
        <f aca="false">Report!E564</f>
        <v>PANIFICADORA E CONFEITARIA REAL MADRI LTDA</v>
      </c>
      <c r="C313" s="26" t="n">
        <f aca="false">Report!U564</f>
        <v>247.23</v>
      </c>
      <c r="D313" s="25" t="str">
        <f aca="false">Report!X564</f>
        <v>NF 728 ELLEN</v>
      </c>
    </row>
    <row r="314" customFormat="false" ht="15" hidden="false" customHeight="true" outlineLevel="0" collapsed="false">
      <c r="A314" s="24" t="n">
        <f aca="false">Report!C580</f>
        <v>46230</v>
      </c>
      <c r="B314" s="25" t="str">
        <f aca="false">Report!E580</f>
        <v>J W N DOS SANTOS</v>
      </c>
      <c r="C314" s="26" t="n">
        <f aca="false">Report!U580</f>
        <v>270</v>
      </c>
      <c r="D314" s="25" t="str">
        <f aca="false">Report!X580</f>
        <v>NF 375 COMPRAS-CARVAO - ELLEN</v>
      </c>
    </row>
    <row r="315" customFormat="false" ht="15" hidden="false" customHeight="true" outlineLevel="0" collapsed="false">
      <c r="A315" s="24" t="n">
        <f aca="false">Report!C80</f>
        <v>46231</v>
      </c>
      <c r="B315" s="25" t="str">
        <f aca="false">Report!E80</f>
        <v>FUNNY PET DISTRIBUIDORA DE ALIMENTOS PAR</v>
      </c>
      <c r="C315" s="26" t="n">
        <f aca="false">Report!U80</f>
        <v>1589.28</v>
      </c>
      <c r="D315" s="25" t="str">
        <f aca="false">Report!X80</f>
        <v>NF 20499 ELLEN</v>
      </c>
    </row>
    <row r="316" customFormat="false" ht="15" hidden="false" customHeight="true" outlineLevel="0" collapsed="false">
      <c r="A316" s="24" t="n">
        <f aca="false">Report!C220</f>
        <v>46231</v>
      </c>
      <c r="B316" s="25" t="str">
        <f aca="false">Report!E220</f>
        <v>MARTINS COM SERV DISTR SA</v>
      </c>
      <c r="C316" s="26" t="n">
        <f aca="false">Report!U220</f>
        <v>542.11</v>
      </c>
      <c r="D316" s="25" t="str">
        <f aca="false">Report!X220</f>
        <v>NF 1777487 ELLEN</v>
      </c>
    </row>
    <row r="317" customFormat="false" ht="15" hidden="false" customHeight="true" outlineLevel="0" collapsed="false">
      <c r="A317" s="24" t="n">
        <f aca="false">Report!C390</f>
        <v>46231</v>
      </c>
      <c r="B317" s="25" t="str">
        <f aca="false">Report!E390</f>
        <v>NSB COMERCIO ATACADISTA E VAREJISTA DE P</v>
      </c>
      <c r="C317" s="26" t="n">
        <f aca="false">Report!U390</f>
        <v>378.88</v>
      </c>
      <c r="D317" s="25" t="str">
        <f aca="false">Report!X390</f>
        <v>NF 7874 ELLEN</v>
      </c>
    </row>
    <row r="318" customFormat="false" ht="15" hidden="false" customHeight="true" outlineLevel="0" collapsed="false">
      <c r="A318" s="24" t="n">
        <f aca="false">Report!C404</f>
        <v>46231</v>
      </c>
      <c r="B318" s="25" t="str">
        <f aca="false">Report!E404</f>
        <v>BRASIL NORTE BEBIDAS S/A</v>
      </c>
      <c r="C318" s="26" t="n">
        <f aca="false">Report!U404</f>
        <v>419.67</v>
      </c>
      <c r="D318" s="25" t="str">
        <f aca="false">Report!X404</f>
        <v>NF 1931230 ELLEN</v>
      </c>
    </row>
    <row r="319" customFormat="false" ht="15" hidden="false" customHeight="true" outlineLevel="0" collapsed="false">
      <c r="A319" s="24" t="n">
        <f aca="false">Report!C405</f>
        <v>46231</v>
      </c>
      <c r="B319" s="25" t="str">
        <f aca="false">Report!E405</f>
        <v>BRASIL NORTE BEBIDAS S/A</v>
      </c>
      <c r="C319" s="26" t="n">
        <f aca="false">Report!U405</f>
        <v>203.41</v>
      </c>
      <c r="D319" s="25" t="str">
        <f aca="false">Report!X405</f>
        <v>NF 1199257 ELLEN</v>
      </c>
    </row>
    <row r="320" customFormat="false" ht="15" hidden="false" customHeight="true" outlineLevel="0" collapsed="false">
      <c r="A320" s="24" t="n">
        <f aca="false">Report!C406</f>
        <v>46231</v>
      </c>
      <c r="B320" s="25" t="str">
        <f aca="false">Report!E406</f>
        <v>BRASIL NORTE BEBIDAS S/A</v>
      </c>
      <c r="C320" s="26" t="n">
        <f aca="false">Report!U406</f>
        <v>106.21</v>
      </c>
      <c r="D320" s="25" t="str">
        <f aca="false">Report!X406</f>
        <v>NF 1199243 ELLEN</v>
      </c>
    </row>
    <row r="321" customFormat="false" ht="15" hidden="false" customHeight="true" outlineLevel="0" collapsed="false">
      <c r="A321" s="24" t="n">
        <f aca="false">Report!C424</f>
        <v>46231</v>
      </c>
      <c r="B321" s="25" t="str">
        <f aca="false">Report!E424</f>
        <v>TALIAN COMERCIO DE COSMETICOS LTDA</v>
      </c>
      <c r="C321" s="26" t="n">
        <f aca="false">Report!U424</f>
        <v>406.11</v>
      </c>
      <c r="D321" s="25" t="str">
        <f aca="false">Report!X424</f>
        <v>NF 30429 ELLEN</v>
      </c>
    </row>
    <row r="322" customFormat="false" ht="15" hidden="false" customHeight="true" outlineLevel="0" collapsed="false">
      <c r="A322" s="24" t="n">
        <f aca="false">Report!C454</f>
        <v>46231</v>
      </c>
      <c r="B322" s="25" t="str">
        <f aca="false">Report!E454</f>
        <v>ORIENTE COM. ATACADISTA E REPRES. LTDA</v>
      </c>
      <c r="C322" s="26" t="n">
        <f aca="false">Report!U454</f>
        <v>1501.2</v>
      </c>
      <c r="D322" s="25" t="str">
        <f aca="false">Report!X454</f>
        <v>NF 2624 ELLEN</v>
      </c>
    </row>
    <row r="323" customFormat="false" ht="15" hidden="false" customHeight="true" outlineLevel="0" collapsed="false">
      <c r="A323" s="24" t="n">
        <f aca="false">Report!C456</f>
        <v>46231</v>
      </c>
      <c r="B323" s="25" t="str">
        <f aca="false">Report!E456</f>
        <v>NESTLÉ BRASIL LTDA.</v>
      </c>
      <c r="C323" s="26" t="n">
        <f aca="false">Report!U456</f>
        <v>691.61</v>
      </c>
      <c r="D323" s="25" t="str">
        <f aca="false">Report!X456</f>
        <v>NF 1427668 ELLEN</v>
      </c>
    </row>
    <row r="324" customFormat="false" ht="15" hidden="false" customHeight="true" outlineLevel="0" collapsed="false">
      <c r="A324" s="24" t="n">
        <f aca="false">Report!C478</f>
        <v>46231</v>
      </c>
      <c r="B324" s="25" t="str">
        <f aca="false">Report!E478</f>
        <v>SL DISTRIBUIDORA COM. DE PROD. ALIMENTIC</v>
      </c>
      <c r="C324" s="26" t="n">
        <f aca="false">Report!U478</f>
        <v>505.57</v>
      </c>
      <c r="D324" s="25" t="str">
        <f aca="false">Report!X478</f>
        <v>NF 10807 ELLEN</v>
      </c>
    </row>
    <row r="325" customFormat="false" ht="15" hidden="false" customHeight="true" outlineLevel="0" collapsed="false">
      <c r="A325" s="24" t="n">
        <f aca="false">Report!C596</f>
        <v>46231</v>
      </c>
      <c r="B325" s="25" t="str">
        <f aca="false">Report!E596</f>
        <v>ADICSO FABIAN GONZALEZ MONTILLA 70302186</v>
      </c>
      <c r="C325" s="26" t="n">
        <f aca="false">Report!U596</f>
        <v>168</v>
      </c>
      <c r="D325" s="25" t="str">
        <f aca="false">Report!X596</f>
        <v>NF 544 ELLEN</v>
      </c>
    </row>
    <row r="326" customFormat="false" ht="15" hidden="false" customHeight="true" outlineLevel="0" collapsed="false">
      <c r="A326" s="24" t="n">
        <f aca="false">Report!C598</f>
        <v>46231</v>
      </c>
      <c r="B326" s="25" t="str">
        <f aca="false">Report!E598</f>
        <v>PANIFICADORA E CONFEITARIA REAL MADRI LTDA</v>
      </c>
      <c r="C326" s="26" t="n">
        <f aca="false">Report!U598</f>
        <v>239.7</v>
      </c>
      <c r="D326" s="25" t="str">
        <f aca="false">Report!X598</f>
        <v>NF 731 ELLEN</v>
      </c>
    </row>
    <row r="327" customFormat="false" ht="15" hidden="false" customHeight="true" outlineLevel="0" collapsed="false">
      <c r="A327" s="24" t="n">
        <f aca="false">Report!C304</f>
        <v>46232</v>
      </c>
      <c r="B327" s="25" t="str">
        <f aca="false">Report!E304</f>
        <v>BF COMERCIO DE ALIMENTOS REPRESENTACAO L</v>
      </c>
      <c r="C327" s="26" t="n">
        <f aca="false">Report!U304</f>
        <v>1213.69</v>
      </c>
      <c r="D327" s="25" t="str">
        <f aca="false">Report!X304</f>
        <v>NF 21032 ELLEN</v>
      </c>
    </row>
    <row r="328" customFormat="false" ht="15" hidden="false" customHeight="true" outlineLevel="0" collapsed="false">
      <c r="A328" s="24" t="n">
        <f aca="false">Report!C363</f>
        <v>46232</v>
      </c>
      <c r="B328" s="25" t="str">
        <f aca="false">Report!E363</f>
        <v>BRF S A</v>
      </c>
      <c r="C328" s="26" t="n">
        <f aca="false">Report!U363</f>
        <v>1025.06</v>
      </c>
      <c r="D328" s="25" t="str">
        <f aca="false">Report!X363</f>
        <v>NF 1605936 ELLEN</v>
      </c>
    </row>
    <row r="329" customFormat="false" ht="15" hidden="false" customHeight="true" outlineLevel="0" collapsed="false">
      <c r="A329" s="24" t="n">
        <f aca="false">Report!C394</f>
        <v>46232</v>
      </c>
      <c r="B329" s="25" t="str">
        <f aca="false">Report!E394</f>
        <v>SB COMERCIO LTDA</v>
      </c>
      <c r="C329" s="26" t="n">
        <f aca="false">Report!U394</f>
        <v>1504.05</v>
      </c>
      <c r="D329" s="25" t="str">
        <f aca="false">Report!X394</f>
        <v>NF 1962669 ELLEN</v>
      </c>
    </row>
    <row r="330" customFormat="false" ht="15" hidden="false" customHeight="true" outlineLevel="0" collapsed="false">
      <c r="A330" s="24" t="n">
        <f aca="false">Report!C431</f>
        <v>46232</v>
      </c>
      <c r="B330" s="25" t="str">
        <f aca="false">Report!E431</f>
        <v>DISTRIBUIDORA LOPES LTDA</v>
      </c>
      <c r="C330" s="26" t="n">
        <f aca="false">Report!U431</f>
        <v>1207.29</v>
      </c>
      <c r="D330" s="25" t="str">
        <f aca="false">Report!X431</f>
        <v>NF 1692730 ELLEN</v>
      </c>
    </row>
    <row r="331" customFormat="false" ht="15" hidden="false" customHeight="true" outlineLevel="0" collapsed="false">
      <c r="A331" s="24" t="n">
        <f aca="false">Report!C449</f>
        <v>46232</v>
      </c>
      <c r="B331" s="25" t="str">
        <f aca="false">Report!E449</f>
        <v>J G COMERCIO DE PRODUTOS ALIMENTICIOS LTDA</v>
      </c>
      <c r="C331" s="26" t="n">
        <f aca="false">Report!U449</f>
        <v>2806.49</v>
      </c>
      <c r="D331" s="25" t="str">
        <f aca="false">Report!X449</f>
        <v>NF 392537 ELLEN</v>
      </c>
    </row>
    <row r="332" customFormat="false" ht="15" hidden="false" customHeight="true" outlineLevel="0" collapsed="false">
      <c r="A332" s="24" t="n">
        <f aca="false">Report!C453</f>
        <v>46232</v>
      </c>
      <c r="B332" s="25" t="str">
        <f aca="false">Report!E453</f>
        <v>FENNIX BRASIL DISTRIBUIDORA DE PRODUTOS</v>
      </c>
      <c r="C332" s="26" t="n">
        <f aca="false">Report!U453</f>
        <v>560.56</v>
      </c>
      <c r="D332" s="25" t="str">
        <f aca="false">Report!X453</f>
        <v>NF 396500 ELLEN</v>
      </c>
    </row>
    <row r="333" customFormat="false" ht="15" hidden="false" customHeight="true" outlineLevel="0" collapsed="false">
      <c r="A333" s="24" t="n">
        <f aca="false">Report!C458</f>
        <v>46232</v>
      </c>
      <c r="B333" s="25" t="str">
        <f aca="false">Report!E458</f>
        <v>DURAES DISTRIBUIDORA DE ESTIVAS LTDA</v>
      </c>
      <c r="C333" s="26" t="n">
        <f aca="false">Report!U458</f>
        <v>607.57</v>
      </c>
      <c r="D333" s="25" t="str">
        <f aca="false">Report!X458</f>
        <v>NF 650221 ELLEN</v>
      </c>
    </row>
    <row r="334" customFormat="false" ht="15" hidden="false" customHeight="true" outlineLevel="0" collapsed="false">
      <c r="A334" s="24" t="n">
        <f aca="false">Report!C465</f>
        <v>46232</v>
      </c>
      <c r="B334" s="25" t="str">
        <f aca="false">Report!E465</f>
        <v>L S M COMERCIO DE ALIMENTOS E NAVEGACAO</v>
      </c>
      <c r="C334" s="26" t="n">
        <f aca="false">Report!U465</f>
        <v>1021.83</v>
      </c>
      <c r="D334" s="25" t="str">
        <f aca="false">Report!X465</f>
        <v>NF 307804 ELLEN</v>
      </c>
    </row>
    <row r="335" customFormat="false" ht="15" hidden="false" customHeight="true" outlineLevel="0" collapsed="false">
      <c r="A335" s="24" t="n">
        <f aca="false">Report!C480</f>
        <v>46232</v>
      </c>
      <c r="B335" s="25" t="str">
        <f aca="false">Report!E480</f>
        <v>BRF S A</v>
      </c>
      <c r="C335" s="26" t="n">
        <f aca="false">Report!U480</f>
        <v>512.49</v>
      </c>
      <c r="D335" s="25" t="str">
        <f aca="false">Report!X480</f>
        <v>NF 1608670 ELLEN</v>
      </c>
    </row>
    <row r="336" customFormat="false" ht="15" hidden="false" customHeight="true" outlineLevel="0" collapsed="false">
      <c r="A336" s="24" t="n">
        <f aca="false">Report!C543</f>
        <v>46232</v>
      </c>
      <c r="B336" s="25" t="str">
        <f aca="false">Report!E543</f>
        <v>H. L. DO NASCIMENTO</v>
      </c>
      <c r="C336" s="26" t="n">
        <f aca="false">Report!U543</f>
        <v>409.65</v>
      </c>
      <c r="D336" s="25" t="str">
        <f aca="false">Report!X543</f>
        <v>NF 5844 ELLEN</v>
      </c>
    </row>
    <row r="337" customFormat="false" ht="15" hidden="false" customHeight="true" outlineLevel="0" collapsed="false">
      <c r="A337" s="24" t="n">
        <f aca="false">Report!C553</f>
        <v>46232</v>
      </c>
      <c r="B337" s="25" t="str">
        <f aca="false">Report!E553</f>
        <v>J G COMERCIO DE PRODUTOS ALIMENTICIOS LTDA</v>
      </c>
      <c r="C337" s="26" t="n">
        <f aca="false">Report!U553</f>
        <v>1164.4</v>
      </c>
      <c r="D337" s="25" t="str">
        <f aca="false">Report!X553</f>
        <v>NF 393890 ELLEN</v>
      </c>
    </row>
    <row r="338" customFormat="false" ht="15" hidden="false" customHeight="true" outlineLevel="0" collapsed="false">
      <c r="A338" s="24" t="n">
        <f aca="false">Report!C183</f>
        <v>46233</v>
      </c>
      <c r="B338" s="25" t="str">
        <f aca="false">Report!E183</f>
        <v>E. D. SENA &amp; CIA LTDA</v>
      </c>
      <c r="C338" s="26" t="n">
        <f aca="false">Report!U183</f>
        <v>531.18</v>
      </c>
      <c r="D338" s="25" t="str">
        <f aca="false">Report!X183</f>
        <v>NF 9495 ELLEN</v>
      </c>
    </row>
    <row r="339" customFormat="false" ht="15" hidden="false" customHeight="true" outlineLevel="0" collapsed="false">
      <c r="A339" s="24" t="n">
        <f aca="false">Report!C341</f>
        <v>46233</v>
      </c>
      <c r="B339" s="25" t="str">
        <f aca="false">Report!E341</f>
        <v>EMPRESA BRASILEIRA DE DISTRIBUICAO LTDA</v>
      </c>
      <c r="C339" s="26" t="n">
        <f aca="false">Report!U341</f>
        <v>658.6</v>
      </c>
      <c r="D339" s="25" t="str">
        <f aca="false">Report!X341</f>
        <v>NF 2299705 ELLEN</v>
      </c>
    </row>
    <row r="340" customFormat="false" ht="15" hidden="false" customHeight="true" outlineLevel="0" collapsed="false">
      <c r="A340" s="24" t="n">
        <f aca="false">Report!C344</f>
        <v>46233</v>
      </c>
      <c r="B340" s="25" t="str">
        <f aca="false">Report!E344</f>
        <v>EMPRESA BRASILEIRA DE DISTRIBUICAO LTDA</v>
      </c>
      <c r="C340" s="26" t="n">
        <f aca="false">Report!U344</f>
        <v>377.46</v>
      </c>
      <c r="D340" s="25" t="str">
        <f aca="false">Report!X344</f>
        <v>NF 2299703 ELLEN</v>
      </c>
    </row>
    <row r="341" customFormat="false" ht="15" hidden="false" customHeight="true" outlineLevel="0" collapsed="false">
      <c r="A341" s="24" t="n">
        <f aca="false">Report!C367</f>
        <v>46233</v>
      </c>
      <c r="B341" s="25" t="str">
        <f aca="false">Report!E367</f>
        <v>FENNIX BRASIL DISTRIBUIDORA DE PRODUTOS</v>
      </c>
      <c r="C341" s="26" t="n">
        <f aca="false">Report!U367</f>
        <v>321.77</v>
      </c>
      <c r="D341" s="25" t="str">
        <f aca="false">Report!X367</f>
        <v>NF 396261 ELLEN</v>
      </c>
    </row>
    <row r="342" customFormat="false" ht="15" hidden="false" customHeight="true" outlineLevel="0" collapsed="false">
      <c r="A342" s="24" t="n">
        <f aca="false">Report!C369</f>
        <v>46233</v>
      </c>
      <c r="B342" s="25" t="str">
        <f aca="false">Report!E369</f>
        <v>OESA COMERCIO E REPRESENTACOES S/A</v>
      </c>
      <c r="C342" s="26" t="n">
        <f aca="false">Report!U369</f>
        <v>682.63</v>
      </c>
      <c r="D342" s="25" t="str">
        <f aca="false">Report!X369</f>
        <v>NF 426652 ELLEN</v>
      </c>
    </row>
    <row r="343" customFormat="false" ht="15" hidden="false" customHeight="true" outlineLevel="0" collapsed="false">
      <c r="A343" s="24" t="n">
        <f aca="false">Report!C451</f>
        <v>46233</v>
      </c>
      <c r="B343" s="25" t="str">
        <f aca="false">Report!E451</f>
        <v>BRASIL NORTE BEBIDAS S/A</v>
      </c>
      <c r="C343" s="26" t="n">
        <f aca="false">Report!U451</f>
        <v>2028.67</v>
      </c>
      <c r="D343" s="25" t="str">
        <f aca="false">Report!X451</f>
        <v>NF 1936058 ELLEN</v>
      </c>
    </row>
    <row r="344" customFormat="false" ht="15" hidden="false" customHeight="true" outlineLevel="0" collapsed="false">
      <c r="A344" s="24" t="n">
        <f aca="false">Report!C452</f>
        <v>46233</v>
      </c>
      <c r="B344" s="25" t="str">
        <f aca="false">Report!E452</f>
        <v>BRASIL NORTE BEBIDAS S/A</v>
      </c>
      <c r="C344" s="26" t="n">
        <f aca="false">Report!U452</f>
        <v>1194.17</v>
      </c>
      <c r="D344" s="25" t="str">
        <f aca="false">Report!X452</f>
        <v>NF 1936058 ELLEN</v>
      </c>
    </row>
    <row r="345" customFormat="false" ht="15" hidden="false" customHeight="true" outlineLevel="0" collapsed="false">
      <c r="A345" s="24" t="n">
        <f aca="false">Report!C468</f>
        <v>46233</v>
      </c>
      <c r="B345" s="25" t="str">
        <f aca="false">Report!E468</f>
        <v>DISTRIBUIDORA FARIAS LTDA.</v>
      </c>
      <c r="C345" s="26" t="n">
        <f aca="false">Report!U468</f>
        <v>580.89</v>
      </c>
      <c r="D345" s="25" t="str">
        <f aca="false">Report!X468</f>
        <v>NF 682520 ELLEN</v>
      </c>
    </row>
    <row r="346" customFormat="false" ht="15" hidden="false" customHeight="true" outlineLevel="0" collapsed="false">
      <c r="A346" s="24" t="n">
        <f aca="false">Report!C574</f>
        <v>46233</v>
      </c>
      <c r="B346" s="25" t="str">
        <f aca="false">Report!E574</f>
        <v>REAL BEBIDAS DA AMAZONIA LTDA</v>
      </c>
      <c r="C346" s="26" t="n">
        <f aca="false">Report!U574</f>
        <v>305</v>
      </c>
      <c r="D346" s="25" t="str">
        <f aca="false">Report!X574</f>
        <v>NF 608657 ELLEN</v>
      </c>
    </row>
    <row r="347" customFormat="false" ht="15" hidden="false" customHeight="true" outlineLevel="0" collapsed="false">
      <c r="A347" s="24" t="n">
        <f aca="false">Report!C356</f>
        <v>46234</v>
      </c>
      <c r="B347" s="25" t="str">
        <f aca="false">Report!E356</f>
        <v>DISTRIBUIDORA FARIAS LTDA.</v>
      </c>
      <c r="C347" s="26" t="n">
        <f aca="false">Report!U356</f>
        <v>509.25</v>
      </c>
      <c r="D347" s="25" t="str">
        <f aca="false">Report!X356</f>
        <v>NF 681127 ELLEN</v>
      </c>
    </row>
    <row r="348" customFormat="false" ht="15" hidden="false" customHeight="true" outlineLevel="0" collapsed="false">
      <c r="A348" s="24" t="n">
        <f aca="false">Report!C380</f>
        <v>46234</v>
      </c>
      <c r="B348" s="25" t="str">
        <f aca="false">Report!E380</f>
        <v>SUPER CANCUN COMERCIO DE PRODUTOS ALIMEN</v>
      </c>
      <c r="C348" s="26" t="n">
        <f aca="false">Report!U380</f>
        <v>1123.86</v>
      </c>
      <c r="D348" s="25" t="str">
        <f aca="false">Report!X380</f>
        <v>NF 262932 ELLEN</v>
      </c>
    </row>
    <row r="349" customFormat="false" ht="15" hidden="false" customHeight="true" outlineLevel="0" collapsed="false">
      <c r="A349" s="24" t="n">
        <f aca="false">Report!C408</f>
        <v>46234</v>
      </c>
      <c r="B349" s="25" t="str">
        <f aca="false">Report!E408</f>
        <v>MARQUES &amp; MELO LTDA - FILIAL</v>
      </c>
      <c r="C349" s="26" t="n">
        <f aca="false">Report!U408</f>
        <v>2112.99</v>
      </c>
      <c r="D349" s="25" t="str">
        <f aca="false">Report!X408</f>
        <v>NF 501201 ELLEN</v>
      </c>
    </row>
    <row r="350" customFormat="false" ht="15" hidden="false" customHeight="true" outlineLevel="0" collapsed="false">
      <c r="A350" s="24" t="n">
        <f aca="false">Report!C413</f>
        <v>46234</v>
      </c>
      <c r="B350" s="25" t="str">
        <f aca="false">Report!E413</f>
        <v>MARTINS COM SERV DISTR SA</v>
      </c>
      <c r="C350" s="26" t="n">
        <f aca="false">Report!U413</f>
        <v>278.28</v>
      </c>
      <c r="D350" s="25" t="str">
        <f aca="false">Report!X413</f>
        <v>NF'S 1781169/1781170 ELLEN</v>
      </c>
    </row>
    <row r="351" customFormat="false" ht="15" hidden="false" customHeight="true" outlineLevel="0" collapsed="false">
      <c r="A351" s="24" t="n">
        <f aca="false">Report!C477</f>
        <v>46234</v>
      </c>
      <c r="B351" s="25" t="str">
        <f aca="false">Report!E477</f>
        <v>MARQUES &amp; MELO LTDA - FILIAL</v>
      </c>
      <c r="C351" s="26" t="n">
        <f aca="false">Report!U477</f>
        <v>308.88</v>
      </c>
      <c r="D351" s="25" t="str">
        <f aca="false">Report!X477</f>
        <v>NF 502367 ELLEN</v>
      </c>
    </row>
    <row r="352" customFormat="false" ht="15" hidden="false" customHeight="true" outlineLevel="0" collapsed="false">
      <c r="A352" s="24" t="n">
        <f aca="false">Report!C489</f>
        <v>46234</v>
      </c>
      <c r="B352" s="25" t="str">
        <f aca="false">Report!E489</f>
        <v>EDSON AGUIAR DE SOUZA</v>
      </c>
      <c r="C352" s="26" t="n">
        <f aca="false">Report!U489</f>
        <v>97.5</v>
      </c>
      <c r="D352" s="25" t="str">
        <f aca="false">Report!X489</f>
        <v>NF 1649285 COMPRAS-CHEIRO-VERDE - ELLEN</v>
      </c>
    </row>
    <row r="353" customFormat="false" ht="15" hidden="false" customHeight="true" outlineLevel="0" collapsed="false">
      <c r="A353" s="24" t="n">
        <f aca="false">Report!C490</f>
        <v>46234</v>
      </c>
      <c r="B353" s="25" t="str">
        <f aca="false">Report!E490</f>
        <v>DUNORTE DISTRIBUIDORA DE PRODUTOS DE CONSUMO LTDA</v>
      </c>
      <c r="C353" s="26" t="n">
        <f aca="false">Report!U490</f>
        <v>159.4</v>
      </c>
      <c r="D353" s="25" t="str">
        <f aca="false">Report!X490</f>
        <v>NF 3221212 ELLEN</v>
      </c>
    </row>
    <row r="354" customFormat="false" ht="15" hidden="false" customHeight="true" outlineLevel="0" collapsed="false">
      <c r="A354" s="24" t="n">
        <f aca="false">Report!C500</f>
        <v>46234</v>
      </c>
      <c r="B354" s="25" t="str">
        <f aca="false">Report!E500</f>
        <v>EDSON AGUIAR DE SOUZA</v>
      </c>
      <c r="C354" s="26" t="n">
        <f aca="false">Report!U500</f>
        <v>137</v>
      </c>
      <c r="D354" s="25" t="str">
        <f aca="false">Report!X500</f>
        <v>NF 1649501 COMPRAS-CHEIRO-VERDE - ELLEN</v>
      </c>
    </row>
    <row r="355" customFormat="false" ht="15" hidden="false" customHeight="true" outlineLevel="0" collapsed="false">
      <c r="A355" s="24" t="n">
        <f aca="false">Report!C525</f>
        <v>46234</v>
      </c>
      <c r="B355" s="25" t="str">
        <f aca="false">Report!E525</f>
        <v>EDSON AGUIAR DE SOUZA</v>
      </c>
      <c r="C355" s="26" t="n">
        <f aca="false">Report!U525</f>
        <v>151</v>
      </c>
      <c r="D355" s="25" t="str">
        <f aca="false">Report!X525</f>
        <v>NF 1649880 CHEIRO-VERDE - ELLEN</v>
      </c>
    </row>
    <row r="356" customFormat="false" ht="15" hidden="false" customHeight="true" outlineLevel="0" collapsed="false">
      <c r="A356" s="24" t="n">
        <f aca="false">Report!C557</f>
        <v>46234</v>
      </c>
      <c r="B356" s="25" t="str">
        <f aca="false">Report!E557</f>
        <v>EDSON AGUIAR DE SOUZA</v>
      </c>
      <c r="C356" s="26" t="n">
        <f aca="false">Report!U557</f>
        <v>130.5</v>
      </c>
      <c r="D356" s="25" t="str">
        <f aca="false">Report!X557</f>
        <v>COMPRAS - CHEIRO-VERDE - ELLEN</v>
      </c>
    </row>
    <row r="357" customFormat="false" ht="15" hidden="false" customHeight="true" outlineLevel="0" collapsed="false">
      <c r="A357" s="24" t="n">
        <f aca="false">Report!C576</f>
        <v>46234</v>
      </c>
      <c r="B357" s="25" t="str">
        <f aca="false">Report!E576</f>
        <v>BROTHERS  INDUSTRIA DE ALIMENTOS LTDA</v>
      </c>
      <c r="C357" s="26" t="n">
        <f aca="false">Report!U576</f>
        <v>254</v>
      </c>
      <c r="D357" s="25" t="str">
        <f aca="false">Report!X576</f>
        <v>NF 1033458 ELLEN</v>
      </c>
    </row>
    <row r="358" customFormat="false" ht="15" hidden="false" customHeight="true" outlineLevel="0" collapsed="false">
      <c r="A358" s="24" t="n">
        <f aca="false">Report!C577</f>
        <v>46234</v>
      </c>
      <c r="B358" s="25" t="str">
        <f aca="false">Report!E577</f>
        <v>DISTRIBUIDORA LOPES LTDA</v>
      </c>
      <c r="C358" s="26" t="n">
        <f aca="false">Report!U577</f>
        <v>590.09</v>
      </c>
      <c r="D358" s="25" t="str">
        <f aca="false">Report!X577</f>
        <v>NF 1698937 ELLEN</v>
      </c>
    </row>
    <row r="359" customFormat="false" ht="15" hidden="false" customHeight="true" outlineLevel="0" collapsed="false">
      <c r="A359" s="24" t="n">
        <f aca="false">Report!C582</f>
        <v>46234</v>
      </c>
      <c r="B359" s="25" t="str">
        <f aca="false">Report!E582</f>
        <v>SOUZA CRUZ LTDA.</v>
      </c>
      <c r="C359" s="26" t="n">
        <f aca="false">Report!U582</f>
        <v>6361.07</v>
      </c>
      <c r="D359" s="25" t="str">
        <f aca="false">Report!X582</f>
        <v>NF 568309 ELLEN</v>
      </c>
    </row>
    <row r="360" customFormat="false" ht="15" hidden="false" customHeight="true" outlineLevel="0" collapsed="false">
      <c r="A360" s="24" t="n">
        <f aca="false">Report!C586</f>
        <v>46234</v>
      </c>
      <c r="B360" s="25" t="str">
        <f aca="false">Report!E586</f>
        <v>EDSON AGUIAR DE SOUZA</v>
      </c>
      <c r="C360" s="26" t="n">
        <f aca="false">Report!U586</f>
        <v>71.5</v>
      </c>
      <c r="D360" s="25" t="str">
        <f aca="false">Report!X586</f>
        <v>COMPRAS - CHEIRO-VERDE - ELLEN</v>
      </c>
    </row>
    <row r="361" customFormat="false" ht="15" hidden="false" customHeight="true" outlineLevel="0" collapsed="false">
      <c r="A361" s="24" t="n">
        <f aca="false">Report!C601</f>
        <v>46234</v>
      </c>
      <c r="B361" s="25" t="str">
        <f aca="false">Report!E601</f>
        <v>ADRIANO FEITOSA OLIVEIRA LTDA</v>
      </c>
      <c r="C361" s="26" t="n">
        <f aca="false">Report!U601</f>
        <v>950</v>
      </c>
      <c r="D361" s="25" t="str">
        <f aca="false">Report!X601</f>
        <v>NF 345 ELLEN</v>
      </c>
    </row>
    <row r="362" customFormat="false" ht="15" hidden="false" customHeight="true" outlineLevel="0" collapsed="false">
      <c r="A362" s="24" t="n">
        <f aca="false">Report!C602</f>
        <v>46234</v>
      </c>
      <c r="B362" s="25" t="str">
        <f aca="false">Report!E602</f>
        <v>EDSON AGUIAR DE SOUZA</v>
      </c>
      <c r="C362" s="26" t="n">
        <f aca="false">Report!U602</f>
        <v>158</v>
      </c>
      <c r="D362" s="25" t="str">
        <f aca="false">Report!X602</f>
        <v>COMPRAS - CHEIRO-VERDE - ELLEN</v>
      </c>
    </row>
    <row r="363" customFormat="false" ht="15" hidden="false" customHeight="true" outlineLevel="0" collapsed="false">
      <c r="A363" s="24" t="n">
        <f aca="false">Report!C154</f>
        <v>46235</v>
      </c>
      <c r="B363" s="25" t="str">
        <f aca="false">Report!E154</f>
        <v>A. CORREA JUNIOR</v>
      </c>
      <c r="C363" s="26" t="n">
        <f aca="false">Report!U154</f>
        <v>1290.17</v>
      </c>
      <c r="D363" s="25" t="str">
        <f aca="false">Report!X154</f>
        <v>NF 1829 CARTÃO DIA 1 PARC 2/3 - ELLEN</v>
      </c>
    </row>
    <row r="364" customFormat="false" ht="15" hidden="false" customHeight="true" outlineLevel="0" collapsed="false">
      <c r="A364" s="24" t="n">
        <f aca="false">Report!C158</f>
        <v>46235</v>
      </c>
      <c r="B364" s="25" t="str">
        <f aca="false">Report!E158</f>
        <v>XF 10 LOJA DE VARIEDADES LTDA</v>
      </c>
      <c r="C364" s="26" t="n">
        <f aca="false">Report!U158</f>
        <v>683.06</v>
      </c>
      <c r="D364" s="25" t="str">
        <f aca="false">Report!X158</f>
        <v>NF 1006 CARTÃO DIA 1 PARC 2/2 - ELLEN</v>
      </c>
    </row>
    <row r="365" customFormat="false" ht="15" hidden="false" customHeight="true" outlineLevel="0" collapsed="false">
      <c r="A365" s="24" t="n">
        <f aca="false">Report!C161</f>
        <v>46235</v>
      </c>
      <c r="B365" s="25" t="str">
        <f aca="false">Report!E161</f>
        <v>LUIS HENRIQUE FROTA MAGALHAES</v>
      </c>
      <c r="C365" s="26" t="n">
        <f aca="false">Report!U161</f>
        <v>351.53</v>
      </c>
      <c r="D365" s="25" t="str">
        <f aca="false">Report!X161</f>
        <v>NF 1948 CARTÃO DIA 1 - PARC 2/2 - ELLEN</v>
      </c>
    </row>
    <row r="366" customFormat="false" ht="15" hidden="false" customHeight="true" outlineLevel="0" collapsed="false">
      <c r="A366" s="24" t="n">
        <f aca="false">Report!C172</f>
        <v>46235</v>
      </c>
      <c r="B366" s="25" t="str">
        <f aca="false">Report!E172</f>
        <v>PRIME PET DISTRIBUIDORA LTDA</v>
      </c>
      <c r="C366" s="26" t="n">
        <f aca="false">Report!U172</f>
        <v>1361.81</v>
      </c>
      <c r="D366" s="25" t="str">
        <f aca="false">Report!X172</f>
        <v>NF 10860 ELLEN</v>
      </c>
    </row>
    <row r="367" customFormat="false" ht="15" hidden="false" customHeight="true" outlineLevel="0" collapsed="false">
      <c r="A367" s="24" t="n">
        <f aca="false">Report!C566</f>
        <v>46235</v>
      </c>
      <c r="B367" s="25" t="str">
        <f aca="false">Report!E566</f>
        <v>COMERCIO DE FRIOS MANAUS LTDA</v>
      </c>
      <c r="C367" s="26" t="n">
        <f aca="false">Report!U566</f>
        <v>3811.4</v>
      </c>
      <c r="D367" s="25" t="str">
        <f aca="false">Report!X566</f>
        <v>NF 173594 ELLEN</v>
      </c>
    </row>
    <row r="368" customFormat="false" ht="15" hidden="false" customHeight="true" outlineLevel="0" collapsed="false">
      <c r="A368" s="24" t="n">
        <f aca="false">Report!C603</f>
        <v>46235</v>
      </c>
      <c r="B368" s="25" t="str">
        <f aca="false">Report!E603</f>
        <v>SILVA E SANTOS FRIGORIFICO LTDA</v>
      </c>
      <c r="C368" s="26" t="n">
        <f aca="false">Report!U603</f>
        <v>528</v>
      </c>
      <c r="D368" s="25" t="str">
        <f aca="false">Report!X603</f>
        <v>NF 32052 ELLEN</v>
      </c>
    </row>
    <row r="369" customFormat="false" ht="15" hidden="false" customHeight="true" outlineLevel="0" collapsed="false">
      <c r="A369" s="24" t="n">
        <f aca="false">Report!C87</f>
        <v>46237</v>
      </c>
      <c r="B369" s="25" t="str">
        <f aca="false">Report!E87</f>
        <v>T. M. L. DA SILVA LTDA</v>
      </c>
      <c r="C369" s="26" t="n">
        <f aca="false">Report!U87</f>
        <v>272.52</v>
      </c>
      <c r="D369" s="25" t="str">
        <f aca="false">Report!X87</f>
        <v>NF 15180 ELLEN</v>
      </c>
    </row>
    <row r="370" customFormat="false" ht="15" hidden="false" customHeight="true" outlineLevel="0" collapsed="false">
      <c r="A370" s="24" t="n">
        <f aca="false">Report!C403</f>
        <v>46237</v>
      </c>
      <c r="B370" s="25" t="str">
        <f aca="false">Report!E403</f>
        <v>FENNIX BRASIL DISTRIBUIDORA DE PRODUTOS</v>
      </c>
      <c r="C370" s="26" t="n">
        <f aca="false">Report!U403</f>
        <v>368.06</v>
      </c>
      <c r="D370" s="25" t="str">
        <f aca="false">Report!X403</f>
        <v>NF 312916 ELLEN</v>
      </c>
    </row>
    <row r="371" customFormat="false" ht="15" hidden="false" customHeight="true" outlineLevel="0" collapsed="false">
      <c r="A371" s="24" t="n">
        <f aca="false">Report!C417</f>
        <v>46237</v>
      </c>
      <c r="B371" s="25" t="str">
        <f aca="false">Report!E417</f>
        <v>EMPRESA BRASILEIRA DE DISTRIBUICAO LTDA</v>
      </c>
      <c r="C371" s="26" t="n">
        <f aca="false">Report!U417</f>
        <v>550.37</v>
      </c>
      <c r="D371" s="25" t="str">
        <f aca="false">Report!X417</f>
        <v>NF 2300746 ELLEN</v>
      </c>
    </row>
    <row r="372" customFormat="false" ht="15" hidden="false" customHeight="true" outlineLevel="0" collapsed="false">
      <c r="A372" s="24" t="n">
        <f aca="false">Report!C435</f>
        <v>46237</v>
      </c>
      <c r="B372" s="25" t="str">
        <f aca="false">Report!E435</f>
        <v>DUNORTE DISTRIBUIDORA DE PRODUTOS DE CONSUMO LTDA</v>
      </c>
      <c r="C372" s="26" t="n">
        <f aca="false">Report!U435</f>
        <v>1315.48</v>
      </c>
      <c r="D372" s="25" t="str">
        <f aca="false">Report!X435</f>
        <v>NF 3218196 ELLEN</v>
      </c>
    </row>
    <row r="373" customFormat="false" ht="15" hidden="false" customHeight="true" outlineLevel="0" collapsed="false">
      <c r="A373" s="24" t="n">
        <f aca="false">Report!C446</f>
        <v>46237</v>
      </c>
      <c r="B373" s="25" t="str">
        <f aca="false">Report!E446</f>
        <v>DUNORTE DISTRIBUIDORA DE PRODUTOS DE CONSUMO LTDA</v>
      </c>
      <c r="C373" s="26" t="n">
        <f aca="false">Report!U446</f>
        <v>1387.05</v>
      </c>
      <c r="D373" s="25" t="str">
        <f aca="false">Report!X446</f>
        <v>NF 3218198 ELLEN</v>
      </c>
    </row>
    <row r="374" customFormat="false" ht="15" hidden="false" customHeight="true" outlineLevel="0" collapsed="false">
      <c r="A374" s="24" t="n">
        <f aca="false">Report!C463</f>
        <v>46237</v>
      </c>
      <c r="B374" s="25" t="str">
        <f aca="false">Report!E463</f>
        <v>DUNORTE DISTRIBUIDORA DE PRODUTOS DE CONSUMO LTDA</v>
      </c>
      <c r="C374" s="26" t="n">
        <f aca="false">Report!U463</f>
        <v>920.12</v>
      </c>
      <c r="D374" s="25" t="str">
        <f aca="false">Report!X463</f>
        <v>NF 3218197 ELLEN</v>
      </c>
    </row>
    <row r="375" customFormat="false" ht="15" hidden="false" customHeight="true" outlineLevel="0" collapsed="false">
      <c r="A375" s="24" t="n">
        <f aca="false">Report!C507</f>
        <v>46237</v>
      </c>
      <c r="B375" s="25" t="str">
        <f aca="false">Report!E507</f>
        <v>CB COMERCIO E DISTRIBUIDORA DE ALIMENTOS</v>
      </c>
      <c r="C375" s="26" t="n">
        <f aca="false">Report!U507</f>
        <v>676.97</v>
      </c>
      <c r="D375" s="25" t="str">
        <f aca="false">Report!X507</f>
        <v>NF 854967 ELLEN</v>
      </c>
    </row>
    <row r="376" customFormat="false" ht="15" hidden="false" customHeight="true" outlineLevel="0" collapsed="false">
      <c r="A376" s="24" t="n">
        <f aca="false">Report!C604</f>
        <v>46237</v>
      </c>
      <c r="B376" s="25" t="str">
        <f aca="false">Report!E604</f>
        <v>DINÂMICA SOLUÇÕES EM SUPRIMENTOS E GESTÃ</v>
      </c>
      <c r="C376" s="26" t="n">
        <f aca="false">Report!U604</f>
        <v>778</v>
      </c>
      <c r="D376" s="25" t="str">
        <f aca="false">Report!X604</f>
        <v>NF 749 ELLEN</v>
      </c>
    </row>
    <row r="377" customFormat="false" ht="15" hidden="false" customHeight="true" outlineLevel="0" collapsed="false">
      <c r="A377" s="24" t="n">
        <f aca="false">Report!C391</f>
        <v>46238</v>
      </c>
      <c r="B377" s="25" t="str">
        <f aca="false">Report!E391</f>
        <v>NSB COMERCIO ATACADISTA E VAREJISTA DE P</v>
      </c>
      <c r="C377" s="26" t="n">
        <f aca="false">Report!U391</f>
        <v>378.88</v>
      </c>
      <c r="D377" s="25" t="str">
        <f aca="false">Report!X391</f>
        <v>NF 7874 ELLEN</v>
      </c>
    </row>
    <row r="378" customFormat="false" ht="15" hidden="false" customHeight="true" outlineLevel="0" collapsed="false">
      <c r="A378" s="24" t="n">
        <f aca="false">Report!C428</f>
        <v>46238</v>
      </c>
      <c r="B378" s="25" t="str">
        <f aca="false">Report!E428</f>
        <v>ATACADAO S.A.</v>
      </c>
      <c r="C378" s="26" t="n">
        <f aca="false">Report!U428</f>
        <v>479.64</v>
      </c>
      <c r="D378" s="25" t="str">
        <f aca="false">Report!X428</f>
        <v>NF 1905831 ELLEN</v>
      </c>
    </row>
    <row r="379" customFormat="false" ht="15" hidden="false" customHeight="true" outlineLevel="0" collapsed="false">
      <c r="A379" s="24" t="n">
        <f aca="false">Report!C457</f>
        <v>46238</v>
      </c>
      <c r="B379" s="25" t="str">
        <f aca="false">Report!E457</f>
        <v>NESTLÉ BRASIL LTDA.</v>
      </c>
      <c r="C379" s="26" t="n">
        <f aca="false">Report!U457</f>
        <v>691.62</v>
      </c>
      <c r="D379" s="25" t="str">
        <f aca="false">Report!X457</f>
        <v>NF 1427668 ELLEN</v>
      </c>
    </row>
    <row r="380" customFormat="false" ht="15" hidden="false" customHeight="true" outlineLevel="0" collapsed="false">
      <c r="A380" s="24" t="n">
        <f aca="false">Report!C479</f>
        <v>46238</v>
      </c>
      <c r="B380" s="25" t="str">
        <f aca="false">Report!E479</f>
        <v>SL DISTRIBUIDORA COM. DE PROD. ALIMENTIC</v>
      </c>
      <c r="C380" s="26" t="n">
        <f aca="false">Report!U479</f>
        <v>505.58</v>
      </c>
      <c r="D380" s="25" t="str">
        <f aca="false">Report!X479</f>
        <v>NF 10807 ELLEN</v>
      </c>
    </row>
    <row r="381" customFormat="false" ht="15" hidden="false" customHeight="true" outlineLevel="0" collapsed="false">
      <c r="A381" s="24" t="n">
        <f aca="false">Report!C515</f>
        <v>46238</v>
      </c>
      <c r="B381" s="25" t="str">
        <f aca="false">Report!E515</f>
        <v>BRASIL NORTE BEBIDAS S/A</v>
      </c>
      <c r="C381" s="26" t="n">
        <f aca="false">Report!U515</f>
        <v>53.95</v>
      </c>
      <c r="D381" s="25" t="str">
        <f aca="false">Report!X515</f>
        <v>NF 1210020 ELLEN</v>
      </c>
    </row>
    <row r="382" customFormat="false" ht="15" hidden="false" customHeight="true" outlineLevel="0" collapsed="false">
      <c r="A382" s="24" t="n">
        <f aca="false">Report!C516</f>
        <v>46238</v>
      </c>
      <c r="B382" s="25" t="str">
        <f aca="false">Report!E516</f>
        <v>BRASIL NORTE BEBIDAS S/A</v>
      </c>
      <c r="C382" s="26" t="n">
        <f aca="false">Report!U516</f>
        <v>637.11</v>
      </c>
      <c r="D382" s="25" t="str">
        <f aca="false">Report!X516</f>
        <v>NF 1943423 ELLEN</v>
      </c>
    </row>
    <row r="383" customFormat="false" ht="15" hidden="false" customHeight="true" outlineLevel="0" collapsed="false">
      <c r="A383" s="24" t="n">
        <f aca="false">Report!C542</f>
        <v>46238</v>
      </c>
      <c r="B383" s="25" t="str">
        <f aca="false">Report!E542</f>
        <v>DISTRIBUIDORA LOPES LTDA</v>
      </c>
      <c r="C383" s="26" t="n">
        <f aca="false">Report!U542</f>
        <v>554.4</v>
      </c>
      <c r="D383" s="25" t="str">
        <f aca="false">Report!X542</f>
        <v>NF 1695862 ELLEN</v>
      </c>
    </row>
    <row r="384" customFormat="false" ht="15" hidden="false" customHeight="true" outlineLevel="0" collapsed="false">
      <c r="A384" s="24" t="n">
        <f aca="false">Report!C234</f>
        <v>46239</v>
      </c>
      <c r="B384" s="25" t="str">
        <f aca="false">Report!E234</f>
        <v>FE COMERCIO DE MATERIAIS DE CONSTRUCAO</v>
      </c>
      <c r="C384" s="26" t="n">
        <f aca="false">Report!U234</f>
        <v>819.53</v>
      </c>
      <c r="D384" s="25" t="str">
        <f aca="false">Report!X234</f>
        <v>NF 4467 ELLEN</v>
      </c>
    </row>
    <row r="385" customFormat="false" ht="15" hidden="false" customHeight="true" outlineLevel="0" collapsed="false">
      <c r="A385" s="24" t="n">
        <f aca="false">Report!C395</f>
        <v>46239</v>
      </c>
      <c r="B385" s="25" t="str">
        <f aca="false">Report!E395</f>
        <v>SB COMERCIO LTDA</v>
      </c>
      <c r="C385" s="26" t="n">
        <f aca="false">Report!U395</f>
        <v>1504.05</v>
      </c>
      <c r="D385" s="25" t="str">
        <f aca="false">Report!X395</f>
        <v>NF 1962669 ELLEN</v>
      </c>
    </row>
    <row r="386" customFormat="false" ht="15" hidden="false" customHeight="true" outlineLevel="0" collapsed="false">
      <c r="A386" s="24" t="n">
        <f aca="false">Report!C429</f>
        <v>46239</v>
      </c>
      <c r="B386" s="25" t="str">
        <f aca="false">Report!E429</f>
        <v>VIA CERTA IMPORTACAO E DISTRIBUICAO DE A</v>
      </c>
      <c r="C386" s="26" t="n">
        <f aca="false">Report!U429</f>
        <v>665.28</v>
      </c>
      <c r="D386" s="25" t="str">
        <f aca="false">Report!X429</f>
        <v>NF 51899 ELLEN</v>
      </c>
    </row>
    <row r="387" customFormat="false" ht="15" hidden="false" customHeight="true" outlineLevel="0" collapsed="false">
      <c r="A387" s="24" t="n">
        <f aca="false">Report!C430</f>
        <v>46239</v>
      </c>
      <c r="B387" s="25" t="str">
        <f aca="false">Report!E430</f>
        <v>VIA CERTA INDUSTRIA E COMERCIO DE SANEANTES LTDA</v>
      </c>
      <c r="C387" s="26" t="n">
        <f aca="false">Report!U430</f>
        <v>306.48</v>
      </c>
      <c r="D387" s="25" t="str">
        <f aca="false">Report!X430</f>
        <v>NF 42898 ELLEN</v>
      </c>
    </row>
    <row r="388" customFormat="false" ht="15" hidden="false" customHeight="true" outlineLevel="0" collapsed="false">
      <c r="A388" s="24" t="n">
        <f aca="false">Report!C432</f>
        <v>46239</v>
      </c>
      <c r="B388" s="25" t="str">
        <f aca="false">Report!E432</f>
        <v>DISTRIBUIDORA LOPES LTDA</v>
      </c>
      <c r="C388" s="26" t="n">
        <f aca="false">Report!U432</f>
        <v>1207.28</v>
      </c>
      <c r="D388" s="25" t="str">
        <f aca="false">Report!X432</f>
        <v>NF 1692730 ELLEN</v>
      </c>
    </row>
    <row r="389" customFormat="false" ht="15" hidden="false" customHeight="true" outlineLevel="0" collapsed="false">
      <c r="A389" s="24" t="n">
        <f aca="false">Report!C450</f>
        <v>46239</v>
      </c>
      <c r="B389" s="25" t="str">
        <f aca="false">Report!E450</f>
        <v>J G COMERCIO DE PRODUTOS ALIMENTICIOS LTDA</v>
      </c>
      <c r="C389" s="26" t="n">
        <f aca="false">Report!U450</f>
        <v>2806.5</v>
      </c>
      <c r="D389" s="25" t="str">
        <f aca="false">Report!X450</f>
        <v>NF 392537 ELLEN</v>
      </c>
    </row>
    <row r="390" customFormat="false" ht="15" hidden="false" customHeight="true" outlineLevel="0" collapsed="false">
      <c r="A390" s="24" t="n">
        <f aca="false">Report!C459</f>
        <v>46239</v>
      </c>
      <c r="B390" s="25" t="str">
        <f aca="false">Report!E459</f>
        <v>DURAES DISTRIBUIDORA DE ESTIVAS LTDA</v>
      </c>
      <c r="C390" s="26" t="n">
        <f aca="false">Report!U459</f>
        <v>607.58</v>
      </c>
      <c r="D390" s="25" t="str">
        <f aca="false">Report!X459</f>
        <v>NF 650221 ELLEN</v>
      </c>
    </row>
    <row r="391" customFormat="false" ht="15" hidden="false" customHeight="true" outlineLevel="0" collapsed="false">
      <c r="A391" s="24" t="n">
        <f aca="false">Report!C466</f>
        <v>46239</v>
      </c>
      <c r="B391" s="25" t="str">
        <f aca="false">Report!E466</f>
        <v>L S M COMERCIO DE ALIMENTOS E NAVEGACAO</v>
      </c>
      <c r="C391" s="26" t="n">
        <f aca="false">Report!U466</f>
        <v>1021.84</v>
      </c>
      <c r="D391" s="25" t="str">
        <f aca="false">Report!X466</f>
        <v>NF 307804 ELLEN</v>
      </c>
    </row>
    <row r="392" customFormat="false" ht="15" hidden="false" customHeight="true" outlineLevel="0" collapsed="false">
      <c r="A392" s="24" t="n">
        <f aca="false">Report!C481</f>
        <v>46239</v>
      </c>
      <c r="B392" s="25" t="str">
        <f aca="false">Report!E481</f>
        <v>BRF S A</v>
      </c>
      <c r="C392" s="26" t="n">
        <f aca="false">Report!U481</f>
        <v>512.49</v>
      </c>
      <c r="D392" s="25" t="str">
        <f aca="false">Report!X481</f>
        <v>NF 1608670 ELLEN</v>
      </c>
    </row>
    <row r="393" customFormat="false" ht="15" hidden="false" customHeight="true" outlineLevel="0" collapsed="false">
      <c r="A393" s="24" t="n">
        <f aca="false">Report!C550</f>
        <v>46239</v>
      </c>
      <c r="B393" s="25" t="str">
        <f aca="false">Report!E550</f>
        <v>BONNA VITTA INDUSTRIA E COMERCIO LTDA.</v>
      </c>
      <c r="C393" s="26" t="n">
        <f aca="false">Report!U550</f>
        <v>109.52</v>
      </c>
      <c r="D393" s="25" t="str">
        <f aca="false">Report!X550</f>
        <v>NF 1625 ELLEN</v>
      </c>
    </row>
    <row r="394" customFormat="false" ht="15" hidden="false" customHeight="true" outlineLevel="0" collapsed="false">
      <c r="A394" s="24" t="n">
        <f aca="false">Report!C554</f>
        <v>46239</v>
      </c>
      <c r="B394" s="25" t="str">
        <f aca="false">Report!E554</f>
        <v>J G COMERCIO DE PRODUTOS ALIMENTICIOS LTDA</v>
      </c>
      <c r="C394" s="26" t="n">
        <f aca="false">Report!U554</f>
        <v>1164.4</v>
      </c>
      <c r="D394" s="25" t="str">
        <f aca="false">Report!X554</f>
        <v>NF 393890 ELLEN</v>
      </c>
    </row>
    <row r="395" customFormat="false" ht="15" hidden="false" customHeight="true" outlineLevel="0" collapsed="false">
      <c r="A395" s="24" t="n">
        <f aca="false">Report!C578</f>
        <v>46239</v>
      </c>
      <c r="B395" s="25" t="str">
        <f aca="false">Report!E578</f>
        <v>BRF S A</v>
      </c>
      <c r="C395" s="26" t="n">
        <f aca="false">Report!U578</f>
        <v>395.62</v>
      </c>
      <c r="D395" s="25" t="str">
        <f aca="false">Report!X578</f>
        <v>NF 1611346 ELLEN</v>
      </c>
    </row>
    <row r="396" customFormat="false" ht="15" hidden="false" customHeight="true" outlineLevel="0" collapsed="false">
      <c r="A396" s="24" t="n">
        <f aca="false">Report!C125</f>
        <v>46240</v>
      </c>
      <c r="B396" s="25" t="str">
        <f aca="false">Report!E125</f>
        <v>CRBS S/A</v>
      </c>
      <c r="C396" s="26" t="n">
        <f aca="false">Report!U125</f>
        <v>305.98</v>
      </c>
      <c r="D396" s="25" t="str">
        <f aca="false">Report!X125</f>
        <v>NF 924535 ELLEN</v>
      </c>
    </row>
    <row r="397" customFormat="false" ht="15" hidden="false" customHeight="true" outlineLevel="0" collapsed="false">
      <c r="A397" s="24" t="n">
        <f aca="false">Report!C342</f>
        <v>46240</v>
      </c>
      <c r="B397" s="25" t="str">
        <f aca="false">Report!E342</f>
        <v>EMPRESA BRASILEIRA DE DISTRIBUICAO LTDA</v>
      </c>
      <c r="C397" s="26" t="n">
        <f aca="false">Report!U342</f>
        <v>658.6</v>
      </c>
      <c r="D397" s="25" t="str">
        <f aca="false">Report!X342</f>
        <v>NF 2299705 ELLEN</v>
      </c>
    </row>
    <row r="398" customFormat="false" ht="15" hidden="false" customHeight="true" outlineLevel="0" collapsed="false">
      <c r="A398" s="24" t="n">
        <f aca="false">Report!C345</f>
        <v>46240</v>
      </c>
      <c r="B398" s="25" t="str">
        <f aca="false">Report!E345</f>
        <v>EMPRESA BRASILEIRA DE DISTRIBUICAO LTDA</v>
      </c>
      <c r="C398" s="26" t="n">
        <f aca="false">Report!U345</f>
        <v>377.46</v>
      </c>
      <c r="D398" s="25" t="str">
        <f aca="false">Report!X345</f>
        <v>NF 2299703 ELLEN</v>
      </c>
    </row>
    <row r="399" customFormat="false" ht="15" hidden="false" customHeight="true" outlineLevel="0" collapsed="false">
      <c r="A399" s="24" t="n">
        <f aca="false">Report!C370</f>
        <v>46240</v>
      </c>
      <c r="B399" s="25" t="str">
        <f aca="false">Report!E370</f>
        <v>OESA COMERCIO E REPRESENTACOES S/A</v>
      </c>
      <c r="C399" s="26" t="n">
        <f aca="false">Report!U370</f>
        <v>682.63</v>
      </c>
      <c r="D399" s="25" t="str">
        <f aca="false">Report!X370</f>
        <v>NF 426652 ELLEN</v>
      </c>
    </row>
    <row r="400" customFormat="false" ht="15" hidden="false" customHeight="true" outlineLevel="0" collapsed="false">
      <c r="A400" s="24" t="n">
        <f aca="false">Report!C469</f>
        <v>46240</v>
      </c>
      <c r="B400" s="25" t="str">
        <f aca="false">Report!E469</f>
        <v>DISTRIBUIDORA FARIAS LTDA.</v>
      </c>
      <c r="C400" s="26" t="n">
        <f aca="false">Report!U469</f>
        <v>580.89</v>
      </c>
      <c r="D400" s="25" t="str">
        <f aca="false">Report!X469</f>
        <v>NF 682520 ELLEN</v>
      </c>
    </row>
    <row r="401" customFormat="false" ht="15" hidden="false" customHeight="true" outlineLevel="0" collapsed="false">
      <c r="A401" s="24" t="n">
        <f aca="false">Report!C502</f>
        <v>46240</v>
      </c>
      <c r="B401" s="25" t="str">
        <f aca="false">Report!E502</f>
        <v>RISADINHA LTDA</v>
      </c>
      <c r="C401" s="26" t="n">
        <f aca="false">Report!U502</f>
        <v>381</v>
      </c>
      <c r="D401" s="25" t="str">
        <f aca="false">Report!X502</f>
        <v>NF 664184 ELLEN</v>
      </c>
    </row>
    <row r="402" customFormat="false" ht="15" hidden="false" customHeight="true" outlineLevel="0" collapsed="false">
      <c r="A402" s="24" t="n">
        <f aca="false">Report!C544</f>
        <v>46240</v>
      </c>
      <c r="B402" s="25" t="str">
        <f aca="false">Report!E544</f>
        <v>D DE J SANTOS LTDA</v>
      </c>
      <c r="C402" s="26" t="n">
        <f aca="false">Report!U544</f>
        <v>1040</v>
      </c>
      <c r="D402" s="25" t="str">
        <f aca="false">Report!X544</f>
        <v>NF 261 ELLEN</v>
      </c>
    </row>
    <row r="403" customFormat="false" ht="15" hidden="false" customHeight="true" outlineLevel="0" collapsed="false">
      <c r="A403" s="24" t="n">
        <f aca="false">Report!C545</f>
        <v>46240</v>
      </c>
      <c r="B403" s="25" t="str">
        <f aca="false">Report!E545</f>
        <v>BRASIL NORTE BEBIDAS S/A</v>
      </c>
      <c r="C403" s="26" t="n">
        <f aca="false">Report!U545</f>
        <v>1717.19</v>
      </c>
      <c r="D403" s="25" t="str">
        <f aca="false">Report!X545</f>
        <v>NF 1949480 ELLEN</v>
      </c>
    </row>
    <row r="404" customFormat="false" ht="15" hidden="false" customHeight="true" outlineLevel="0" collapsed="false">
      <c r="A404" s="24" t="n">
        <f aca="false">Report!C546</f>
        <v>46240</v>
      </c>
      <c r="B404" s="25" t="str">
        <f aca="false">Report!E546</f>
        <v>BRASIL NORTE BEBIDAS S/A</v>
      </c>
      <c r="C404" s="26" t="n">
        <f aca="false">Report!U546</f>
        <v>203.42</v>
      </c>
      <c r="D404" s="25" t="str">
        <f aca="false">Report!X546</f>
        <v>NF 1215300 ELLEN</v>
      </c>
    </row>
    <row r="405" customFormat="false" ht="15" hidden="false" customHeight="true" outlineLevel="0" collapsed="false">
      <c r="A405" s="24" t="n">
        <f aca="false">Report!C357</f>
        <v>46241</v>
      </c>
      <c r="B405" s="25" t="str">
        <f aca="false">Report!E357</f>
        <v>DISTRIBUIDORA FARIAS LTDA.</v>
      </c>
      <c r="C405" s="26" t="n">
        <f aca="false">Report!U357</f>
        <v>509.25</v>
      </c>
      <c r="D405" s="25" t="str">
        <f aca="false">Report!X357</f>
        <v>NF 681127 ELLEN</v>
      </c>
    </row>
    <row r="406" customFormat="false" ht="15" hidden="false" customHeight="true" outlineLevel="0" collapsed="false">
      <c r="A406" s="24" t="n">
        <f aca="false">Report!C414</f>
        <v>46241</v>
      </c>
      <c r="B406" s="25" t="str">
        <f aca="false">Report!E414</f>
        <v>MARTINS COM SERV DISTR SA</v>
      </c>
      <c r="C406" s="26" t="n">
        <f aca="false">Report!U414</f>
        <v>278.28</v>
      </c>
      <c r="D406" s="25" t="str">
        <f aca="false">Report!X414</f>
        <v>NF'S 1781169/1781170 ELLEN</v>
      </c>
    </row>
    <row r="407" customFormat="false" ht="15" hidden="false" customHeight="true" outlineLevel="0" collapsed="false">
      <c r="A407" s="24" t="n">
        <f aca="false">Report!C583</f>
        <v>46241</v>
      </c>
      <c r="B407" s="25" t="str">
        <f aca="false">Report!E583</f>
        <v>SOUZA CRUZ LTDA.</v>
      </c>
      <c r="C407" s="26" t="n">
        <f aca="false">Report!U583</f>
        <v>6221.08</v>
      </c>
      <c r="D407" s="25" t="str">
        <f aca="false">Report!X583</f>
        <v>NF 568309 ELLEN</v>
      </c>
    </row>
    <row r="408" customFormat="false" ht="15" hidden="false" customHeight="true" outlineLevel="0" collapsed="false">
      <c r="A408" s="24" t="n">
        <f aca="false">Report!C588</f>
        <v>46241</v>
      </c>
      <c r="B408" s="25" t="str">
        <f aca="false">Report!E588</f>
        <v>MIKITOS IND.COM.DE GEN. ALIM. DO AM. LTD</v>
      </c>
      <c r="C408" s="26" t="n">
        <f aca="false">Report!U588</f>
        <v>690</v>
      </c>
      <c r="D408" s="25" t="str">
        <f aca="false">Report!X588</f>
        <v>NF 294640 ELLEN</v>
      </c>
    </row>
    <row r="409" customFormat="false" ht="15" hidden="false" customHeight="true" outlineLevel="0" collapsed="false">
      <c r="A409" s="24" t="n">
        <f aca="false">Report!C597</f>
        <v>46241</v>
      </c>
      <c r="B409" s="25" t="str">
        <f aca="false">Report!E597</f>
        <v>T A DE MATTOS COMIM EIRELI</v>
      </c>
      <c r="C409" s="26" t="n">
        <f aca="false">Report!U597</f>
        <v>228</v>
      </c>
      <c r="D409" s="25" t="str">
        <f aca="false">Report!X597</f>
        <v>NF 10760 ELLEN</v>
      </c>
    </row>
    <row r="410" customFormat="false" ht="15" hidden="false" customHeight="true" outlineLevel="0" collapsed="false">
      <c r="A410" s="24" t="n">
        <f aca="false">Report!C599</f>
        <v>46241</v>
      </c>
      <c r="B410" s="25" t="str">
        <f aca="false">Report!E599</f>
        <v>BONNA VITTA INDUSTRIA E COMERCIO LTDA.</v>
      </c>
      <c r="C410" s="26" t="n">
        <f aca="false">Report!U599</f>
        <v>740.52</v>
      </c>
      <c r="D410" s="25" t="str">
        <f aca="false">Report!X599</f>
        <v>NF 1842 ELLEN</v>
      </c>
    </row>
    <row r="411" customFormat="false" ht="15" hidden="false" customHeight="true" outlineLevel="0" collapsed="false">
      <c r="A411" s="24" t="n">
        <f aca="false">Report!C548</f>
        <v>46242</v>
      </c>
      <c r="B411" s="25" t="str">
        <f aca="false">Report!E548</f>
        <v>MARE DISTRIBUIDORA DE BEBIDAS E DE PRODUTOS ALIMENTICIOS LTDA</v>
      </c>
      <c r="C411" s="26" t="n">
        <f aca="false">Report!U548</f>
        <v>1821.1</v>
      </c>
      <c r="D411" s="25" t="str">
        <f aca="false">Report!X548</f>
        <v>NF 1401844 ELLEN</v>
      </c>
    </row>
    <row r="412" customFormat="false" ht="15" hidden="false" customHeight="true" outlineLevel="0" collapsed="false">
      <c r="A412" s="24" t="n">
        <f aca="false">Report!C569</f>
        <v>46242</v>
      </c>
      <c r="B412" s="25" t="str">
        <f aca="false">Report!E569</f>
        <v>ADRIANA DISTRIBUIDORA DE PRODUTOS ALIMEN</v>
      </c>
      <c r="C412" s="26" t="n">
        <f aca="false">Report!U569</f>
        <v>1006.04</v>
      </c>
      <c r="D412" s="25" t="str">
        <f aca="false">Report!X569</f>
        <v>NF 886799 ELLEN</v>
      </c>
    </row>
    <row r="413" customFormat="false" ht="15" hidden="false" customHeight="true" outlineLevel="0" collapsed="false">
      <c r="A413" s="24" t="n">
        <f aca="false">Report!C184</f>
        <v>46244</v>
      </c>
      <c r="B413" s="25" t="str">
        <f aca="false">Report!E184</f>
        <v>E. D. SENA &amp; CIA LTDA</v>
      </c>
      <c r="C413" s="26" t="n">
        <f aca="false">Report!U184</f>
        <v>531.18</v>
      </c>
      <c r="D413" s="25" t="str">
        <f aca="false">Report!X184</f>
        <v>NF 9495 ELLEN</v>
      </c>
    </row>
    <row r="414" customFormat="false" ht="15" hidden="false" customHeight="true" outlineLevel="0" collapsed="false">
      <c r="A414" s="24" t="n">
        <f aca="false">Report!C436</f>
        <v>46244</v>
      </c>
      <c r="B414" s="25" t="str">
        <f aca="false">Report!E436</f>
        <v>DUNORTE DISTRIBUIDORA DE PRODUTOS DE CONSUMO LTDA</v>
      </c>
      <c r="C414" s="26" t="n">
        <f aca="false">Report!U436</f>
        <v>1315.48</v>
      </c>
      <c r="D414" s="25" t="str">
        <f aca="false">Report!X436</f>
        <v>NF 3218196 ELLEN</v>
      </c>
    </row>
    <row r="415" customFormat="false" ht="15" hidden="false" customHeight="true" outlineLevel="0" collapsed="false">
      <c r="A415" s="24" t="n">
        <f aca="false">Report!C447</f>
        <v>46244</v>
      </c>
      <c r="B415" s="25" t="str">
        <f aca="false">Report!E447</f>
        <v>DUNORTE DISTRIBUIDORA DE PRODUTOS DE CONSUMO LTDA</v>
      </c>
      <c r="C415" s="26" t="n">
        <f aca="false">Report!U447</f>
        <v>1387.05</v>
      </c>
      <c r="D415" s="25" t="str">
        <f aca="false">Report!X447</f>
        <v>NF 3218198 ELLEN</v>
      </c>
    </row>
    <row r="416" customFormat="false" ht="15" hidden="false" customHeight="true" outlineLevel="0" collapsed="false">
      <c r="A416" s="24" t="n">
        <f aca="false">Report!C462</f>
        <v>46244</v>
      </c>
      <c r="B416" s="25" t="str">
        <f aca="false">Report!E462</f>
        <v>DUNORTE DISTRIBUIDORA DE PRODUTOS DE CONSUMO LTDA</v>
      </c>
      <c r="C416" s="26" t="n">
        <f aca="false">Report!U462</f>
        <v>920.12</v>
      </c>
      <c r="D416" s="25" t="str">
        <f aca="false">Report!X462</f>
        <v>NF 3218197 ELLEN</v>
      </c>
    </row>
    <row r="417" customFormat="false" ht="15" hidden="false" customHeight="true" outlineLevel="0" collapsed="false">
      <c r="A417" s="24" t="n">
        <f aca="false">Report!C493</f>
        <v>46244</v>
      </c>
      <c r="B417" s="25" t="str">
        <f aca="false">Report!E493</f>
        <v>TAPAJOS COM DE PERFUMARIA COSMETICOS E G</v>
      </c>
      <c r="C417" s="26" t="n">
        <f aca="false">Report!U493</f>
        <v>823.61</v>
      </c>
      <c r="D417" s="25" t="str">
        <f aca="false">Report!X493</f>
        <v>NF 580865 ELLEN</v>
      </c>
    </row>
    <row r="418" customFormat="false" ht="15" hidden="false" customHeight="true" outlineLevel="0" collapsed="false">
      <c r="A418" s="24" t="n">
        <f aca="false">Report!C494</f>
        <v>46244</v>
      </c>
      <c r="B418" s="25" t="str">
        <f aca="false">Report!E494</f>
        <v>TAPAJOS COM DE PERFUMARIA COSMETICOS E G</v>
      </c>
      <c r="C418" s="26" t="n">
        <f aca="false">Report!U494</f>
        <v>1472.09</v>
      </c>
      <c r="D418" s="25" t="str">
        <f aca="false">Report!X494</f>
        <v>NF 580864 ELLEN</v>
      </c>
    </row>
    <row r="419" customFormat="false" ht="15" hidden="false" customHeight="true" outlineLevel="0" collapsed="false">
      <c r="A419" s="24" t="n">
        <f aca="false">Report!C495</f>
        <v>46244</v>
      </c>
      <c r="B419" s="25" t="str">
        <f aca="false">Report!E495</f>
        <v>TAPAJOS COM DE PERFUMARIA COSMETICOS E G</v>
      </c>
      <c r="C419" s="26" t="n">
        <f aca="false">Report!U495</f>
        <v>1413.72</v>
      </c>
      <c r="D419" s="25" t="str">
        <f aca="false">Report!X495</f>
        <v>NF 580863 ELLEN</v>
      </c>
    </row>
    <row r="420" customFormat="false" ht="15" hidden="false" customHeight="true" outlineLevel="0" collapsed="false">
      <c r="A420" s="24" t="n">
        <f aca="false">Report!C497</f>
        <v>46244</v>
      </c>
      <c r="B420" s="25" t="str">
        <f aca="false">Report!E497</f>
        <v>TAPAJOS COM DE PERFUMARIA COSMETICOS E G</v>
      </c>
      <c r="C420" s="26" t="n">
        <f aca="false">Report!U497</f>
        <v>1142.36</v>
      </c>
      <c r="D420" s="25" t="str">
        <f aca="false">Report!X497</f>
        <v>NF 580861 ELLEN</v>
      </c>
    </row>
    <row r="421" customFormat="false" ht="15" hidden="false" customHeight="true" outlineLevel="0" collapsed="false">
      <c r="A421" s="24" t="n">
        <f aca="false">Report!C508</f>
        <v>46244</v>
      </c>
      <c r="B421" s="25" t="str">
        <f aca="false">Report!E508</f>
        <v>CB COMERCIO E DISTRIBUIDORA DE ALIMENTOS</v>
      </c>
      <c r="C421" s="26" t="n">
        <f aca="false">Report!U508</f>
        <v>676.97</v>
      </c>
      <c r="D421" s="25" t="str">
        <f aca="false">Report!X508</f>
        <v>NF 854967 ELLEN</v>
      </c>
    </row>
    <row r="422" customFormat="false" ht="15" hidden="false" customHeight="true" outlineLevel="0" collapsed="false">
      <c r="A422" s="24" t="n">
        <f aca="false">Report!C518</f>
        <v>46244</v>
      </c>
      <c r="B422" s="25" t="str">
        <f aca="false">Report!E518</f>
        <v>PRIME PET DISTRIBUIDORA LTDA</v>
      </c>
      <c r="C422" s="26" t="n">
        <f aca="false">Report!U518</f>
        <v>446.28</v>
      </c>
      <c r="D422" s="25" t="str">
        <f aca="false">Report!X518</f>
        <v>NF 11173 ELLEN</v>
      </c>
    </row>
    <row r="423" customFormat="false" ht="15" hidden="false" customHeight="true" outlineLevel="0" collapsed="false">
      <c r="A423" s="24" t="n">
        <f aca="false">Report!C173</f>
        <v>46245</v>
      </c>
      <c r="B423" s="25" t="str">
        <f aca="false">Report!E173</f>
        <v>PRIME PET DISTRIBUIDORA LTDA</v>
      </c>
      <c r="C423" s="26" t="n">
        <f aca="false">Report!U173</f>
        <v>1361.81</v>
      </c>
      <c r="D423" s="25" t="str">
        <f aca="false">Report!X173</f>
        <v>NF 10860 ELLEN</v>
      </c>
    </row>
    <row r="424" customFormat="false" ht="15" hidden="false" customHeight="true" outlineLevel="0" collapsed="false">
      <c r="A424" s="24" t="n">
        <f aca="false">Report!C426</f>
        <v>46245</v>
      </c>
      <c r="B424" s="25" t="str">
        <f aca="false">Report!E426</f>
        <v>ATACADAO S.A.</v>
      </c>
      <c r="C424" s="26" t="n">
        <f aca="false">Report!U426</f>
        <v>639.52</v>
      </c>
      <c r="D424" s="25" t="str">
        <f aca="false">Report!X426</f>
        <v>NF 1905832 ELLEN</v>
      </c>
    </row>
    <row r="425" customFormat="false" ht="15" hidden="false" customHeight="true" outlineLevel="0" collapsed="false">
      <c r="A425" s="24" t="n">
        <f aca="false">Report!C568</f>
        <v>46245</v>
      </c>
      <c r="B425" s="25" t="str">
        <f aca="false">Report!E568</f>
        <v>MARCLEY MACHADO CHAVES</v>
      </c>
      <c r="C425" s="26" t="n">
        <f aca="false">Report!U568</f>
        <v>1009.92</v>
      </c>
      <c r="D425" s="25" t="str">
        <f aca="false">Report!X568</f>
        <v>NF 3551 ELLEN</v>
      </c>
    </row>
    <row r="426" customFormat="false" ht="15" hidden="false" customHeight="true" outlineLevel="0" collapsed="false">
      <c r="A426" s="24" t="n">
        <f aca="false">Report!C396</f>
        <v>46246</v>
      </c>
      <c r="B426" s="25" t="str">
        <f aca="false">Report!E396</f>
        <v>SB COMERCIO LTDA</v>
      </c>
      <c r="C426" s="26" t="n">
        <f aca="false">Report!U396</f>
        <v>1504.05</v>
      </c>
      <c r="D426" s="25" t="str">
        <f aca="false">Report!X396</f>
        <v>NF 1962669 ELLEN</v>
      </c>
    </row>
    <row r="427" customFormat="false" ht="15" hidden="false" customHeight="true" outlineLevel="0" collapsed="false">
      <c r="A427" s="24" t="n">
        <f aca="false">Report!C433</f>
        <v>46246</v>
      </c>
      <c r="B427" s="25" t="str">
        <f aca="false">Report!E433</f>
        <v>DISTRIBUIDORA LOPES LTDA</v>
      </c>
      <c r="C427" s="26" t="n">
        <f aca="false">Report!U433</f>
        <v>1207.28</v>
      </c>
      <c r="D427" s="25" t="str">
        <f aca="false">Report!X433</f>
        <v>NF 1692730 ELLEN</v>
      </c>
    </row>
    <row r="428" customFormat="false" ht="15" hidden="false" customHeight="true" outlineLevel="0" collapsed="false">
      <c r="A428" s="24" t="n">
        <f aca="false">Report!C460</f>
        <v>46246</v>
      </c>
      <c r="B428" s="25" t="str">
        <f aca="false">Report!E460</f>
        <v>DURAES DISTRIBUIDORA DE ESTIVAS LTDA</v>
      </c>
      <c r="C428" s="26" t="n">
        <f aca="false">Report!U460</f>
        <v>607.58</v>
      </c>
      <c r="D428" s="25" t="str">
        <f aca="false">Report!X460</f>
        <v>NF 650221 ELLEN</v>
      </c>
    </row>
    <row r="429" customFormat="false" ht="15" hidden="false" customHeight="true" outlineLevel="0" collapsed="false">
      <c r="A429" s="24" t="n">
        <f aca="false">Report!C551</f>
        <v>46246</v>
      </c>
      <c r="B429" s="25" t="str">
        <f aca="false">Report!E551</f>
        <v>BONNA VITTA INDUSTRIA E COMERCIO LTDA.</v>
      </c>
      <c r="C429" s="26" t="n">
        <f aca="false">Report!U551</f>
        <v>109.51</v>
      </c>
      <c r="D429" s="25" t="str">
        <f aca="false">Report!X551</f>
        <v>NF 1625 ELLEN</v>
      </c>
    </row>
    <row r="430" customFormat="false" ht="15" hidden="false" customHeight="true" outlineLevel="0" collapsed="false">
      <c r="A430" s="24" t="n">
        <f aca="false">Report!C555</f>
        <v>46246</v>
      </c>
      <c r="B430" s="25" t="str">
        <f aca="false">Report!E555</f>
        <v>J G COMERCIO DE PRODUTOS ALIMENTICIOS LTDA</v>
      </c>
      <c r="C430" s="26" t="n">
        <f aca="false">Report!U555</f>
        <v>1164.4</v>
      </c>
      <c r="D430" s="25" t="str">
        <f aca="false">Report!X555</f>
        <v>NF 393890 ELLEN</v>
      </c>
    </row>
    <row r="431" customFormat="false" ht="15" hidden="false" customHeight="true" outlineLevel="0" collapsed="false">
      <c r="A431" s="24" t="n">
        <f aca="false">Report!C558</f>
        <v>46246</v>
      </c>
      <c r="B431" s="25" t="str">
        <f aca="false">Report!E558</f>
        <v>FUNNY PET DISTRIBUIDORA DE ALIMENTOS PAR</v>
      </c>
      <c r="C431" s="26" t="n">
        <f aca="false">Report!U558</f>
        <v>1501.36</v>
      </c>
      <c r="D431" s="25" t="str">
        <f aca="false">Report!X558</f>
        <v>NF 21189 ELLEN</v>
      </c>
    </row>
    <row r="432" customFormat="false" ht="15" hidden="false" customHeight="true" outlineLevel="0" collapsed="false">
      <c r="A432" s="24" t="n">
        <f aca="false">Report!C561</f>
        <v>46246</v>
      </c>
      <c r="B432" s="25" t="str">
        <f aca="false">Report!E561</f>
        <v>OPPORTUNITY ALIMENTOS PARA ANIMAIS LTDA</v>
      </c>
      <c r="C432" s="26" t="n">
        <f aca="false">Report!U561</f>
        <v>591.06</v>
      </c>
      <c r="D432" s="25" t="str">
        <f aca="false">Report!X561</f>
        <v>NF 34738 ELLEN</v>
      </c>
    </row>
    <row r="433" customFormat="false" ht="15" hidden="false" customHeight="true" outlineLevel="0" collapsed="false">
      <c r="A433" s="24" t="n">
        <f aca="false">Report!C567</f>
        <v>46246</v>
      </c>
      <c r="B433" s="25" t="str">
        <f aca="false">Report!E567</f>
        <v>DISTRIBUIDORA LOPES LTDA</v>
      </c>
      <c r="C433" s="26" t="n">
        <f aca="false">Report!U567</f>
        <v>1188</v>
      </c>
      <c r="D433" s="25" t="str">
        <f aca="false">Report!X567</f>
        <v>NF 1697796 ELLEN</v>
      </c>
    </row>
    <row r="434" customFormat="false" ht="15" hidden="false" customHeight="true" outlineLevel="0" collapsed="false">
      <c r="A434" s="24" t="n">
        <f aca="false">Report!C579</f>
        <v>46246</v>
      </c>
      <c r="B434" s="25" t="str">
        <f aca="false">Report!E579</f>
        <v>BRF S A</v>
      </c>
      <c r="C434" s="26" t="n">
        <f aca="false">Report!U579</f>
        <v>395.62</v>
      </c>
      <c r="D434" s="25" t="str">
        <f aca="false">Report!X579</f>
        <v>NF 1611346 ELLEN</v>
      </c>
    </row>
    <row r="435" customFormat="false" ht="15" hidden="false" customHeight="true" outlineLevel="0" collapsed="false">
      <c r="A435" s="24" t="n">
        <f aca="false">Report!C470</f>
        <v>46247</v>
      </c>
      <c r="B435" s="25" t="str">
        <f aca="false">Report!E470</f>
        <v>DISTRIBUIDORA FARIAS LTDA.</v>
      </c>
      <c r="C435" s="26" t="n">
        <f aca="false">Report!U470</f>
        <v>580.9</v>
      </c>
      <c r="D435" s="25" t="str">
        <f aca="false">Report!X470</f>
        <v>NF 682520 ELLEN</v>
      </c>
    </row>
    <row r="436" customFormat="false" ht="15" hidden="false" customHeight="true" outlineLevel="0" collapsed="false">
      <c r="A436" s="24" t="n">
        <f aca="false">Report!C503</f>
        <v>46247</v>
      </c>
      <c r="B436" s="25" t="str">
        <f aca="false">Report!E503</f>
        <v>RISADINHA LTDA</v>
      </c>
      <c r="C436" s="26" t="n">
        <f aca="false">Report!U503</f>
        <v>381</v>
      </c>
      <c r="D436" s="25" t="str">
        <f aca="false">Report!X503</f>
        <v>NF 664184 ELLEN</v>
      </c>
    </row>
    <row r="437" customFormat="false" ht="15" hidden="false" customHeight="true" outlineLevel="0" collapsed="false">
      <c r="A437" s="24" t="n">
        <f aca="false">Report!C575</f>
        <v>46247</v>
      </c>
      <c r="B437" s="25" t="str">
        <f aca="false">Report!E575</f>
        <v>DURAES DISTRIBUIDORA DE ESTIVAS LTDA</v>
      </c>
      <c r="C437" s="26" t="n">
        <f aca="false">Report!U575</f>
        <v>727.23</v>
      </c>
      <c r="D437" s="25" t="str">
        <f aca="false">Report!X575</f>
        <v>NF 651350 ELLEN</v>
      </c>
    </row>
    <row r="438" customFormat="false" ht="15" hidden="false" customHeight="true" outlineLevel="0" collapsed="false">
      <c r="A438" s="24" t="n">
        <f aca="false">Report!C506</f>
        <v>46248</v>
      </c>
      <c r="B438" s="25" t="str">
        <f aca="false">Report!E506</f>
        <v>SB COMERCIO LTDA</v>
      </c>
      <c r="C438" s="26" t="n">
        <f aca="false">Report!U506</f>
        <v>945.12</v>
      </c>
      <c r="D438" s="25" t="str">
        <f aca="false">Report!X506</f>
        <v>NF 1964289 ELLEN</v>
      </c>
    </row>
    <row r="439" customFormat="false" ht="15" hidden="false" customHeight="true" outlineLevel="0" collapsed="false">
      <c r="A439" s="24" t="n">
        <f aca="false">Report!C581</f>
        <v>46248</v>
      </c>
      <c r="B439" s="25" t="str">
        <f aca="false">Report!E581</f>
        <v>BF COMERCIO DE ALIMENTOS REPRESENTACAO L</v>
      </c>
      <c r="C439" s="26" t="n">
        <f aca="false">Report!U581</f>
        <v>581.65</v>
      </c>
      <c r="D439" s="25" t="str">
        <f aca="false">Report!X581</f>
        <v>NF 21130 ELLEN</v>
      </c>
    </row>
    <row r="440" customFormat="false" ht="15" hidden="false" customHeight="true" outlineLevel="0" collapsed="false">
      <c r="A440" s="24" t="n">
        <f aca="false">Report!C584</f>
        <v>46248</v>
      </c>
      <c r="B440" s="25" t="str">
        <f aca="false">Report!E584</f>
        <v>SOUZA CRUZ LTDA.</v>
      </c>
      <c r="C440" s="26" t="n">
        <f aca="false">Report!U584</f>
        <v>6409.6</v>
      </c>
      <c r="D440" s="25" t="str">
        <f aca="false">Report!X584</f>
        <v>NF 568309 ELLEN</v>
      </c>
    </row>
    <row r="441" customFormat="false" ht="15" hidden="false" customHeight="true" outlineLevel="0" collapsed="false">
      <c r="A441" s="24" t="n">
        <f aca="false">Report!C587</f>
        <v>46248</v>
      </c>
      <c r="B441" s="25" t="str">
        <f aca="false">Report!E587</f>
        <v>DISTRIBUIDORA LOPES LTDA</v>
      </c>
      <c r="C441" s="26" t="n">
        <f aca="false">Report!U587</f>
        <v>1111.12</v>
      </c>
      <c r="D441" s="25" t="str">
        <f aca="false">Report!X587</f>
        <v>NF 1698151 ELLEN</v>
      </c>
    </row>
    <row r="442" customFormat="false" ht="15" hidden="false" customHeight="true" outlineLevel="0" collapsed="false">
      <c r="A442" s="24" t="n">
        <f aca="false">Report!C590</f>
        <v>46248</v>
      </c>
      <c r="B442" s="25" t="str">
        <f aca="false">Report!E590</f>
        <v>MIKITOS IND.COM.DE GEN. ALIM. DO AM. LTD</v>
      </c>
      <c r="C442" s="26" t="n">
        <f aca="false">Report!U590</f>
        <v>690</v>
      </c>
      <c r="D442" s="25" t="str">
        <f aca="false">Report!X590</f>
        <v>NF 294640 ELLEN</v>
      </c>
    </row>
    <row r="443" customFormat="false" ht="15" hidden="false" customHeight="true" outlineLevel="0" collapsed="false">
      <c r="A443" s="24" t="n">
        <f aca="false">Report!C600</f>
        <v>46248</v>
      </c>
      <c r="B443" s="25" t="str">
        <f aca="false">Report!E600</f>
        <v>BONNA VITTA INDUSTRIA E COMERCIO LTDA.</v>
      </c>
      <c r="C443" s="26" t="n">
        <f aca="false">Report!U600</f>
        <v>740.52</v>
      </c>
      <c r="D443" s="25" t="str">
        <f aca="false">Report!X600</f>
        <v>NF 1842 ELLEN</v>
      </c>
    </row>
    <row r="444" customFormat="false" ht="15" hidden="false" customHeight="true" outlineLevel="0" collapsed="false">
      <c r="A444" s="24" t="n">
        <f aca="false">Report!C235</f>
        <v>46249</v>
      </c>
      <c r="B444" s="25" t="str">
        <f aca="false">Report!E235</f>
        <v>FE COMERCIO DE MATERIAIS DE CONSTRUCAO</v>
      </c>
      <c r="C444" s="26" t="n">
        <f aca="false">Report!U235</f>
        <v>819.53</v>
      </c>
      <c r="D444" s="25" t="str">
        <f aca="false">Report!X235</f>
        <v>NF 4467 ELLEN</v>
      </c>
    </row>
    <row r="445" customFormat="false" ht="15" hidden="false" customHeight="true" outlineLevel="0" collapsed="false">
      <c r="A445" s="24" t="n">
        <f aca="false">Report!C570</f>
        <v>46249</v>
      </c>
      <c r="B445" s="25" t="str">
        <f aca="false">Report!E570</f>
        <v>ADRIANA DISTRIBUIDORA DE PRODUTOS ALIMEN</v>
      </c>
      <c r="C445" s="26" t="n">
        <f aca="false">Report!U570</f>
        <v>1006.03</v>
      </c>
      <c r="D445" s="25" t="str">
        <f aca="false">Report!X570</f>
        <v>NF 886799 ELLEN</v>
      </c>
    </row>
    <row r="446" customFormat="false" ht="15" hidden="false" customHeight="true" outlineLevel="0" collapsed="false">
      <c r="A446" s="24" t="n">
        <f aca="false">Report!C496</f>
        <v>46251</v>
      </c>
      <c r="B446" s="25" t="str">
        <f aca="false">Report!E496</f>
        <v>TAPAJOS COM DE PERFUMARIA COSMETICOS E G</v>
      </c>
      <c r="C446" s="26" t="n">
        <f aca="false">Report!U496</f>
        <v>1413.72</v>
      </c>
      <c r="D446" s="25" t="str">
        <f aca="false">Report!X496</f>
        <v>NF 580863 ELLEN</v>
      </c>
    </row>
    <row r="447" customFormat="false" ht="15" hidden="false" customHeight="true" outlineLevel="0" collapsed="false">
      <c r="A447" s="24" t="n">
        <f aca="false">Report!C499</f>
        <v>46251</v>
      </c>
      <c r="B447" s="25" t="str">
        <f aca="false">Report!E499</f>
        <v>TAPAJOS COM DE PERFUMARIA COSMETICOS E G</v>
      </c>
      <c r="C447" s="26" t="n">
        <f aca="false">Report!U499</f>
        <v>1142.36</v>
      </c>
      <c r="D447" s="25" t="str">
        <f aca="false">Report!X499</f>
        <v>NF 580861 ELLEN</v>
      </c>
    </row>
    <row r="448" customFormat="false" ht="15" hidden="false" customHeight="true" outlineLevel="0" collapsed="false">
      <c r="A448" s="24" t="n">
        <f aca="false">Report!C509</f>
        <v>46251</v>
      </c>
      <c r="B448" s="25" t="str">
        <f aca="false">Report!E509</f>
        <v>CB COMERCIO E DISTRIBUIDORA DE ALIMENTOS</v>
      </c>
      <c r="C448" s="26" t="n">
        <f aca="false">Report!U509</f>
        <v>676.98</v>
      </c>
      <c r="D448" s="25" t="str">
        <f aca="false">Report!X509</f>
        <v>NF 854967 ELLEN</v>
      </c>
    </row>
    <row r="449" customFormat="false" ht="15" hidden="false" customHeight="true" outlineLevel="0" collapsed="false">
      <c r="A449" s="24" t="n">
        <f aca="false">Report!C514</f>
        <v>46251</v>
      </c>
      <c r="B449" s="25" t="str">
        <f aca="false">Report!E514</f>
        <v>BRASIL NORTE BEBIDAS S/A</v>
      </c>
      <c r="C449" s="26" t="n">
        <f aca="false">Report!U514</f>
        <v>114.61</v>
      </c>
      <c r="D449" s="25" t="str">
        <f aca="false">Report!X514</f>
        <v>NF 1210021 ELLEN</v>
      </c>
    </row>
    <row r="450" customFormat="false" ht="15" hidden="false" customHeight="true" outlineLevel="0" collapsed="false">
      <c r="A450" s="24" t="n">
        <f aca="false">Report!C427</f>
        <v>46252</v>
      </c>
      <c r="B450" s="25" t="str">
        <f aca="false">Report!E427</f>
        <v>ATACADAO S.A.</v>
      </c>
      <c r="C450" s="26" t="n">
        <f aca="false">Report!U427</f>
        <v>479.64</v>
      </c>
      <c r="D450" s="25" t="str">
        <f aca="false">Report!X427</f>
        <v>NF 1905833 ELLEN</v>
      </c>
    </row>
    <row r="451" customFormat="false" ht="15" hidden="false" customHeight="true" outlineLevel="0" collapsed="false">
      <c r="A451" s="24" t="n">
        <f aca="false">Report!C397</f>
        <v>46253</v>
      </c>
      <c r="B451" s="25" t="str">
        <f aca="false">Report!E397</f>
        <v>SB COMERCIO LTDA</v>
      </c>
      <c r="C451" s="26" t="n">
        <f aca="false">Report!U397</f>
        <v>1504.06</v>
      </c>
      <c r="D451" s="25" t="str">
        <f aca="false">Report!X397</f>
        <v>NF 1962669 ELLEN</v>
      </c>
    </row>
    <row r="452" customFormat="false" ht="15" hidden="false" customHeight="true" outlineLevel="0" collapsed="false">
      <c r="A452" s="24" t="n">
        <f aca="false">Report!C552</f>
        <v>46253</v>
      </c>
      <c r="B452" s="25" t="str">
        <f aca="false">Report!E552</f>
        <v>BONNA VITTA INDUSTRIA E COMERCIO LTDA.</v>
      </c>
      <c r="C452" s="26" t="n">
        <f aca="false">Report!U552</f>
        <v>109.51</v>
      </c>
      <c r="D452" s="25" t="str">
        <f aca="false">Report!X552</f>
        <v>NF 1625 ELLEN</v>
      </c>
    </row>
    <row r="453" customFormat="false" ht="15" hidden="false" customHeight="true" outlineLevel="0" collapsed="false">
      <c r="A453" s="24" t="n">
        <f aca="false">Report!C504</f>
        <v>46254</v>
      </c>
      <c r="B453" s="25" t="str">
        <f aca="false">Report!E504</f>
        <v>RISADINHA LTDA</v>
      </c>
      <c r="C453" s="26" t="n">
        <f aca="false">Report!U504</f>
        <v>381</v>
      </c>
      <c r="D453" s="25" t="str">
        <f aca="false">Report!X504</f>
        <v>NF 664184 ELLEN</v>
      </c>
    </row>
    <row r="454" customFormat="false" ht="15" hidden="false" customHeight="true" outlineLevel="0" collapsed="false">
      <c r="A454" s="24" t="n">
        <f aca="false">Report!C519</f>
        <v>46254</v>
      </c>
      <c r="B454" s="25" t="str">
        <f aca="false">Report!E519</f>
        <v>PRIME PET DISTRIBUIDORA LTDA</v>
      </c>
      <c r="C454" s="26" t="n">
        <f aca="false">Report!U519</f>
        <v>446.28</v>
      </c>
      <c r="D454" s="25" t="str">
        <f aca="false">Report!X519</f>
        <v>NF 11173 ELLEN</v>
      </c>
    </row>
    <row r="455" customFormat="false" ht="15" hidden="false" customHeight="true" outlineLevel="0" collapsed="false">
      <c r="A455" s="24" t="n">
        <f aca="false">Report!C174</f>
        <v>46255</v>
      </c>
      <c r="B455" s="25" t="str">
        <f aca="false">Report!E174</f>
        <v>PRIME PET DISTRIBUIDORA LTDA</v>
      </c>
      <c r="C455" s="26" t="n">
        <f aca="false">Report!U174</f>
        <v>1361.81</v>
      </c>
      <c r="D455" s="25" t="str">
        <f aca="false">Report!X174</f>
        <v>NF 10860 ELLEN</v>
      </c>
    </row>
    <row r="456" customFormat="false" ht="15" hidden="false" customHeight="true" outlineLevel="0" collapsed="false">
      <c r="A456" s="24" t="n">
        <f aca="false">Report!C591</f>
        <v>46255</v>
      </c>
      <c r="B456" s="25" t="str">
        <f aca="false">Report!E591</f>
        <v>MIKITOS IND.COM.DE GEN. ALIM. DO AM. LTD</v>
      </c>
      <c r="C456" s="26" t="n">
        <f aca="false">Report!U591</f>
        <v>690</v>
      </c>
      <c r="D456" s="25" t="str">
        <f aca="false">Report!X591</f>
        <v>NF 294640 ELLEN</v>
      </c>
    </row>
    <row r="457" customFormat="false" ht="15" hidden="false" customHeight="true" outlineLevel="0" collapsed="false">
      <c r="A457" s="24" t="n">
        <f aca="false">Report!C559</f>
        <v>46256</v>
      </c>
      <c r="B457" s="25" t="str">
        <f aca="false">Report!E559</f>
        <v>FUNNY PET DISTRIBUIDORA DE ALIMENTOS PAR</v>
      </c>
      <c r="C457" s="26" t="n">
        <f aca="false">Report!U559</f>
        <v>1501.38</v>
      </c>
      <c r="D457" s="25" t="str">
        <f aca="false">Report!X559</f>
        <v>NF 21189 ELLEN</v>
      </c>
    </row>
    <row r="458" customFormat="false" ht="15" hidden="false" customHeight="true" outlineLevel="0" collapsed="false">
      <c r="A458" s="24" t="n">
        <f aca="false">Report!C562</f>
        <v>46256</v>
      </c>
      <c r="B458" s="25" t="str">
        <f aca="false">Report!E562</f>
        <v>OPPORTUNITY ALIMENTOS PARA ANIMAIS LTDA</v>
      </c>
      <c r="C458" s="26" t="n">
        <f aca="false">Report!U562</f>
        <v>591.07</v>
      </c>
      <c r="D458" s="25" t="str">
        <f aca="false">Report!X562</f>
        <v>NF 34738 ELLEN</v>
      </c>
    </row>
    <row r="459" customFormat="false" ht="15" hidden="false" customHeight="true" outlineLevel="0" collapsed="false">
      <c r="A459" s="24" t="n">
        <f aca="false">Report!C571</f>
        <v>46256</v>
      </c>
      <c r="B459" s="25" t="str">
        <f aca="false">Report!E571</f>
        <v>ADRIANA DISTRIBUIDORA DE PRODUTOS ALIMEN</v>
      </c>
      <c r="C459" s="26" t="n">
        <f aca="false">Report!U571</f>
        <v>1006.03</v>
      </c>
      <c r="D459" s="25" t="str">
        <f aca="false">Report!X571</f>
        <v>NF 886799 ELLEN</v>
      </c>
    </row>
    <row r="460" customFormat="false" ht="15" hidden="false" customHeight="true" outlineLevel="0" collapsed="false">
      <c r="A460" s="24" t="n">
        <f aca="false">Report!C236</f>
        <v>46259</v>
      </c>
      <c r="B460" s="25" t="str">
        <f aca="false">Report!E236</f>
        <v>FE COMERCIO DE MATERIAIS DE CONSTRUCAO</v>
      </c>
      <c r="C460" s="26" t="n">
        <f aca="false">Report!U236</f>
        <v>818.55</v>
      </c>
      <c r="D460" s="25" t="str">
        <f aca="false">Report!X236</f>
        <v>NF 4467 ELLEN</v>
      </c>
    </row>
    <row r="461" customFormat="false" ht="15" hidden="false" customHeight="true" outlineLevel="0" collapsed="false">
      <c r="A461" s="24" t="n">
        <f aca="false">Report!C520</f>
        <v>46264</v>
      </c>
      <c r="B461" s="25" t="str">
        <f aca="false">Report!E520</f>
        <v>PRIME PET DISTRIBUIDORA LTDA</v>
      </c>
      <c r="C461" s="26" t="n">
        <f aca="false">Report!U520</f>
        <v>446.28</v>
      </c>
      <c r="D461" s="25" t="str">
        <f aca="false">Report!X520</f>
        <v>NF 11173 ELLEN</v>
      </c>
    </row>
    <row r="462" customFormat="false" ht="15" hidden="false" customHeight="true" outlineLevel="0" collapsed="false">
      <c r="A462" s="24" t="n">
        <f aca="false">Report!C155</f>
        <v>46266</v>
      </c>
      <c r="B462" s="25" t="str">
        <f aca="false">Report!E155</f>
        <v>A. CORREA JUNIOR</v>
      </c>
      <c r="C462" s="26" t="n">
        <f aca="false">Report!U155</f>
        <v>1290.16</v>
      </c>
      <c r="D462" s="25" t="str">
        <f aca="false">Report!X155</f>
        <v>NF 1829 CARTÃO DIA 1 PARC 3/3 - ELLEN</v>
      </c>
    </row>
    <row r="463" customFormat="false" ht="15" hidden="false" customHeight="true" outlineLevel="0" collapsed="false">
      <c r="A463" s="24" t="n">
        <f aca="false">Report!C560</f>
        <v>46266</v>
      </c>
      <c r="B463" s="25" t="str">
        <f aca="false">Report!E560</f>
        <v>FUNNY PET DISTRIBUIDORA DE ALIMENTOS PAR</v>
      </c>
      <c r="C463" s="26" t="n">
        <f aca="false">Report!U560</f>
        <v>1501.38</v>
      </c>
      <c r="D463" s="25" t="str">
        <f aca="false">Report!X560</f>
        <v>NF 21189 ELLEN</v>
      </c>
    </row>
    <row r="464" customFormat="false" ht="15" hidden="false" customHeight="true" outlineLevel="0" collapsed="false">
      <c r="A464" s="24" t="n">
        <f aca="false">Report!C563</f>
        <v>46266</v>
      </c>
      <c r="B464" s="25" t="str">
        <f aca="false">Report!E563</f>
        <v>OPPORTUNITY ALIMENTOS PARA ANIMAIS LTDA</v>
      </c>
      <c r="C464" s="26" t="n">
        <f aca="false">Report!U563</f>
        <v>591.07</v>
      </c>
      <c r="D464" s="25" t="str">
        <f aca="false">Report!X563</f>
        <v>NF 34738 ELLEN</v>
      </c>
    </row>
    <row r="465" customFormat="false" ht="15" hidden="false" customHeight="true" outlineLevel="0" collapsed="false">
      <c r="A465" s="24" t="n">
        <f aca="false">Report!C90</f>
        <v>46275</v>
      </c>
      <c r="B465" s="25" t="str">
        <f aca="false">Report!E90</f>
        <v>FUNNY PET DISTRIBUIDORA DE ALIMENTOS PAR</v>
      </c>
      <c r="C465" s="26" t="n">
        <f aca="false">Report!U90</f>
        <v>128.85</v>
      </c>
      <c r="D465" s="25" t="str">
        <f aca="false">Report!X90</f>
        <v>NF 20440 ELLEN</v>
      </c>
    </row>
    <row r="466" customFormat="false" ht="15" hidden="false" customHeight="true" outlineLevel="0" collapsed="false">
      <c r="A466" s="24" t="n">
        <f aca="false">Report!C423</f>
        <v>46281</v>
      </c>
      <c r="B466" s="25" t="str">
        <f aca="false">Report!E423</f>
        <v>FUNNY PET DISTRIBUIDORA DE ALIMENTOS PAR</v>
      </c>
      <c r="C466" s="26" t="n">
        <f aca="false">Report!U423</f>
        <v>1501.38</v>
      </c>
      <c r="D466" s="25" t="str">
        <f aca="false">Report!X423</f>
        <v>NF 21189 ELLEN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18"/>
    <col collapsed="false" customWidth="true" hidden="false" outlineLevel="0" max="5" min="4" style="1" width="4"/>
    <col collapsed="false" customWidth="true" hidden="false" outlineLevel="0" max="6" min="6" style="1" width="18"/>
  </cols>
  <sheetData>
    <row r="1" customFormat="false" ht="15" hidden="false" customHeight="true" outlineLevel="0" collapsed="false">
      <c r="A1" s="27" t="s">
        <v>665</v>
      </c>
      <c r="B1" s="28" t="n">
        <f aca="false">SUMIFS(Report!$U$10:$U$604,Report!$T$10:$T$604,"&lt;&gt;"&amp;"MERCADORIAS P/REVENDA",Report!$C$10:$C$604,"&gt;="&amp;DATE(2026,1,1),Report!$C$10:$C$604,"&lt;="&amp;DATE(2027,12,31))</f>
        <v>119678.28</v>
      </c>
      <c r="C1" s="28" t="n">
        <f aca="false">SUMIFS(Report!$U$10:$U$604,Report!$T$10:$T$604,"MERCADORIAS P/REVENDA",Report!$C$10:$C$604,"&gt;="&amp;DATE(2026,1,1),Report!$C$10:$C$604,"&lt;="&amp;DATE(2027,12,31))</f>
        <v>394206.74</v>
      </c>
      <c r="F1" s="28" t="n">
        <f aca="false">B1+C1</f>
        <v>513885.02</v>
      </c>
    </row>
    <row r="2" customFormat="false" ht="26.25" hidden="false" customHeight="true" outlineLevel="0" collapsed="false">
      <c r="A2" s="29" t="s">
        <v>666</v>
      </c>
      <c r="B2" s="29" t="s">
        <v>667</v>
      </c>
      <c r="C2" s="29" t="s">
        <v>668</v>
      </c>
      <c r="F2" s="29" t="s">
        <v>669</v>
      </c>
    </row>
    <row r="3" customFormat="false" ht="15" hidden="false" customHeight="true" outlineLevel="0" collapsed="false">
      <c r="A3" s="24" t="n">
        <v>46023</v>
      </c>
      <c r="B3" s="26" t="n">
        <f aca="false">SUMIFS(Report!$U$10:$U$604,Report!$T$10:$T$604,"&lt;&gt;"&amp;"MERCADORIAS P/REVENDA",Report!$C$10:$C$604,A3)</f>
        <v>0</v>
      </c>
      <c r="C3" s="26" t="n">
        <f aca="false">SUMIFS(Report!$U$10:$U$604,Report!$T$10:$T$604,"MERCADORIAS P/REVENDA",Report!$C$10:$C$604,A3)</f>
        <v>0</v>
      </c>
      <c r="F3" s="26" t="n">
        <f aca="false">B3+C3</f>
        <v>0</v>
      </c>
    </row>
    <row r="4" customFormat="false" ht="15" hidden="false" customHeight="true" outlineLevel="0" collapsed="false">
      <c r="A4" s="24" t="n">
        <v>46024</v>
      </c>
      <c r="B4" s="26" t="n">
        <f aca="false">SUMIFS(Report!$U$10:$U$604,Report!$T$10:$T$604,"&lt;&gt;"&amp;"MERCADORIAS P/REVENDA",Report!$C$10:$C$604,A4)</f>
        <v>0</v>
      </c>
      <c r="C4" s="26" t="n">
        <f aca="false">SUMIFS(Report!$U$10:$U$604,Report!$T$10:$T$604,"MERCADORIAS P/REVENDA",Report!$C$10:$C$604,A4)</f>
        <v>0</v>
      </c>
      <c r="F4" s="26" t="n">
        <f aca="false">B4+C4</f>
        <v>0</v>
      </c>
    </row>
    <row r="5" customFormat="false" ht="15" hidden="false" customHeight="true" outlineLevel="0" collapsed="false">
      <c r="A5" s="30" t="n">
        <v>46025</v>
      </c>
      <c r="B5" s="31" t="n">
        <f aca="false">SUMIFS(Report!$U$10:$U$604,Report!$T$10:$T$604,"&lt;&gt;"&amp;"MERCADORIAS P/REVENDA",Report!$C$10:$C$604,A5)</f>
        <v>0</v>
      </c>
      <c r="C5" s="31" t="n">
        <f aca="false">SUMIFS(Report!$U$10:$U$604,Report!$T$10:$T$604,"MERCADORIAS P/REVENDA",Report!$C$10:$C$604,A5)</f>
        <v>0</v>
      </c>
      <c r="F5" s="31" t="n">
        <f aca="false">B5+C5</f>
        <v>0</v>
      </c>
    </row>
    <row r="6" customFormat="false" ht="15" hidden="false" customHeight="true" outlineLevel="0" collapsed="false">
      <c r="A6" s="30" t="n">
        <v>46026</v>
      </c>
      <c r="B6" s="31" t="n">
        <f aca="false">SUMIFS(Report!$U$10:$U$604,Report!$T$10:$T$604,"&lt;&gt;"&amp;"MERCADORIAS P/REVENDA",Report!$C$10:$C$604,A6)</f>
        <v>0</v>
      </c>
      <c r="C6" s="31" t="n">
        <f aca="false">SUMIFS(Report!$U$10:$U$604,Report!$T$10:$T$604,"MERCADORIAS P/REVENDA",Report!$C$10:$C$604,A6)</f>
        <v>0</v>
      </c>
      <c r="F6" s="31" t="n">
        <f aca="false">B6+C6</f>
        <v>0</v>
      </c>
    </row>
    <row r="7" customFormat="false" ht="15" hidden="false" customHeight="true" outlineLevel="0" collapsed="false">
      <c r="A7" s="30" t="n">
        <v>46027</v>
      </c>
      <c r="B7" s="31" t="n">
        <f aca="false">SUMIFS(Report!$U$10:$U$604,Report!$T$10:$T$604,"&lt;&gt;"&amp;"MERCADORIAS P/REVENDA",Report!$C$10:$C$604,A7)</f>
        <v>0</v>
      </c>
      <c r="C7" s="31" t="n">
        <f aca="false">SUMIFS(Report!$U$10:$U$604,Report!$T$10:$T$604,"MERCADORIAS P/REVENDA",Report!$C$10:$C$604,A7)</f>
        <v>0</v>
      </c>
      <c r="F7" s="31" t="n">
        <f aca="false">B7+C7</f>
        <v>0</v>
      </c>
    </row>
    <row r="8" customFormat="false" ht="15" hidden="false" customHeight="true" outlineLevel="0" collapsed="false">
      <c r="A8" s="32" t="s">
        <v>670</v>
      </c>
      <c r="B8" s="33" t="n">
        <f aca="false">SUM(B3:B7)</f>
        <v>0</v>
      </c>
      <c r="C8" s="33" t="n">
        <f aca="false">SUM(C3:C7)</f>
        <v>0</v>
      </c>
      <c r="F8" s="33" t="n">
        <f aca="false">B8+C8</f>
        <v>0</v>
      </c>
    </row>
    <row r="9" customFormat="false" ht="15" hidden="false" customHeight="true" outlineLevel="0" collapsed="false">
      <c r="A9" s="24" t="n">
        <v>46028</v>
      </c>
      <c r="B9" s="26" t="n">
        <f aca="false">SUMIFS(Report!$U$10:$U$604,Report!$T$10:$T$604,"&lt;&gt;"&amp;"MERCADORIAS P/REVENDA",Report!$C$10:$C$604,A9)</f>
        <v>0</v>
      </c>
      <c r="C9" s="26" t="n">
        <f aca="false">SUMIFS(Report!$U$10:$U$604,Report!$T$10:$T$604,"MERCADORIAS P/REVENDA",Report!$C$10:$C$604,A9)</f>
        <v>0</v>
      </c>
      <c r="F9" s="26" t="n">
        <f aca="false">B9+C9</f>
        <v>0</v>
      </c>
    </row>
    <row r="10" customFormat="false" ht="15" hidden="false" customHeight="true" outlineLevel="0" collapsed="false">
      <c r="A10" s="24" t="n">
        <v>46029</v>
      </c>
      <c r="B10" s="26" t="n">
        <f aca="false">SUMIFS(Report!$U$10:$U$604,Report!$T$10:$T$604,"&lt;&gt;"&amp;"MERCADORIAS P/REVENDA",Report!$C$10:$C$604,A10)</f>
        <v>0</v>
      </c>
      <c r="C10" s="26" t="n">
        <f aca="false">SUMIFS(Report!$U$10:$U$604,Report!$T$10:$T$604,"MERCADORIAS P/REVENDA",Report!$C$10:$C$604,A10)</f>
        <v>0</v>
      </c>
      <c r="F10" s="26" t="n">
        <f aca="false">B10+C10</f>
        <v>0</v>
      </c>
    </row>
    <row r="11" customFormat="false" ht="15" hidden="false" customHeight="true" outlineLevel="0" collapsed="false">
      <c r="A11" s="24" t="n">
        <v>46030</v>
      </c>
      <c r="B11" s="26" t="n">
        <f aca="false">SUMIFS(Report!$U$10:$U$604,Report!$T$10:$T$604,"&lt;&gt;"&amp;"MERCADORIAS P/REVENDA",Report!$C$10:$C$604,A11)</f>
        <v>0</v>
      </c>
      <c r="C11" s="26" t="n">
        <f aca="false">SUMIFS(Report!$U$10:$U$604,Report!$T$10:$T$604,"MERCADORIAS P/REVENDA",Report!$C$10:$C$604,A11)</f>
        <v>0</v>
      </c>
      <c r="F11" s="26" t="n">
        <f aca="false">B11+C11</f>
        <v>0</v>
      </c>
    </row>
    <row r="12" customFormat="false" ht="15" hidden="false" customHeight="true" outlineLevel="0" collapsed="false">
      <c r="A12" s="24" t="n">
        <v>46031</v>
      </c>
      <c r="B12" s="26" t="n">
        <f aca="false">SUMIFS(Report!$U$10:$U$604,Report!$T$10:$T$604,"&lt;&gt;"&amp;"MERCADORIAS P/REVENDA",Report!$C$10:$C$604,A12)</f>
        <v>0</v>
      </c>
      <c r="C12" s="26" t="n">
        <f aca="false">SUMIFS(Report!$U$10:$U$604,Report!$T$10:$T$604,"MERCADORIAS P/REVENDA",Report!$C$10:$C$604,A12)</f>
        <v>0</v>
      </c>
      <c r="F12" s="26" t="n">
        <f aca="false">B12+C12</f>
        <v>0</v>
      </c>
    </row>
    <row r="13" customFormat="false" ht="15" hidden="false" customHeight="true" outlineLevel="0" collapsed="false">
      <c r="A13" s="30" t="n">
        <v>46032</v>
      </c>
      <c r="B13" s="31" t="n">
        <f aca="false">SUMIFS(Report!$U$10:$U$604,Report!$T$10:$T$604,"&lt;&gt;"&amp;"MERCADORIAS P/REVENDA",Report!$C$10:$C$604,A13)</f>
        <v>0</v>
      </c>
      <c r="C13" s="31" t="n">
        <f aca="false">SUMIFS(Report!$U$10:$U$604,Report!$T$10:$T$604,"MERCADORIAS P/REVENDA",Report!$C$10:$C$604,A13)</f>
        <v>0</v>
      </c>
      <c r="F13" s="31" t="n">
        <f aca="false">B13+C13</f>
        <v>0</v>
      </c>
    </row>
    <row r="14" customFormat="false" ht="15" hidden="false" customHeight="true" outlineLevel="0" collapsed="false">
      <c r="A14" s="30" t="n">
        <v>46033</v>
      </c>
      <c r="B14" s="31" t="n">
        <f aca="false">SUMIFS(Report!$U$10:$U$604,Report!$T$10:$T$604,"&lt;&gt;"&amp;"MERCADORIAS P/REVENDA",Report!$C$10:$C$604,A14)</f>
        <v>0</v>
      </c>
      <c r="C14" s="31" t="n">
        <f aca="false">SUMIFS(Report!$U$10:$U$604,Report!$T$10:$T$604,"MERCADORIAS P/REVENDA",Report!$C$10:$C$604,A14)</f>
        <v>0</v>
      </c>
      <c r="F14" s="31" t="n">
        <f aca="false">B14+C14</f>
        <v>0</v>
      </c>
    </row>
    <row r="15" customFormat="false" ht="15" hidden="false" customHeight="true" outlineLevel="0" collapsed="false">
      <c r="A15" s="30" t="n">
        <v>46034</v>
      </c>
      <c r="B15" s="31" t="n">
        <f aca="false">SUMIFS(Report!$U$10:$U$604,Report!$T$10:$T$604,"&lt;&gt;"&amp;"MERCADORIAS P/REVENDA",Report!$C$10:$C$604,A15)</f>
        <v>0</v>
      </c>
      <c r="C15" s="31" t="n">
        <f aca="false">SUMIFS(Report!$U$10:$U$604,Report!$T$10:$T$604,"MERCADORIAS P/REVENDA",Report!$C$10:$C$604,A15)</f>
        <v>0</v>
      </c>
      <c r="F15" s="31" t="n">
        <f aca="false">B15+C15</f>
        <v>0</v>
      </c>
    </row>
    <row r="16" customFormat="false" ht="15" hidden="false" customHeight="true" outlineLevel="0" collapsed="false">
      <c r="A16" s="32" t="s">
        <v>671</v>
      </c>
      <c r="B16" s="33" t="n">
        <f aca="false">SUM(B9:B15)</f>
        <v>0</v>
      </c>
      <c r="C16" s="33" t="n">
        <f aca="false">SUM(C9:C15)</f>
        <v>0</v>
      </c>
      <c r="F16" s="33" t="n">
        <f aca="false">B16+C16</f>
        <v>0</v>
      </c>
    </row>
    <row r="17" customFormat="false" ht="15" hidden="false" customHeight="true" outlineLevel="0" collapsed="false">
      <c r="A17" s="24" t="n">
        <v>46035</v>
      </c>
      <c r="B17" s="26" t="n">
        <f aca="false">SUMIFS(Report!$U$10:$U$604,Report!$T$10:$T$604,"&lt;&gt;"&amp;"MERCADORIAS P/REVENDA",Report!$C$10:$C$604,A17)</f>
        <v>0</v>
      </c>
      <c r="C17" s="26" t="n">
        <f aca="false">SUMIFS(Report!$U$10:$U$604,Report!$T$10:$T$604,"MERCADORIAS P/REVENDA",Report!$C$10:$C$604,A17)</f>
        <v>0</v>
      </c>
      <c r="F17" s="26" t="n">
        <f aca="false">B17+C17</f>
        <v>0</v>
      </c>
    </row>
    <row r="18" customFormat="false" ht="15" hidden="false" customHeight="true" outlineLevel="0" collapsed="false">
      <c r="A18" s="24" t="n">
        <v>46036</v>
      </c>
      <c r="B18" s="26" t="n">
        <f aca="false">SUMIFS(Report!$U$10:$U$604,Report!$T$10:$T$604,"&lt;&gt;"&amp;"MERCADORIAS P/REVENDA",Report!$C$10:$C$604,A18)</f>
        <v>0</v>
      </c>
      <c r="C18" s="26" t="n">
        <f aca="false">SUMIFS(Report!$U$10:$U$604,Report!$T$10:$T$604,"MERCADORIAS P/REVENDA",Report!$C$10:$C$604,A18)</f>
        <v>0</v>
      </c>
      <c r="F18" s="26" t="n">
        <f aca="false">B18+C18</f>
        <v>0</v>
      </c>
    </row>
    <row r="19" customFormat="false" ht="15" hidden="false" customHeight="true" outlineLevel="0" collapsed="false">
      <c r="A19" s="24" t="n">
        <v>46037</v>
      </c>
      <c r="B19" s="26" t="n">
        <f aca="false">SUMIFS(Report!$U$10:$U$604,Report!$T$10:$T$604,"&lt;&gt;"&amp;"MERCADORIAS P/REVENDA",Report!$C$10:$C$604,A19)</f>
        <v>0</v>
      </c>
      <c r="C19" s="26" t="n">
        <f aca="false">SUMIFS(Report!$U$10:$U$604,Report!$T$10:$T$604,"MERCADORIAS P/REVENDA",Report!$C$10:$C$604,A19)</f>
        <v>0</v>
      </c>
      <c r="F19" s="26" t="n">
        <f aca="false">B19+C19</f>
        <v>0</v>
      </c>
    </row>
    <row r="20" customFormat="false" ht="15" hidden="false" customHeight="true" outlineLevel="0" collapsed="false">
      <c r="A20" s="24" t="n">
        <v>46038</v>
      </c>
      <c r="B20" s="26" t="n">
        <f aca="false">SUMIFS(Report!$U$10:$U$604,Report!$T$10:$T$604,"&lt;&gt;"&amp;"MERCADORIAS P/REVENDA",Report!$C$10:$C$604,A20)</f>
        <v>0</v>
      </c>
      <c r="C20" s="26" t="n">
        <f aca="false">SUMIFS(Report!$U$10:$U$604,Report!$T$10:$T$604,"MERCADORIAS P/REVENDA",Report!$C$10:$C$604,A20)</f>
        <v>0</v>
      </c>
      <c r="F20" s="26" t="n">
        <f aca="false">B20+C20</f>
        <v>0</v>
      </c>
    </row>
    <row r="21" customFormat="false" ht="15" hidden="false" customHeight="true" outlineLevel="0" collapsed="false">
      <c r="A21" s="30" t="n">
        <v>46039</v>
      </c>
      <c r="B21" s="31" t="n">
        <f aca="false">SUMIFS(Report!$U$10:$U$604,Report!$T$10:$T$604,"&lt;&gt;"&amp;"MERCADORIAS P/REVENDA",Report!$C$10:$C$604,A21)</f>
        <v>0</v>
      </c>
      <c r="C21" s="31" t="n">
        <f aca="false">SUMIFS(Report!$U$10:$U$604,Report!$T$10:$T$604,"MERCADORIAS P/REVENDA",Report!$C$10:$C$604,A21)</f>
        <v>0</v>
      </c>
      <c r="F21" s="31" t="n">
        <f aca="false">B21+C21</f>
        <v>0</v>
      </c>
    </row>
    <row r="22" customFormat="false" ht="15" hidden="false" customHeight="true" outlineLevel="0" collapsed="false">
      <c r="A22" s="30" t="n">
        <v>46040</v>
      </c>
      <c r="B22" s="31" t="n">
        <f aca="false">SUMIFS(Report!$U$10:$U$604,Report!$T$10:$T$604,"&lt;&gt;"&amp;"MERCADORIAS P/REVENDA",Report!$C$10:$C$604,A22)</f>
        <v>0</v>
      </c>
      <c r="C22" s="31" t="n">
        <f aca="false">SUMIFS(Report!$U$10:$U$604,Report!$T$10:$T$604,"MERCADORIAS P/REVENDA",Report!$C$10:$C$604,A22)</f>
        <v>0</v>
      </c>
      <c r="F22" s="31" t="n">
        <f aca="false">B22+C22</f>
        <v>0</v>
      </c>
    </row>
    <row r="23" customFormat="false" ht="15" hidden="false" customHeight="true" outlineLevel="0" collapsed="false">
      <c r="A23" s="30" t="n">
        <v>46041</v>
      </c>
      <c r="B23" s="31" t="n">
        <f aca="false">SUMIFS(Report!$U$10:$U$604,Report!$T$10:$T$604,"&lt;&gt;"&amp;"MERCADORIAS P/REVENDA",Report!$C$10:$C$604,A23)</f>
        <v>0</v>
      </c>
      <c r="C23" s="31" t="n">
        <f aca="false">SUMIFS(Report!$U$10:$U$604,Report!$T$10:$T$604,"MERCADORIAS P/REVENDA",Report!$C$10:$C$604,A23)</f>
        <v>0</v>
      </c>
      <c r="F23" s="31" t="n">
        <f aca="false">B23+C23</f>
        <v>0</v>
      </c>
    </row>
    <row r="24" customFormat="false" ht="15" hidden="false" customHeight="true" outlineLevel="0" collapsed="false">
      <c r="A24" s="32" t="s">
        <v>672</v>
      </c>
      <c r="B24" s="33" t="n">
        <f aca="false">SUM(B17:B23)</f>
        <v>0</v>
      </c>
      <c r="C24" s="33" t="n">
        <f aca="false">SUM(C17:C23)</f>
        <v>0</v>
      </c>
      <c r="F24" s="33" t="n">
        <f aca="false">B24+C24</f>
        <v>0</v>
      </c>
    </row>
    <row r="25" customFormat="false" ht="15" hidden="false" customHeight="true" outlineLevel="0" collapsed="false">
      <c r="A25" s="24" t="n">
        <v>46042</v>
      </c>
      <c r="B25" s="26" t="n">
        <f aca="false">SUMIFS(Report!$U$10:$U$604,Report!$T$10:$T$604,"&lt;&gt;"&amp;"MERCADORIAS P/REVENDA",Report!$C$10:$C$604,A25)</f>
        <v>0</v>
      </c>
      <c r="C25" s="26" t="n">
        <f aca="false">SUMIFS(Report!$U$10:$U$604,Report!$T$10:$T$604,"MERCADORIAS P/REVENDA",Report!$C$10:$C$604,A25)</f>
        <v>0</v>
      </c>
      <c r="F25" s="26" t="n">
        <f aca="false">B25+C25</f>
        <v>0</v>
      </c>
    </row>
    <row r="26" customFormat="false" ht="15" hidden="false" customHeight="true" outlineLevel="0" collapsed="false">
      <c r="A26" s="24" t="n">
        <v>46043</v>
      </c>
      <c r="B26" s="26" t="n">
        <f aca="false">SUMIFS(Report!$U$10:$U$604,Report!$T$10:$T$604,"&lt;&gt;"&amp;"MERCADORIAS P/REVENDA",Report!$C$10:$C$604,A26)</f>
        <v>0</v>
      </c>
      <c r="C26" s="26" t="n">
        <f aca="false">SUMIFS(Report!$U$10:$U$604,Report!$T$10:$T$604,"MERCADORIAS P/REVENDA",Report!$C$10:$C$604,A26)</f>
        <v>0</v>
      </c>
      <c r="F26" s="26" t="n">
        <f aca="false">B26+C26</f>
        <v>0</v>
      </c>
    </row>
    <row r="27" customFormat="false" ht="15" hidden="false" customHeight="true" outlineLevel="0" collapsed="false">
      <c r="A27" s="24" t="n">
        <v>46044</v>
      </c>
      <c r="B27" s="26" t="n">
        <f aca="false">SUMIFS(Report!$U$10:$U$604,Report!$T$10:$T$604,"&lt;&gt;"&amp;"MERCADORIAS P/REVENDA",Report!$C$10:$C$604,A27)</f>
        <v>0</v>
      </c>
      <c r="C27" s="26" t="n">
        <f aca="false">SUMIFS(Report!$U$10:$U$604,Report!$T$10:$T$604,"MERCADORIAS P/REVENDA",Report!$C$10:$C$604,A27)</f>
        <v>0</v>
      </c>
      <c r="F27" s="26" t="n">
        <f aca="false">B27+C27</f>
        <v>0</v>
      </c>
    </row>
    <row r="28" customFormat="false" ht="15" hidden="false" customHeight="true" outlineLevel="0" collapsed="false">
      <c r="A28" s="24" t="n">
        <v>46045</v>
      </c>
      <c r="B28" s="26" t="n">
        <f aca="false">SUMIFS(Report!$U$10:$U$604,Report!$T$10:$T$604,"&lt;&gt;"&amp;"MERCADORIAS P/REVENDA",Report!$C$10:$C$604,A28)</f>
        <v>0</v>
      </c>
      <c r="C28" s="26" t="n">
        <f aca="false">SUMIFS(Report!$U$10:$U$604,Report!$T$10:$T$604,"MERCADORIAS P/REVENDA",Report!$C$10:$C$604,A28)</f>
        <v>0</v>
      </c>
      <c r="F28" s="26" t="n">
        <f aca="false">B28+C28</f>
        <v>0</v>
      </c>
    </row>
    <row r="29" customFormat="false" ht="15" hidden="false" customHeight="true" outlineLevel="0" collapsed="false">
      <c r="A29" s="30" t="n">
        <v>46046</v>
      </c>
      <c r="B29" s="31" t="n">
        <f aca="false">SUMIFS(Report!$U$10:$U$604,Report!$T$10:$T$604,"&lt;&gt;"&amp;"MERCADORIAS P/REVENDA",Report!$C$10:$C$604,A29)</f>
        <v>0</v>
      </c>
      <c r="C29" s="31" t="n">
        <f aca="false">SUMIFS(Report!$U$10:$U$604,Report!$T$10:$T$604,"MERCADORIAS P/REVENDA",Report!$C$10:$C$604,A29)</f>
        <v>0</v>
      </c>
      <c r="F29" s="31" t="n">
        <f aca="false">B29+C29</f>
        <v>0</v>
      </c>
    </row>
    <row r="30" customFormat="false" ht="15" hidden="false" customHeight="true" outlineLevel="0" collapsed="false">
      <c r="A30" s="30" t="n">
        <v>46047</v>
      </c>
      <c r="B30" s="31" t="n">
        <f aca="false">SUMIFS(Report!$U$10:$U$604,Report!$T$10:$T$604,"&lt;&gt;"&amp;"MERCADORIAS P/REVENDA",Report!$C$10:$C$604,A30)</f>
        <v>0</v>
      </c>
      <c r="C30" s="31" t="n">
        <f aca="false">SUMIFS(Report!$U$10:$U$604,Report!$T$10:$T$604,"MERCADORIAS P/REVENDA",Report!$C$10:$C$604,A30)</f>
        <v>0</v>
      </c>
      <c r="F30" s="31" t="n">
        <f aca="false">B30+C30</f>
        <v>0</v>
      </c>
    </row>
    <row r="31" customFormat="false" ht="15" hidden="false" customHeight="true" outlineLevel="0" collapsed="false">
      <c r="A31" s="30" t="n">
        <v>46048</v>
      </c>
      <c r="B31" s="31" t="n">
        <f aca="false">SUMIFS(Report!$U$10:$U$604,Report!$T$10:$T$604,"&lt;&gt;"&amp;"MERCADORIAS P/REVENDA",Report!$C$10:$C$604,A31)</f>
        <v>0</v>
      </c>
      <c r="C31" s="31" t="n">
        <f aca="false">SUMIFS(Report!$U$10:$U$604,Report!$T$10:$T$604,"MERCADORIAS P/REVENDA",Report!$C$10:$C$604,A31)</f>
        <v>0</v>
      </c>
      <c r="F31" s="31" t="n">
        <f aca="false">B31+C31</f>
        <v>0</v>
      </c>
    </row>
    <row r="32" customFormat="false" ht="15" hidden="false" customHeight="true" outlineLevel="0" collapsed="false">
      <c r="A32" s="32" t="s">
        <v>673</v>
      </c>
      <c r="B32" s="33" t="n">
        <f aca="false">SUM(B25:B31)</f>
        <v>0</v>
      </c>
      <c r="C32" s="33" t="n">
        <f aca="false">SUM(C25:C31)</f>
        <v>0</v>
      </c>
      <c r="F32" s="33" t="n">
        <f aca="false">B32+C32</f>
        <v>0</v>
      </c>
    </row>
    <row r="33" customFormat="false" ht="15" hidden="false" customHeight="true" outlineLevel="0" collapsed="false">
      <c r="A33" s="24" t="n">
        <v>46049</v>
      </c>
      <c r="B33" s="26" t="n">
        <f aca="false">SUMIFS(Report!$U$10:$U$604,Report!$T$10:$T$604,"&lt;&gt;"&amp;"MERCADORIAS P/REVENDA",Report!$C$10:$C$604,A33)</f>
        <v>0</v>
      </c>
      <c r="C33" s="26" t="n">
        <f aca="false">SUMIFS(Report!$U$10:$U$604,Report!$T$10:$T$604,"MERCADORIAS P/REVENDA",Report!$C$10:$C$604,A33)</f>
        <v>0</v>
      </c>
      <c r="F33" s="26" t="n">
        <f aca="false">B33+C33</f>
        <v>0</v>
      </c>
    </row>
    <row r="34" customFormat="false" ht="15" hidden="false" customHeight="true" outlineLevel="0" collapsed="false">
      <c r="A34" s="24" t="n">
        <v>46050</v>
      </c>
      <c r="B34" s="26" t="n">
        <f aca="false">SUMIFS(Report!$U$10:$U$604,Report!$T$10:$T$604,"&lt;&gt;"&amp;"MERCADORIAS P/REVENDA",Report!$C$10:$C$604,A34)</f>
        <v>0</v>
      </c>
      <c r="C34" s="26" t="n">
        <f aca="false">SUMIFS(Report!$U$10:$U$604,Report!$T$10:$T$604,"MERCADORIAS P/REVENDA",Report!$C$10:$C$604,A34)</f>
        <v>0</v>
      </c>
      <c r="F34" s="26" t="n">
        <f aca="false">B34+C34</f>
        <v>0</v>
      </c>
    </row>
    <row r="35" customFormat="false" ht="15" hidden="false" customHeight="true" outlineLevel="0" collapsed="false">
      <c r="A35" s="24" t="n">
        <v>46051</v>
      </c>
      <c r="B35" s="26" t="n">
        <f aca="false">SUMIFS(Report!$U$10:$U$604,Report!$T$10:$T$604,"&lt;&gt;"&amp;"MERCADORIAS P/REVENDA",Report!$C$10:$C$604,A35)</f>
        <v>0</v>
      </c>
      <c r="C35" s="26" t="n">
        <f aca="false">SUMIFS(Report!$U$10:$U$604,Report!$T$10:$T$604,"MERCADORIAS P/REVENDA",Report!$C$10:$C$604,A35)</f>
        <v>0</v>
      </c>
      <c r="F35" s="26" t="n">
        <f aca="false">B35+C35</f>
        <v>0</v>
      </c>
    </row>
    <row r="36" customFormat="false" ht="15" hidden="false" customHeight="true" outlineLevel="0" collapsed="false">
      <c r="A36" s="24" t="n">
        <v>46052</v>
      </c>
      <c r="B36" s="26" t="n">
        <f aca="false">SUMIFS(Report!$U$10:$U$604,Report!$T$10:$T$604,"&lt;&gt;"&amp;"MERCADORIAS P/REVENDA",Report!$C$10:$C$604,A36)</f>
        <v>0</v>
      </c>
      <c r="C36" s="26" t="n">
        <f aca="false">SUMIFS(Report!$U$10:$U$604,Report!$T$10:$T$604,"MERCADORIAS P/REVENDA",Report!$C$10:$C$604,A36)</f>
        <v>0</v>
      </c>
      <c r="F36" s="26" t="n">
        <f aca="false">B36+C36</f>
        <v>0</v>
      </c>
    </row>
    <row r="37" customFormat="false" ht="15" hidden="false" customHeight="true" outlineLevel="0" collapsed="false">
      <c r="A37" s="30" t="n">
        <v>46053</v>
      </c>
      <c r="B37" s="31" t="n">
        <f aca="false">SUMIFS(Report!$U$10:$U$604,Report!$T$10:$T$604,"&lt;&gt;"&amp;"MERCADORIAS P/REVENDA",Report!$C$10:$C$604,A37)</f>
        <v>0</v>
      </c>
      <c r="C37" s="31" t="n">
        <f aca="false">SUMIFS(Report!$U$10:$U$604,Report!$T$10:$T$604,"MERCADORIAS P/REVENDA",Report!$C$10:$C$604,A37)</f>
        <v>0</v>
      </c>
      <c r="F37" s="31" t="n">
        <f aca="false">B37+C37</f>
        <v>0</v>
      </c>
    </row>
    <row r="38" customFormat="false" ht="15" hidden="false" customHeight="true" outlineLevel="0" collapsed="false">
      <c r="A38" s="30" t="n">
        <v>46054</v>
      </c>
      <c r="B38" s="31" t="n">
        <f aca="false">SUMIFS(Report!$U$10:$U$604,Report!$T$10:$T$604,"&lt;&gt;"&amp;"MERCADORIAS P/REVENDA",Report!$C$10:$C$604,A38)</f>
        <v>0</v>
      </c>
      <c r="C38" s="31" t="n">
        <f aca="false">SUMIFS(Report!$U$10:$U$604,Report!$T$10:$T$604,"MERCADORIAS P/REVENDA",Report!$C$10:$C$604,A38)</f>
        <v>0</v>
      </c>
      <c r="F38" s="31" t="n">
        <f aca="false">B38+C38</f>
        <v>0</v>
      </c>
    </row>
    <row r="39" customFormat="false" ht="15" hidden="false" customHeight="true" outlineLevel="0" collapsed="false">
      <c r="A39" s="30" t="n">
        <v>46055</v>
      </c>
      <c r="B39" s="31" t="n">
        <f aca="false">SUMIFS(Report!$U$10:$U$604,Report!$T$10:$T$604,"&lt;&gt;"&amp;"MERCADORIAS P/REVENDA",Report!$C$10:$C$604,A39)</f>
        <v>0</v>
      </c>
      <c r="C39" s="31" t="n">
        <f aca="false">SUMIFS(Report!$U$10:$U$604,Report!$T$10:$T$604,"MERCADORIAS P/REVENDA",Report!$C$10:$C$604,A39)</f>
        <v>0</v>
      </c>
      <c r="F39" s="31" t="n">
        <f aca="false">B39+C39</f>
        <v>0</v>
      </c>
    </row>
    <row r="40" customFormat="false" ht="15" hidden="false" customHeight="true" outlineLevel="0" collapsed="false">
      <c r="A40" s="32" t="s">
        <v>674</v>
      </c>
      <c r="B40" s="33" t="n">
        <f aca="false">SUM(B33:B39)</f>
        <v>0</v>
      </c>
      <c r="C40" s="33" t="n">
        <f aca="false">SUM(C33:C39)</f>
        <v>0</v>
      </c>
      <c r="F40" s="33" t="n">
        <f aca="false">B40+C40</f>
        <v>0</v>
      </c>
    </row>
    <row r="41" customFormat="false" ht="15" hidden="false" customHeight="true" outlineLevel="0" collapsed="false">
      <c r="A41" s="24" t="n">
        <v>46056</v>
      </c>
      <c r="B41" s="26" t="n">
        <f aca="false">SUMIFS(Report!$U$10:$U$604,Report!$T$10:$T$604,"&lt;&gt;"&amp;"MERCADORIAS P/REVENDA",Report!$C$10:$C$604,A41)</f>
        <v>0</v>
      </c>
      <c r="C41" s="26" t="n">
        <f aca="false">SUMIFS(Report!$U$10:$U$604,Report!$T$10:$T$604,"MERCADORIAS P/REVENDA",Report!$C$10:$C$604,A41)</f>
        <v>0</v>
      </c>
      <c r="F41" s="26" t="n">
        <f aca="false">B41+C41</f>
        <v>0</v>
      </c>
    </row>
    <row r="42" customFormat="false" ht="15" hidden="false" customHeight="true" outlineLevel="0" collapsed="false">
      <c r="A42" s="24" t="n">
        <v>46057</v>
      </c>
      <c r="B42" s="26" t="n">
        <f aca="false">SUMIFS(Report!$U$10:$U$604,Report!$T$10:$T$604,"&lt;&gt;"&amp;"MERCADORIAS P/REVENDA",Report!$C$10:$C$604,A42)</f>
        <v>0</v>
      </c>
      <c r="C42" s="26" t="n">
        <f aca="false">SUMIFS(Report!$U$10:$U$604,Report!$T$10:$T$604,"MERCADORIAS P/REVENDA",Report!$C$10:$C$604,A42)</f>
        <v>0</v>
      </c>
      <c r="F42" s="26" t="n">
        <f aca="false">B42+C42</f>
        <v>0</v>
      </c>
    </row>
    <row r="43" customFormat="false" ht="15" hidden="false" customHeight="true" outlineLevel="0" collapsed="false">
      <c r="A43" s="24" t="n">
        <v>46058</v>
      </c>
      <c r="B43" s="26" t="n">
        <f aca="false">SUMIFS(Report!$U$10:$U$604,Report!$T$10:$T$604,"&lt;&gt;"&amp;"MERCADORIAS P/REVENDA",Report!$C$10:$C$604,A43)</f>
        <v>0</v>
      </c>
      <c r="C43" s="26" t="n">
        <f aca="false">SUMIFS(Report!$U$10:$U$604,Report!$T$10:$T$604,"MERCADORIAS P/REVENDA",Report!$C$10:$C$604,A43)</f>
        <v>0</v>
      </c>
      <c r="F43" s="26" t="n">
        <f aca="false">B43+C43</f>
        <v>0</v>
      </c>
    </row>
    <row r="44" customFormat="false" ht="15" hidden="false" customHeight="true" outlineLevel="0" collapsed="false">
      <c r="A44" s="24" t="n">
        <v>46059</v>
      </c>
      <c r="B44" s="26" t="n">
        <f aca="false">SUMIFS(Report!$U$10:$U$604,Report!$T$10:$T$604,"&lt;&gt;"&amp;"MERCADORIAS P/REVENDA",Report!$C$10:$C$604,A44)</f>
        <v>0</v>
      </c>
      <c r="C44" s="26" t="n">
        <f aca="false">SUMIFS(Report!$U$10:$U$604,Report!$T$10:$T$604,"MERCADORIAS P/REVENDA",Report!$C$10:$C$604,A44)</f>
        <v>0</v>
      </c>
      <c r="F44" s="26" t="n">
        <f aca="false">B44+C44</f>
        <v>0</v>
      </c>
    </row>
    <row r="45" customFormat="false" ht="15" hidden="false" customHeight="true" outlineLevel="0" collapsed="false">
      <c r="A45" s="30" t="n">
        <v>46060</v>
      </c>
      <c r="B45" s="31" t="n">
        <f aca="false">SUMIFS(Report!$U$10:$U$604,Report!$T$10:$T$604,"&lt;&gt;"&amp;"MERCADORIAS P/REVENDA",Report!$C$10:$C$604,A45)</f>
        <v>0</v>
      </c>
      <c r="C45" s="31" t="n">
        <f aca="false">SUMIFS(Report!$U$10:$U$604,Report!$T$10:$T$604,"MERCADORIAS P/REVENDA",Report!$C$10:$C$604,A45)</f>
        <v>0</v>
      </c>
      <c r="F45" s="31" t="n">
        <f aca="false">B45+C45</f>
        <v>0</v>
      </c>
    </row>
    <row r="46" customFormat="false" ht="15" hidden="false" customHeight="true" outlineLevel="0" collapsed="false">
      <c r="A46" s="30" t="n">
        <v>46061</v>
      </c>
      <c r="B46" s="31" t="n">
        <f aca="false">SUMIFS(Report!$U$10:$U$604,Report!$T$10:$T$604,"&lt;&gt;"&amp;"MERCADORIAS P/REVENDA",Report!$C$10:$C$604,A46)</f>
        <v>0</v>
      </c>
      <c r="C46" s="31" t="n">
        <f aca="false">SUMIFS(Report!$U$10:$U$604,Report!$T$10:$T$604,"MERCADORIAS P/REVENDA",Report!$C$10:$C$604,A46)</f>
        <v>0</v>
      </c>
      <c r="F46" s="31" t="n">
        <f aca="false">B46+C46</f>
        <v>0</v>
      </c>
    </row>
    <row r="47" customFormat="false" ht="15" hidden="false" customHeight="true" outlineLevel="0" collapsed="false">
      <c r="A47" s="30" t="n">
        <v>46062</v>
      </c>
      <c r="B47" s="31" t="n">
        <f aca="false">SUMIFS(Report!$U$10:$U$604,Report!$T$10:$T$604,"&lt;&gt;"&amp;"MERCADORIAS P/REVENDA",Report!$C$10:$C$604,A47)</f>
        <v>0</v>
      </c>
      <c r="C47" s="31" t="n">
        <f aca="false">SUMIFS(Report!$U$10:$U$604,Report!$T$10:$T$604,"MERCADORIAS P/REVENDA",Report!$C$10:$C$604,A47)</f>
        <v>0</v>
      </c>
      <c r="F47" s="31" t="n">
        <f aca="false">B47+C47</f>
        <v>0</v>
      </c>
    </row>
    <row r="48" customFormat="false" ht="15" hidden="false" customHeight="true" outlineLevel="0" collapsed="false">
      <c r="A48" s="32" t="s">
        <v>675</v>
      </c>
      <c r="B48" s="33" t="n">
        <f aca="false">SUM(B41:B47)</f>
        <v>0</v>
      </c>
      <c r="C48" s="33" t="n">
        <f aca="false">SUM(C41:C47)</f>
        <v>0</v>
      </c>
      <c r="F48" s="33" t="n">
        <f aca="false">B48+C48</f>
        <v>0</v>
      </c>
    </row>
    <row r="49" customFormat="false" ht="15" hidden="false" customHeight="true" outlineLevel="0" collapsed="false">
      <c r="A49" s="24" t="n">
        <v>46063</v>
      </c>
      <c r="B49" s="26" t="n">
        <f aca="false">SUMIFS(Report!$U$10:$U$604,Report!$T$10:$T$604,"&lt;&gt;"&amp;"MERCADORIAS P/REVENDA",Report!$C$10:$C$604,A49)</f>
        <v>0</v>
      </c>
      <c r="C49" s="26" t="n">
        <f aca="false">SUMIFS(Report!$U$10:$U$604,Report!$T$10:$T$604,"MERCADORIAS P/REVENDA",Report!$C$10:$C$604,A49)</f>
        <v>0</v>
      </c>
      <c r="F49" s="26" t="n">
        <f aca="false">B49+C49</f>
        <v>0</v>
      </c>
    </row>
    <row r="50" customFormat="false" ht="15" hidden="false" customHeight="true" outlineLevel="0" collapsed="false">
      <c r="A50" s="24" t="n">
        <v>46064</v>
      </c>
      <c r="B50" s="26" t="n">
        <f aca="false">SUMIFS(Report!$U$10:$U$604,Report!$T$10:$T$604,"&lt;&gt;"&amp;"MERCADORIAS P/REVENDA",Report!$C$10:$C$604,A50)</f>
        <v>0</v>
      </c>
      <c r="C50" s="26" t="n">
        <f aca="false">SUMIFS(Report!$U$10:$U$604,Report!$T$10:$T$604,"MERCADORIAS P/REVENDA",Report!$C$10:$C$604,A50)</f>
        <v>0</v>
      </c>
      <c r="F50" s="26" t="n">
        <f aca="false">B50+C50</f>
        <v>0</v>
      </c>
    </row>
    <row r="51" customFormat="false" ht="15" hidden="false" customHeight="true" outlineLevel="0" collapsed="false">
      <c r="A51" s="24" t="n">
        <v>46065</v>
      </c>
      <c r="B51" s="26" t="n">
        <f aca="false">SUMIFS(Report!$U$10:$U$604,Report!$T$10:$T$604,"&lt;&gt;"&amp;"MERCADORIAS P/REVENDA",Report!$C$10:$C$604,A51)</f>
        <v>0</v>
      </c>
      <c r="C51" s="26" t="n">
        <f aca="false">SUMIFS(Report!$U$10:$U$604,Report!$T$10:$T$604,"MERCADORIAS P/REVENDA",Report!$C$10:$C$604,A51)</f>
        <v>0</v>
      </c>
      <c r="F51" s="26" t="n">
        <f aca="false">B51+C51</f>
        <v>0</v>
      </c>
    </row>
    <row r="52" customFormat="false" ht="15" hidden="false" customHeight="true" outlineLevel="0" collapsed="false">
      <c r="A52" s="24" t="n">
        <v>46066</v>
      </c>
      <c r="B52" s="26" t="n">
        <f aca="false">SUMIFS(Report!$U$10:$U$604,Report!$T$10:$T$604,"&lt;&gt;"&amp;"MERCADORIAS P/REVENDA",Report!$C$10:$C$604,A52)</f>
        <v>0</v>
      </c>
      <c r="C52" s="26" t="n">
        <f aca="false">SUMIFS(Report!$U$10:$U$604,Report!$T$10:$T$604,"MERCADORIAS P/REVENDA",Report!$C$10:$C$604,A52)</f>
        <v>0</v>
      </c>
      <c r="F52" s="26" t="n">
        <f aca="false">B52+C52</f>
        <v>0</v>
      </c>
    </row>
    <row r="53" customFormat="false" ht="15" hidden="false" customHeight="true" outlineLevel="0" collapsed="false">
      <c r="A53" s="30" t="n">
        <v>46067</v>
      </c>
      <c r="B53" s="31" t="n">
        <f aca="false">SUMIFS(Report!$U$10:$U$604,Report!$T$10:$T$604,"&lt;&gt;"&amp;"MERCADORIAS P/REVENDA",Report!$C$10:$C$604,A53)</f>
        <v>0</v>
      </c>
      <c r="C53" s="31" t="n">
        <f aca="false">SUMIFS(Report!$U$10:$U$604,Report!$T$10:$T$604,"MERCADORIAS P/REVENDA",Report!$C$10:$C$604,A53)</f>
        <v>0</v>
      </c>
      <c r="F53" s="31" t="n">
        <f aca="false">B53+C53</f>
        <v>0</v>
      </c>
    </row>
    <row r="54" customFormat="false" ht="15" hidden="false" customHeight="true" outlineLevel="0" collapsed="false">
      <c r="A54" s="30" t="n">
        <v>46068</v>
      </c>
      <c r="B54" s="31" t="n">
        <f aca="false">SUMIFS(Report!$U$10:$U$604,Report!$T$10:$T$604,"&lt;&gt;"&amp;"MERCADORIAS P/REVENDA",Report!$C$10:$C$604,A54)</f>
        <v>0</v>
      </c>
      <c r="C54" s="31" t="n">
        <f aca="false">SUMIFS(Report!$U$10:$U$604,Report!$T$10:$T$604,"MERCADORIAS P/REVENDA",Report!$C$10:$C$604,A54)</f>
        <v>0</v>
      </c>
      <c r="F54" s="31" t="n">
        <f aca="false">B54+C54</f>
        <v>0</v>
      </c>
    </row>
    <row r="55" customFormat="false" ht="15" hidden="false" customHeight="true" outlineLevel="0" collapsed="false">
      <c r="A55" s="30" t="n">
        <v>46069</v>
      </c>
      <c r="B55" s="31" t="n">
        <f aca="false">SUMIFS(Report!$U$10:$U$604,Report!$T$10:$T$604,"&lt;&gt;"&amp;"MERCADORIAS P/REVENDA",Report!$C$10:$C$604,A55)</f>
        <v>0</v>
      </c>
      <c r="C55" s="31" t="n">
        <f aca="false">SUMIFS(Report!$U$10:$U$604,Report!$T$10:$T$604,"MERCADORIAS P/REVENDA",Report!$C$10:$C$604,A55)</f>
        <v>0</v>
      </c>
      <c r="F55" s="31" t="n">
        <f aca="false">B55+C55</f>
        <v>0</v>
      </c>
    </row>
    <row r="56" customFormat="false" ht="15" hidden="false" customHeight="true" outlineLevel="0" collapsed="false">
      <c r="A56" s="32" t="s">
        <v>676</v>
      </c>
      <c r="B56" s="33" t="n">
        <f aca="false">SUM(B49:B55)</f>
        <v>0</v>
      </c>
      <c r="C56" s="33" t="n">
        <f aca="false">SUM(C49:C55)</f>
        <v>0</v>
      </c>
      <c r="F56" s="33" t="n">
        <f aca="false">B56+C56</f>
        <v>0</v>
      </c>
    </row>
    <row r="57" customFormat="false" ht="15" hidden="false" customHeight="true" outlineLevel="0" collapsed="false">
      <c r="A57" s="24" t="n">
        <v>46070</v>
      </c>
      <c r="B57" s="26" t="n">
        <f aca="false">SUMIFS(Report!$U$10:$U$604,Report!$T$10:$T$604,"&lt;&gt;"&amp;"MERCADORIAS P/REVENDA",Report!$C$10:$C$604,A57)</f>
        <v>0</v>
      </c>
      <c r="C57" s="26" t="n">
        <f aca="false">SUMIFS(Report!$U$10:$U$604,Report!$T$10:$T$604,"MERCADORIAS P/REVENDA",Report!$C$10:$C$604,A57)</f>
        <v>0</v>
      </c>
      <c r="F57" s="26" t="n">
        <f aca="false">B57+C57</f>
        <v>0</v>
      </c>
    </row>
    <row r="58" customFormat="false" ht="15" hidden="false" customHeight="true" outlineLevel="0" collapsed="false">
      <c r="A58" s="24" t="n">
        <v>46071</v>
      </c>
      <c r="B58" s="26" t="n">
        <f aca="false">SUMIFS(Report!$U$10:$U$604,Report!$T$10:$T$604,"&lt;&gt;"&amp;"MERCADORIAS P/REVENDA",Report!$C$10:$C$604,A58)</f>
        <v>0</v>
      </c>
      <c r="C58" s="26" t="n">
        <f aca="false">SUMIFS(Report!$U$10:$U$604,Report!$T$10:$T$604,"MERCADORIAS P/REVENDA",Report!$C$10:$C$604,A58)</f>
        <v>0</v>
      </c>
      <c r="F58" s="26" t="n">
        <f aca="false">B58+C58</f>
        <v>0</v>
      </c>
    </row>
    <row r="59" customFormat="false" ht="15" hidden="false" customHeight="true" outlineLevel="0" collapsed="false">
      <c r="A59" s="24" t="n">
        <v>46072</v>
      </c>
      <c r="B59" s="26" t="n">
        <f aca="false">SUMIFS(Report!$U$10:$U$604,Report!$T$10:$T$604,"&lt;&gt;"&amp;"MERCADORIAS P/REVENDA",Report!$C$10:$C$604,A59)</f>
        <v>0</v>
      </c>
      <c r="C59" s="26" t="n">
        <f aca="false">SUMIFS(Report!$U$10:$U$604,Report!$T$10:$T$604,"MERCADORIAS P/REVENDA",Report!$C$10:$C$604,A59)</f>
        <v>0</v>
      </c>
      <c r="F59" s="26" t="n">
        <f aca="false">B59+C59</f>
        <v>0</v>
      </c>
    </row>
    <row r="60" customFormat="false" ht="15" hidden="false" customHeight="true" outlineLevel="0" collapsed="false">
      <c r="A60" s="24" t="n">
        <v>46073</v>
      </c>
      <c r="B60" s="26" t="n">
        <f aca="false">SUMIFS(Report!$U$10:$U$604,Report!$T$10:$T$604,"&lt;&gt;"&amp;"MERCADORIAS P/REVENDA",Report!$C$10:$C$604,A60)</f>
        <v>0</v>
      </c>
      <c r="C60" s="26" t="n">
        <f aca="false">SUMIFS(Report!$U$10:$U$604,Report!$T$10:$T$604,"MERCADORIAS P/REVENDA",Report!$C$10:$C$604,A60)</f>
        <v>0</v>
      </c>
      <c r="F60" s="26" t="n">
        <f aca="false">B60+C60</f>
        <v>0</v>
      </c>
    </row>
    <row r="61" customFormat="false" ht="15" hidden="false" customHeight="true" outlineLevel="0" collapsed="false">
      <c r="A61" s="30" t="n">
        <v>46074</v>
      </c>
      <c r="B61" s="31" t="n">
        <f aca="false">SUMIFS(Report!$U$10:$U$604,Report!$T$10:$T$604,"&lt;&gt;"&amp;"MERCADORIAS P/REVENDA",Report!$C$10:$C$604,A61)</f>
        <v>0</v>
      </c>
      <c r="C61" s="31" t="n">
        <f aca="false">SUMIFS(Report!$U$10:$U$604,Report!$T$10:$T$604,"MERCADORIAS P/REVENDA",Report!$C$10:$C$604,A61)</f>
        <v>0</v>
      </c>
      <c r="F61" s="31" t="n">
        <f aca="false">B61+C61</f>
        <v>0</v>
      </c>
    </row>
    <row r="62" customFormat="false" ht="15" hidden="false" customHeight="true" outlineLevel="0" collapsed="false">
      <c r="A62" s="30" t="n">
        <v>46075</v>
      </c>
      <c r="B62" s="31" t="n">
        <f aca="false">SUMIFS(Report!$U$10:$U$604,Report!$T$10:$T$604,"&lt;&gt;"&amp;"MERCADORIAS P/REVENDA",Report!$C$10:$C$604,A62)</f>
        <v>0</v>
      </c>
      <c r="C62" s="31" t="n">
        <f aca="false">SUMIFS(Report!$U$10:$U$604,Report!$T$10:$T$604,"MERCADORIAS P/REVENDA",Report!$C$10:$C$604,A62)</f>
        <v>0</v>
      </c>
      <c r="F62" s="31" t="n">
        <f aca="false">B62+C62</f>
        <v>0</v>
      </c>
    </row>
    <row r="63" customFormat="false" ht="15" hidden="false" customHeight="true" outlineLevel="0" collapsed="false">
      <c r="A63" s="30" t="n">
        <v>46076</v>
      </c>
      <c r="B63" s="31" t="n">
        <f aca="false">SUMIFS(Report!$U$10:$U$604,Report!$T$10:$T$604,"&lt;&gt;"&amp;"MERCADORIAS P/REVENDA",Report!$C$10:$C$604,A63)</f>
        <v>0</v>
      </c>
      <c r="C63" s="31" t="n">
        <f aca="false">SUMIFS(Report!$U$10:$U$604,Report!$T$10:$T$604,"MERCADORIAS P/REVENDA",Report!$C$10:$C$604,A63)</f>
        <v>0</v>
      </c>
      <c r="F63" s="31" t="n">
        <f aca="false">B63+C63</f>
        <v>0</v>
      </c>
    </row>
    <row r="64" customFormat="false" ht="15" hidden="false" customHeight="true" outlineLevel="0" collapsed="false">
      <c r="A64" s="32" t="s">
        <v>677</v>
      </c>
      <c r="B64" s="33" t="n">
        <f aca="false">SUM(B57:B63)</f>
        <v>0</v>
      </c>
      <c r="C64" s="33" t="n">
        <f aca="false">SUM(C57:C63)</f>
        <v>0</v>
      </c>
      <c r="F64" s="33" t="n">
        <f aca="false">B64+C64</f>
        <v>0</v>
      </c>
    </row>
    <row r="65" customFormat="false" ht="15" hidden="false" customHeight="true" outlineLevel="0" collapsed="false">
      <c r="A65" s="24" t="n">
        <v>46077</v>
      </c>
      <c r="B65" s="26" t="n">
        <f aca="false">SUMIFS(Report!$U$10:$U$604,Report!$T$10:$T$604,"&lt;&gt;"&amp;"MERCADORIAS P/REVENDA",Report!$C$10:$C$604,A65)</f>
        <v>0</v>
      </c>
      <c r="C65" s="26" t="n">
        <f aca="false">SUMIFS(Report!$U$10:$U$604,Report!$T$10:$T$604,"MERCADORIAS P/REVENDA",Report!$C$10:$C$604,A65)</f>
        <v>0</v>
      </c>
      <c r="F65" s="26" t="n">
        <f aca="false">B65+C65</f>
        <v>0</v>
      </c>
    </row>
    <row r="66" customFormat="false" ht="15" hidden="false" customHeight="true" outlineLevel="0" collapsed="false">
      <c r="A66" s="24" t="n">
        <v>46078</v>
      </c>
      <c r="B66" s="26" t="n">
        <f aca="false">SUMIFS(Report!$U$10:$U$604,Report!$T$10:$T$604,"&lt;&gt;"&amp;"MERCADORIAS P/REVENDA",Report!$C$10:$C$604,A66)</f>
        <v>0</v>
      </c>
      <c r="C66" s="26" t="n">
        <f aca="false">SUMIFS(Report!$U$10:$U$604,Report!$T$10:$T$604,"MERCADORIAS P/REVENDA",Report!$C$10:$C$604,A66)</f>
        <v>0</v>
      </c>
      <c r="F66" s="26" t="n">
        <f aca="false">B66+C66</f>
        <v>0</v>
      </c>
    </row>
    <row r="67" customFormat="false" ht="15" hidden="false" customHeight="true" outlineLevel="0" collapsed="false">
      <c r="A67" s="24" t="n">
        <v>46079</v>
      </c>
      <c r="B67" s="26" t="n">
        <f aca="false">SUMIFS(Report!$U$10:$U$604,Report!$T$10:$T$604,"&lt;&gt;"&amp;"MERCADORIAS P/REVENDA",Report!$C$10:$C$604,A67)</f>
        <v>0</v>
      </c>
      <c r="C67" s="26" t="n">
        <f aca="false">SUMIFS(Report!$U$10:$U$604,Report!$T$10:$T$604,"MERCADORIAS P/REVENDA",Report!$C$10:$C$604,A67)</f>
        <v>0</v>
      </c>
      <c r="F67" s="26" t="n">
        <f aca="false">B67+C67</f>
        <v>0</v>
      </c>
    </row>
    <row r="68" customFormat="false" ht="15" hidden="false" customHeight="true" outlineLevel="0" collapsed="false">
      <c r="A68" s="24" t="n">
        <v>46080</v>
      </c>
      <c r="B68" s="26" t="n">
        <f aca="false">SUMIFS(Report!$U$10:$U$604,Report!$T$10:$T$604,"&lt;&gt;"&amp;"MERCADORIAS P/REVENDA",Report!$C$10:$C$604,A68)</f>
        <v>0</v>
      </c>
      <c r="C68" s="26" t="n">
        <f aca="false">SUMIFS(Report!$U$10:$U$604,Report!$T$10:$T$604,"MERCADORIAS P/REVENDA",Report!$C$10:$C$604,A68)</f>
        <v>0</v>
      </c>
      <c r="F68" s="26" t="n">
        <f aca="false">B68+C68</f>
        <v>0</v>
      </c>
    </row>
    <row r="69" customFormat="false" ht="15" hidden="false" customHeight="true" outlineLevel="0" collapsed="false">
      <c r="A69" s="30" t="n">
        <v>46081</v>
      </c>
      <c r="B69" s="31" t="n">
        <f aca="false">SUMIFS(Report!$U$10:$U$604,Report!$T$10:$T$604,"&lt;&gt;"&amp;"MERCADORIAS P/REVENDA",Report!$C$10:$C$604,A69)</f>
        <v>0</v>
      </c>
      <c r="C69" s="31" t="n">
        <f aca="false">SUMIFS(Report!$U$10:$U$604,Report!$T$10:$T$604,"MERCADORIAS P/REVENDA",Report!$C$10:$C$604,A69)</f>
        <v>0</v>
      </c>
      <c r="F69" s="31" t="n">
        <f aca="false">B69+C69</f>
        <v>0</v>
      </c>
    </row>
    <row r="70" customFormat="false" ht="15" hidden="false" customHeight="true" outlineLevel="0" collapsed="false">
      <c r="A70" s="30" t="n">
        <v>46082</v>
      </c>
      <c r="B70" s="31" t="n">
        <f aca="false">SUMIFS(Report!$U$10:$U$604,Report!$T$10:$T$604,"&lt;&gt;"&amp;"MERCADORIAS P/REVENDA",Report!$C$10:$C$604,A70)</f>
        <v>0</v>
      </c>
      <c r="C70" s="31" t="n">
        <f aca="false">SUMIFS(Report!$U$10:$U$604,Report!$T$10:$T$604,"MERCADORIAS P/REVENDA",Report!$C$10:$C$604,A70)</f>
        <v>0</v>
      </c>
      <c r="F70" s="31" t="n">
        <f aca="false">B70+C70</f>
        <v>0</v>
      </c>
    </row>
    <row r="71" customFormat="false" ht="15" hidden="false" customHeight="true" outlineLevel="0" collapsed="false">
      <c r="A71" s="30" t="n">
        <v>46083</v>
      </c>
      <c r="B71" s="31" t="n">
        <f aca="false">SUMIFS(Report!$U$10:$U$604,Report!$T$10:$T$604,"&lt;&gt;"&amp;"MERCADORIAS P/REVENDA",Report!$C$10:$C$604,A71)</f>
        <v>0</v>
      </c>
      <c r="C71" s="31" t="n">
        <f aca="false">SUMIFS(Report!$U$10:$U$604,Report!$T$10:$T$604,"MERCADORIAS P/REVENDA",Report!$C$10:$C$604,A71)</f>
        <v>0</v>
      </c>
      <c r="F71" s="31" t="n">
        <f aca="false">B71+C71</f>
        <v>0</v>
      </c>
    </row>
    <row r="72" customFormat="false" ht="15" hidden="false" customHeight="true" outlineLevel="0" collapsed="false">
      <c r="A72" s="32" t="s">
        <v>678</v>
      </c>
      <c r="B72" s="33" t="n">
        <f aca="false">SUM(B65:B71)</f>
        <v>0</v>
      </c>
      <c r="C72" s="33" t="n">
        <f aca="false">SUM(C65:C71)</f>
        <v>0</v>
      </c>
      <c r="F72" s="33" t="n">
        <f aca="false">B72+C72</f>
        <v>0</v>
      </c>
    </row>
    <row r="73" customFormat="false" ht="15" hidden="false" customHeight="true" outlineLevel="0" collapsed="false">
      <c r="A73" s="24" t="n">
        <v>46084</v>
      </c>
      <c r="B73" s="26" t="n">
        <f aca="false">SUMIFS(Report!$U$10:$U$604,Report!$T$10:$T$604,"&lt;&gt;"&amp;"MERCADORIAS P/REVENDA",Report!$C$10:$C$604,A73)</f>
        <v>0</v>
      </c>
      <c r="C73" s="26" t="n">
        <f aca="false">SUMIFS(Report!$U$10:$U$604,Report!$T$10:$T$604,"MERCADORIAS P/REVENDA",Report!$C$10:$C$604,A73)</f>
        <v>0</v>
      </c>
      <c r="F73" s="26" t="n">
        <f aca="false">B73+C73</f>
        <v>0</v>
      </c>
    </row>
    <row r="74" customFormat="false" ht="15" hidden="false" customHeight="true" outlineLevel="0" collapsed="false">
      <c r="A74" s="24" t="n">
        <v>46085</v>
      </c>
      <c r="B74" s="26" t="n">
        <f aca="false">SUMIFS(Report!$U$10:$U$604,Report!$T$10:$T$604,"&lt;&gt;"&amp;"MERCADORIAS P/REVENDA",Report!$C$10:$C$604,A74)</f>
        <v>0</v>
      </c>
      <c r="C74" s="26" t="n">
        <f aca="false">SUMIFS(Report!$U$10:$U$604,Report!$T$10:$T$604,"MERCADORIAS P/REVENDA",Report!$C$10:$C$604,A74)</f>
        <v>0</v>
      </c>
      <c r="F74" s="26" t="n">
        <f aca="false">B74+C74</f>
        <v>0</v>
      </c>
    </row>
    <row r="75" customFormat="false" ht="15" hidden="false" customHeight="true" outlineLevel="0" collapsed="false">
      <c r="A75" s="24" t="n">
        <v>46086</v>
      </c>
      <c r="B75" s="26" t="n">
        <f aca="false">SUMIFS(Report!$U$10:$U$604,Report!$T$10:$T$604,"&lt;&gt;"&amp;"MERCADORIAS P/REVENDA",Report!$C$10:$C$604,A75)</f>
        <v>0</v>
      </c>
      <c r="C75" s="26" t="n">
        <f aca="false">SUMIFS(Report!$U$10:$U$604,Report!$T$10:$T$604,"MERCADORIAS P/REVENDA",Report!$C$10:$C$604,A75)</f>
        <v>0</v>
      </c>
      <c r="F75" s="26" t="n">
        <f aca="false">B75+C75</f>
        <v>0</v>
      </c>
    </row>
    <row r="76" customFormat="false" ht="15" hidden="false" customHeight="true" outlineLevel="0" collapsed="false">
      <c r="A76" s="24" t="n">
        <v>46087</v>
      </c>
      <c r="B76" s="26" t="n">
        <f aca="false">SUMIFS(Report!$U$10:$U$604,Report!$T$10:$T$604,"&lt;&gt;"&amp;"MERCADORIAS P/REVENDA",Report!$C$10:$C$604,A76)</f>
        <v>0</v>
      </c>
      <c r="C76" s="26" t="n">
        <f aca="false">SUMIFS(Report!$U$10:$U$604,Report!$T$10:$T$604,"MERCADORIAS P/REVENDA",Report!$C$10:$C$604,A76)</f>
        <v>0</v>
      </c>
      <c r="F76" s="26" t="n">
        <f aca="false">B76+C76</f>
        <v>0</v>
      </c>
    </row>
    <row r="77" customFormat="false" ht="15" hidden="false" customHeight="true" outlineLevel="0" collapsed="false">
      <c r="A77" s="30" t="n">
        <v>46088</v>
      </c>
      <c r="B77" s="31" t="n">
        <f aca="false">SUMIFS(Report!$U$10:$U$604,Report!$T$10:$T$604,"&lt;&gt;"&amp;"MERCADORIAS P/REVENDA",Report!$C$10:$C$604,A77)</f>
        <v>0</v>
      </c>
      <c r="C77" s="31" t="n">
        <f aca="false">SUMIFS(Report!$U$10:$U$604,Report!$T$10:$T$604,"MERCADORIAS P/REVENDA",Report!$C$10:$C$604,A77)</f>
        <v>0</v>
      </c>
      <c r="F77" s="31" t="n">
        <f aca="false">B77+C77</f>
        <v>0</v>
      </c>
    </row>
    <row r="78" customFormat="false" ht="15" hidden="false" customHeight="true" outlineLevel="0" collapsed="false">
      <c r="A78" s="30" t="n">
        <v>46089</v>
      </c>
      <c r="B78" s="31" t="n">
        <f aca="false">SUMIFS(Report!$U$10:$U$604,Report!$T$10:$T$604,"&lt;&gt;"&amp;"MERCADORIAS P/REVENDA",Report!$C$10:$C$604,A78)</f>
        <v>0</v>
      </c>
      <c r="C78" s="31" t="n">
        <f aca="false">SUMIFS(Report!$U$10:$U$604,Report!$T$10:$T$604,"MERCADORIAS P/REVENDA",Report!$C$10:$C$604,A78)</f>
        <v>0</v>
      </c>
      <c r="F78" s="31" t="n">
        <f aca="false">B78+C78</f>
        <v>0</v>
      </c>
    </row>
    <row r="79" customFormat="false" ht="15" hidden="false" customHeight="true" outlineLevel="0" collapsed="false">
      <c r="A79" s="30" t="n">
        <v>46090</v>
      </c>
      <c r="B79" s="31" t="n">
        <f aca="false">SUMIFS(Report!$U$10:$U$604,Report!$T$10:$T$604,"&lt;&gt;"&amp;"MERCADORIAS P/REVENDA",Report!$C$10:$C$604,A79)</f>
        <v>0</v>
      </c>
      <c r="C79" s="31" t="n">
        <f aca="false">SUMIFS(Report!$U$10:$U$604,Report!$T$10:$T$604,"MERCADORIAS P/REVENDA",Report!$C$10:$C$604,A79)</f>
        <v>0</v>
      </c>
      <c r="F79" s="31" t="n">
        <f aca="false">B79+C79</f>
        <v>0</v>
      </c>
    </row>
    <row r="80" customFormat="false" ht="15" hidden="false" customHeight="true" outlineLevel="0" collapsed="false">
      <c r="A80" s="32" t="s">
        <v>679</v>
      </c>
      <c r="B80" s="33" t="n">
        <f aca="false">SUM(B73:B79)</f>
        <v>0</v>
      </c>
      <c r="C80" s="33" t="n">
        <f aca="false">SUM(C73:C79)</f>
        <v>0</v>
      </c>
      <c r="F80" s="33" t="n">
        <f aca="false">B80+C80</f>
        <v>0</v>
      </c>
    </row>
    <row r="81" customFormat="false" ht="15" hidden="false" customHeight="true" outlineLevel="0" collapsed="false">
      <c r="A81" s="24" t="n">
        <v>46091</v>
      </c>
      <c r="B81" s="26" t="n">
        <f aca="false">SUMIFS(Report!$U$10:$U$604,Report!$T$10:$T$604,"&lt;&gt;"&amp;"MERCADORIAS P/REVENDA",Report!$C$10:$C$604,A81)</f>
        <v>0</v>
      </c>
      <c r="C81" s="26" t="n">
        <f aca="false">SUMIFS(Report!$U$10:$U$604,Report!$T$10:$T$604,"MERCADORIAS P/REVENDA",Report!$C$10:$C$604,A81)</f>
        <v>0</v>
      </c>
      <c r="F81" s="26" t="n">
        <f aca="false">B81+C81</f>
        <v>0</v>
      </c>
    </row>
    <row r="82" customFormat="false" ht="15" hidden="false" customHeight="true" outlineLevel="0" collapsed="false">
      <c r="A82" s="24" t="n">
        <v>46092</v>
      </c>
      <c r="B82" s="26" t="n">
        <f aca="false">SUMIFS(Report!$U$10:$U$604,Report!$T$10:$T$604,"&lt;&gt;"&amp;"MERCADORIAS P/REVENDA",Report!$C$10:$C$604,A82)</f>
        <v>0</v>
      </c>
      <c r="C82" s="26" t="n">
        <f aca="false">SUMIFS(Report!$U$10:$U$604,Report!$T$10:$T$604,"MERCADORIAS P/REVENDA",Report!$C$10:$C$604,A82)</f>
        <v>0</v>
      </c>
      <c r="F82" s="26" t="n">
        <f aca="false">B82+C82</f>
        <v>0</v>
      </c>
    </row>
    <row r="83" customFormat="false" ht="15" hidden="false" customHeight="true" outlineLevel="0" collapsed="false">
      <c r="A83" s="24" t="n">
        <v>46093</v>
      </c>
      <c r="B83" s="26" t="n">
        <f aca="false">SUMIFS(Report!$U$10:$U$604,Report!$T$10:$T$604,"&lt;&gt;"&amp;"MERCADORIAS P/REVENDA",Report!$C$10:$C$604,A83)</f>
        <v>0</v>
      </c>
      <c r="C83" s="26" t="n">
        <f aca="false">SUMIFS(Report!$U$10:$U$604,Report!$T$10:$T$604,"MERCADORIAS P/REVENDA",Report!$C$10:$C$604,A83)</f>
        <v>0</v>
      </c>
      <c r="F83" s="26" t="n">
        <f aca="false">B83+C83</f>
        <v>0</v>
      </c>
    </row>
    <row r="84" customFormat="false" ht="15" hidden="false" customHeight="true" outlineLevel="0" collapsed="false">
      <c r="A84" s="24" t="n">
        <v>46094</v>
      </c>
      <c r="B84" s="26" t="n">
        <f aca="false">SUMIFS(Report!$U$10:$U$604,Report!$T$10:$T$604,"&lt;&gt;"&amp;"MERCADORIAS P/REVENDA",Report!$C$10:$C$604,A84)</f>
        <v>0</v>
      </c>
      <c r="C84" s="26" t="n">
        <f aca="false">SUMIFS(Report!$U$10:$U$604,Report!$T$10:$T$604,"MERCADORIAS P/REVENDA",Report!$C$10:$C$604,A84)</f>
        <v>0</v>
      </c>
      <c r="F84" s="26" t="n">
        <f aca="false">B84+C84</f>
        <v>0</v>
      </c>
    </row>
    <row r="85" customFormat="false" ht="15" hidden="false" customHeight="true" outlineLevel="0" collapsed="false">
      <c r="A85" s="30" t="n">
        <v>46095</v>
      </c>
      <c r="B85" s="31" t="n">
        <f aca="false">SUMIFS(Report!$U$10:$U$604,Report!$T$10:$T$604,"&lt;&gt;"&amp;"MERCADORIAS P/REVENDA",Report!$C$10:$C$604,A85)</f>
        <v>0</v>
      </c>
      <c r="C85" s="31" t="n">
        <f aca="false">SUMIFS(Report!$U$10:$U$604,Report!$T$10:$T$604,"MERCADORIAS P/REVENDA",Report!$C$10:$C$604,A85)</f>
        <v>0</v>
      </c>
      <c r="F85" s="31" t="n">
        <f aca="false">B85+C85</f>
        <v>0</v>
      </c>
    </row>
    <row r="86" customFormat="false" ht="15" hidden="false" customHeight="true" outlineLevel="0" collapsed="false">
      <c r="A86" s="30" t="n">
        <v>46096</v>
      </c>
      <c r="B86" s="31" t="n">
        <f aca="false">SUMIFS(Report!$U$10:$U$604,Report!$T$10:$T$604,"&lt;&gt;"&amp;"MERCADORIAS P/REVENDA",Report!$C$10:$C$604,A86)</f>
        <v>0</v>
      </c>
      <c r="C86" s="31" t="n">
        <f aca="false">SUMIFS(Report!$U$10:$U$604,Report!$T$10:$T$604,"MERCADORIAS P/REVENDA",Report!$C$10:$C$604,A86)</f>
        <v>0</v>
      </c>
      <c r="F86" s="31" t="n">
        <f aca="false">B86+C86</f>
        <v>0</v>
      </c>
    </row>
    <row r="87" customFormat="false" ht="15" hidden="false" customHeight="true" outlineLevel="0" collapsed="false">
      <c r="A87" s="30" t="n">
        <v>46097</v>
      </c>
      <c r="B87" s="31" t="n">
        <f aca="false">SUMIFS(Report!$U$10:$U$604,Report!$T$10:$T$604,"&lt;&gt;"&amp;"MERCADORIAS P/REVENDA",Report!$C$10:$C$604,A87)</f>
        <v>0</v>
      </c>
      <c r="C87" s="31" t="n">
        <f aca="false">SUMIFS(Report!$U$10:$U$604,Report!$T$10:$T$604,"MERCADORIAS P/REVENDA",Report!$C$10:$C$604,A87)</f>
        <v>0</v>
      </c>
      <c r="F87" s="31" t="n">
        <f aca="false">B87+C87</f>
        <v>0</v>
      </c>
    </row>
    <row r="88" customFormat="false" ht="15" hidden="false" customHeight="true" outlineLevel="0" collapsed="false">
      <c r="A88" s="32" t="s">
        <v>680</v>
      </c>
      <c r="B88" s="33" t="n">
        <f aca="false">SUM(B81:B87)</f>
        <v>0</v>
      </c>
      <c r="C88" s="33" t="n">
        <f aca="false">SUM(C81:C87)</f>
        <v>0</v>
      </c>
      <c r="F88" s="33" t="n">
        <f aca="false">B88+C88</f>
        <v>0</v>
      </c>
    </row>
    <row r="89" customFormat="false" ht="15" hidden="false" customHeight="true" outlineLevel="0" collapsed="false">
      <c r="A89" s="24" t="n">
        <v>46098</v>
      </c>
      <c r="B89" s="26" t="n">
        <f aca="false">SUMIFS(Report!$U$10:$U$604,Report!$T$10:$T$604,"&lt;&gt;"&amp;"MERCADORIAS P/REVENDA",Report!$C$10:$C$604,A89)</f>
        <v>0</v>
      </c>
      <c r="C89" s="26" t="n">
        <f aca="false">SUMIFS(Report!$U$10:$U$604,Report!$T$10:$T$604,"MERCADORIAS P/REVENDA",Report!$C$10:$C$604,A89)</f>
        <v>0</v>
      </c>
      <c r="F89" s="26" t="n">
        <f aca="false">B89+C89</f>
        <v>0</v>
      </c>
    </row>
    <row r="90" customFormat="false" ht="15" hidden="false" customHeight="true" outlineLevel="0" collapsed="false">
      <c r="A90" s="24" t="n">
        <v>46099</v>
      </c>
      <c r="B90" s="26" t="n">
        <f aca="false">SUMIFS(Report!$U$10:$U$604,Report!$T$10:$T$604,"&lt;&gt;"&amp;"MERCADORIAS P/REVENDA",Report!$C$10:$C$604,A90)</f>
        <v>0</v>
      </c>
      <c r="C90" s="26" t="n">
        <f aca="false">SUMIFS(Report!$U$10:$U$604,Report!$T$10:$T$604,"MERCADORIAS P/REVENDA",Report!$C$10:$C$604,A90)</f>
        <v>0</v>
      </c>
      <c r="F90" s="26" t="n">
        <f aca="false">B90+C90</f>
        <v>0</v>
      </c>
    </row>
    <row r="91" customFormat="false" ht="15" hidden="false" customHeight="true" outlineLevel="0" collapsed="false">
      <c r="A91" s="24" t="n">
        <v>46100</v>
      </c>
      <c r="B91" s="26" t="n">
        <f aca="false">SUMIFS(Report!$U$10:$U$604,Report!$T$10:$T$604,"&lt;&gt;"&amp;"MERCADORIAS P/REVENDA",Report!$C$10:$C$604,A91)</f>
        <v>0</v>
      </c>
      <c r="C91" s="26" t="n">
        <f aca="false">SUMIFS(Report!$U$10:$U$604,Report!$T$10:$T$604,"MERCADORIAS P/REVENDA",Report!$C$10:$C$604,A91)</f>
        <v>0</v>
      </c>
      <c r="F91" s="26" t="n">
        <f aca="false">B91+C91</f>
        <v>0</v>
      </c>
    </row>
    <row r="92" customFormat="false" ht="15" hidden="false" customHeight="true" outlineLevel="0" collapsed="false">
      <c r="A92" s="24" t="n">
        <v>46101</v>
      </c>
      <c r="B92" s="26" t="n">
        <f aca="false">SUMIFS(Report!$U$10:$U$604,Report!$T$10:$T$604,"&lt;&gt;"&amp;"MERCADORIAS P/REVENDA",Report!$C$10:$C$604,A92)</f>
        <v>0</v>
      </c>
      <c r="C92" s="26" t="n">
        <f aca="false">SUMIFS(Report!$U$10:$U$604,Report!$T$10:$T$604,"MERCADORIAS P/REVENDA",Report!$C$10:$C$604,A92)</f>
        <v>0</v>
      </c>
      <c r="F92" s="26" t="n">
        <f aca="false">B92+C92</f>
        <v>0</v>
      </c>
    </row>
    <row r="93" customFormat="false" ht="15" hidden="false" customHeight="true" outlineLevel="0" collapsed="false">
      <c r="A93" s="30" t="n">
        <v>46102</v>
      </c>
      <c r="B93" s="31" t="n">
        <f aca="false">SUMIFS(Report!$U$10:$U$604,Report!$T$10:$T$604,"&lt;&gt;"&amp;"MERCADORIAS P/REVENDA",Report!$C$10:$C$604,A93)</f>
        <v>0</v>
      </c>
      <c r="C93" s="31" t="n">
        <f aca="false">SUMIFS(Report!$U$10:$U$604,Report!$T$10:$T$604,"MERCADORIAS P/REVENDA",Report!$C$10:$C$604,A93)</f>
        <v>0</v>
      </c>
      <c r="F93" s="31" t="n">
        <f aca="false">B93+C93</f>
        <v>0</v>
      </c>
    </row>
    <row r="94" customFormat="false" ht="15" hidden="false" customHeight="true" outlineLevel="0" collapsed="false">
      <c r="A94" s="30" t="n">
        <v>46103</v>
      </c>
      <c r="B94" s="31" t="n">
        <f aca="false">SUMIFS(Report!$U$10:$U$604,Report!$T$10:$T$604,"&lt;&gt;"&amp;"MERCADORIAS P/REVENDA",Report!$C$10:$C$604,A94)</f>
        <v>0</v>
      </c>
      <c r="C94" s="31" t="n">
        <f aca="false">SUMIFS(Report!$U$10:$U$604,Report!$T$10:$T$604,"MERCADORIAS P/REVENDA",Report!$C$10:$C$604,A94)</f>
        <v>0</v>
      </c>
      <c r="F94" s="31" t="n">
        <f aca="false">B94+C94</f>
        <v>0</v>
      </c>
    </row>
    <row r="95" customFormat="false" ht="15" hidden="false" customHeight="true" outlineLevel="0" collapsed="false">
      <c r="A95" s="30" t="n">
        <v>46104</v>
      </c>
      <c r="B95" s="31" t="n">
        <f aca="false">SUMIFS(Report!$U$10:$U$604,Report!$T$10:$T$604,"&lt;&gt;"&amp;"MERCADORIAS P/REVENDA",Report!$C$10:$C$604,A95)</f>
        <v>0</v>
      </c>
      <c r="C95" s="31" t="n">
        <f aca="false">SUMIFS(Report!$U$10:$U$604,Report!$T$10:$T$604,"MERCADORIAS P/REVENDA",Report!$C$10:$C$604,A95)</f>
        <v>0</v>
      </c>
      <c r="F95" s="31" t="n">
        <f aca="false">B95+C95</f>
        <v>0</v>
      </c>
    </row>
    <row r="96" customFormat="false" ht="15" hidden="false" customHeight="true" outlineLevel="0" collapsed="false">
      <c r="A96" s="32" t="s">
        <v>681</v>
      </c>
      <c r="B96" s="33" t="n">
        <f aca="false">SUM(B89:B95)</f>
        <v>0</v>
      </c>
      <c r="C96" s="33" t="n">
        <f aca="false">SUM(C89:C95)</f>
        <v>0</v>
      </c>
      <c r="F96" s="33" t="n">
        <f aca="false">B96+C96</f>
        <v>0</v>
      </c>
    </row>
    <row r="97" customFormat="false" ht="15" hidden="false" customHeight="true" outlineLevel="0" collapsed="false">
      <c r="A97" s="24" t="n">
        <v>46105</v>
      </c>
      <c r="B97" s="26" t="n">
        <f aca="false">SUMIFS(Report!$U$10:$U$604,Report!$T$10:$T$604,"&lt;&gt;"&amp;"MERCADORIAS P/REVENDA",Report!$C$10:$C$604,A97)</f>
        <v>0</v>
      </c>
      <c r="C97" s="26" t="n">
        <f aca="false">SUMIFS(Report!$U$10:$U$604,Report!$T$10:$T$604,"MERCADORIAS P/REVENDA",Report!$C$10:$C$604,A97)</f>
        <v>0</v>
      </c>
      <c r="F97" s="26" t="n">
        <f aca="false">B97+C97</f>
        <v>0</v>
      </c>
    </row>
    <row r="98" customFormat="false" ht="15" hidden="false" customHeight="true" outlineLevel="0" collapsed="false">
      <c r="A98" s="24" t="n">
        <v>46106</v>
      </c>
      <c r="B98" s="26" t="n">
        <f aca="false">SUMIFS(Report!$U$10:$U$604,Report!$T$10:$T$604,"&lt;&gt;"&amp;"MERCADORIAS P/REVENDA",Report!$C$10:$C$604,A98)</f>
        <v>0</v>
      </c>
      <c r="C98" s="26" t="n">
        <f aca="false">SUMIFS(Report!$U$10:$U$604,Report!$T$10:$T$604,"MERCADORIAS P/REVENDA",Report!$C$10:$C$604,A98)</f>
        <v>0</v>
      </c>
      <c r="F98" s="26" t="n">
        <f aca="false">B98+C98</f>
        <v>0</v>
      </c>
    </row>
    <row r="99" customFormat="false" ht="15" hidden="false" customHeight="true" outlineLevel="0" collapsed="false">
      <c r="A99" s="24" t="n">
        <v>46107</v>
      </c>
      <c r="B99" s="26" t="n">
        <f aca="false">SUMIFS(Report!$U$10:$U$604,Report!$T$10:$T$604,"&lt;&gt;"&amp;"MERCADORIAS P/REVENDA",Report!$C$10:$C$604,A99)</f>
        <v>0</v>
      </c>
      <c r="C99" s="26" t="n">
        <f aca="false">SUMIFS(Report!$U$10:$U$604,Report!$T$10:$T$604,"MERCADORIAS P/REVENDA",Report!$C$10:$C$604,A99)</f>
        <v>0</v>
      </c>
      <c r="F99" s="26" t="n">
        <f aca="false">B99+C99</f>
        <v>0</v>
      </c>
    </row>
    <row r="100" customFormat="false" ht="15" hidden="false" customHeight="true" outlineLevel="0" collapsed="false">
      <c r="A100" s="24" t="n">
        <v>46108</v>
      </c>
      <c r="B100" s="26" t="n">
        <f aca="false">SUMIFS(Report!$U$10:$U$604,Report!$T$10:$T$604,"&lt;&gt;"&amp;"MERCADORIAS P/REVENDA",Report!$C$10:$C$604,A100)</f>
        <v>0</v>
      </c>
      <c r="C100" s="26" t="n">
        <f aca="false">SUMIFS(Report!$U$10:$U$604,Report!$T$10:$T$604,"MERCADORIAS P/REVENDA",Report!$C$10:$C$604,A100)</f>
        <v>0</v>
      </c>
      <c r="F100" s="26" t="n">
        <f aca="false">B100+C100</f>
        <v>0</v>
      </c>
    </row>
    <row r="101" customFormat="false" ht="15" hidden="false" customHeight="true" outlineLevel="0" collapsed="false">
      <c r="A101" s="30" t="n">
        <v>46109</v>
      </c>
      <c r="B101" s="31" t="n">
        <f aca="false">SUMIFS(Report!$U$10:$U$604,Report!$T$10:$T$604,"&lt;&gt;"&amp;"MERCADORIAS P/REVENDA",Report!$C$10:$C$604,A101)</f>
        <v>0</v>
      </c>
      <c r="C101" s="31" t="n">
        <f aca="false">SUMIFS(Report!$U$10:$U$604,Report!$T$10:$T$604,"MERCADORIAS P/REVENDA",Report!$C$10:$C$604,A101)</f>
        <v>0</v>
      </c>
      <c r="F101" s="31" t="n">
        <f aca="false">B101+C101</f>
        <v>0</v>
      </c>
    </row>
    <row r="102" customFormat="false" ht="15" hidden="false" customHeight="true" outlineLevel="0" collapsed="false">
      <c r="A102" s="30" t="n">
        <v>46110</v>
      </c>
      <c r="B102" s="31" t="n">
        <f aca="false">SUMIFS(Report!$U$10:$U$604,Report!$T$10:$T$604,"&lt;&gt;"&amp;"MERCADORIAS P/REVENDA",Report!$C$10:$C$604,A102)</f>
        <v>0</v>
      </c>
      <c r="C102" s="31" t="n">
        <f aca="false">SUMIFS(Report!$U$10:$U$604,Report!$T$10:$T$604,"MERCADORIAS P/REVENDA",Report!$C$10:$C$604,A102)</f>
        <v>0</v>
      </c>
      <c r="F102" s="31" t="n">
        <f aca="false">B102+C102</f>
        <v>0</v>
      </c>
    </row>
    <row r="103" customFormat="false" ht="15" hidden="false" customHeight="true" outlineLevel="0" collapsed="false">
      <c r="A103" s="30" t="n">
        <v>46111</v>
      </c>
      <c r="B103" s="31" t="n">
        <f aca="false">SUMIFS(Report!$U$10:$U$604,Report!$T$10:$T$604,"&lt;&gt;"&amp;"MERCADORIAS P/REVENDA",Report!$C$10:$C$604,A103)</f>
        <v>0</v>
      </c>
      <c r="C103" s="31" t="n">
        <f aca="false">SUMIFS(Report!$U$10:$U$604,Report!$T$10:$T$604,"MERCADORIAS P/REVENDA",Report!$C$10:$C$604,A103)</f>
        <v>0</v>
      </c>
      <c r="F103" s="31" t="n">
        <f aca="false">B103+C103</f>
        <v>0</v>
      </c>
    </row>
    <row r="104" customFormat="false" ht="15" hidden="false" customHeight="true" outlineLevel="0" collapsed="false">
      <c r="A104" s="32" t="s">
        <v>682</v>
      </c>
      <c r="B104" s="33" t="n">
        <f aca="false">SUM(B97:B103)</f>
        <v>0</v>
      </c>
      <c r="C104" s="33" t="n">
        <f aca="false">SUM(C97:C103)</f>
        <v>0</v>
      </c>
      <c r="F104" s="33" t="n">
        <f aca="false">B104+C104</f>
        <v>0</v>
      </c>
    </row>
    <row r="105" customFormat="false" ht="15" hidden="false" customHeight="true" outlineLevel="0" collapsed="false">
      <c r="A105" s="24" t="n">
        <v>46112</v>
      </c>
      <c r="B105" s="26" t="n">
        <f aca="false">SUMIFS(Report!$U$10:$U$604,Report!$T$10:$T$604,"&lt;&gt;"&amp;"MERCADORIAS P/REVENDA",Report!$C$10:$C$604,A105)</f>
        <v>0</v>
      </c>
      <c r="C105" s="26" t="n">
        <f aca="false">SUMIFS(Report!$U$10:$U$604,Report!$T$10:$T$604,"MERCADORIAS P/REVENDA",Report!$C$10:$C$604,A105)</f>
        <v>0</v>
      </c>
      <c r="F105" s="26" t="n">
        <f aca="false">B105+C105</f>
        <v>0</v>
      </c>
    </row>
    <row r="106" customFormat="false" ht="15" hidden="false" customHeight="true" outlineLevel="0" collapsed="false">
      <c r="A106" s="24" t="n">
        <v>46113</v>
      </c>
      <c r="B106" s="26" t="n">
        <f aca="false">SUMIFS(Report!$U$10:$U$604,Report!$T$10:$T$604,"&lt;&gt;"&amp;"MERCADORIAS P/REVENDA",Report!$C$10:$C$604,A106)</f>
        <v>0</v>
      </c>
      <c r="C106" s="26" t="n">
        <f aca="false">SUMIFS(Report!$U$10:$U$604,Report!$T$10:$T$604,"MERCADORIAS P/REVENDA",Report!$C$10:$C$604,A106)</f>
        <v>0</v>
      </c>
      <c r="F106" s="26" t="n">
        <f aca="false">B106+C106</f>
        <v>0</v>
      </c>
    </row>
    <row r="107" customFormat="false" ht="15" hidden="false" customHeight="true" outlineLevel="0" collapsed="false">
      <c r="A107" s="24" t="n">
        <v>46114</v>
      </c>
      <c r="B107" s="26" t="n">
        <f aca="false">SUMIFS(Report!$U$10:$U$604,Report!$T$10:$T$604,"&lt;&gt;"&amp;"MERCADORIAS P/REVENDA",Report!$C$10:$C$604,A107)</f>
        <v>0</v>
      </c>
      <c r="C107" s="26" t="n">
        <f aca="false">SUMIFS(Report!$U$10:$U$604,Report!$T$10:$T$604,"MERCADORIAS P/REVENDA",Report!$C$10:$C$604,A107)</f>
        <v>0</v>
      </c>
      <c r="F107" s="26" t="n">
        <f aca="false">B107+C107</f>
        <v>0</v>
      </c>
    </row>
    <row r="108" customFormat="false" ht="15" hidden="false" customHeight="true" outlineLevel="0" collapsed="false">
      <c r="A108" s="24" t="n">
        <v>46115</v>
      </c>
      <c r="B108" s="26" t="n">
        <f aca="false">SUMIFS(Report!$U$10:$U$604,Report!$T$10:$T$604,"&lt;&gt;"&amp;"MERCADORIAS P/REVENDA",Report!$C$10:$C$604,A108)</f>
        <v>0</v>
      </c>
      <c r="C108" s="26" t="n">
        <f aca="false">SUMIFS(Report!$U$10:$U$604,Report!$T$10:$T$604,"MERCADORIAS P/REVENDA",Report!$C$10:$C$604,A108)</f>
        <v>0</v>
      </c>
      <c r="F108" s="26" t="n">
        <f aca="false">B108+C108</f>
        <v>0</v>
      </c>
    </row>
    <row r="109" customFormat="false" ht="15" hidden="false" customHeight="true" outlineLevel="0" collapsed="false">
      <c r="A109" s="30" t="n">
        <v>46116</v>
      </c>
      <c r="B109" s="31" t="n">
        <f aca="false">SUMIFS(Report!$U$10:$U$604,Report!$T$10:$T$604,"&lt;&gt;"&amp;"MERCADORIAS P/REVENDA",Report!$C$10:$C$604,A109)</f>
        <v>0</v>
      </c>
      <c r="C109" s="31" t="n">
        <f aca="false">SUMIFS(Report!$U$10:$U$604,Report!$T$10:$T$604,"MERCADORIAS P/REVENDA",Report!$C$10:$C$604,A109)</f>
        <v>0</v>
      </c>
      <c r="F109" s="31" t="n">
        <f aca="false">B109+C109</f>
        <v>0</v>
      </c>
    </row>
    <row r="110" customFormat="false" ht="15" hidden="false" customHeight="true" outlineLevel="0" collapsed="false">
      <c r="A110" s="30" t="n">
        <v>46117</v>
      </c>
      <c r="B110" s="31" t="n">
        <f aca="false">SUMIFS(Report!$U$10:$U$604,Report!$T$10:$T$604,"&lt;&gt;"&amp;"MERCADORIAS P/REVENDA",Report!$C$10:$C$604,A110)</f>
        <v>0</v>
      </c>
      <c r="C110" s="31" t="n">
        <f aca="false">SUMIFS(Report!$U$10:$U$604,Report!$T$10:$T$604,"MERCADORIAS P/REVENDA",Report!$C$10:$C$604,A110)</f>
        <v>0</v>
      </c>
      <c r="F110" s="31" t="n">
        <f aca="false">B110+C110</f>
        <v>0</v>
      </c>
    </row>
    <row r="111" customFormat="false" ht="15" hidden="false" customHeight="true" outlineLevel="0" collapsed="false">
      <c r="A111" s="30" t="n">
        <v>46118</v>
      </c>
      <c r="B111" s="31" t="n">
        <f aca="false">SUMIFS(Report!$U$10:$U$604,Report!$T$10:$T$604,"&lt;&gt;"&amp;"MERCADORIAS P/REVENDA",Report!$C$10:$C$604,A111)</f>
        <v>0</v>
      </c>
      <c r="C111" s="31" t="n">
        <f aca="false">SUMIFS(Report!$U$10:$U$604,Report!$T$10:$T$604,"MERCADORIAS P/REVENDA",Report!$C$10:$C$604,A111)</f>
        <v>0</v>
      </c>
      <c r="F111" s="31" t="n">
        <f aca="false">B111+C111</f>
        <v>0</v>
      </c>
    </row>
    <row r="112" customFormat="false" ht="15" hidden="false" customHeight="true" outlineLevel="0" collapsed="false">
      <c r="A112" s="32" t="s">
        <v>683</v>
      </c>
      <c r="B112" s="33" t="n">
        <f aca="false">SUM(B105:B111)</f>
        <v>0</v>
      </c>
      <c r="C112" s="33" t="n">
        <f aca="false">SUM(C105:C111)</f>
        <v>0</v>
      </c>
      <c r="F112" s="33" t="n">
        <f aca="false">B112+C112</f>
        <v>0</v>
      </c>
    </row>
    <row r="113" customFormat="false" ht="15" hidden="false" customHeight="true" outlineLevel="0" collapsed="false">
      <c r="A113" s="24" t="n">
        <v>46119</v>
      </c>
      <c r="B113" s="26" t="n">
        <f aca="false">SUMIFS(Report!$U$10:$U$604,Report!$T$10:$T$604,"&lt;&gt;"&amp;"MERCADORIAS P/REVENDA",Report!$C$10:$C$604,A113)</f>
        <v>0</v>
      </c>
      <c r="C113" s="26" t="n">
        <f aca="false">SUMIFS(Report!$U$10:$U$604,Report!$T$10:$T$604,"MERCADORIAS P/REVENDA",Report!$C$10:$C$604,A113)</f>
        <v>0</v>
      </c>
      <c r="F113" s="26" t="n">
        <f aca="false">B113+C113</f>
        <v>0</v>
      </c>
    </row>
    <row r="114" customFormat="false" ht="15" hidden="false" customHeight="true" outlineLevel="0" collapsed="false">
      <c r="A114" s="24" t="n">
        <v>46120</v>
      </c>
      <c r="B114" s="26" t="n">
        <f aca="false">SUMIFS(Report!$U$10:$U$604,Report!$T$10:$T$604,"&lt;&gt;"&amp;"MERCADORIAS P/REVENDA",Report!$C$10:$C$604,A114)</f>
        <v>0</v>
      </c>
      <c r="C114" s="26" t="n">
        <f aca="false">SUMIFS(Report!$U$10:$U$604,Report!$T$10:$T$604,"MERCADORIAS P/REVENDA",Report!$C$10:$C$604,A114)</f>
        <v>0</v>
      </c>
      <c r="F114" s="26" t="n">
        <f aca="false">B114+C114</f>
        <v>0</v>
      </c>
    </row>
    <row r="115" customFormat="false" ht="15" hidden="false" customHeight="true" outlineLevel="0" collapsed="false">
      <c r="A115" s="24" t="n">
        <v>46121</v>
      </c>
      <c r="B115" s="26" t="n">
        <f aca="false">SUMIFS(Report!$U$10:$U$604,Report!$T$10:$T$604,"&lt;&gt;"&amp;"MERCADORIAS P/REVENDA",Report!$C$10:$C$604,A115)</f>
        <v>0</v>
      </c>
      <c r="C115" s="26" t="n">
        <f aca="false">SUMIFS(Report!$U$10:$U$604,Report!$T$10:$T$604,"MERCADORIAS P/REVENDA",Report!$C$10:$C$604,A115)</f>
        <v>0</v>
      </c>
      <c r="F115" s="26" t="n">
        <f aca="false">B115+C115</f>
        <v>0</v>
      </c>
    </row>
    <row r="116" customFormat="false" ht="15" hidden="false" customHeight="true" outlineLevel="0" collapsed="false">
      <c r="A116" s="24" t="n">
        <v>46122</v>
      </c>
      <c r="B116" s="26" t="n">
        <f aca="false">SUMIFS(Report!$U$10:$U$604,Report!$T$10:$T$604,"&lt;&gt;"&amp;"MERCADORIAS P/REVENDA",Report!$C$10:$C$604,A116)</f>
        <v>0</v>
      </c>
      <c r="C116" s="26" t="n">
        <f aca="false">SUMIFS(Report!$U$10:$U$604,Report!$T$10:$T$604,"MERCADORIAS P/REVENDA",Report!$C$10:$C$604,A116)</f>
        <v>0</v>
      </c>
      <c r="F116" s="26" t="n">
        <f aca="false">B116+C116</f>
        <v>0</v>
      </c>
    </row>
    <row r="117" customFormat="false" ht="15" hidden="false" customHeight="true" outlineLevel="0" collapsed="false">
      <c r="A117" s="30" t="n">
        <v>46123</v>
      </c>
      <c r="B117" s="31" t="n">
        <f aca="false">SUMIFS(Report!$U$10:$U$604,Report!$T$10:$T$604,"&lt;&gt;"&amp;"MERCADORIAS P/REVENDA",Report!$C$10:$C$604,A117)</f>
        <v>0</v>
      </c>
      <c r="C117" s="31" t="n">
        <f aca="false">SUMIFS(Report!$U$10:$U$604,Report!$T$10:$T$604,"MERCADORIAS P/REVENDA",Report!$C$10:$C$604,A117)</f>
        <v>0</v>
      </c>
      <c r="F117" s="31" t="n">
        <f aca="false">B117+C117</f>
        <v>0</v>
      </c>
    </row>
    <row r="118" customFormat="false" ht="15" hidden="false" customHeight="true" outlineLevel="0" collapsed="false">
      <c r="A118" s="30" t="n">
        <v>46124</v>
      </c>
      <c r="B118" s="31" t="n">
        <f aca="false">SUMIFS(Report!$U$10:$U$604,Report!$T$10:$T$604,"&lt;&gt;"&amp;"MERCADORIAS P/REVENDA",Report!$C$10:$C$604,A118)</f>
        <v>0</v>
      </c>
      <c r="C118" s="31" t="n">
        <f aca="false">SUMIFS(Report!$U$10:$U$604,Report!$T$10:$T$604,"MERCADORIAS P/REVENDA",Report!$C$10:$C$604,A118)</f>
        <v>0</v>
      </c>
      <c r="F118" s="31" t="n">
        <f aca="false">B118+C118</f>
        <v>0</v>
      </c>
    </row>
    <row r="119" customFormat="false" ht="15" hidden="false" customHeight="true" outlineLevel="0" collapsed="false">
      <c r="A119" s="30" t="n">
        <v>46125</v>
      </c>
      <c r="B119" s="31" t="n">
        <f aca="false">SUMIFS(Report!$U$10:$U$604,Report!$T$10:$T$604,"&lt;&gt;"&amp;"MERCADORIAS P/REVENDA",Report!$C$10:$C$604,A119)</f>
        <v>0</v>
      </c>
      <c r="C119" s="31" t="n">
        <f aca="false">SUMIFS(Report!$U$10:$U$604,Report!$T$10:$T$604,"MERCADORIAS P/REVENDA",Report!$C$10:$C$604,A119)</f>
        <v>0</v>
      </c>
      <c r="F119" s="31" t="n">
        <f aca="false">B119+C119</f>
        <v>0</v>
      </c>
    </row>
    <row r="120" customFormat="false" ht="15" hidden="false" customHeight="true" outlineLevel="0" collapsed="false">
      <c r="A120" s="32" t="s">
        <v>684</v>
      </c>
      <c r="B120" s="33" t="n">
        <f aca="false">SUM(B113:B119)</f>
        <v>0</v>
      </c>
      <c r="C120" s="33" t="n">
        <f aca="false">SUM(C113:C119)</f>
        <v>0</v>
      </c>
      <c r="F120" s="33" t="n">
        <f aca="false">B120+C120</f>
        <v>0</v>
      </c>
    </row>
    <row r="121" customFormat="false" ht="15" hidden="false" customHeight="true" outlineLevel="0" collapsed="false">
      <c r="A121" s="24" t="n">
        <v>46126</v>
      </c>
      <c r="B121" s="26" t="n">
        <f aca="false">SUMIFS(Report!$U$10:$U$604,Report!$T$10:$T$604,"&lt;&gt;"&amp;"MERCADORIAS P/REVENDA",Report!$C$10:$C$604,A121)</f>
        <v>0</v>
      </c>
      <c r="C121" s="26" t="n">
        <f aca="false">SUMIFS(Report!$U$10:$U$604,Report!$T$10:$T$604,"MERCADORIAS P/REVENDA",Report!$C$10:$C$604,A121)</f>
        <v>0</v>
      </c>
      <c r="F121" s="26" t="n">
        <f aca="false">B121+C121</f>
        <v>0</v>
      </c>
    </row>
    <row r="122" customFormat="false" ht="15" hidden="false" customHeight="true" outlineLevel="0" collapsed="false">
      <c r="A122" s="24" t="n">
        <v>46127</v>
      </c>
      <c r="B122" s="26" t="n">
        <f aca="false">SUMIFS(Report!$U$10:$U$604,Report!$T$10:$T$604,"&lt;&gt;"&amp;"MERCADORIAS P/REVENDA",Report!$C$10:$C$604,A122)</f>
        <v>0</v>
      </c>
      <c r="C122" s="26" t="n">
        <f aca="false">SUMIFS(Report!$U$10:$U$604,Report!$T$10:$T$604,"MERCADORIAS P/REVENDA",Report!$C$10:$C$604,A122)</f>
        <v>0</v>
      </c>
      <c r="F122" s="26" t="n">
        <f aca="false">B122+C122</f>
        <v>0</v>
      </c>
    </row>
    <row r="123" customFormat="false" ht="15" hidden="false" customHeight="true" outlineLevel="0" collapsed="false">
      <c r="A123" s="24" t="n">
        <v>46128</v>
      </c>
      <c r="B123" s="26" t="n">
        <f aca="false">SUMIFS(Report!$U$10:$U$604,Report!$T$10:$T$604,"&lt;&gt;"&amp;"MERCADORIAS P/REVENDA",Report!$C$10:$C$604,A123)</f>
        <v>0</v>
      </c>
      <c r="C123" s="26" t="n">
        <f aca="false">SUMIFS(Report!$U$10:$U$604,Report!$T$10:$T$604,"MERCADORIAS P/REVENDA",Report!$C$10:$C$604,A123)</f>
        <v>0</v>
      </c>
      <c r="F123" s="26" t="n">
        <f aca="false">B123+C123</f>
        <v>0</v>
      </c>
    </row>
    <row r="124" customFormat="false" ht="15" hidden="false" customHeight="true" outlineLevel="0" collapsed="false">
      <c r="A124" s="24" t="n">
        <v>46129</v>
      </c>
      <c r="B124" s="26" t="n">
        <f aca="false">SUMIFS(Report!$U$10:$U$604,Report!$T$10:$T$604,"&lt;&gt;"&amp;"MERCADORIAS P/REVENDA",Report!$C$10:$C$604,A124)</f>
        <v>0</v>
      </c>
      <c r="C124" s="26" t="n">
        <f aca="false">SUMIFS(Report!$U$10:$U$604,Report!$T$10:$T$604,"MERCADORIAS P/REVENDA",Report!$C$10:$C$604,A124)</f>
        <v>0</v>
      </c>
      <c r="F124" s="26" t="n">
        <f aca="false">B124+C124</f>
        <v>0</v>
      </c>
    </row>
    <row r="125" customFormat="false" ht="15" hidden="false" customHeight="true" outlineLevel="0" collapsed="false">
      <c r="A125" s="30" t="n">
        <v>46130</v>
      </c>
      <c r="B125" s="31" t="n">
        <f aca="false">SUMIFS(Report!$U$10:$U$604,Report!$T$10:$T$604,"&lt;&gt;"&amp;"MERCADORIAS P/REVENDA",Report!$C$10:$C$604,A125)</f>
        <v>0</v>
      </c>
      <c r="C125" s="31" t="n">
        <f aca="false">SUMIFS(Report!$U$10:$U$604,Report!$T$10:$T$604,"MERCADORIAS P/REVENDA",Report!$C$10:$C$604,A125)</f>
        <v>0</v>
      </c>
      <c r="F125" s="31" t="n">
        <f aca="false">B125+C125</f>
        <v>0</v>
      </c>
    </row>
    <row r="126" customFormat="false" ht="15" hidden="false" customHeight="true" outlineLevel="0" collapsed="false">
      <c r="A126" s="30" t="n">
        <v>46131</v>
      </c>
      <c r="B126" s="31" t="n">
        <f aca="false">SUMIFS(Report!$U$10:$U$604,Report!$T$10:$T$604,"&lt;&gt;"&amp;"MERCADORIAS P/REVENDA",Report!$C$10:$C$604,A126)</f>
        <v>0</v>
      </c>
      <c r="C126" s="31" t="n">
        <f aca="false">SUMIFS(Report!$U$10:$U$604,Report!$T$10:$T$604,"MERCADORIAS P/REVENDA",Report!$C$10:$C$604,A126)</f>
        <v>0</v>
      </c>
      <c r="F126" s="31" t="n">
        <f aca="false">B126+C126</f>
        <v>0</v>
      </c>
    </row>
    <row r="127" customFormat="false" ht="15" hidden="false" customHeight="true" outlineLevel="0" collapsed="false">
      <c r="A127" s="30" t="n">
        <v>46132</v>
      </c>
      <c r="B127" s="31" t="n">
        <f aca="false">SUMIFS(Report!$U$10:$U$604,Report!$T$10:$T$604,"&lt;&gt;"&amp;"MERCADORIAS P/REVENDA",Report!$C$10:$C$604,A127)</f>
        <v>0</v>
      </c>
      <c r="C127" s="31" t="n">
        <f aca="false">SUMIFS(Report!$U$10:$U$604,Report!$T$10:$T$604,"MERCADORIAS P/REVENDA",Report!$C$10:$C$604,A127)</f>
        <v>0</v>
      </c>
      <c r="F127" s="31" t="n">
        <f aca="false">B127+C127</f>
        <v>0</v>
      </c>
    </row>
    <row r="128" customFormat="false" ht="15" hidden="false" customHeight="true" outlineLevel="0" collapsed="false">
      <c r="A128" s="32" t="s">
        <v>685</v>
      </c>
      <c r="B128" s="33" t="n">
        <f aca="false">SUM(B121:B127)</f>
        <v>0</v>
      </c>
      <c r="C128" s="33" t="n">
        <f aca="false">SUM(C121:C127)</f>
        <v>0</v>
      </c>
      <c r="F128" s="33" t="n">
        <f aca="false">B128+C128</f>
        <v>0</v>
      </c>
    </row>
    <row r="129" customFormat="false" ht="15" hidden="false" customHeight="true" outlineLevel="0" collapsed="false">
      <c r="A129" s="24" t="n">
        <v>46133</v>
      </c>
      <c r="B129" s="26" t="n">
        <f aca="false">SUMIFS(Report!$U$10:$U$604,Report!$T$10:$T$604,"&lt;&gt;"&amp;"MERCADORIAS P/REVENDA",Report!$C$10:$C$604,A129)</f>
        <v>0</v>
      </c>
      <c r="C129" s="26" t="n">
        <f aca="false">SUMIFS(Report!$U$10:$U$604,Report!$T$10:$T$604,"MERCADORIAS P/REVENDA",Report!$C$10:$C$604,A129)</f>
        <v>0</v>
      </c>
      <c r="F129" s="26" t="n">
        <f aca="false">B129+C129</f>
        <v>0</v>
      </c>
    </row>
    <row r="130" customFormat="false" ht="15" hidden="false" customHeight="true" outlineLevel="0" collapsed="false">
      <c r="A130" s="24" t="n">
        <v>46134</v>
      </c>
      <c r="B130" s="26" t="n">
        <f aca="false">SUMIFS(Report!$U$10:$U$604,Report!$T$10:$T$604,"&lt;&gt;"&amp;"MERCADORIAS P/REVENDA",Report!$C$10:$C$604,A130)</f>
        <v>0</v>
      </c>
      <c r="C130" s="26" t="n">
        <f aca="false">SUMIFS(Report!$U$10:$U$604,Report!$T$10:$T$604,"MERCADORIAS P/REVENDA",Report!$C$10:$C$604,A130)</f>
        <v>0</v>
      </c>
      <c r="F130" s="26" t="n">
        <f aca="false">B130+C130</f>
        <v>0</v>
      </c>
    </row>
    <row r="131" customFormat="false" ht="15" hidden="false" customHeight="true" outlineLevel="0" collapsed="false">
      <c r="A131" s="24" t="n">
        <v>46135</v>
      </c>
      <c r="B131" s="26" t="n">
        <f aca="false">SUMIFS(Report!$U$10:$U$604,Report!$T$10:$T$604,"&lt;&gt;"&amp;"MERCADORIAS P/REVENDA",Report!$C$10:$C$604,A131)</f>
        <v>0</v>
      </c>
      <c r="C131" s="26" t="n">
        <f aca="false">SUMIFS(Report!$U$10:$U$604,Report!$T$10:$T$604,"MERCADORIAS P/REVENDA",Report!$C$10:$C$604,A131)</f>
        <v>0</v>
      </c>
      <c r="F131" s="26" t="n">
        <f aca="false">B131+C131</f>
        <v>0</v>
      </c>
    </row>
    <row r="132" customFormat="false" ht="15" hidden="false" customHeight="true" outlineLevel="0" collapsed="false">
      <c r="A132" s="24" t="n">
        <v>46136</v>
      </c>
      <c r="B132" s="26" t="n">
        <f aca="false">SUMIFS(Report!$U$10:$U$604,Report!$T$10:$T$604,"&lt;&gt;"&amp;"MERCADORIAS P/REVENDA",Report!$C$10:$C$604,A132)</f>
        <v>0</v>
      </c>
      <c r="C132" s="26" t="n">
        <f aca="false">SUMIFS(Report!$U$10:$U$604,Report!$T$10:$T$604,"MERCADORIAS P/REVENDA",Report!$C$10:$C$604,A132)</f>
        <v>0</v>
      </c>
      <c r="F132" s="26" t="n">
        <f aca="false">B132+C132</f>
        <v>0</v>
      </c>
    </row>
    <row r="133" customFormat="false" ht="15" hidden="false" customHeight="true" outlineLevel="0" collapsed="false">
      <c r="A133" s="30" t="n">
        <v>46137</v>
      </c>
      <c r="B133" s="31" t="n">
        <f aca="false">SUMIFS(Report!$U$10:$U$604,Report!$T$10:$T$604,"&lt;&gt;"&amp;"MERCADORIAS P/REVENDA",Report!$C$10:$C$604,A133)</f>
        <v>0</v>
      </c>
      <c r="C133" s="31" t="n">
        <f aca="false">SUMIFS(Report!$U$10:$U$604,Report!$T$10:$T$604,"MERCADORIAS P/REVENDA",Report!$C$10:$C$604,A133)</f>
        <v>0</v>
      </c>
      <c r="F133" s="31" t="n">
        <f aca="false">B133+C133</f>
        <v>0</v>
      </c>
    </row>
    <row r="134" customFormat="false" ht="15" hidden="false" customHeight="true" outlineLevel="0" collapsed="false">
      <c r="A134" s="30" t="n">
        <v>46138</v>
      </c>
      <c r="B134" s="31" t="n">
        <f aca="false">SUMIFS(Report!$U$10:$U$604,Report!$T$10:$T$604,"&lt;&gt;"&amp;"MERCADORIAS P/REVENDA",Report!$C$10:$C$604,A134)</f>
        <v>0</v>
      </c>
      <c r="C134" s="31" t="n">
        <f aca="false">SUMIFS(Report!$U$10:$U$604,Report!$T$10:$T$604,"MERCADORIAS P/REVENDA",Report!$C$10:$C$604,A134)</f>
        <v>0</v>
      </c>
      <c r="F134" s="31" t="n">
        <f aca="false">B134+C134</f>
        <v>0</v>
      </c>
    </row>
    <row r="135" customFormat="false" ht="15" hidden="false" customHeight="true" outlineLevel="0" collapsed="false">
      <c r="A135" s="30" t="n">
        <v>46139</v>
      </c>
      <c r="B135" s="31" t="n">
        <f aca="false">SUMIFS(Report!$U$10:$U$604,Report!$T$10:$T$604,"&lt;&gt;"&amp;"MERCADORIAS P/REVENDA",Report!$C$10:$C$604,A135)</f>
        <v>0</v>
      </c>
      <c r="C135" s="31" t="n">
        <f aca="false">SUMIFS(Report!$U$10:$U$604,Report!$T$10:$T$604,"MERCADORIAS P/REVENDA",Report!$C$10:$C$604,A135)</f>
        <v>0</v>
      </c>
      <c r="F135" s="31" t="n">
        <f aca="false">B135+C135</f>
        <v>0</v>
      </c>
    </row>
    <row r="136" customFormat="false" ht="15" hidden="false" customHeight="true" outlineLevel="0" collapsed="false">
      <c r="A136" s="32" t="s">
        <v>686</v>
      </c>
      <c r="B136" s="33" t="n">
        <f aca="false">SUM(B129:B135)</f>
        <v>0</v>
      </c>
      <c r="C136" s="33" t="n">
        <f aca="false">SUM(C129:C135)</f>
        <v>0</v>
      </c>
      <c r="F136" s="33" t="n">
        <f aca="false">B136+C136</f>
        <v>0</v>
      </c>
    </row>
    <row r="137" customFormat="false" ht="15" hidden="false" customHeight="true" outlineLevel="0" collapsed="false">
      <c r="A137" s="24" t="n">
        <v>46140</v>
      </c>
      <c r="B137" s="26" t="n">
        <f aca="false">SUMIFS(Report!$U$10:$U$604,Report!$T$10:$T$604,"&lt;&gt;"&amp;"MERCADORIAS P/REVENDA",Report!$C$10:$C$604,A137)</f>
        <v>0</v>
      </c>
      <c r="C137" s="26" t="n">
        <f aca="false">SUMIFS(Report!$U$10:$U$604,Report!$T$10:$T$604,"MERCADORIAS P/REVENDA",Report!$C$10:$C$604,A137)</f>
        <v>0</v>
      </c>
      <c r="F137" s="26" t="n">
        <f aca="false">B137+C137</f>
        <v>0</v>
      </c>
    </row>
    <row r="138" customFormat="false" ht="15" hidden="false" customHeight="true" outlineLevel="0" collapsed="false">
      <c r="A138" s="24" t="n">
        <v>46141</v>
      </c>
      <c r="B138" s="26" t="n">
        <f aca="false">SUMIFS(Report!$U$10:$U$604,Report!$T$10:$T$604,"&lt;&gt;"&amp;"MERCADORIAS P/REVENDA",Report!$C$10:$C$604,A138)</f>
        <v>0</v>
      </c>
      <c r="C138" s="26" t="n">
        <f aca="false">SUMIFS(Report!$U$10:$U$604,Report!$T$10:$T$604,"MERCADORIAS P/REVENDA",Report!$C$10:$C$604,A138)</f>
        <v>0</v>
      </c>
      <c r="F138" s="26" t="n">
        <f aca="false">B138+C138</f>
        <v>0</v>
      </c>
    </row>
    <row r="139" customFormat="false" ht="15" hidden="false" customHeight="true" outlineLevel="0" collapsed="false">
      <c r="A139" s="24" t="n">
        <v>46142</v>
      </c>
      <c r="B139" s="26" t="n">
        <f aca="false">SUMIFS(Report!$U$10:$U$604,Report!$T$10:$T$604,"&lt;&gt;"&amp;"MERCADORIAS P/REVENDA",Report!$C$10:$C$604,A139)</f>
        <v>0</v>
      </c>
      <c r="C139" s="26" t="n">
        <f aca="false">SUMIFS(Report!$U$10:$U$604,Report!$T$10:$T$604,"MERCADORIAS P/REVENDA",Report!$C$10:$C$604,A139)</f>
        <v>0</v>
      </c>
      <c r="F139" s="26" t="n">
        <f aca="false">B139+C139</f>
        <v>0</v>
      </c>
    </row>
    <row r="140" customFormat="false" ht="15" hidden="false" customHeight="true" outlineLevel="0" collapsed="false">
      <c r="A140" s="24" t="n">
        <v>46143</v>
      </c>
      <c r="B140" s="26" t="n">
        <f aca="false">SUMIFS(Report!$U$10:$U$604,Report!$T$10:$T$604,"&lt;&gt;"&amp;"MERCADORIAS P/REVENDA",Report!$C$10:$C$604,A140)</f>
        <v>0</v>
      </c>
      <c r="C140" s="26" t="n">
        <f aca="false">SUMIFS(Report!$U$10:$U$604,Report!$T$10:$T$604,"MERCADORIAS P/REVENDA",Report!$C$10:$C$604,A140)</f>
        <v>0</v>
      </c>
      <c r="F140" s="26" t="n">
        <f aca="false">B140+C140</f>
        <v>0</v>
      </c>
    </row>
    <row r="141" customFormat="false" ht="15" hidden="false" customHeight="true" outlineLevel="0" collapsed="false">
      <c r="A141" s="30" t="n">
        <v>46144</v>
      </c>
      <c r="B141" s="31" t="n">
        <f aca="false">SUMIFS(Report!$U$10:$U$604,Report!$T$10:$T$604,"&lt;&gt;"&amp;"MERCADORIAS P/REVENDA",Report!$C$10:$C$604,A141)</f>
        <v>0</v>
      </c>
      <c r="C141" s="31" t="n">
        <f aca="false">SUMIFS(Report!$U$10:$U$604,Report!$T$10:$T$604,"MERCADORIAS P/REVENDA",Report!$C$10:$C$604,A141)</f>
        <v>0</v>
      </c>
      <c r="F141" s="31" t="n">
        <f aca="false">B141+C141</f>
        <v>0</v>
      </c>
    </row>
    <row r="142" customFormat="false" ht="15" hidden="false" customHeight="true" outlineLevel="0" collapsed="false">
      <c r="A142" s="30" t="n">
        <v>46145</v>
      </c>
      <c r="B142" s="31" t="n">
        <f aca="false">SUMIFS(Report!$U$10:$U$604,Report!$T$10:$T$604,"&lt;&gt;"&amp;"MERCADORIAS P/REVENDA",Report!$C$10:$C$604,A142)</f>
        <v>0</v>
      </c>
      <c r="C142" s="31" t="n">
        <f aca="false">SUMIFS(Report!$U$10:$U$604,Report!$T$10:$T$604,"MERCADORIAS P/REVENDA",Report!$C$10:$C$604,A142)</f>
        <v>0</v>
      </c>
      <c r="F142" s="31" t="n">
        <f aca="false">B142+C142</f>
        <v>0</v>
      </c>
    </row>
    <row r="143" customFormat="false" ht="15" hidden="false" customHeight="true" outlineLevel="0" collapsed="false">
      <c r="A143" s="30" t="n">
        <v>46146</v>
      </c>
      <c r="B143" s="31" t="n">
        <f aca="false">SUMIFS(Report!$U$10:$U$604,Report!$T$10:$T$604,"&lt;&gt;"&amp;"MERCADORIAS P/REVENDA",Report!$C$10:$C$604,A143)</f>
        <v>0</v>
      </c>
      <c r="C143" s="31" t="n">
        <f aca="false">SUMIFS(Report!$U$10:$U$604,Report!$T$10:$T$604,"MERCADORIAS P/REVENDA",Report!$C$10:$C$604,A143)</f>
        <v>0</v>
      </c>
      <c r="F143" s="31" t="n">
        <f aca="false">B143+C143</f>
        <v>0</v>
      </c>
    </row>
    <row r="144" customFormat="false" ht="15" hidden="false" customHeight="true" outlineLevel="0" collapsed="false">
      <c r="A144" s="32" t="s">
        <v>687</v>
      </c>
      <c r="B144" s="33" t="n">
        <f aca="false">SUM(B137:B143)</f>
        <v>0</v>
      </c>
      <c r="C144" s="33" t="n">
        <f aca="false">SUM(C137:C143)</f>
        <v>0</v>
      </c>
      <c r="F144" s="33" t="n">
        <f aca="false">B144+C144</f>
        <v>0</v>
      </c>
    </row>
    <row r="145" customFormat="false" ht="15" hidden="false" customHeight="true" outlineLevel="0" collapsed="false">
      <c r="A145" s="24" t="n">
        <v>46147</v>
      </c>
      <c r="B145" s="26" t="n">
        <f aca="false">SUMIFS(Report!$U$10:$U$604,Report!$T$10:$T$604,"&lt;&gt;"&amp;"MERCADORIAS P/REVENDA",Report!$C$10:$C$604,A145)</f>
        <v>0</v>
      </c>
      <c r="C145" s="26" t="n">
        <f aca="false">SUMIFS(Report!$U$10:$U$604,Report!$T$10:$T$604,"MERCADORIAS P/REVENDA",Report!$C$10:$C$604,A145)</f>
        <v>0</v>
      </c>
      <c r="F145" s="26" t="n">
        <f aca="false">B145+C145</f>
        <v>0</v>
      </c>
    </row>
    <row r="146" customFormat="false" ht="15" hidden="false" customHeight="true" outlineLevel="0" collapsed="false">
      <c r="A146" s="24" t="n">
        <v>46148</v>
      </c>
      <c r="B146" s="26" t="n">
        <f aca="false">SUMIFS(Report!$U$10:$U$604,Report!$T$10:$T$604,"&lt;&gt;"&amp;"MERCADORIAS P/REVENDA",Report!$C$10:$C$604,A146)</f>
        <v>0</v>
      </c>
      <c r="C146" s="26" t="n">
        <f aca="false">SUMIFS(Report!$U$10:$U$604,Report!$T$10:$T$604,"MERCADORIAS P/REVENDA",Report!$C$10:$C$604,A146)</f>
        <v>0</v>
      </c>
      <c r="F146" s="26" t="n">
        <f aca="false">B146+C146</f>
        <v>0</v>
      </c>
    </row>
    <row r="147" customFormat="false" ht="15" hidden="false" customHeight="true" outlineLevel="0" collapsed="false">
      <c r="A147" s="24" t="n">
        <v>46149</v>
      </c>
      <c r="B147" s="26" t="n">
        <f aca="false">SUMIFS(Report!$U$10:$U$604,Report!$T$10:$T$604,"&lt;&gt;"&amp;"MERCADORIAS P/REVENDA",Report!$C$10:$C$604,A147)</f>
        <v>0</v>
      </c>
      <c r="C147" s="26" t="n">
        <f aca="false">SUMIFS(Report!$U$10:$U$604,Report!$T$10:$T$604,"MERCADORIAS P/REVENDA",Report!$C$10:$C$604,A147)</f>
        <v>0</v>
      </c>
      <c r="F147" s="26" t="n">
        <f aca="false">B147+C147</f>
        <v>0</v>
      </c>
    </row>
    <row r="148" customFormat="false" ht="15" hidden="false" customHeight="true" outlineLevel="0" collapsed="false">
      <c r="A148" s="24" t="n">
        <v>46150</v>
      </c>
      <c r="B148" s="26" t="n">
        <f aca="false">SUMIFS(Report!$U$10:$U$604,Report!$T$10:$T$604,"&lt;&gt;"&amp;"MERCADORIAS P/REVENDA",Report!$C$10:$C$604,A148)</f>
        <v>0</v>
      </c>
      <c r="C148" s="26" t="n">
        <f aca="false">SUMIFS(Report!$U$10:$U$604,Report!$T$10:$T$604,"MERCADORIAS P/REVENDA",Report!$C$10:$C$604,A148)</f>
        <v>0</v>
      </c>
      <c r="F148" s="26" t="n">
        <f aca="false">B148+C148</f>
        <v>0</v>
      </c>
    </row>
    <row r="149" customFormat="false" ht="15" hidden="false" customHeight="true" outlineLevel="0" collapsed="false">
      <c r="A149" s="30" t="n">
        <v>46151</v>
      </c>
      <c r="B149" s="31" t="n">
        <f aca="false">SUMIFS(Report!$U$10:$U$604,Report!$T$10:$T$604,"&lt;&gt;"&amp;"MERCADORIAS P/REVENDA",Report!$C$10:$C$604,A149)</f>
        <v>0</v>
      </c>
      <c r="C149" s="31" t="n">
        <f aca="false">SUMIFS(Report!$U$10:$U$604,Report!$T$10:$T$604,"MERCADORIAS P/REVENDA",Report!$C$10:$C$604,A149)</f>
        <v>0</v>
      </c>
      <c r="F149" s="31" t="n">
        <f aca="false">B149+C149</f>
        <v>0</v>
      </c>
    </row>
    <row r="150" customFormat="false" ht="15" hidden="false" customHeight="true" outlineLevel="0" collapsed="false">
      <c r="A150" s="30" t="n">
        <v>46152</v>
      </c>
      <c r="B150" s="31" t="n">
        <f aca="false">SUMIFS(Report!$U$10:$U$604,Report!$T$10:$T$604,"&lt;&gt;"&amp;"MERCADORIAS P/REVENDA",Report!$C$10:$C$604,A150)</f>
        <v>0</v>
      </c>
      <c r="C150" s="31" t="n">
        <f aca="false">SUMIFS(Report!$U$10:$U$604,Report!$T$10:$T$604,"MERCADORIAS P/REVENDA",Report!$C$10:$C$604,A150)</f>
        <v>0</v>
      </c>
      <c r="F150" s="31" t="n">
        <f aca="false">B150+C150</f>
        <v>0</v>
      </c>
    </row>
    <row r="151" customFormat="false" ht="15" hidden="false" customHeight="true" outlineLevel="0" collapsed="false">
      <c r="A151" s="30" t="n">
        <v>46153</v>
      </c>
      <c r="B151" s="31" t="n">
        <f aca="false">SUMIFS(Report!$U$10:$U$604,Report!$T$10:$T$604,"&lt;&gt;"&amp;"MERCADORIAS P/REVENDA",Report!$C$10:$C$604,A151)</f>
        <v>0</v>
      </c>
      <c r="C151" s="31" t="n">
        <f aca="false">SUMIFS(Report!$U$10:$U$604,Report!$T$10:$T$604,"MERCADORIAS P/REVENDA",Report!$C$10:$C$604,A151)</f>
        <v>0</v>
      </c>
      <c r="F151" s="31" t="n">
        <f aca="false">B151+C151</f>
        <v>0</v>
      </c>
    </row>
    <row r="152" customFormat="false" ht="15" hidden="false" customHeight="true" outlineLevel="0" collapsed="false">
      <c r="A152" s="32" t="s">
        <v>688</v>
      </c>
      <c r="B152" s="33" t="n">
        <f aca="false">SUM(B145:B151)</f>
        <v>0</v>
      </c>
      <c r="C152" s="33" t="n">
        <f aca="false">SUM(C145:C151)</f>
        <v>0</v>
      </c>
      <c r="F152" s="33" t="n">
        <f aca="false">B152+C152</f>
        <v>0</v>
      </c>
    </row>
    <row r="153" customFormat="false" ht="15" hidden="false" customHeight="true" outlineLevel="0" collapsed="false">
      <c r="A153" s="24" t="n">
        <v>46154</v>
      </c>
      <c r="B153" s="26" t="n">
        <f aca="false">SUMIFS(Report!$U$10:$U$604,Report!$T$10:$T$604,"&lt;&gt;"&amp;"MERCADORIAS P/REVENDA",Report!$C$10:$C$604,A153)</f>
        <v>0</v>
      </c>
      <c r="C153" s="26" t="n">
        <f aca="false">SUMIFS(Report!$U$10:$U$604,Report!$T$10:$T$604,"MERCADORIAS P/REVENDA",Report!$C$10:$C$604,A153)</f>
        <v>0</v>
      </c>
      <c r="F153" s="26" t="n">
        <f aca="false">B153+C153</f>
        <v>0</v>
      </c>
    </row>
    <row r="154" customFormat="false" ht="15" hidden="false" customHeight="true" outlineLevel="0" collapsed="false">
      <c r="A154" s="24" t="n">
        <v>46155</v>
      </c>
      <c r="B154" s="26" t="n">
        <f aca="false">SUMIFS(Report!$U$10:$U$604,Report!$T$10:$T$604,"&lt;&gt;"&amp;"MERCADORIAS P/REVENDA",Report!$C$10:$C$604,A154)</f>
        <v>0</v>
      </c>
      <c r="C154" s="26" t="n">
        <f aca="false">SUMIFS(Report!$U$10:$U$604,Report!$T$10:$T$604,"MERCADORIAS P/REVENDA",Report!$C$10:$C$604,A154)</f>
        <v>0</v>
      </c>
      <c r="F154" s="26" t="n">
        <f aca="false">B154+C154</f>
        <v>0</v>
      </c>
    </row>
    <row r="155" customFormat="false" ht="15" hidden="false" customHeight="true" outlineLevel="0" collapsed="false">
      <c r="A155" s="24" t="n">
        <v>46156</v>
      </c>
      <c r="B155" s="26" t="n">
        <f aca="false">SUMIFS(Report!$U$10:$U$604,Report!$T$10:$T$604,"&lt;&gt;"&amp;"MERCADORIAS P/REVENDA",Report!$C$10:$C$604,A155)</f>
        <v>0</v>
      </c>
      <c r="C155" s="26" t="n">
        <f aca="false">SUMIFS(Report!$U$10:$U$604,Report!$T$10:$T$604,"MERCADORIAS P/REVENDA",Report!$C$10:$C$604,A155)</f>
        <v>0</v>
      </c>
      <c r="F155" s="26" t="n">
        <f aca="false">B155+C155</f>
        <v>0</v>
      </c>
    </row>
    <row r="156" customFormat="false" ht="15" hidden="false" customHeight="true" outlineLevel="0" collapsed="false">
      <c r="A156" s="24" t="n">
        <v>46157</v>
      </c>
      <c r="B156" s="26" t="n">
        <f aca="false">SUMIFS(Report!$U$10:$U$604,Report!$T$10:$T$604,"&lt;&gt;"&amp;"MERCADORIAS P/REVENDA",Report!$C$10:$C$604,A156)</f>
        <v>0</v>
      </c>
      <c r="C156" s="26" t="n">
        <f aca="false">SUMIFS(Report!$U$10:$U$604,Report!$T$10:$T$604,"MERCADORIAS P/REVENDA",Report!$C$10:$C$604,A156)</f>
        <v>0</v>
      </c>
      <c r="F156" s="26" t="n">
        <f aca="false">B156+C156</f>
        <v>0</v>
      </c>
    </row>
    <row r="157" customFormat="false" ht="15" hidden="false" customHeight="true" outlineLevel="0" collapsed="false">
      <c r="A157" s="30" t="n">
        <v>46158</v>
      </c>
      <c r="B157" s="31" t="n">
        <f aca="false">SUMIFS(Report!$U$10:$U$604,Report!$T$10:$T$604,"&lt;&gt;"&amp;"MERCADORIAS P/REVENDA",Report!$C$10:$C$604,A157)</f>
        <v>0</v>
      </c>
      <c r="C157" s="31" t="n">
        <f aca="false">SUMIFS(Report!$U$10:$U$604,Report!$T$10:$T$604,"MERCADORIAS P/REVENDA",Report!$C$10:$C$604,A157)</f>
        <v>0</v>
      </c>
      <c r="F157" s="31" t="n">
        <f aca="false">B157+C157</f>
        <v>0</v>
      </c>
    </row>
    <row r="158" customFormat="false" ht="15" hidden="false" customHeight="true" outlineLevel="0" collapsed="false">
      <c r="A158" s="30" t="n">
        <v>46159</v>
      </c>
      <c r="B158" s="31" t="n">
        <f aca="false">SUMIFS(Report!$U$10:$U$604,Report!$T$10:$T$604,"&lt;&gt;"&amp;"MERCADORIAS P/REVENDA",Report!$C$10:$C$604,A158)</f>
        <v>0</v>
      </c>
      <c r="C158" s="31" t="n">
        <f aca="false">SUMIFS(Report!$U$10:$U$604,Report!$T$10:$T$604,"MERCADORIAS P/REVENDA",Report!$C$10:$C$604,A158)</f>
        <v>0</v>
      </c>
      <c r="F158" s="31" t="n">
        <f aca="false">B158+C158</f>
        <v>0</v>
      </c>
    </row>
    <row r="159" customFormat="false" ht="15" hidden="false" customHeight="true" outlineLevel="0" collapsed="false">
      <c r="A159" s="30" t="n">
        <v>46160</v>
      </c>
      <c r="B159" s="31" t="n">
        <f aca="false">SUMIFS(Report!$U$10:$U$604,Report!$T$10:$T$604,"&lt;&gt;"&amp;"MERCADORIAS P/REVENDA",Report!$C$10:$C$604,A159)</f>
        <v>0</v>
      </c>
      <c r="C159" s="31" t="n">
        <f aca="false">SUMIFS(Report!$U$10:$U$604,Report!$T$10:$T$604,"MERCADORIAS P/REVENDA",Report!$C$10:$C$604,A159)</f>
        <v>0</v>
      </c>
      <c r="F159" s="31" t="n">
        <f aca="false">B159+C159</f>
        <v>0</v>
      </c>
    </row>
    <row r="160" customFormat="false" ht="15" hidden="false" customHeight="true" outlineLevel="0" collapsed="false">
      <c r="A160" s="32" t="s">
        <v>689</v>
      </c>
      <c r="B160" s="33" t="n">
        <f aca="false">SUM(B153:B159)</f>
        <v>0</v>
      </c>
      <c r="C160" s="33" t="n">
        <f aca="false">SUM(C153:C159)</f>
        <v>0</v>
      </c>
      <c r="F160" s="33" t="n">
        <f aca="false">B160+C160</f>
        <v>0</v>
      </c>
    </row>
    <row r="161" customFormat="false" ht="15" hidden="false" customHeight="true" outlineLevel="0" collapsed="false">
      <c r="A161" s="24" t="n">
        <v>46161</v>
      </c>
      <c r="B161" s="26" t="n">
        <f aca="false">SUMIFS(Report!$U$10:$U$604,Report!$T$10:$T$604,"&lt;&gt;"&amp;"MERCADORIAS P/REVENDA",Report!$C$10:$C$604,A161)</f>
        <v>0</v>
      </c>
      <c r="C161" s="26" t="n">
        <f aca="false">SUMIFS(Report!$U$10:$U$604,Report!$T$10:$T$604,"MERCADORIAS P/REVENDA",Report!$C$10:$C$604,A161)</f>
        <v>0</v>
      </c>
      <c r="F161" s="26" t="n">
        <f aca="false">B161+C161</f>
        <v>0</v>
      </c>
    </row>
    <row r="162" customFormat="false" ht="15" hidden="false" customHeight="true" outlineLevel="0" collapsed="false">
      <c r="A162" s="24" t="n">
        <v>46162</v>
      </c>
      <c r="B162" s="26" t="n">
        <f aca="false">SUMIFS(Report!$U$10:$U$604,Report!$T$10:$T$604,"&lt;&gt;"&amp;"MERCADORIAS P/REVENDA",Report!$C$10:$C$604,A162)</f>
        <v>0</v>
      </c>
      <c r="C162" s="26" t="n">
        <f aca="false">SUMIFS(Report!$U$10:$U$604,Report!$T$10:$T$604,"MERCADORIAS P/REVENDA",Report!$C$10:$C$604,A162)</f>
        <v>0</v>
      </c>
      <c r="F162" s="26" t="n">
        <f aca="false">B162+C162</f>
        <v>0</v>
      </c>
    </row>
    <row r="163" customFormat="false" ht="15" hidden="false" customHeight="true" outlineLevel="0" collapsed="false">
      <c r="A163" s="24" t="n">
        <v>46163</v>
      </c>
      <c r="B163" s="26" t="n">
        <f aca="false">SUMIFS(Report!$U$10:$U$604,Report!$T$10:$T$604,"&lt;&gt;"&amp;"MERCADORIAS P/REVENDA",Report!$C$10:$C$604,A163)</f>
        <v>0</v>
      </c>
      <c r="C163" s="26" t="n">
        <f aca="false">SUMIFS(Report!$U$10:$U$604,Report!$T$10:$T$604,"MERCADORIAS P/REVENDA",Report!$C$10:$C$604,A163)</f>
        <v>0</v>
      </c>
      <c r="F163" s="26" t="n">
        <f aca="false">B163+C163</f>
        <v>0</v>
      </c>
    </row>
    <row r="164" customFormat="false" ht="15" hidden="false" customHeight="true" outlineLevel="0" collapsed="false">
      <c r="A164" s="24" t="n">
        <v>46164</v>
      </c>
      <c r="B164" s="26" t="n">
        <f aca="false">SUMIFS(Report!$U$10:$U$604,Report!$T$10:$T$604,"&lt;&gt;"&amp;"MERCADORIAS P/REVENDA",Report!$C$10:$C$604,A164)</f>
        <v>0</v>
      </c>
      <c r="C164" s="26" t="n">
        <f aca="false">SUMIFS(Report!$U$10:$U$604,Report!$T$10:$T$604,"MERCADORIAS P/REVENDA",Report!$C$10:$C$604,A164)</f>
        <v>0</v>
      </c>
      <c r="F164" s="26" t="n">
        <f aca="false">B164+C164</f>
        <v>0</v>
      </c>
    </row>
    <row r="165" customFormat="false" ht="15" hidden="false" customHeight="true" outlineLevel="0" collapsed="false">
      <c r="A165" s="30" t="n">
        <v>46165</v>
      </c>
      <c r="B165" s="31" t="n">
        <f aca="false">SUMIFS(Report!$U$10:$U$604,Report!$T$10:$T$604,"&lt;&gt;"&amp;"MERCADORIAS P/REVENDA",Report!$C$10:$C$604,A165)</f>
        <v>0</v>
      </c>
      <c r="C165" s="31" t="n">
        <f aca="false">SUMIFS(Report!$U$10:$U$604,Report!$T$10:$T$604,"MERCADORIAS P/REVENDA",Report!$C$10:$C$604,A165)</f>
        <v>0</v>
      </c>
      <c r="F165" s="31" t="n">
        <f aca="false">B165+C165</f>
        <v>0</v>
      </c>
    </row>
    <row r="166" customFormat="false" ht="15" hidden="false" customHeight="true" outlineLevel="0" collapsed="false">
      <c r="A166" s="30" t="n">
        <v>46166</v>
      </c>
      <c r="B166" s="31" t="n">
        <f aca="false">SUMIFS(Report!$U$10:$U$604,Report!$T$10:$T$604,"&lt;&gt;"&amp;"MERCADORIAS P/REVENDA",Report!$C$10:$C$604,A166)</f>
        <v>0</v>
      </c>
      <c r="C166" s="31" t="n">
        <f aca="false">SUMIFS(Report!$U$10:$U$604,Report!$T$10:$T$604,"MERCADORIAS P/REVENDA",Report!$C$10:$C$604,A166)</f>
        <v>0</v>
      </c>
      <c r="F166" s="31" t="n">
        <f aca="false">B166+C166</f>
        <v>0</v>
      </c>
    </row>
    <row r="167" customFormat="false" ht="15" hidden="false" customHeight="true" outlineLevel="0" collapsed="false">
      <c r="A167" s="30" t="n">
        <v>46167</v>
      </c>
      <c r="B167" s="31" t="n">
        <f aca="false">SUMIFS(Report!$U$10:$U$604,Report!$T$10:$T$604,"&lt;&gt;"&amp;"MERCADORIAS P/REVENDA",Report!$C$10:$C$604,A167)</f>
        <v>0</v>
      </c>
      <c r="C167" s="31" t="n">
        <f aca="false">SUMIFS(Report!$U$10:$U$604,Report!$T$10:$T$604,"MERCADORIAS P/REVENDA",Report!$C$10:$C$604,A167)</f>
        <v>0</v>
      </c>
      <c r="F167" s="31" t="n">
        <f aca="false">B167+C167</f>
        <v>0</v>
      </c>
    </row>
    <row r="168" customFormat="false" ht="15" hidden="false" customHeight="true" outlineLevel="0" collapsed="false">
      <c r="A168" s="32" t="s">
        <v>690</v>
      </c>
      <c r="B168" s="33" t="n">
        <f aca="false">SUM(B161:B167)</f>
        <v>0</v>
      </c>
      <c r="C168" s="33" t="n">
        <f aca="false">SUM(C161:C167)</f>
        <v>0</v>
      </c>
      <c r="F168" s="33" t="n">
        <f aca="false">B168+C168</f>
        <v>0</v>
      </c>
    </row>
    <row r="169" customFormat="false" ht="15" hidden="false" customHeight="true" outlineLevel="0" collapsed="false">
      <c r="A169" s="24" t="n">
        <v>46168</v>
      </c>
      <c r="B169" s="26" t="n">
        <f aca="false">SUMIFS(Report!$U$10:$U$604,Report!$T$10:$T$604,"&lt;&gt;"&amp;"MERCADORIAS P/REVENDA",Report!$C$10:$C$604,A169)</f>
        <v>0</v>
      </c>
      <c r="C169" s="26" t="n">
        <f aca="false">SUMIFS(Report!$U$10:$U$604,Report!$T$10:$T$604,"MERCADORIAS P/REVENDA",Report!$C$10:$C$604,A169)</f>
        <v>0</v>
      </c>
      <c r="F169" s="26" t="n">
        <f aca="false">B169+C169</f>
        <v>0</v>
      </c>
    </row>
    <row r="170" customFormat="false" ht="15" hidden="false" customHeight="true" outlineLevel="0" collapsed="false">
      <c r="A170" s="24" t="n">
        <v>46169</v>
      </c>
      <c r="B170" s="26" t="n">
        <f aca="false">SUMIFS(Report!$U$10:$U$604,Report!$T$10:$T$604,"&lt;&gt;"&amp;"MERCADORIAS P/REVENDA",Report!$C$10:$C$604,A170)</f>
        <v>0</v>
      </c>
      <c r="C170" s="26" t="n">
        <f aca="false">SUMIFS(Report!$U$10:$U$604,Report!$T$10:$T$604,"MERCADORIAS P/REVENDA",Report!$C$10:$C$604,A170)</f>
        <v>0</v>
      </c>
      <c r="F170" s="26" t="n">
        <f aca="false">B170+C170</f>
        <v>0</v>
      </c>
    </row>
    <row r="171" customFormat="false" ht="15" hidden="false" customHeight="true" outlineLevel="0" collapsed="false">
      <c r="A171" s="24" t="n">
        <v>46170</v>
      </c>
      <c r="B171" s="26" t="n">
        <f aca="false">SUMIFS(Report!$U$10:$U$604,Report!$T$10:$T$604,"&lt;&gt;"&amp;"MERCADORIAS P/REVENDA",Report!$C$10:$C$604,A171)</f>
        <v>0</v>
      </c>
      <c r="C171" s="26" t="n">
        <f aca="false">SUMIFS(Report!$U$10:$U$604,Report!$T$10:$T$604,"MERCADORIAS P/REVENDA",Report!$C$10:$C$604,A171)</f>
        <v>0</v>
      </c>
      <c r="F171" s="26" t="n">
        <f aca="false">B171+C171</f>
        <v>0</v>
      </c>
    </row>
    <row r="172" customFormat="false" ht="15" hidden="false" customHeight="true" outlineLevel="0" collapsed="false">
      <c r="A172" s="24" t="n">
        <v>46171</v>
      </c>
      <c r="B172" s="26" t="n">
        <f aca="false">SUMIFS(Report!$U$10:$U$604,Report!$T$10:$T$604,"&lt;&gt;"&amp;"MERCADORIAS P/REVENDA",Report!$C$10:$C$604,A172)</f>
        <v>0</v>
      </c>
      <c r="C172" s="26" t="n">
        <f aca="false">SUMIFS(Report!$U$10:$U$604,Report!$T$10:$T$604,"MERCADORIAS P/REVENDA",Report!$C$10:$C$604,A172)</f>
        <v>0</v>
      </c>
      <c r="F172" s="26" t="n">
        <f aca="false">B172+C172</f>
        <v>0</v>
      </c>
    </row>
    <row r="173" customFormat="false" ht="15" hidden="false" customHeight="true" outlineLevel="0" collapsed="false">
      <c r="A173" s="30" t="n">
        <v>46172</v>
      </c>
      <c r="B173" s="31" t="n">
        <f aca="false">SUMIFS(Report!$U$10:$U$604,Report!$T$10:$T$604,"&lt;&gt;"&amp;"MERCADORIAS P/REVENDA",Report!$C$10:$C$604,A173)</f>
        <v>0</v>
      </c>
      <c r="C173" s="31" t="n">
        <f aca="false">SUMIFS(Report!$U$10:$U$604,Report!$T$10:$T$604,"MERCADORIAS P/REVENDA",Report!$C$10:$C$604,A173)</f>
        <v>0</v>
      </c>
      <c r="F173" s="31" t="n">
        <f aca="false">B173+C173</f>
        <v>0</v>
      </c>
    </row>
    <row r="174" customFormat="false" ht="15" hidden="false" customHeight="true" outlineLevel="0" collapsed="false">
      <c r="A174" s="30" t="n">
        <v>46173</v>
      </c>
      <c r="B174" s="31" t="n">
        <f aca="false">SUMIFS(Report!$U$10:$U$604,Report!$T$10:$T$604,"&lt;&gt;"&amp;"MERCADORIAS P/REVENDA",Report!$C$10:$C$604,A174)</f>
        <v>0</v>
      </c>
      <c r="C174" s="31" t="n">
        <f aca="false">SUMIFS(Report!$U$10:$U$604,Report!$T$10:$T$604,"MERCADORIAS P/REVENDA",Report!$C$10:$C$604,A174)</f>
        <v>0</v>
      </c>
      <c r="F174" s="31" t="n">
        <f aca="false">B174+C174</f>
        <v>0</v>
      </c>
    </row>
    <row r="175" customFormat="false" ht="15" hidden="false" customHeight="true" outlineLevel="0" collapsed="false">
      <c r="A175" s="30" t="n">
        <v>46174</v>
      </c>
      <c r="B175" s="31" t="n">
        <f aca="false">SUMIFS(Report!$U$10:$U$604,Report!$T$10:$T$604,"&lt;&gt;"&amp;"MERCADORIAS P/REVENDA",Report!$C$10:$C$604,A175)</f>
        <v>0</v>
      </c>
      <c r="C175" s="31" t="n">
        <f aca="false">SUMIFS(Report!$U$10:$U$604,Report!$T$10:$T$604,"MERCADORIAS P/REVENDA",Report!$C$10:$C$604,A175)</f>
        <v>0</v>
      </c>
      <c r="F175" s="31" t="n">
        <f aca="false">B175+C175</f>
        <v>0</v>
      </c>
    </row>
    <row r="176" customFormat="false" ht="15" hidden="false" customHeight="true" outlineLevel="0" collapsed="false">
      <c r="A176" s="32" t="s">
        <v>691</v>
      </c>
      <c r="B176" s="33" t="n">
        <f aca="false">SUM(B169:B175)</f>
        <v>0</v>
      </c>
      <c r="C176" s="33" t="n">
        <f aca="false">SUM(C169:C175)</f>
        <v>0</v>
      </c>
      <c r="F176" s="33" t="n">
        <f aca="false">B176+C176</f>
        <v>0</v>
      </c>
    </row>
    <row r="177" customFormat="false" ht="15" hidden="false" customHeight="true" outlineLevel="0" collapsed="false">
      <c r="A177" s="24" t="n">
        <v>46175</v>
      </c>
      <c r="B177" s="26" t="n">
        <f aca="false">SUMIFS(Report!$U$10:$U$604,Report!$T$10:$T$604,"&lt;&gt;"&amp;"MERCADORIAS P/REVENDA",Report!$C$10:$C$604,A177)</f>
        <v>0</v>
      </c>
      <c r="C177" s="26" t="n">
        <f aca="false">SUMIFS(Report!$U$10:$U$604,Report!$T$10:$T$604,"MERCADORIAS P/REVENDA",Report!$C$10:$C$604,A177)</f>
        <v>0</v>
      </c>
      <c r="F177" s="26" t="n">
        <f aca="false">B177+C177</f>
        <v>0</v>
      </c>
    </row>
    <row r="178" customFormat="false" ht="15" hidden="false" customHeight="true" outlineLevel="0" collapsed="false">
      <c r="A178" s="24" t="n">
        <v>46176</v>
      </c>
      <c r="B178" s="26" t="n">
        <f aca="false">SUMIFS(Report!$U$10:$U$604,Report!$T$10:$T$604,"&lt;&gt;"&amp;"MERCADORIAS P/REVENDA",Report!$C$10:$C$604,A178)</f>
        <v>0</v>
      </c>
      <c r="C178" s="26" t="n">
        <f aca="false">SUMIFS(Report!$U$10:$U$604,Report!$T$10:$T$604,"MERCADORIAS P/REVENDA",Report!$C$10:$C$604,A178)</f>
        <v>0</v>
      </c>
      <c r="F178" s="26" t="n">
        <f aca="false">B178+C178</f>
        <v>0</v>
      </c>
    </row>
    <row r="179" customFormat="false" ht="15" hidden="false" customHeight="true" outlineLevel="0" collapsed="false">
      <c r="A179" s="24" t="n">
        <v>46177</v>
      </c>
      <c r="B179" s="26" t="n">
        <f aca="false">SUMIFS(Report!$U$10:$U$604,Report!$T$10:$T$604,"&lt;&gt;"&amp;"MERCADORIAS P/REVENDA",Report!$C$10:$C$604,A179)</f>
        <v>0</v>
      </c>
      <c r="C179" s="26" t="n">
        <f aca="false">SUMIFS(Report!$U$10:$U$604,Report!$T$10:$T$604,"MERCADORIAS P/REVENDA",Report!$C$10:$C$604,A179)</f>
        <v>0</v>
      </c>
      <c r="F179" s="26" t="n">
        <f aca="false">B179+C179</f>
        <v>0</v>
      </c>
    </row>
    <row r="180" customFormat="false" ht="15" hidden="false" customHeight="true" outlineLevel="0" collapsed="false">
      <c r="A180" s="24" t="n">
        <v>46178</v>
      </c>
      <c r="B180" s="26" t="n">
        <f aca="false">SUMIFS(Report!$U$10:$U$604,Report!$T$10:$T$604,"&lt;&gt;"&amp;"MERCADORIAS P/REVENDA",Report!$C$10:$C$604,A180)</f>
        <v>0</v>
      </c>
      <c r="C180" s="26" t="n">
        <f aca="false">SUMIFS(Report!$U$10:$U$604,Report!$T$10:$T$604,"MERCADORIAS P/REVENDA",Report!$C$10:$C$604,A180)</f>
        <v>0</v>
      </c>
      <c r="F180" s="26" t="n">
        <f aca="false">B180+C180</f>
        <v>0</v>
      </c>
    </row>
    <row r="181" customFormat="false" ht="15" hidden="false" customHeight="true" outlineLevel="0" collapsed="false">
      <c r="A181" s="30" t="n">
        <v>46179</v>
      </c>
      <c r="B181" s="31" t="n">
        <f aca="false">SUMIFS(Report!$U$10:$U$604,Report!$T$10:$T$604,"&lt;&gt;"&amp;"MERCADORIAS P/REVENDA",Report!$C$10:$C$604,A181)</f>
        <v>0</v>
      </c>
      <c r="C181" s="31" t="n">
        <f aca="false">SUMIFS(Report!$U$10:$U$604,Report!$T$10:$T$604,"MERCADORIAS P/REVENDA",Report!$C$10:$C$604,A181)</f>
        <v>0</v>
      </c>
      <c r="F181" s="31" t="n">
        <f aca="false">B181+C181</f>
        <v>0</v>
      </c>
    </row>
    <row r="182" customFormat="false" ht="15" hidden="false" customHeight="true" outlineLevel="0" collapsed="false">
      <c r="A182" s="30" t="n">
        <v>46180</v>
      </c>
      <c r="B182" s="31" t="n">
        <f aca="false">SUMIFS(Report!$U$10:$U$604,Report!$T$10:$T$604,"&lt;&gt;"&amp;"MERCADORIAS P/REVENDA",Report!$C$10:$C$604,A182)</f>
        <v>0</v>
      </c>
      <c r="C182" s="31" t="n">
        <f aca="false">SUMIFS(Report!$U$10:$U$604,Report!$T$10:$T$604,"MERCADORIAS P/REVENDA",Report!$C$10:$C$604,A182)</f>
        <v>0</v>
      </c>
      <c r="F182" s="31" t="n">
        <f aca="false">B182+C182</f>
        <v>0</v>
      </c>
    </row>
    <row r="183" customFormat="false" ht="15" hidden="false" customHeight="true" outlineLevel="0" collapsed="false">
      <c r="A183" s="30" t="n">
        <v>46181</v>
      </c>
      <c r="B183" s="31" t="n">
        <f aca="false">SUMIFS(Report!$U$10:$U$604,Report!$T$10:$T$604,"&lt;&gt;"&amp;"MERCADORIAS P/REVENDA",Report!$C$10:$C$604,A183)</f>
        <v>0</v>
      </c>
      <c r="C183" s="31" t="n">
        <f aca="false">SUMIFS(Report!$U$10:$U$604,Report!$T$10:$T$604,"MERCADORIAS P/REVENDA",Report!$C$10:$C$604,A183)</f>
        <v>0</v>
      </c>
      <c r="F183" s="31" t="n">
        <f aca="false">B183+C183</f>
        <v>0</v>
      </c>
    </row>
    <row r="184" customFormat="false" ht="15" hidden="false" customHeight="true" outlineLevel="0" collapsed="false">
      <c r="A184" s="32" t="s">
        <v>692</v>
      </c>
      <c r="B184" s="33" t="n">
        <f aca="false">SUM(B177:B183)</f>
        <v>0</v>
      </c>
      <c r="C184" s="33" t="n">
        <f aca="false">SUM(C177:C183)</f>
        <v>0</v>
      </c>
      <c r="F184" s="33" t="n">
        <f aca="false">B184+C184</f>
        <v>0</v>
      </c>
    </row>
    <row r="185" customFormat="false" ht="15" hidden="false" customHeight="true" outlineLevel="0" collapsed="false">
      <c r="A185" s="24" t="n">
        <v>46182</v>
      </c>
      <c r="B185" s="26" t="n">
        <f aca="false">SUMIFS(Report!$U$10:$U$604,Report!$T$10:$T$604,"&lt;&gt;"&amp;"MERCADORIAS P/REVENDA",Report!$C$10:$C$604,A185)</f>
        <v>0</v>
      </c>
      <c r="C185" s="26" t="n">
        <f aca="false">SUMIFS(Report!$U$10:$U$604,Report!$T$10:$T$604,"MERCADORIAS P/REVENDA",Report!$C$10:$C$604,A185)</f>
        <v>0</v>
      </c>
      <c r="F185" s="26" t="n">
        <f aca="false">B185+C185</f>
        <v>0</v>
      </c>
    </row>
    <row r="186" customFormat="false" ht="15" hidden="false" customHeight="true" outlineLevel="0" collapsed="false">
      <c r="A186" s="24" t="n">
        <v>46183</v>
      </c>
      <c r="B186" s="26" t="n">
        <f aca="false">SUMIFS(Report!$U$10:$U$604,Report!$T$10:$T$604,"&lt;&gt;"&amp;"MERCADORIAS P/REVENDA",Report!$C$10:$C$604,A186)</f>
        <v>0</v>
      </c>
      <c r="C186" s="26" t="n">
        <f aca="false">SUMIFS(Report!$U$10:$U$604,Report!$T$10:$T$604,"MERCADORIAS P/REVENDA",Report!$C$10:$C$604,A186)</f>
        <v>0</v>
      </c>
      <c r="F186" s="26" t="n">
        <f aca="false">B186+C186</f>
        <v>0</v>
      </c>
    </row>
    <row r="187" customFormat="false" ht="15" hidden="false" customHeight="true" outlineLevel="0" collapsed="false">
      <c r="A187" s="24" t="n">
        <v>46184</v>
      </c>
      <c r="B187" s="26" t="n">
        <f aca="false">SUMIFS(Report!$U$10:$U$604,Report!$T$10:$T$604,"&lt;&gt;"&amp;"MERCADORIAS P/REVENDA",Report!$C$10:$C$604,A187)</f>
        <v>0</v>
      </c>
      <c r="C187" s="26" t="n">
        <f aca="false">SUMIFS(Report!$U$10:$U$604,Report!$T$10:$T$604,"MERCADORIAS P/REVENDA",Report!$C$10:$C$604,A187)</f>
        <v>0</v>
      </c>
      <c r="F187" s="26" t="n">
        <f aca="false">B187+C187</f>
        <v>0</v>
      </c>
    </row>
    <row r="188" customFormat="false" ht="15" hidden="false" customHeight="true" outlineLevel="0" collapsed="false">
      <c r="A188" s="24" t="n">
        <v>46185</v>
      </c>
      <c r="B188" s="26" t="n">
        <f aca="false">SUMIFS(Report!$U$10:$U$604,Report!$T$10:$T$604,"&lt;&gt;"&amp;"MERCADORIAS P/REVENDA",Report!$C$10:$C$604,A188)</f>
        <v>0</v>
      </c>
      <c r="C188" s="26" t="n">
        <f aca="false">SUMIFS(Report!$U$10:$U$604,Report!$T$10:$T$604,"MERCADORIAS P/REVENDA",Report!$C$10:$C$604,A188)</f>
        <v>0</v>
      </c>
      <c r="F188" s="26" t="n">
        <f aca="false">B188+C188</f>
        <v>0</v>
      </c>
    </row>
    <row r="189" customFormat="false" ht="15" hidden="false" customHeight="true" outlineLevel="0" collapsed="false">
      <c r="A189" s="30" t="n">
        <v>46186</v>
      </c>
      <c r="B189" s="31" t="n">
        <f aca="false">SUMIFS(Report!$U$10:$U$604,Report!$T$10:$T$604,"&lt;&gt;"&amp;"MERCADORIAS P/REVENDA",Report!$C$10:$C$604,A189)</f>
        <v>0</v>
      </c>
      <c r="C189" s="31" t="n">
        <f aca="false">SUMIFS(Report!$U$10:$U$604,Report!$T$10:$T$604,"MERCADORIAS P/REVENDA",Report!$C$10:$C$604,A189)</f>
        <v>0</v>
      </c>
      <c r="F189" s="31" t="n">
        <f aca="false">B189+C189</f>
        <v>0</v>
      </c>
    </row>
    <row r="190" customFormat="false" ht="15" hidden="false" customHeight="true" outlineLevel="0" collapsed="false">
      <c r="A190" s="30" t="n">
        <v>46187</v>
      </c>
      <c r="B190" s="31" t="n">
        <f aca="false">SUMIFS(Report!$U$10:$U$604,Report!$T$10:$T$604,"&lt;&gt;"&amp;"MERCADORIAS P/REVENDA",Report!$C$10:$C$604,A190)</f>
        <v>0</v>
      </c>
      <c r="C190" s="31" t="n">
        <f aca="false">SUMIFS(Report!$U$10:$U$604,Report!$T$10:$T$604,"MERCADORIAS P/REVENDA",Report!$C$10:$C$604,A190)</f>
        <v>0</v>
      </c>
      <c r="F190" s="31" t="n">
        <f aca="false">B190+C190</f>
        <v>0</v>
      </c>
    </row>
    <row r="191" customFormat="false" ht="15" hidden="false" customHeight="true" outlineLevel="0" collapsed="false">
      <c r="A191" s="30" t="n">
        <v>46188</v>
      </c>
      <c r="B191" s="31" t="n">
        <f aca="false">SUMIFS(Report!$U$10:$U$604,Report!$T$10:$T$604,"&lt;&gt;"&amp;"MERCADORIAS P/REVENDA",Report!$C$10:$C$604,A191)</f>
        <v>0</v>
      </c>
      <c r="C191" s="31" t="n">
        <f aca="false">SUMIFS(Report!$U$10:$U$604,Report!$T$10:$T$604,"MERCADORIAS P/REVENDA",Report!$C$10:$C$604,A191)</f>
        <v>0</v>
      </c>
      <c r="F191" s="31" t="n">
        <f aca="false">B191+C191</f>
        <v>0</v>
      </c>
    </row>
    <row r="192" customFormat="false" ht="15" hidden="false" customHeight="true" outlineLevel="0" collapsed="false">
      <c r="A192" s="32" t="s">
        <v>693</v>
      </c>
      <c r="B192" s="33" t="n">
        <f aca="false">SUM(B185:B191)</f>
        <v>0</v>
      </c>
      <c r="C192" s="33" t="n">
        <f aca="false">SUM(C185:C191)</f>
        <v>0</v>
      </c>
      <c r="F192" s="33" t="n">
        <f aca="false">B192+C192</f>
        <v>0</v>
      </c>
    </row>
    <row r="193" customFormat="false" ht="15" hidden="false" customHeight="true" outlineLevel="0" collapsed="false">
      <c r="A193" s="24" t="n">
        <v>46189</v>
      </c>
      <c r="B193" s="26" t="n">
        <f aca="false">SUMIFS(Report!$U$10:$U$604,Report!$T$10:$T$604,"&lt;&gt;"&amp;"MERCADORIAS P/REVENDA",Report!$C$10:$C$604,A193)</f>
        <v>0</v>
      </c>
      <c r="C193" s="26" t="n">
        <f aca="false">SUMIFS(Report!$U$10:$U$604,Report!$T$10:$T$604,"MERCADORIAS P/REVENDA",Report!$C$10:$C$604,A193)</f>
        <v>0</v>
      </c>
      <c r="F193" s="26" t="n">
        <f aca="false">B193+C193</f>
        <v>0</v>
      </c>
    </row>
    <row r="194" customFormat="false" ht="15" hidden="false" customHeight="true" outlineLevel="0" collapsed="false">
      <c r="A194" s="24" t="n">
        <v>46190</v>
      </c>
      <c r="B194" s="26" t="n">
        <f aca="false">SUMIFS(Report!$U$10:$U$604,Report!$T$10:$T$604,"&lt;&gt;"&amp;"MERCADORIAS P/REVENDA",Report!$C$10:$C$604,A194)</f>
        <v>0</v>
      </c>
      <c r="C194" s="26" t="n">
        <f aca="false">SUMIFS(Report!$U$10:$U$604,Report!$T$10:$T$604,"MERCADORIAS P/REVENDA",Report!$C$10:$C$604,A194)</f>
        <v>0</v>
      </c>
      <c r="F194" s="26" t="n">
        <f aca="false">B194+C194</f>
        <v>0</v>
      </c>
    </row>
    <row r="195" customFormat="false" ht="15" hidden="false" customHeight="true" outlineLevel="0" collapsed="false">
      <c r="A195" s="24" t="n">
        <v>46191</v>
      </c>
      <c r="B195" s="26" t="n">
        <f aca="false">SUMIFS(Report!$U$10:$U$604,Report!$T$10:$T$604,"&lt;&gt;"&amp;"MERCADORIAS P/REVENDA",Report!$C$10:$C$604,A195)</f>
        <v>0</v>
      </c>
      <c r="C195" s="26" t="n">
        <f aca="false">SUMIFS(Report!$U$10:$U$604,Report!$T$10:$T$604,"MERCADORIAS P/REVENDA",Report!$C$10:$C$604,A195)</f>
        <v>0</v>
      </c>
      <c r="F195" s="26" t="n">
        <f aca="false">B195+C195</f>
        <v>0</v>
      </c>
    </row>
    <row r="196" customFormat="false" ht="15" hidden="false" customHeight="true" outlineLevel="0" collapsed="false">
      <c r="A196" s="24" t="n">
        <v>46192</v>
      </c>
      <c r="B196" s="26" t="n">
        <f aca="false">SUMIFS(Report!$U$10:$U$604,Report!$T$10:$T$604,"&lt;&gt;"&amp;"MERCADORIAS P/REVENDA",Report!$C$10:$C$604,A196)</f>
        <v>0</v>
      </c>
      <c r="C196" s="26" t="n">
        <f aca="false">SUMIFS(Report!$U$10:$U$604,Report!$T$10:$T$604,"MERCADORIAS P/REVENDA",Report!$C$10:$C$604,A196)</f>
        <v>0</v>
      </c>
      <c r="F196" s="26" t="n">
        <f aca="false">B196+C196</f>
        <v>0</v>
      </c>
    </row>
    <row r="197" customFormat="false" ht="15" hidden="false" customHeight="true" outlineLevel="0" collapsed="false">
      <c r="A197" s="30" t="n">
        <v>46193</v>
      </c>
      <c r="B197" s="31" t="n">
        <f aca="false">SUMIFS(Report!$U$10:$U$604,Report!$T$10:$T$604,"&lt;&gt;"&amp;"MERCADORIAS P/REVENDA",Report!$C$10:$C$604,A197)</f>
        <v>0</v>
      </c>
      <c r="C197" s="31" t="n">
        <f aca="false">SUMIFS(Report!$U$10:$U$604,Report!$T$10:$T$604,"MERCADORIAS P/REVENDA",Report!$C$10:$C$604,A197)</f>
        <v>0</v>
      </c>
      <c r="F197" s="31" t="n">
        <f aca="false">B197+C197</f>
        <v>0</v>
      </c>
    </row>
    <row r="198" customFormat="false" ht="15" hidden="false" customHeight="true" outlineLevel="0" collapsed="false">
      <c r="A198" s="30" t="n">
        <v>46194</v>
      </c>
      <c r="B198" s="31" t="n">
        <f aca="false">SUMIFS(Report!$U$10:$U$604,Report!$T$10:$T$604,"&lt;&gt;"&amp;"MERCADORIAS P/REVENDA",Report!$C$10:$C$604,A198)</f>
        <v>0</v>
      </c>
      <c r="C198" s="31" t="n">
        <f aca="false">SUMIFS(Report!$U$10:$U$604,Report!$T$10:$T$604,"MERCADORIAS P/REVENDA",Report!$C$10:$C$604,A198)</f>
        <v>0</v>
      </c>
      <c r="F198" s="31" t="n">
        <f aca="false">B198+C198</f>
        <v>0</v>
      </c>
    </row>
    <row r="199" customFormat="false" ht="15" hidden="false" customHeight="true" outlineLevel="0" collapsed="false">
      <c r="A199" s="30" t="n">
        <v>46195</v>
      </c>
      <c r="B199" s="31" t="n">
        <f aca="false">SUMIFS(Report!$U$10:$U$604,Report!$T$10:$T$604,"&lt;&gt;"&amp;"MERCADORIAS P/REVENDA",Report!$C$10:$C$604,A199)</f>
        <v>0</v>
      </c>
      <c r="C199" s="31" t="n">
        <f aca="false">SUMIFS(Report!$U$10:$U$604,Report!$T$10:$T$604,"MERCADORIAS P/REVENDA",Report!$C$10:$C$604,A199)</f>
        <v>0</v>
      </c>
      <c r="F199" s="31" t="n">
        <f aca="false">B199+C199</f>
        <v>0</v>
      </c>
    </row>
    <row r="200" customFormat="false" ht="15" hidden="false" customHeight="true" outlineLevel="0" collapsed="false">
      <c r="A200" s="32" t="s">
        <v>694</v>
      </c>
      <c r="B200" s="33" t="n">
        <f aca="false">SUM(B193:B199)</f>
        <v>0</v>
      </c>
      <c r="C200" s="33" t="n">
        <f aca="false">SUM(C193:C199)</f>
        <v>0</v>
      </c>
      <c r="F200" s="33" t="n">
        <f aca="false">B200+C200</f>
        <v>0</v>
      </c>
    </row>
    <row r="201" customFormat="false" ht="15" hidden="false" customHeight="true" outlineLevel="0" collapsed="false">
      <c r="A201" s="24" t="n">
        <v>46196</v>
      </c>
      <c r="B201" s="26" t="n">
        <f aca="false">SUMIFS(Report!$U$10:$U$604,Report!$T$10:$T$604,"&lt;&gt;"&amp;"MERCADORIAS P/REVENDA",Report!$C$10:$C$604,A201)</f>
        <v>0</v>
      </c>
      <c r="C201" s="26" t="n">
        <f aca="false">SUMIFS(Report!$U$10:$U$604,Report!$T$10:$T$604,"MERCADORIAS P/REVENDA",Report!$C$10:$C$604,A201)</f>
        <v>0</v>
      </c>
      <c r="F201" s="26" t="n">
        <f aca="false">B201+C201</f>
        <v>0</v>
      </c>
    </row>
    <row r="202" customFormat="false" ht="15" hidden="false" customHeight="true" outlineLevel="0" collapsed="false">
      <c r="A202" s="24" t="n">
        <v>46197</v>
      </c>
      <c r="B202" s="26" t="n">
        <f aca="false">SUMIFS(Report!$U$10:$U$604,Report!$T$10:$T$604,"&lt;&gt;"&amp;"MERCADORIAS P/REVENDA",Report!$C$10:$C$604,A202)</f>
        <v>0</v>
      </c>
      <c r="C202" s="26" t="n">
        <f aca="false">SUMIFS(Report!$U$10:$U$604,Report!$T$10:$T$604,"MERCADORIAS P/REVENDA",Report!$C$10:$C$604,A202)</f>
        <v>0</v>
      </c>
      <c r="F202" s="26" t="n">
        <f aca="false">B202+C202</f>
        <v>0</v>
      </c>
    </row>
    <row r="203" customFormat="false" ht="15" hidden="false" customHeight="true" outlineLevel="0" collapsed="false">
      <c r="A203" s="24" t="n">
        <v>46198</v>
      </c>
      <c r="B203" s="26" t="n">
        <f aca="false">SUMIFS(Report!$U$10:$U$604,Report!$T$10:$T$604,"&lt;&gt;"&amp;"MERCADORIAS P/REVENDA",Report!$C$10:$C$604,A203)</f>
        <v>0</v>
      </c>
      <c r="C203" s="26" t="n">
        <f aca="false">SUMIFS(Report!$U$10:$U$604,Report!$T$10:$T$604,"MERCADORIAS P/REVENDA",Report!$C$10:$C$604,A203)</f>
        <v>0</v>
      </c>
      <c r="F203" s="26" t="n">
        <f aca="false">B203+C203</f>
        <v>0</v>
      </c>
    </row>
    <row r="204" customFormat="false" ht="15" hidden="false" customHeight="true" outlineLevel="0" collapsed="false">
      <c r="A204" s="24" t="n">
        <v>46199</v>
      </c>
      <c r="B204" s="26" t="n">
        <f aca="false">SUMIFS(Report!$U$10:$U$604,Report!$T$10:$T$604,"&lt;&gt;"&amp;"MERCADORIAS P/REVENDA",Report!$C$10:$C$604,A204)</f>
        <v>0</v>
      </c>
      <c r="C204" s="26" t="n">
        <f aca="false">SUMIFS(Report!$U$10:$U$604,Report!$T$10:$T$604,"MERCADORIAS P/REVENDA",Report!$C$10:$C$604,A204)</f>
        <v>0</v>
      </c>
      <c r="F204" s="26" t="n">
        <f aca="false">B204+C204</f>
        <v>0</v>
      </c>
    </row>
    <row r="205" customFormat="false" ht="15" hidden="false" customHeight="true" outlineLevel="0" collapsed="false">
      <c r="A205" s="30" t="n">
        <v>46200</v>
      </c>
      <c r="B205" s="31" t="n">
        <f aca="false">SUMIFS(Report!$U$10:$U$604,Report!$T$10:$T$604,"&lt;&gt;"&amp;"MERCADORIAS P/REVENDA",Report!$C$10:$C$604,A205)</f>
        <v>0</v>
      </c>
      <c r="C205" s="31" t="n">
        <f aca="false">SUMIFS(Report!$U$10:$U$604,Report!$T$10:$T$604,"MERCADORIAS P/REVENDA",Report!$C$10:$C$604,A205)</f>
        <v>0</v>
      </c>
      <c r="F205" s="31" t="n">
        <f aca="false">B205+C205</f>
        <v>0</v>
      </c>
    </row>
    <row r="206" customFormat="false" ht="15" hidden="false" customHeight="true" outlineLevel="0" collapsed="false">
      <c r="A206" s="30" t="n">
        <v>46201</v>
      </c>
      <c r="B206" s="31" t="n">
        <f aca="false">SUMIFS(Report!$U$10:$U$604,Report!$T$10:$T$604,"&lt;&gt;"&amp;"MERCADORIAS P/REVENDA",Report!$C$10:$C$604,A206)</f>
        <v>0</v>
      </c>
      <c r="C206" s="31" t="n">
        <f aca="false">SUMIFS(Report!$U$10:$U$604,Report!$T$10:$T$604,"MERCADORIAS P/REVENDA",Report!$C$10:$C$604,A206)</f>
        <v>0</v>
      </c>
      <c r="F206" s="31" t="n">
        <f aca="false">B206+C206</f>
        <v>0</v>
      </c>
    </row>
    <row r="207" customFormat="false" ht="15" hidden="false" customHeight="true" outlineLevel="0" collapsed="false">
      <c r="A207" s="30" t="n">
        <v>46202</v>
      </c>
      <c r="B207" s="31" t="n">
        <f aca="false">SUMIFS(Report!$U$10:$U$604,Report!$T$10:$T$604,"&lt;&gt;"&amp;"MERCADORIAS P/REVENDA",Report!$C$10:$C$604,A207)</f>
        <v>0</v>
      </c>
      <c r="C207" s="31" t="n">
        <f aca="false">SUMIFS(Report!$U$10:$U$604,Report!$T$10:$T$604,"MERCADORIAS P/REVENDA",Report!$C$10:$C$604,A207)</f>
        <v>0</v>
      </c>
      <c r="F207" s="31" t="n">
        <f aca="false">B207+C207</f>
        <v>0</v>
      </c>
    </row>
    <row r="208" customFormat="false" ht="15" hidden="false" customHeight="true" outlineLevel="0" collapsed="false">
      <c r="A208" s="32" t="s">
        <v>695</v>
      </c>
      <c r="B208" s="33" t="n">
        <f aca="false">SUM(B201:B207)</f>
        <v>0</v>
      </c>
      <c r="C208" s="33" t="n">
        <f aca="false">SUM(C201:C207)</f>
        <v>0</v>
      </c>
      <c r="F208" s="33" t="n">
        <f aca="false">B208+C208</f>
        <v>0</v>
      </c>
    </row>
    <row r="209" customFormat="false" ht="15" hidden="false" customHeight="true" outlineLevel="0" collapsed="false">
      <c r="A209" s="24" t="n">
        <v>46203</v>
      </c>
      <c r="B209" s="26" t="n">
        <f aca="false">SUMIFS(Report!$U$10:$U$604,Report!$T$10:$T$604,"&lt;&gt;"&amp;"MERCADORIAS P/REVENDA",Report!$C$10:$C$604,A209)</f>
        <v>0</v>
      </c>
      <c r="C209" s="26" t="n">
        <f aca="false">SUMIFS(Report!$U$10:$U$604,Report!$T$10:$T$604,"MERCADORIAS P/REVENDA",Report!$C$10:$C$604,A209)</f>
        <v>0</v>
      </c>
      <c r="F209" s="26" t="n">
        <f aca="false">B209+C209</f>
        <v>0</v>
      </c>
    </row>
    <row r="210" customFormat="false" ht="15" hidden="false" customHeight="true" outlineLevel="0" collapsed="false">
      <c r="A210" s="24" t="n">
        <v>46204</v>
      </c>
      <c r="B210" s="26" t="n">
        <f aca="false">SUMIFS(Report!$U$10:$U$604,Report!$T$10:$T$604,"&lt;&gt;"&amp;"MERCADORIAS P/REVENDA",Report!$C$10:$C$604,A210)</f>
        <v>7601.05</v>
      </c>
      <c r="C210" s="26" t="n">
        <f aca="false">SUMIFS(Report!$U$10:$U$604,Report!$T$10:$T$604,"MERCADORIAS P/REVENDA",Report!$C$10:$C$604,A210)</f>
        <v>14388.33</v>
      </c>
      <c r="F210" s="26" t="n">
        <f aca="false">B210+C210</f>
        <v>21989.38</v>
      </c>
    </row>
    <row r="211" customFormat="false" ht="15" hidden="false" customHeight="true" outlineLevel="0" collapsed="false">
      <c r="A211" s="24" t="n">
        <v>46205</v>
      </c>
      <c r="B211" s="26" t="n">
        <f aca="false">SUMIFS(Report!$U$10:$U$604,Report!$T$10:$T$604,"&lt;&gt;"&amp;"MERCADORIAS P/REVENDA",Report!$C$10:$C$604,A211)</f>
        <v>1255.01</v>
      </c>
      <c r="C211" s="26" t="n">
        <f aca="false">SUMIFS(Report!$U$10:$U$604,Report!$T$10:$T$604,"MERCADORIAS P/REVENDA",Report!$C$10:$C$604,A211)</f>
        <v>12121.65</v>
      </c>
      <c r="F211" s="26" t="n">
        <f aca="false">B211+C211</f>
        <v>13376.66</v>
      </c>
    </row>
    <row r="212" customFormat="false" ht="15" hidden="false" customHeight="true" outlineLevel="0" collapsed="false">
      <c r="A212" s="24" t="n">
        <v>46206</v>
      </c>
      <c r="B212" s="26" t="n">
        <f aca="false">SUMIFS(Report!$U$10:$U$604,Report!$T$10:$T$604,"&lt;&gt;"&amp;"MERCADORIAS P/REVENDA",Report!$C$10:$C$604,A212)</f>
        <v>17343.9</v>
      </c>
      <c r="C212" s="26" t="n">
        <f aca="false">SUMIFS(Report!$U$10:$U$604,Report!$T$10:$T$604,"MERCADORIAS P/REVENDA",Report!$C$10:$C$604,A212)</f>
        <v>21573.42</v>
      </c>
      <c r="F212" s="26" t="n">
        <f aca="false">B212+C212</f>
        <v>38917.32</v>
      </c>
    </row>
    <row r="213" customFormat="false" ht="15" hidden="false" customHeight="true" outlineLevel="0" collapsed="false">
      <c r="A213" s="30" t="n">
        <v>46207</v>
      </c>
      <c r="B213" s="31" t="n">
        <f aca="false">SUMIFS(Report!$U$10:$U$604,Report!$T$10:$T$604,"&lt;&gt;"&amp;"MERCADORIAS P/REVENDA",Report!$C$10:$C$604,A213)</f>
        <v>258</v>
      </c>
      <c r="C213" s="31" t="n">
        <f aca="false">SUMIFS(Report!$U$10:$U$604,Report!$T$10:$T$604,"MERCADORIAS P/REVENDA",Report!$C$10:$C$604,A213)</f>
        <v>8204.38</v>
      </c>
      <c r="F213" s="31" t="n">
        <f aca="false">B213+C213</f>
        <v>8462.38</v>
      </c>
    </row>
    <row r="214" customFormat="false" ht="15" hidden="false" customHeight="true" outlineLevel="0" collapsed="false">
      <c r="A214" s="30" t="n">
        <v>46208</v>
      </c>
      <c r="B214" s="31" t="n">
        <f aca="false">SUMIFS(Report!$U$10:$U$604,Report!$T$10:$T$604,"&lt;&gt;"&amp;"MERCADORIAS P/REVENDA",Report!$C$10:$C$604,A214)</f>
        <v>573.02</v>
      </c>
      <c r="C214" s="31" t="n">
        <f aca="false">SUMIFS(Report!$U$10:$U$604,Report!$T$10:$T$604,"MERCADORIAS P/REVENDA",Report!$C$10:$C$604,A214)</f>
        <v>0</v>
      </c>
      <c r="F214" s="31" t="n">
        <f aca="false">B214+C214</f>
        <v>573.02</v>
      </c>
    </row>
    <row r="215" customFormat="false" ht="15" hidden="false" customHeight="true" outlineLevel="0" collapsed="false">
      <c r="A215" s="30" t="n">
        <v>46209</v>
      </c>
      <c r="B215" s="31" t="n">
        <f aca="false">SUMIFS(Report!$U$10:$U$604,Report!$T$10:$T$604,"&lt;&gt;"&amp;"MERCADORIAS P/REVENDA",Report!$C$10:$C$604,A215)</f>
        <v>5330.98</v>
      </c>
      <c r="C215" s="31" t="n">
        <f aca="false">SUMIFS(Report!$U$10:$U$604,Report!$T$10:$T$604,"MERCADORIAS P/REVENDA",Report!$C$10:$C$604,A215)</f>
        <v>4940.99</v>
      </c>
      <c r="F215" s="31" t="n">
        <f aca="false">B215+C215</f>
        <v>10271.97</v>
      </c>
    </row>
    <row r="216" customFormat="false" ht="15" hidden="false" customHeight="true" outlineLevel="0" collapsed="false">
      <c r="A216" s="32" t="s">
        <v>696</v>
      </c>
      <c r="B216" s="33" t="n">
        <f aca="false">SUM(B209:B215)</f>
        <v>32361.96</v>
      </c>
      <c r="C216" s="33" t="n">
        <f aca="false">SUM(C209:C215)</f>
        <v>61228.77</v>
      </c>
      <c r="F216" s="33" t="n">
        <f aca="false">B216+C216</f>
        <v>93590.73</v>
      </c>
    </row>
    <row r="217" customFormat="false" ht="15" hidden="false" customHeight="true" outlineLevel="0" collapsed="false">
      <c r="A217" s="24" t="n">
        <v>46210</v>
      </c>
      <c r="B217" s="26" t="n">
        <f aca="false">SUMIFS(Report!$U$10:$U$604,Report!$T$10:$T$604,"&lt;&gt;"&amp;"MERCADORIAS P/REVENDA",Report!$C$10:$C$604,A217)</f>
        <v>437.63</v>
      </c>
      <c r="C217" s="26" t="n">
        <f aca="false">SUMIFS(Report!$U$10:$U$604,Report!$T$10:$T$604,"MERCADORIAS P/REVENDA",Report!$C$10:$C$604,A217)</f>
        <v>13035.31</v>
      </c>
      <c r="F217" s="26" t="n">
        <f aca="false">B217+C217</f>
        <v>13472.94</v>
      </c>
    </row>
    <row r="218" customFormat="false" ht="15" hidden="false" customHeight="true" outlineLevel="0" collapsed="false">
      <c r="A218" s="24" t="n">
        <v>46211</v>
      </c>
      <c r="B218" s="26" t="n">
        <f aca="false">SUMIFS(Report!$U$10:$U$604,Report!$T$10:$T$604,"&lt;&gt;"&amp;"MERCADORIAS P/REVENDA",Report!$C$10:$C$604,A218)</f>
        <v>1016.97</v>
      </c>
      <c r="C218" s="26" t="n">
        <f aca="false">SUMIFS(Report!$U$10:$U$604,Report!$T$10:$T$604,"MERCADORIAS P/REVENDA",Report!$C$10:$C$604,A218)</f>
        <v>9238.83</v>
      </c>
      <c r="F218" s="26" t="n">
        <f aca="false">B218+C218</f>
        <v>10255.8</v>
      </c>
    </row>
    <row r="219" customFormat="false" ht="15" hidden="false" customHeight="true" outlineLevel="0" collapsed="false">
      <c r="A219" s="24" t="n">
        <v>46212</v>
      </c>
      <c r="B219" s="26" t="n">
        <f aca="false">SUMIFS(Report!$U$10:$U$604,Report!$T$10:$T$604,"&lt;&gt;"&amp;"MERCADORIAS P/REVENDA",Report!$C$10:$C$604,A219)</f>
        <v>0</v>
      </c>
      <c r="C219" s="26" t="n">
        <f aca="false">SUMIFS(Report!$U$10:$U$604,Report!$T$10:$T$604,"MERCADORIAS P/REVENDA",Report!$C$10:$C$604,A219)</f>
        <v>14076.47</v>
      </c>
      <c r="F219" s="26" t="n">
        <f aca="false">B219+C219</f>
        <v>14076.47</v>
      </c>
    </row>
    <row r="220" customFormat="false" ht="15" hidden="false" customHeight="true" outlineLevel="0" collapsed="false">
      <c r="A220" s="24" t="n">
        <v>46213</v>
      </c>
      <c r="B220" s="26" t="n">
        <f aca="false">SUMIFS(Report!$U$10:$U$604,Report!$T$10:$T$604,"&lt;&gt;"&amp;"MERCADORIAS P/REVENDA",Report!$C$10:$C$604,A220)</f>
        <v>4588.63</v>
      </c>
      <c r="C220" s="26" t="n">
        <f aca="false">SUMIFS(Report!$U$10:$U$604,Report!$T$10:$T$604,"MERCADORIAS P/REVENDA",Report!$C$10:$C$604,A220)</f>
        <v>25320.98</v>
      </c>
      <c r="F220" s="26" t="n">
        <f aca="false">B220+C220</f>
        <v>29909.61</v>
      </c>
    </row>
    <row r="221" customFormat="false" ht="15" hidden="false" customHeight="true" outlineLevel="0" collapsed="false">
      <c r="A221" s="30" t="n">
        <v>46214</v>
      </c>
      <c r="B221" s="31" t="n">
        <f aca="false">SUMIFS(Report!$U$10:$U$604,Report!$T$10:$T$604,"&lt;&gt;"&amp;"MERCADORIAS P/REVENDA",Report!$C$10:$C$604,A221)</f>
        <v>0</v>
      </c>
      <c r="C221" s="31" t="n">
        <f aca="false">SUMIFS(Report!$U$10:$U$604,Report!$T$10:$T$604,"MERCADORIAS P/REVENDA",Report!$C$10:$C$604,A221)</f>
        <v>2664.11</v>
      </c>
      <c r="F221" s="31" t="n">
        <f aca="false">B221+C221</f>
        <v>2664.11</v>
      </c>
    </row>
    <row r="222" customFormat="false" ht="15" hidden="false" customHeight="true" outlineLevel="0" collapsed="false">
      <c r="A222" s="30" t="n">
        <v>46215</v>
      </c>
      <c r="B222" s="31" t="n">
        <f aca="false">SUMIFS(Report!$U$10:$U$604,Report!$T$10:$T$604,"&lt;&gt;"&amp;"MERCADORIAS P/REVENDA",Report!$C$10:$C$604,A222)</f>
        <v>0</v>
      </c>
      <c r="C222" s="31" t="n">
        <f aca="false">SUMIFS(Report!$U$10:$U$604,Report!$T$10:$T$604,"MERCADORIAS P/REVENDA",Report!$C$10:$C$604,A222)</f>
        <v>1361.81</v>
      </c>
      <c r="F222" s="31" t="n">
        <f aca="false">B222+C222</f>
        <v>1361.81</v>
      </c>
    </row>
    <row r="223" customFormat="false" ht="15" hidden="false" customHeight="true" outlineLevel="0" collapsed="false">
      <c r="A223" s="30" t="n">
        <v>46216</v>
      </c>
      <c r="B223" s="31" t="n">
        <f aca="false">SUMIFS(Report!$U$10:$U$604,Report!$T$10:$T$604,"&lt;&gt;"&amp;"MERCADORIAS P/REVENDA",Report!$C$10:$C$604,A223)</f>
        <v>737.43</v>
      </c>
      <c r="C223" s="31" t="n">
        <f aca="false">SUMIFS(Report!$U$10:$U$604,Report!$T$10:$T$604,"MERCADORIAS P/REVENDA",Report!$C$10:$C$604,A223)</f>
        <v>7819.88</v>
      </c>
      <c r="F223" s="31" t="n">
        <f aca="false">B223+C223</f>
        <v>8557.31</v>
      </c>
    </row>
    <row r="224" customFormat="false" ht="15" hidden="false" customHeight="true" outlineLevel="0" collapsed="false">
      <c r="A224" s="32" t="s">
        <v>697</v>
      </c>
      <c r="B224" s="33" t="n">
        <f aca="false">SUM(B217:B223)</f>
        <v>6780.66</v>
      </c>
      <c r="C224" s="33" t="n">
        <f aca="false">SUM(C217:C223)</f>
        <v>73517.39</v>
      </c>
      <c r="F224" s="33" t="n">
        <f aca="false">B224+C224</f>
        <v>80298.05</v>
      </c>
    </row>
    <row r="225" customFormat="false" ht="15" hidden="false" customHeight="true" outlineLevel="0" collapsed="false">
      <c r="A225" s="24" t="n">
        <v>46217</v>
      </c>
      <c r="B225" s="26" t="n">
        <f aca="false">SUMIFS(Report!$U$10:$U$604,Report!$T$10:$T$604,"&lt;&gt;"&amp;"MERCADORIAS P/REVENDA",Report!$C$10:$C$604,A225)</f>
        <v>2317.66</v>
      </c>
      <c r="C225" s="26" t="n">
        <f aca="false">SUMIFS(Report!$U$10:$U$604,Report!$T$10:$T$604,"MERCADORIAS P/REVENDA",Report!$C$10:$C$604,A225)</f>
        <v>11010.07</v>
      </c>
      <c r="F225" s="26" t="n">
        <f aca="false">B225+C225</f>
        <v>13327.73</v>
      </c>
    </row>
    <row r="226" customFormat="false" ht="15" hidden="false" customHeight="true" outlineLevel="0" collapsed="false">
      <c r="A226" s="24" t="n">
        <v>46218</v>
      </c>
      <c r="B226" s="26" t="n">
        <f aca="false">SUMIFS(Report!$U$10:$U$604,Report!$T$10:$T$604,"&lt;&gt;"&amp;"MERCADORIAS P/REVENDA",Report!$C$10:$C$604,A226)</f>
        <v>5928.88</v>
      </c>
      <c r="C226" s="26" t="n">
        <f aca="false">SUMIFS(Report!$U$10:$U$604,Report!$T$10:$T$604,"MERCADORIAS P/REVENDA",Report!$C$10:$C$604,A226)</f>
        <v>6943.07</v>
      </c>
      <c r="F226" s="26" t="n">
        <f aca="false">B226+C226</f>
        <v>12871.95</v>
      </c>
    </row>
    <row r="227" customFormat="false" ht="15" hidden="false" customHeight="true" outlineLevel="0" collapsed="false">
      <c r="A227" s="24" t="n">
        <v>46219</v>
      </c>
      <c r="B227" s="26" t="n">
        <f aca="false">SUMIFS(Report!$U$10:$U$604,Report!$T$10:$T$604,"&lt;&gt;"&amp;"MERCADORIAS P/REVENDA",Report!$C$10:$C$604,A227)</f>
        <v>0</v>
      </c>
      <c r="C227" s="26" t="n">
        <f aca="false">SUMIFS(Report!$U$10:$U$604,Report!$T$10:$T$604,"MERCADORIAS P/REVENDA",Report!$C$10:$C$604,A227)</f>
        <v>10738.99</v>
      </c>
      <c r="F227" s="26" t="n">
        <f aca="false">B227+C227</f>
        <v>10738.99</v>
      </c>
    </row>
    <row r="228" customFormat="false" ht="15" hidden="false" customHeight="true" outlineLevel="0" collapsed="false">
      <c r="A228" s="24" t="n">
        <v>46220</v>
      </c>
      <c r="B228" s="26" t="n">
        <f aca="false">SUMIFS(Report!$U$10:$U$604,Report!$T$10:$T$604,"&lt;&gt;"&amp;"MERCADORIAS P/REVENDA",Report!$C$10:$C$604,A228)</f>
        <v>400</v>
      </c>
      <c r="C228" s="26" t="n">
        <f aca="false">SUMIFS(Report!$U$10:$U$604,Report!$T$10:$T$604,"MERCADORIAS P/REVENDA",Report!$C$10:$C$604,A228)</f>
        <v>19817.83</v>
      </c>
      <c r="F228" s="26" t="n">
        <f aca="false">B228+C228</f>
        <v>20217.83</v>
      </c>
    </row>
    <row r="229" customFormat="false" ht="15" hidden="false" customHeight="true" outlineLevel="0" collapsed="false">
      <c r="A229" s="30" t="n">
        <v>46221</v>
      </c>
      <c r="B229" s="31" t="n">
        <f aca="false">SUMIFS(Report!$U$10:$U$604,Report!$T$10:$T$604,"&lt;&gt;"&amp;"MERCADORIAS P/REVENDA",Report!$C$10:$C$604,A229)</f>
        <v>247.27</v>
      </c>
      <c r="C229" s="31" t="n">
        <f aca="false">SUMIFS(Report!$U$10:$U$604,Report!$T$10:$T$604,"MERCADORIAS P/REVENDA",Report!$C$10:$C$604,A229)</f>
        <v>6413.08</v>
      </c>
      <c r="F229" s="31" t="n">
        <f aca="false">B229+C229</f>
        <v>6660.35</v>
      </c>
    </row>
    <row r="230" customFormat="false" ht="15" hidden="false" customHeight="true" outlineLevel="0" collapsed="false">
      <c r="A230" s="30" t="n">
        <v>46222</v>
      </c>
      <c r="B230" s="31" t="n">
        <f aca="false">SUMIFS(Report!$U$10:$U$604,Report!$T$10:$T$604,"&lt;&gt;"&amp;"MERCADORIAS P/REVENDA",Report!$C$10:$C$604,A230)</f>
        <v>0</v>
      </c>
      <c r="C230" s="31" t="n">
        <f aca="false">SUMIFS(Report!$U$10:$U$604,Report!$T$10:$T$604,"MERCADORIAS P/REVENDA",Report!$C$10:$C$604,A230)</f>
        <v>2273.8</v>
      </c>
      <c r="F230" s="31" t="n">
        <f aca="false">B230+C230</f>
        <v>2273.8</v>
      </c>
    </row>
    <row r="231" customFormat="false" ht="15" hidden="false" customHeight="true" outlineLevel="0" collapsed="false">
      <c r="A231" s="30" t="n">
        <v>46223</v>
      </c>
      <c r="B231" s="31" t="n">
        <f aca="false">SUMIFS(Report!$U$10:$U$604,Report!$T$10:$T$604,"&lt;&gt;"&amp;"MERCADORIAS P/REVENDA",Report!$C$10:$C$604,A231)</f>
        <v>8024.28</v>
      </c>
      <c r="C231" s="31" t="n">
        <f aca="false">SUMIFS(Report!$U$10:$U$604,Report!$T$10:$T$604,"MERCADORIAS P/REVENDA",Report!$C$10:$C$604,A231)</f>
        <v>3792.93</v>
      </c>
      <c r="F231" s="31" t="n">
        <f aca="false">B231+C231</f>
        <v>11817.21</v>
      </c>
    </row>
    <row r="232" customFormat="false" ht="15" hidden="false" customHeight="true" outlineLevel="0" collapsed="false">
      <c r="A232" s="32" t="s">
        <v>698</v>
      </c>
      <c r="B232" s="33" t="n">
        <f aca="false">SUM(B225:B231)</f>
        <v>16918.09</v>
      </c>
      <c r="C232" s="33" t="n">
        <f aca="false">SUM(C225:C231)</f>
        <v>60989.77</v>
      </c>
      <c r="F232" s="33" t="n">
        <f aca="false">B232+C232</f>
        <v>77907.86</v>
      </c>
    </row>
    <row r="233" customFormat="false" ht="15" hidden="false" customHeight="true" outlineLevel="0" collapsed="false">
      <c r="A233" s="24" t="n">
        <v>46224</v>
      </c>
      <c r="B233" s="26" t="n">
        <f aca="false">SUMIFS(Report!$U$10:$U$604,Report!$T$10:$T$604,"&lt;&gt;"&amp;"MERCADORIAS P/REVENDA",Report!$C$10:$C$604,A233)</f>
        <v>5189.61</v>
      </c>
      <c r="C233" s="26" t="n">
        <f aca="false">SUMIFS(Report!$U$10:$U$604,Report!$T$10:$T$604,"MERCADORIAS P/REVENDA",Report!$C$10:$C$604,A233)</f>
        <v>10780.55</v>
      </c>
      <c r="F233" s="26" t="n">
        <f aca="false">B233+C233</f>
        <v>15970.16</v>
      </c>
    </row>
    <row r="234" customFormat="false" ht="15" hidden="false" customHeight="true" outlineLevel="0" collapsed="false">
      <c r="A234" s="24" t="n">
        <v>46225</v>
      </c>
      <c r="B234" s="26" t="n">
        <f aca="false">SUMIFS(Report!$U$10:$U$604,Report!$T$10:$T$604,"&lt;&gt;"&amp;"MERCADORIAS P/REVENDA",Report!$C$10:$C$604,A234)</f>
        <v>0</v>
      </c>
      <c r="C234" s="26" t="n">
        <f aca="false">SUMIFS(Report!$U$10:$U$604,Report!$T$10:$T$604,"MERCADORIAS P/REVENDA",Report!$C$10:$C$604,A234)</f>
        <v>12023.9</v>
      </c>
      <c r="F234" s="26" t="n">
        <f aca="false">B234+C234</f>
        <v>12023.9</v>
      </c>
    </row>
    <row r="235" customFormat="false" ht="15" hidden="false" customHeight="true" outlineLevel="0" collapsed="false">
      <c r="A235" s="24" t="n">
        <v>46226</v>
      </c>
      <c r="B235" s="26" t="n">
        <f aca="false">SUMIFS(Report!$U$10:$U$604,Report!$T$10:$T$604,"&lt;&gt;"&amp;"MERCADORIAS P/REVENDA",Report!$C$10:$C$604,A235)</f>
        <v>9018.54</v>
      </c>
      <c r="C235" s="26" t="n">
        <f aca="false">SUMIFS(Report!$U$10:$U$604,Report!$T$10:$T$604,"MERCADORIAS P/REVENDA",Report!$C$10:$C$604,A235)</f>
        <v>13795.49</v>
      </c>
      <c r="F235" s="26" t="n">
        <f aca="false">B235+C235</f>
        <v>22814.03</v>
      </c>
    </row>
    <row r="236" customFormat="false" ht="15" hidden="false" customHeight="true" outlineLevel="0" collapsed="false">
      <c r="A236" s="24" t="n">
        <v>46227</v>
      </c>
      <c r="B236" s="26" t="n">
        <f aca="false">SUMIFS(Report!$U$10:$U$604,Report!$T$10:$T$604,"&lt;&gt;"&amp;"MERCADORIAS P/REVENDA",Report!$C$10:$C$604,A236)</f>
        <v>0</v>
      </c>
      <c r="C236" s="26" t="n">
        <f aca="false">SUMIFS(Report!$U$10:$U$604,Report!$T$10:$T$604,"MERCADORIAS P/REVENDA",Report!$C$10:$C$604,A236)</f>
        <v>12662</v>
      </c>
      <c r="F236" s="26" t="n">
        <f aca="false">B236+C236</f>
        <v>12662</v>
      </c>
    </row>
    <row r="237" customFormat="false" ht="15" hidden="false" customHeight="true" outlineLevel="0" collapsed="false">
      <c r="A237" s="30" t="n">
        <v>46228</v>
      </c>
      <c r="B237" s="31" t="n">
        <f aca="false">SUMIFS(Report!$U$10:$U$604,Report!$T$10:$T$604,"&lt;&gt;"&amp;"MERCADORIAS P/REVENDA",Report!$C$10:$C$604,A237)</f>
        <v>646.17</v>
      </c>
      <c r="C237" s="31" t="n">
        <f aca="false">SUMIFS(Report!$U$10:$U$604,Report!$T$10:$T$604,"MERCADORIAS P/REVENDA",Report!$C$10:$C$604,A237)</f>
        <v>4004</v>
      </c>
      <c r="F237" s="31" t="n">
        <f aca="false">B237+C237</f>
        <v>4650.17</v>
      </c>
    </row>
    <row r="238" customFormat="false" ht="15" hidden="false" customHeight="true" outlineLevel="0" collapsed="false">
      <c r="A238" s="30" t="n">
        <v>46229</v>
      </c>
      <c r="B238" s="31" t="n">
        <f aca="false">SUMIFS(Report!$U$10:$U$604,Report!$T$10:$T$604,"&lt;&gt;"&amp;"MERCADORIAS P/REVENDA",Report!$C$10:$C$604,A238)</f>
        <v>0</v>
      </c>
      <c r="C238" s="31" t="n">
        <f aca="false">SUMIFS(Report!$U$10:$U$604,Report!$T$10:$T$604,"MERCADORIAS P/REVENDA",Report!$C$10:$C$604,A238)</f>
        <v>819.53</v>
      </c>
      <c r="F238" s="31" t="n">
        <f aca="false">B238+C238</f>
        <v>819.53</v>
      </c>
    </row>
    <row r="239" customFormat="false" ht="15" hidden="false" customHeight="true" outlineLevel="0" collapsed="false">
      <c r="A239" s="30" t="n">
        <v>46230</v>
      </c>
      <c r="B239" s="31" t="n">
        <f aca="false">SUMIFS(Report!$U$10:$U$604,Report!$T$10:$T$604,"&lt;&gt;"&amp;"MERCADORIAS P/REVENDA",Report!$C$10:$C$604,A239)</f>
        <v>4168.41</v>
      </c>
      <c r="C239" s="31" t="n">
        <f aca="false">SUMIFS(Report!$U$10:$U$604,Report!$T$10:$T$604,"MERCADORIAS P/REVENDA",Report!$C$10:$C$604,A239)</f>
        <v>6271.3</v>
      </c>
      <c r="F239" s="31" t="n">
        <f aca="false">B239+C239</f>
        <v>10439.71</v>
      </c>
    </row>
    <row r="240" customFormat="false" ht="15" hidden="false" customHeight="true" outlineLevel="0" collapsed="false">
      <c r="A240" s="32" t="s">
        <v>699</v>
      </c>
      <c r="B240" s="33" t="n">
        <f aca="false">SUM(B233:B239)</f>
        <v>19022.73</v>
      </c>
      <c r="C240" s="33" t="n">
        <f aca="false">SUM(C233:C239)</f>
        <v>60356.77</v>
      </c>
      <c r="F240" s="33" t="n">
        <f aca="false">B240+C240</f>
        <v>79379.5</v>
      </c>
    </row>
    <row r="241" customFormat="false" ht="15" hidden="false" customHeight="true" outlineLevel="0" collapsed="false">
      <c r="A241" s="24" t="n">
        <v>46231</v>
      </c>
      <c r="B241" s="26" t="n">
        <f aca="false">SUMIFS(Report!$U$10:$U$604,Report!$T$10:$T$604,"&lt;&gt;"&amp;"MERCADORIAS P/REVENDA",Report!$C$10:$C$604,A241)</f>
        <v>0</v>
      </c>
      <c r="C241" s="26" t="n">
        <f aca="false">SUMIFS(Report!$U$10:$U$604,Report!$T$10:$T$604,"MERCADORIAS P/REVENDA",Report!$C$10:$C$604,A241)</f>
        <v>6751.75</v>
      </c>
      <c r="F241" s="26" t="n">
        <f aca="false">B241+C241</f>
        <v>6751.75</v>
      </c>
    </row>
    <row r="242" customFormat="false" ht="15" hidden="false" customHeight="true" outlineLevel="0" collapsed="false">
      <c r="A242" s="24" t="n">
        <v>46232</v>
      </c>
      <c r="B242" s="26" t="n">
        <f aca="false">SUMIFS(Report!$U$10:$U$604,Report!$T$10:$T$604,"&lt;&gt;"&amp;"MERCADORIAS P/REVENDA",Report!$C$10:$C$604,A242)</f>
        <v>0</v>
      </c>
      <c r="C242" s="26" t="n">
        <f aca="false">SUMIFS(Report!$U$10:$U$604,Report!$T$10:$T$604,"MERCADORIAS P/REVENDA",Report!$C$10:$C$604,A242)</f>
        <v>12033.08</v>
      </c>
      <c r="F242" s="26" t="n">
        <f aca="false">B242+C242</f>
        <v>12033.08</v>
      </c>
    </row>
    <row r="243" customFormat="false" ht="15" hidden="false" customHeight="true" outlineLevel="0" collapsed="false">
      <c r="A243" s="24" t="n">
        <v>46233</v>
      </c>
      <c r="B243" s="26" t="n">
        <f aca="false">SUMIFS(Report!$U$10:$U$604,Report!$T$10:$T$604,"&lt;&gt;"&amp;"MERCADORIAS P/REVENDA",Report!$C$10:$C$604,A243)</f>
        <v>1790</v>
      </c>
      <c r="C243" s="26" t="n">
        <f aca="false">SUMIFS(Report!$U$10:$U$604,Report!$T$10:$T$604,"MERCADORIAS P/REVENDA",Report!$C$10:$C$604,A243)</f>
        <v>6680.37</v>
      </c>
      <c r="F243" s="26" t="n">
        <f aca="false">B243+C243</f>
        <v>8470.37</v>
      </c>
    </row>
    <row r="244" customFormat="false" ht="15" hidden="false" customHeight="true" outlineLevel="0" collapsed="false">
      <c r="A244" s="24" t="n">
        <v>46234</v>
      </c>
      <c r="B244" s="26" t="n">
        <f aca="false">SUMIFS(Report!$U$10:$U$604,Report!$T$10:$T$604,"&lt;&gt;"&amp;"MERCADORIAS P/REVENDA",Report!$C$10:$C$604,A244)</f>
        <v>2355.82</v>
      </c>
      <c r="C244" s="26" t="n">
        <f aca="false">SUMIFS(Report!$U$10:$U$604,Report!$T$10:$T$604,"MERCADORIAS P/REVENDA",Report!$C$10:$C$604,A244)</f>
        <v>13393.32</v>
      </c>
      <c r="F244" s="26" t="n">
        <f aca="false">B244+C244</f>
        <v>15749.14</v>
      </c>
    </row>
    <row r="245" customFormat="false" ht="15" hidden="false" customHeight="true" outlineLevel="0" collapsed="false">
      <c r="A245" s="30" t="n">
        <v>46235</v>
      </c>
      <c r="B245" s="31" t="n">
        <f aca="false">SUMIFS(Report!$U$10:$U$604,Report!$T$10:$T$604,"&lt;&gt;"&amp;"MERCADORIAS P/REVENDA",Report!$C$10:$C$604,A245)</f>
        <v>2276.82</v>
      </c>
      <c r="C245" s="31" t="n">
        <f aca="false">SUMIFS(Report!$U$10:$U$604,Report!$T$10:$T$604,"MERCADORIAS P/REVENDA",Report!$C$10:$C$604,A245)</f>
        <v>8025.97</v>
      </c>
      <c r="F245" s="31" t="n">
        <f aca="false">B245+C245</f>
        <v>10302.79</v>
      </c>
    </row>
    <row r="246" customFormat="false" ht="15" hidden="false" customHeight="true" outlineLevel="0" collapsed="false">
      <c r="A246" s="30" t="n">
        <v>46236</v>
      </c>
      <c r="B246" s="31" t="n">
        <f aca="false">SUMIFS(Report!$U$10:$U$604,Report!$T$10:$T$604,"&lt;&gt;"&amp;"MERCADORIAS P/REVENDA",Report!$C$10:$C$604,A246)</f>
        <v>0</v>
      </c>
      <c r="C246" s="31" t="n">
        <f aca="false">SUMIFS(Report!$U$10:$U$604,Report!$T$10:$T$604,"MERCADORIAS P/REVENDA",Report!$C$10:$C$604,A246)</f>
        <v>0</v>
      </c>
      <c r="F246" s="31" t="n">
        <f aca="false">B246+C246</f>
        <v>0</v>
      </c>
    </row>
    <row r="247" customFormat="false" ht="15" hidden="false" customHeight="true" outlineLevel="0" collapsed="false">
      <c r="A247" s="30" t="n">
        <v>46237</v>
      </c>
      <c r="B247" s="31" t="n">
        <f aca="false">SUMIFS(Report!$U$10:$U$604,Report!$T$10:$T$604,"&lt;&gt;"&amp;"MERCADORIAS P/REVENDA",Report!$C$10:$C$604,A247)</f>
        <v>0</v>
      </c>
      <c r="C247" s="31" t="n">
        <f aca="false">SUMIFS(Report!$U$10:$U$604,Report!$T$10:$T$604,"MERCADORIAS P/REVENDA",Report!$C$10:$C$604,A247)</f>
        <v>6268.57</v>
      </c>
      <c r="F247" s="31" t="n">
        <f aca="false">B247+C247</f>
        <v>6268.57</v>
      </c>
    </row>
    <row r="248" customFormat="false" ht="15" hidden="false" customHeight="true" outlineLevel="0" collapsed="false">
      <c r="A248" s="32" t="s">
        <v>700</v>
      </c>
      <c r="B248" s="33" t="n">
        <f aca="false">SUM(B241:B247)</f>
        <v>6422.64</v>
      </c>
      <c r="C248" s="33" t="n">
        <f aca="false">SUM(C241:C247)</f>
        <v>53153.06</v>
      </c>
      <c r="F248" s="33" t="n">
        <f aca="false">B248+C248</f>
        <v>59575.7</v>
      </c>
    </row>
    <row r="249" customFormat="false" ht="15" hidden="false" customHeight="true" outlineLevel="0" collapsed="false">
      <c r="A249" s="24" t="n">
        <v>46238</v>
      </c>
      <c r="B249" s="26" t="n">
        <f aca="false">SUMIFS(Report!$U$10:$U$604,Report!$T$10:$T$604,"&lt;&gt;"&amp;"MERCADORIAS P/REVENDA",Report!$C$10:$C$604,A249)</f>
        <v>0</v>
      </c>
      <c r="C249" s="26" t="n">
        <f aca="false">SUMIFS(Report!$U$10:$U$604,Report!$T$10:$T$604,"MERCADORIAS P/REVENDA",Report!$C$10:$C$604,A249)</f>
        <v>3301.18</v>
      </c>
      <c r="F249" s="26" t="n">
        <f aca="false">B249+C249</f>
        <v>3301.18</v>
      </c>
    </row>
    <row r="250" customFormat="false" ht="15" hidden="false" customHeight="true" outlineLevel="0" collapsed="false">
      <c r="A250" s="24" t="n">
        <v>46239</v>
      </c>
      <c r="B250" s="26" t="n">
        <f aca="false">SUMIFS(Report!$U$10:$U$604,Report!$T$10:$T$604,"&lt;&gt;"&amp;"MERCADORIAS P/REVENDA",Report!$C$10:$C$604,A250)</f>
        <v>2654.41</v>
      </c>
      <c r="C250" s="26" t="n">
        <f aca="false">SUMIFS(Report!$U$10:$U$604,Report!$T$10:$T$604,"MERCADORIAS P/REVENDA",Report!$C$10:$C$604,A250)</f>
        <v>11120.57</v>
      </c>
      <c r="F250" s="26" t="n">
        <f aca="false">B250+C250</f>
        <v>13774.98</v>
      </c>
    </row>
    <row r="251" customFormat="false" ht="15" hidden="false" customHeight="true" outlineLevel="0" collapsed="false">
      <c r="A251" s="24" t="n">
        <v>46240</v>
      </c>
      <c r="B251" s="26" t="n">
        <f aca="false">SUMIFS(Report!$U$10:$U$604,Report!$T$10:$T$604,"&lt;&gt;"&amp;"MERCADORIAS P/REVENDA",Report!$C$10:$C$604,A251)</f>
        <v>0</v>
      </c>
      <c r="C251" s="26" t="n">
        <f aca="false">SUMIFS(Report!$U$10:$U$604,Report!$T$10:$T$604,"MERCADORIAS P/REVENDA",Report!$C$10:$C$604,A251)</f>
        <v>5947.17</v>
      </c>
      <c r="F251" s="26" t="n">
        <f aca="false">B251+C251</f>
        <v>5947.17</v>
      </c>
    </row>
    <row r="252" customFormat="false" ht="15" hidden="false" customHeight="true" outlineLevel="0" collapsed="false">
      <c r="A252" s="24" t="n">
        <v>46241</v>
      </c>
      <c r="B252" s="26" t="n">
        <f aca="false">SUMIFS(Report!$U$10:$U$604,Report!$T$10:$T$604,"&lt;&gt;"&amp;"MERCADORIAS P/REVENDA",Report!$C$10:$C$604,A252)</f>
        <v>1109.15</v>
      </c>
      <c r="C252" s="26" t="n">
        <f aca="false">SUMIFS(Report!$U$10:$U$604,Report!$T$10:$T$604,"MERCADORIAS P/REVENDA",Report!$C$10:$C$604,A252)</f>
        <v>8667.13</v>
      </c>
      <c r="F252" s="26" t="n">
        <f aca="false">B252+C252</f>
        <v>9776.28</v>
      </c>
    </row>
    <row r="253" customFormat="false" ht="15" hidden="false" customHeight="true" outlineLevel="0" collapsed="false">
      <c r="A253" s="30" t="n">
        <v>46242</v>
      </c>
      <c r="B253" s="31" t="n">
        <f aca="false">SUMIFS(Report!$U$10:$U$604,Report!$T$10:$T$604,"&lt;&gt;"&amp;"MERCADORIAS P/REVENDA",Report!$C$10:$C$604,A253)</f>
        <v>0</v>
      </c>
      <c r="C253" s="31" t="n">
        <f aca="false">SUMIFS(Report!$U$10:$U$604,Report!$T$10:$T$604,"MERCADORIAS P/REVENDA",Report!$C$10:$C$604,A253)</f>
        <v>2827.14</v>
      </c>
      <c r="F253" s="31" t="n">
        <f aca="false">B253+C253</f>
        <v>2827.14</v>
      </c>
    </row>
    <row r="254" customFormat="false" ht="15" hidden="false" customHeight="true" outlineLevel="0" collapsed="false">
      <c r="A254" s="30" t="n">
        <v>46243</v>
      </c>
      <c r="B254" s="31" t="n">
        <f aca="false">SUMIFS(Report!$U$10:$U$604,Report!$T$10:$T$604,"&lt;&gt;"&amp;"MERCADORIAS P/REVENDA",Report!$C$10:$C$604,A254)</f>
        <v>707.65</v>
      </c>
      <c r="C254" s="31" t="n">
        <f aca="false">SUMIFS(Report!$U$10:$U$604,Report!$T$10:$T$604,"MERCADORIAS P/REVENDA",Report!$C$10:$C$604,A254)</f>
        <v>0</v>
      </c>
      <c r="F254" s="31" t="n">
        <f aca="false">B254+C254</f>
        <v>707.65</v>
      </c>
    </row>
    <row r="255" customFormat="false" ht="15" hidden="false" customHeight="true" outlineLevel="0" collapsed="false">
      <c r="A255" s="30" t="n">
        <v>46244</v>
      </c>
      <c r="B255" s="31" t="n">
        <f aca="false">SUMIFS(Report!$U$10:$U$604,Report!$T$10:$T$604,"&lt;&gt;"&amp;"MERCADORIAS P/REVENDA",Report!$C$10:$C$604,A255)</f>
        <v>4740.01</v>
      </c>
      <c r="C255" s="31" t="n">
        <f aca="false">SUMIFS(Report!$U$10:$U$604,Report!$T$10:$T$604,"MERCADORIAS P/REVENDA",Report!$C$10:$C$604,A255)</f>
        <v>10128.86</v>
      </c>
      <c r="F255" s="31" t="n">
        <f aca="false">B255+C255</f>
        <v>14868.87</v>
      </c>
    </row>
    <row r="256" customFormat="false" ht="15" hidden="false" customHeight="true" outlineLevel="0" collapsed="false">
      <c r="A256" s="32" t="s">
        <v>701</v>
      </c>
      <c r="B256" s="33" t="n">
        <f aca="false">SUM(B249:B255)</f>
        <v>9211.22</v>
      </c>
      <c r="C256" s="33" t="n">
        <f aca="false">SUM(C249:C255)</f>
        <v>41992.05</v>
      </c>
      <c r="F256" s="33" t="n">
        <f aca="false">B256+C256</f>
        <v>51203.27</v>
      </c>
    </row>
    <row r="257" customFormat="false" ht="15" hidden="false" customHeight="true" outlineLevel="0" collapsed="false">
      <c r="A257" s="24" t="n">
        <v>46245</v>
      </c>
      <c r="B257" s="26" t="n">
        <f aca="false">SUMIFS(Report!$U$10:$U$604,Report!$T$10:$T$604,"&lt;&gt;"&amp;"MERCADORIAS P/REVENDA",Report!$C$10:$C$604,A257)</f>
        <v>391.26</v>
      </c>
      <c r="C257" s="26" t="n">
        <f aca="false">SUMIFS(Report!$U$10:$U$604,Report!$T$10:$T$604,"MERCADORIAS P/REVENDA",Report!$C$10:$C$604,A257)</f>
        <v>3011.25</v>
      </c>
      <c r="F257" s="26" t="n">
        <f aca="false">B257+C257</f>
        <v>3402.51</v>
      </c>
    </row>
    <row r="258" customFormat="false" ht="15" hidden="false" customHeight="true" outlineLevel="0" collapsed="false">
      <c r="A258" s="24" t="n">
        <v>46246</v>
      </c>
      <c r="B258" s="26" t="n">
        <f aca="false">SUMIFS(Report!$U$10:$U$604,Report!$T$10:$T$604,"&lt;&gt;"&amp;"MERCADORIAS P/REVENDA",Report!$C$10:$C$604,A258)</f>
        <v>325</v>
      </c>
      <c r="C258" s="26" t="n">
        <f aca="false">SUMIFS(Report!$U$10:$U$604,Report!$T$10:$T$604,"MERCADORIAS P/REVENDA",Report!$C$10:$C$604,A258)</f>
        <v>8268.86</v>
      </c>
      <c r="F258" s="26" t="n">
        <f aca="false">B258+C258</f>
        <v>8593.86</v>
      </c>
    </row>
    <row r="259" customFormat="false" ht="15" hidden="false" customHeight="true" outlineLevel="0" collapsed="false">
      <c r="A259" s="24" t="n">
        <v>46247</v>
      </c>
      <c r="B259" s="26" t="n">
        <f aca="false">SUMIFS(Report!$U$10:$U$604,Report!$T$10:$T$604,"&lt;&gt;"&amp;"MERCADORIAS P/REVENDA",Report!$C$10:$C$604,A259)</f>
        <v>0</v>
      </c>
      <c r="C259" s="26" t="n">
        <f aca="false">SUMIFS(Report!$U$10:$U$604,Report!$T$10:$T$604,"MERCADORIAS P/REVENDA",Report!$C$10:$C$604,A259)</f>
        <v>1689.13</v>
      </c>
      <c r="F259" s="26" t="n">
        <f aca="false">B259+C259</f>
        <v>1689.13</v>
      </c>
    </row>
    <row r="260" customFormat="false" ht="15" hidden="false" customHeight="true" outlineLevel="0" collapsed="false">
      <c r="A260" s="24" t="n">
        <v>46248</v>
      </c>
      <c r="B260" s="26" t="n">
        <f aca="false">SUMIFS(Report!$U$10:$U$604,Report!$T$10:$T$604,"&lt;&gt;"&amp;"MERCADORIAS P/REVENDA",Report!$C$10:$C$604,A260)</f>
        <v>55</v>
      </c>
      <c r="C260" s="26" t="n">
        <f aca="false">SUMIFS(Report!$U$10:$U$604,Report!$T$10:$T$604,"MERCADORIAS P/REVENDA",Report!$C$10:$C$604,A260)</f>
        <v>10478.01</v>
      </c>
      <c r="F260" s="26" t="n">
        <f aca="false">B260+C260</f>
        <v>10533.01</v>
      </c>
    </row>
    <row r="261" customFormat="false" ht="15" hidden="false" customHeight="true" outlineLevel="0" collapsed="false">
      <c r="A261" s="30" t="n">
        <v>46249</v>
      </c>
      <c r="B261" s="31" t="n">
        <f aca="false">SUMIFS(Report!$U$10:$U$604,Report!$T$10:$T$604,"&lt;&gt;"&amp;"MERCADORIAS P/REVENDA",Report!$C$10:$C$604,A261)</f>
        <v>5928.88</v>
      </c>
      <c r="C261" s="31" t="n">
        <f aca="false">SUMIFS(Report!$U$10:$U$604,Report!$T$10:$T$604,"MERCADORIAS P/REVENDA",Report!$C$10:$C$604,A261)</f>
        <v>1825.56</v>
      </c>
      <c r="F261" s="31" t="n">
        <f aca="false">B261+C261</f>
        <v>7754.44</v>
      </c>
    </row>
    <row r="262" customFormat="false" ht="15" hidden="false" customHeight="true" outlineLevel="0" collapsed="false">
      <c r="A262" s="30" t="n">
        <v>46250</v>
      </c>
      <c r="B262" s="31" t="n">
        <f aca="false">SUMIFS(Report!$U$10:$U$604,Report!$T$10:$T$604,"&lt;&gt;"&amp;"MERCADORIAS P/REVENDA",Report!$C$10:$C$604,A262)</f>
        <v>0</v>
      </c>
      <c r="C262" s="31" t="n">
        <f aca="false">SUMIFS(Report!$U$10:$U$604,Report!$T$10:$T$604,"MERCADORIAS P/REVENDA",Report!$C$10:$C$604,A262)</f>
        <v>0</v>
      </c>
      <c r="F262" s="31" t="n">
        <f aca="false">B262+C262</f>
        <v>0</v>
      </c>
    </row>
    <row r="263" customFormat="false" ht="15" hidden="false" customHeight="true" outlineLevel="0" collapsed="false">
      <c r="A263" s="30" t="n">
        <v>46251</v>
      </c>
      <c r="B263" s="31" t="n">
        <f aca="false">SUMIFS(Report!$U$10:$U$604,Report!$T$10:$T$604,"&lt;&gt;"&amp;"MERCADORIAS P/REVENDA",Report!$C$10:$C$604,A263)</f>
        <v>0</v>
      </c>
      <c r="C263" s="31" t="n">
        <f aca="false">SUMIFS(Report!$U$10:$U$604,Report!$T$10:$T$604,"MERCADORIAS P/REVENDA",Report!$C$10:$C$604,A263)</f>
        <v>3347.67</v>
      </c>
      <c r="F263" s="31" t="n">
        <f aca="false">B263+C263</f>
        <v>3347.67</v>
      </c>
    </row>
    <row r="264" customFormat="false" ht="15" hidden="false" customHeight="true" outlineLevel="0" collapsed="false">
      <c r="A264" s="32" t="s">
        <v>702</v>
      </c>
      <c r="B264" s="33" t="n">
        <f aca="false">SUM(B257:B263)</f>
        <v>6700.14</v>
      </c>
      <c r="C264" s="33" t="n">
        <f aca="false">SUM(C257:C263)</f>
        <v>28620.48</v>
      </c>
      <c r="F264" s="33" t="n">
        <f aca="false">B264+C264</f>
        <v>35320.62</v>
      </c>
    </row>
    <row r="265" customFormat="false" ht="15" hidden="false" customHeight="true" outlineLevel="0" collapsed="false">
      <c r="A265" s="24" t="n">
        <v>46252</v>
      </c>
      <c r="B265" s="26" t="n">
        <f aca="false">SUMIFS(Report!$U$10:$U$604,Report!$T$10:$T$604,"&lt;&gt;"&amp;"MERCADORIAS P/REVENDA",Report!$C$10:$C$604,A265)</f>
        <v>247.27</v>
      </c>
      <c r="C265" s="26" t="n">
        <f aca="false">SUMIFS(Report!$U$10:$U$604,Report!$T$10:$T$604,"MERCADORIAS P/REVENDA",Report!$C$10:$C$604,A265)</f>
        <v>479.64</v>
      </c>
      <c r="F265" s="26" t="n">
        <f aca="false">B265+C265</f>
        <v>726.91</v>
      </c>
    </row>
    <row r="266" customFormat="false" ht="15" hidden="false" customHeight="true" outlineLevel="0" collapsed="false">
      <c r="A266" s="24" t="n">
        <v>46253</v>
      </c>
      <c r="B266" s="26" t="n">
        <f aca="false">SUMIFS(Report!$U$10:$U$604,Report!$T$10:$T$604,"&lt;&gt;"&amp;"MERCADORIAS P/REVENDA",Report!$C$10:$C$604,A266)</f>
        <v>0</v>
      </c>
      <c r="C266" s="26" t="n">
        <f aca="false">SUMIFS(Report!$U$10:$U$604,Report!$T$10:$T$604,"MERCADORIAS P/REVENDA",Report!$C$10:$C$604,A266)</f>
        <v>1613.57</v>
      </c>
      <c r="F266" s="26" t="n">
        <f aca="false">B266+C266</f>
        <v>1613.57</v>
      </c>
    </row>
    <row r="267" customFormat="false" ht="15" hidden="false" customHeight="true" outlineLevel="0" collapsed="false">
      <c r="A267" s="24" t="n">
        <v>46254</v>
      </c>
      <c r="B267" s="26" t="n">
        <f aca="false">SUMIFS(Report!$U$10:$U$604,Report!$T$10:$T$604,"&lt;&gt;"&amp;"MERCADORIAS P/REVENDA",Report!$C$10:$C$604,A267)</f>
        <v>138.3</v>
      </c>
      <c r="C267" s="26" t="n">
        <f aca="false">SUMIFS(Report!$U$10:$U$604,Report!$T$10:$T$604,"MERCADORIAS P/REVENDA",Report!$C$10:$C$604,A267)</f>
        <v>827.28</v>
      </c>
      <c r="F267" s="26" t="n">
        <f aca="false">B267+C267</f>
        <v>965.58</v>
      </c>
    </row>
    <row r="268" customFormat="false" ht="15" hidden="false" customHeight="true" outlineLevel="0" collapsed="false">
      <c r="A268" s="24" t="n">
        <v>46255</v>
      </c>
      <c r="B268" s="26" t="n">
        <f aca="false">SUMIFS(Report!$U$10:$U$604,Report!$T$10:$T$604,"&lt;&gt;"&amp;"MERCADORIAS P/REVENDA",Report!$C$10:$C$604,A268)</f>
        <v>0</v>
      </c>
      <c r="C268" s="26" t="n">
        <f aca="false">SUMIFS(Report!$U$10:$U$604,Report!$T$10:$T$604,"MERCADORIAS P/REVENDA",Report!$C$10:$C$604,A268)</f>
        <v>2051.81</v>
      </c>
      <c r="F268" s="26" t="n">
        <f aca="false">B268+C268</f>
        <v>2051.81</v>
      </c>
    </row>
    <row r="269" customFormat="false" ht="15" hidden="false" customHeight="true" outlineLevel="0" collapsed="false">
      <c r="A269" s="30" t="n">
        <v>46256</v>
      </c>
      <c r="B269" s="31" t="n">
        <f aca="false">SUMIFS(Report!$U$10:$U$604,Report!$T$10:$T$604,"&lt;&gt;"&amp;"MERCADORIAS P/REVENDA",Report!$C$10:$C$604,A269)</f>
        <v>396.67</v>
      </c>
      <c r="C269" s="31" t="n">
        <f aca="false">SUMIFS(Report!$U$10:$U$604,Report!$T$10:$T$604,"MERCADORIAS P/REVENDA",Report!$C$10:$C$604,A269)</f>
        <v>3098.48</v>
      </c>
      <c r="F269" s="31" t="n">
        <f aca="false">B269+C269</f>
        <v>3495.15</v>
      </c>
    </row>
    <row r="270" customFormat="false" ht="15" hidden="false" customHeight="true" outlineLevel="0" collapsed="false">
      <c r="A270" s="30" t="n">
        <v>46257</v>
      </c>
      <c r="B270" s="31" t="n">
        <f aca="false">SUMIFS(Report!$U$10:$U$604,Report!$T$10:$T$604,"&lt;&gt;"&amp;"MERCADORIAS P/REVENDA",Report!$C$10:$C$604,A270)</f>
        <v>0</v>
      </c>
      <c r="C270" s="31" t="n">
        <f aca="false">SUMIFS(Report!$U$10:$U$604,Report!$T$10:$T$604,"MERCADORIAS P/REVENDA",Report!$C$10:$C$604,A270)</f>
        <v>0</v>
      </c>
      <c r="F270" s="31" t="n">
        <f aca="false">B270+C270</f>
        <v>0</v>
      </c>
    </row>
    <row r="271" customFormat="false" ht="15" hidden="false" customHeight="true" outlineLevel="0" collapsed="false">
      <c r="A271" s="30" t="n">
        <v>46258</v>
      </c>
      <c r="B271" s="31" t="n">
        <f aca="false">SUMIFS(Report!$U$10:$U$604,Report!$T$10:$T$604,"&lt;&gt;"&amp;"MERCADORIAS P/REVENDA",Report!$C$10:$C$604,A271)</f>
        <v>0</v>
      </c>
      <c r="C271" s="31" t="n">
        <f aca="false">SUMIFS(Report!$U$10:$U$604,Report!$T$10:$T$604,"MERCADORIAS P/REVENDA",Report!$C$10:$C$604,A271)</f>
        <v>0</v>
      </c>
      <c r="F271" s="31" t="n">
        <f aca="false">B271+C271</f>
        <v>0</v>
      </c>
    </row>
    <row r="272" customFormat="false" ht="15" hidden="false" customHeight="true" outlineLevel="0" collapsed="false">
      <c r="A272" s="32" t="s">
        <v>703</v>
      </c>
      <c r="B272" s="33" t="n">
        <f aca="false">SUM(B265:B271)</f>
        <v>782.24</v>
      </c>
      <c r="C272" s="33" t="n">
        <f aca="false">SUM(C265:C271)</f>
        <v>8070.78</v>
      </c>
      <c r="F272" s="33" t="n">
        <f aca="false">B272+C272</f>
        <v>8853.02</v>
      </c>
    </row>
    <row r="273" customFormat="false" ht="15" hidden="false" customHeight="true" outlineLevel="0" collapsed="false">
      <c r="A273" s="24" t="n">
        <v>46259</v>
      </c>
      <c r="B273" s="26" t="n">
        <f aca="false">SUMIFS(Report!$U$10:$U$604,Report!$T$10:$T$604,"&lt;&gt;"&amp;"MERCADORIAS P/REVENDA",Report!$C$10:$C$604,A273)</f>
        <v>446.17</v>
      </c>
      <c r="C273" s="26" t="n">
        <f aca="false">SUMIFS(Report!$U$10:$U$604,Report!$T$10:$T$604,"MERCADORIAS P/REVENDA",Report!$C$10:$C$604,A273)</f>
        <v>818.55</v>
      </c>
      <c r="F273" s="26" t="n">
        <f aca="false">B273+C273</f>
        <v>1264.72</v>
      </c>
    </row>
    <row r="274" customFormat="false" ht="15" hidden="false" customHeight="true" outlineLevel="0" collapsed="false">
      <c r="A274" s="24" t="n">
        <v>46260</v>
      </c>
      <c r="B274" s="26" t="n">
        <f aca="false">SUMIFS(Report!$U$10:$U$604,Report!$T$10:$T$604,"&lt;&gt;"&amp;"MERCADORIAS P/REVENDA",Report!$C$10:$C$604,A274)</f>
        <v>4168.41</v>
      </c>
      <c r="C274" s="26" t="n">
        <f aca="false">SUMIFS(Report!$U$10:$U$604,Report!$T$10:$T$604,"MERCADORIAS P/REVENDA",Report!$C$10:$C$604,A274)</f>
        <v>0</v>
      </c>
      <c r="F274" s="26" t="n">
        <f aca="false">B274+C274</f>
        <v>4168.41</v>
      </c>
    </row>
    <row r="275" customFormat="false" ht="15" hidden="false" customHeight="true" outlineLevel="0" collapsed="false">
      <c r="A275" s="24" t="n">
        <v>46261</v>
      </c>
      <c r="B275" s="26" t="n">
        <f aca="false">SUMIFS(Report!$U$10:$U$604,Report!$T$10:$T$604,"&lt;&gt;"&amp;"MERCADORIAS P/REVENDA",Report!$C$10:$C$604,A275)</f>
        <v>0</v>
      </c>
      <c r="C275" s="26" t="n">
        <f aca="false">SUMIFS(Report!$U$10:$U$604,Report!$T$10:$T$604,"MERCADORIAS P/REVENDA",Report!$C$10:$C$604,A275)</f>
        <v>0</v>
      </c>
      <c r="F275" s="26" t="n">
        <f aca="false">B275+C275</f>
        <v>0</v>
      </c>
    </row>
    <row r="276" customFormat="false" ht="15" hidden="false" customHeight="true" outlineLevel="0" collapsed="false">
      <c r="A276" s="24" t="n">
        <v>46262</v>
      </c>
      <c r="B276" s="26" t="n">
        <f aca="false">SUMIFS(Report!$U$10:$U$604,Report!$T$10:$T$604,"&lt;&gt;"&amp;"MERCADORIAS P/REVENDA",Report!$C$10:$C$604,A276)</f>
        <v>0</v>
      </c>
      <c r="C276" s="26" t="n">
        <f aca="false">SUMIFS(Report!$U$10:$U$604,Report!$T$10:$T$604,"MERCADORIAS P/REVENDA",Report!$C$10:$C$604,A276)</f>
        <v>0</v>
      </c>
      <c r="F276" s="26" t="n">
        <f aca="false">B276+C276</f>
        <v>0</v>
      </c>
    </row>
    <row r="277" customFormat="false" ht="15" hidden="false" customHeight="true" outlineLevel="0" collapsed="false">
      <c r="A277" s="30" t="n">
        <v>46263</v>
      </c>
      <c r="B277" s="31" t="n">
        <f aca="false">SUMIFS(Report!$U$10:$U$604,Report!$T$10:$T$604,"&lt;&gt;"&amp;"MERCADORIAS P/REVENDA",Report!$C$10:$C$604,A277)</f>
        <v>0</v>
      </c>
      <c r="C277" s="31" t="n">
        <f aca="false">SUMIFS(Report!$U$10:$U$604,Report!$T$10:$T$604,"MERCADORIAS P/REVENDA",Report!$C$10:$C$604,A277)</f>
        <v>0</v>
      </c>
      <c r="F277" s="31" t="n">
        <f aca="false">B277+C277</f>
        <v>0</v>
      </c>
    </row>
    <row r="278" customFormat="false" ht="15" hidden="false" customHeight="true" outlineLevel="0" collapsed="false">
      <c r="A278" s="30" t="n">
        <v>46264</v>
      </c>
      <c r="B278" s="31" t="n">
        <f aca="false">SUMIFS(Report!$U$10:$U$604,Report!$T$10:$T$604,"&lt;&gt;"&amp;"MERCADORIAS P/REVENDA",Report!$C$10:$C$604,A278)</f>
        <v>0</v>
      </c>
      <c r="C278" s="31" t="n">
        <f aca="false">SUMIFS(Report!$U$10:$U$604,Report!$T$10:$T$604,"MERCADORIAS P/REVENDA",Report!$C$10:$C$604,A278)</f>
        <v>446.28</v>
      </c>
      <c r="F278" s="31" t="n">
        <f aca="false">B278+C278</f>
        <v>446.28</v>
      </c>
    </row>
    <row r="279" customFormat="false" ht="15" hidden="false" customHeight="true" outlineLevel="0" collapsed="false">
      <c r="A279" s="30" t="n">
        <v>46265</v>
      </c>
      <c r="B279" s="31" t="n">
        <f aca="false">SUMIFS(Report!$U$10:$U$604,Report!$T$10:$T$604,"&lt;&gt;"&amp;"MERCADORIAS P/REVENDA",Report!$C$10:$C$604,A279)</f>
        <v>0</v>
      </c>
      <c r="C279" s="31" t="n">
        <f aca="false">SUMIFS(Report!$U$10:$U$604,Report!$T$10:$T$604,"MERCADORIAS P/REVENDA",Report!$C$10:$C$604,A279)</f>
        <v>0</v>
      </c>
      <c r="F279" s="31" t="n">
        <f aca="false">B279+C279</f>
        <v>0</v>
      </c>
    </row>
    <row r="280" customFormat="false" ht="15" hidden="false" customHeight="true" outlineLevel="0" collapsed="false">
      <c r="A280" s="32" t="s">
        <v>704</v>
      </c>
      <c r="B280" s="33" t="n">
        <f aca="false">SUM(B273:B279)</f>
        <v>4614.58</v>
      </c>
      <c r="C280" s="33" t="n">
        <f aca="false">SUM(C273:C279)</f>
        <v>1264.83</v>
      </c>
      <c r="F280" s="33" t="n">
        <f aca="false">B280+C280</f>
        <v>5879.41</v>
      </c>
    </row>
    <row r="281" customFormat="false" ht="15" hidden="false" customHeight="true" outlineLevel="0" collapsed="false">
      <c r="A281" s="24" t="n">
        <v>46266</v>
      </c>
      <c r="B281" s="26" t="n">
        <f aca="false">SUMIFS(Report!$U$10:$U$604,Report!$T$10:$T$604,"&lt;&gt;"&amp;"MERCADORIAS P/REVENDA",Report!$C$10:$C$604,A281)</f>
        <v>2276.82</v>
      </c>
      <c r="C281" s="26" t="n">
        <f aca="false">SUMIFS(Report!$U$10:$U$604,Report!$T$10:$T$604,"MERCADORIAS P/REVENDA",Report!$C$10:$C$604,A281)</f>
        <v>3382.61</v>
      </c>
      <c r="F281" s="26" t="n">
        <f aca="false">B281+C281</f>
        <v>5659.43</v>
      </c>
    </row>
    <row r="282" customFormat="false" ht="15" hidden="false" customHeight="true" outlineLevel="0" collapsed="false">
      <c r="A282" s="24" t="n">
        <v>46267</v>
      </c>
      <c r="B282" s="26" t="n">
        <f aca="false">SUMIFS(Report!$U$10:$U$604,Report!$T$10:$T$604,"&lt;&gt;"&amp;"MERCADORIAS P/REVENDA",Report!$C$10:$C$604,A282)</f>
        <v>0</v>
      </c>
      <c r="C282" s="26" t="n">
        <f aca="false">SUMIFS(Report!$U$10:$U$604,Report!$T$10:$T$604,"MERCADORIAS P/REVENDA",Report!$C$10:$C$604,A282)</f>
        <v>0</v>
      </c>
      <c r="F282" s="26" t="n">
        <f aca="false">B282+C282</f>
        <v>0</v>
      </c>
    </row>
    <row r="283" customFormat="false" ht="15" hidden="false" customHeight="true" outlineLevel="0" collapsed="false">
      <c r="A283" s="24" t="n">
        <v>46268</v>
      </c>
      <c r="B283" s="26" t="n">
        <f aca="false">SUMIFS(Report!$U$10:$U$604,Report!$T$10:$T$604,"&lt;&gt;"&amp;"MERCADORIAS P/REVENDA",Report!$C$10:$C$604,A283)</f>
        <v>0</v>
      </c>
      <c r="C283" s="26" t="n">
        <f aca="false">SUMIFS(Report!$U$10:$U$604,Report!$T$10:$T$604,"MERCADORIAS P/REVENDA",Report!$C$10:$C$604,A283)</f>
        <v>0</v>
      </c>
      <c r="F283" s="26" t="n">
        <f aca="false">B283+C283</f>
        <v>0</v>
      </c>
    </row>
    <row r="284" customFormat="false" ht="15" hidden="false" customHeight="true" outlineLevel="0" collapsed="false">
      <c r="A284" s="24" t="n">
        <v>46269</v>
      </c>
      <c r="B284" s="26" t="n">
        <f aca="false">SUMIFS(Report!$U$10:$U$604,Report!$T$10:$T$604,"&lt;&gt;"&amp;"MERCADORIAS P/REVENDA",Report!$C$10:$C$604,A284)</f>
        <v>2431.5</v>
      </c>
      <c r="C284" s="26" t="n">
        <f aca="false">SUMIFS(Report!$U$10:$U$604,Report!$T$10:$T$604,"MERCADORIAS P/REVENDA",Report!$C$10:$C$604,A284)</f>
        <v>0</v>
      </c>
      <c r="F284" s="26" t="n">
        <f aca="false">B284+C284</f>
        <v>2431.5</v>
      </c>
    </row>
    <row r="285" customFormat="false" ht="15" hidden="false" customHeight="true" outlineLevel="0" collapsed="false">
      <c r="A285" s="30" t="n">
        <v>46270</v>
      </c>
      <c r="B285" s="31" t="n">
        <f aca="false">SUMIFS(Report!$U$10:$U$604,Report!$T$10:$T$604,"&lt;&gt;"&amp;"MERCADORIAS P/REVENDA",Report!$C$10:$C$604,A285)</f>
        <v>0</v>
      </c>
      <c r="C285" s="31" t="n">
        <f aca="false">SUMIFS(Report!$U$10:$U$604,Report!$T$10:$T$604,"MERCADORIAS P/REVENDA",Report!$C$10:$C$604,A285)</f>
        <v>0</v>
      </c>
      <c r="F285" s="31" t="n">
        <f aca="false">B285+C285</f>
        <v>0</v>
      </c>
    </row>
    <row r="286" customFormat="false" ht="15" hidden="false" customHeight="true" outlineLevel="0" collapsed="false">
      <c r="A286" s="30" t="n">
        <v>46271</v>
      </c>
      <c r="B286" s="31" t="n">
        <f aca="false">SUMIFS(Report!$U$10:$U$604,Report!$T$10:$T$604,"&lt;&gt;"&amp;"MERCADORIAS P/REVENDA",Report!$C$10:$C$604,A286)</f>
        <v>0</v>
      </c>
      <c r="C286" s="31" t="n">
        <f aca="false">SUMIFS(Report!$U$10:$U$604,Report!$T$10:$T$604,"MERCADORIAS P/REVENDA",Report!$C$10:$C$604,A286)</f>
        <v>0</v>
      </c>
      <c r="F286" s="31" t="n">
        <f aca="false">B286+C286</f>
        <v>0</v>
      </c>
    </row>
    <row r="287" customFormat="false" ht="15" hidden="false" customHeight="true" outlineLevel="0" collapsed="false">
      <c r="A287" s="30" t="n">
        <v>46272</v>
      </c>
      <c r="B287" s="31" t="n">
        <f aca="false">SUMIFS(Report!$U$10:$U$604,Report!$T$10:$T$604,"&lt;&gt;"&amp;"MERCADORIAS P/REVENDA",Report!$C$10:$C$604,A287)</f>
        <v>0</v>
      </c>
      <c r="C287" s="31" t="n">
        <f aca="false">SUMIFS(Report!$U$10:$U$604,Report!$T$10:$T$604,"MERCADORIAS P/REVENDA",Report!$C$10:$C$604,A287)</f>
        <v>0</v>
      </c>
      <c r="F287" s="31" t="n">
        <f aca="false">B287+C287</f>
        <v>0</v>
      </c>
    </row>
    <row r="288" customFormat="false" ht="15" hidden="false" customHeight="true" outlineLevel="0" collapsed="false">
      <c r="A288" s="32" t="s">
        <v>705</v>
      </c>
      <c r="B288" s="33" t="n">
        <f aca="false">SUM(B281:B287)</f>
        <v>4708.32</v>
      </c>
      <c r="C288" s="33" t="n">
        <f aca="false">SUM(C281:C287)</f>
        <v>3382.61</v>
      </c>
      <c r="F288" s="33" t="n">
        <f aca="false">B288+C288</f>
        <v>8090.93</v>
      </c>
    </row>
    <row r="289" customFormat="false" ht="15" hidden="false" customHeight="true" outlineLevel="0" collapsed="false">
      <c r="A289" s="24" t="n">
        <v>46273</v>
      </c>
      <c r="B289" s="26" t="n">
        <f aca="false">SUMIFS(Report!$U$10:$U$604,Report!$T$10:$T$604,"&lt;&gt;"&amp;"MERCADORIAS P/REVENDA",Report!$C$10:$C$604,A289)</f>
        <v>0</v>
      </c>
      <c r="C289" s="26" t="n">
        <f aca="false">SUMIFS(Report!$U$10:$U$604,Report!$T$10:$T$604,"MERCADORIAS P/REVENDA",Report!$C$10:$C$604,A289)</f>
        <v>0</v>
      </c>
      <c r="F289" s="26" t="n">
        <f aca="false">B289+C289</f>
        <v>0</v>
      </c>
    </row>
    <row r="290" customFormat="false" ht="15" hidden="false" customHeight="true" outlineLevel="0" collapsed="false">
      <c r="A290" s="24" t="n">
        <v>46274</v>
      </c>
      <c r="B290" s="26" t="n">
        <f aca="false">SUMIFS(Report!$U$10:$U$604,Report!$T$10:$T$604,"&lt;&gt;"&amp;"MERCADORIAS P/REVENDA",Report!$C$10:$C$604,A290)</f>
        <v>0</v>
      </c>
      <c r="C290" s="26" t="n">
        <f aca="false">SUMIFS(Report!$U$10:$U$604,Report!$T$10:$T$604,"MERCADORIAS P/REVENDA",Report!$C$10:$C$604,A290)</f>
        <v>0</v>
      </c>
      <c r="F290" s="26" t="n">
        <f aca="false">B290+C290</f>
        <v>0</v>
      </c>
    </row>
    <row r="291" customFormat="false" ht="15" hidden="false" customHeight="true" outlineLevel="0" collapsed="false">
      <c r="A291" s="24" t="n">
        <v>46275</v>
      </c>
      <c r="B291" s="26" t="n">
        <f aca="false">SUMIFS(Report!$U$10:$U$604,Report!$T$10:$T$604,"&lt;&gt;"&amp;"MERCADORIAS P/REVENDA",Report!$C$10:$C$604,A291)</f>
        <v>1226.67</v>
      </c>
      <c r="C291" s="26" t="n">
        <f aca="false">SUMIFS(Report!$U$10:$U$604,Report!$T$10:$T$604,"MERCADORIAS P/REVENDA",Report!$C$10:$C$604,A291)</f>
        <v>128.85</v>
      </c>
      <c r="F291" s="26" t="n">
        <f aca="false">B291+C291</f>
        <v>1355.52</v>
      </c>
    </row>
    <row r="292" customFormat="false" ht="15" hidden="false" customHeight="true" outlineLevel="0" collapsed="false">
      <c r="A292" s="24" t="n">
        <v>46276</v>
      </c>
      <c r="B292" s="26" t="n">
        <f aca="false">SUMIFS(Report!$U$10:$U$604,Report!$T$10:$T$604,"&lt;&gt;"&amp;"MERCADORIAS P/REVENDA",Report!$C$10:$C$604,A292)</f>
        <v>0</v>
      </c>
      <c r="C292" s="26" t="n">
        <f aca="false">SUMIFS(Report!$U$10:$U$604,Report!$T$10:$T$604,"MERCADORIAS P/REVENDA",Report!$C$10:$C$604,A292)</f>
        <v>0</v>
      </c>
      <c r="F292" s="26" t="n">
        <f aca="false">B292+C292</f>
        <v>0</v>
      </c>
    </row>
    <row r="293" customFormat="false" ht="15" hidden="false" customHeight="true" outlineLevel="0" collapsed="false">
      <c r="A293" s="30" t="n">
        <v>46277</v>
      </c>
      <c r="B293" s="31" t="n">
        <f aca="false">SUMIFS(Report!$U$10:$U$604,Report!$T$10:$T$604,"&lt;&gt;"&amp;"MERCADORIAS P/REVENDA",Report!$C$10:$C$604,A293)</f>
        <v>0</v>
      </c>
      <c r="C293" s="31" t="n">
        <f aca="false">SUMIFS(Report!$U$10:$U$604,Report!$T$10:$T$604,"MERCADORIAS P/REVENDA",Report!$C$10:$C$604,A293)</f>
        <v>0</v>
      </c>
      <c r="F293" s="31" t="n">
        <f aca="false">B293+C293</f>
        <v>0</v>
      </c>
    </row>
    <row r="294" customFormat="false" ht="15" hidden="false" customHeight="true" outlineLevel="0" collapsed="false">
      <c r="A294" s="30" t="n">
        <v>46278</v>
      </c>
      <c r="B294" s="31" t="n">
        <f aca="false">SUMIFS(Report!$U$10:$U$604,Report!$T$10:$T$604,"&lt;&gt;"&amp;"MERCADORIAS P/REVENDA",Report!$C$10:$C$604,A294)</f>
        <v>0</v>
      </c>
      <c r="C294" s="31" t="n">
        <f aca="false">SUMIFS(Report!$U$10:$U$604,Report!$T$10:$T$604,"MERCADORIAS P/REVENDA",Report!$C$10:$C$604,A294)</f>
        <v>0</v>
      </c>
      <c r="F294" s="31" t="n">
        <f aca="false">B294+C294</f>
        <v>0</v>
      </c>
    </row>
    <row r="295" customFormat="false" ht="15" hidden="false" customHeight="true" outlineLevel="0" collapsed="false">
      <c r="A295" s="30" t="n">
        <v>46279</v>
      </c>
      <c r="B295" s="31" t="n">
        <f aca="false">SUMIFS(Report!$U$10:$U$604,Report!$T$10:$T$604,"&lt;&gt;"&amp;"MERCADORIAS P/REVENDA",Report!$C$10:$C$604,A295)</f>
        <v>0</v>
      </c>
      <c r="C295" s="31" t="n">
        <f aca="false">SUMIFS(Report!$U$10:$U$604,Report!$T$10:$T$604,"MERCADORIAS P/REVENDA",Report!$C$10:$C$604,A295)</f>
        <v>0</v>
      </c>
      <c r="F295" s="31" t="n">
        <f aca="false">B295+C295</f>
        <v>0</v>
      </c>
    </row>
    <row r="296" customFormat="false" ht="15" hidden="false" customHeight="true" outlineLevel="0" collapsed="false">
      <c r="A296" s="32" t="s">
        <v>706</v>
      </c>
      <c r="B296" s="33" t="n">
        <f aca="false">SUM(B289:B295)</f>
        <v>1226.67</v>
      </c>
      <c r="C296" s="33" t="n">
        <f aca="false">SUM(C289:C295)</f>
        <v>128.85</v>
      </c>
      <c r="F296" s="33" t="n">
        <f aca="false">B296+C296</f>
        <v>1355.52</v>
      </c>
    </row>
    <row r="297" customFormat="false" ht="15" hidden="false" customHeight="true" outlineLevel="0" collapsed="false">
      <c r="A297" s="24" t="n">
        <v>46280</v>
      </c>
      <c r="B297" s="26" t="n">
        <f aca="false">SUMIFS(Report!$U$10:$U$604,Report!$T$10:$T$604,"&lt;&gt;"&amp;"MERCADORIAS P/REVENDA",Report!$C$10:$C$604,A297)</f>
        <v>5928.88</v>
      </c>
      <c r="C297" s="26" t="n">
        <f aca="false">SUMIFS(Report!$U$10:$U$604,Report!$T$10:$T$604,"MERCADORIAS P/REVENDA",Report!$C$10:$C$604,A297)</f>
        <v>0</v>
      </c>
      <c r="F297" s="26" t="n">
        <f aca="false">B297+C297</f>
        <v>5928.88</v>
      </c>
    </row>
    <row r="298" customFormat="false" ht="15" hidden="false" customHeight="true" outlineLevel="0" collapsed="false">
      <c r="A298" s="24" t="n">
        <v>46281</v>
      </c>
      <c r="B298" s="26" t="n">
        <f aca="false">SUMIFS(Report!$U$10:$U$604,Report!$T$10:$T$604,"&lt;&gt;"&amp;"MERCADORIAS P/REVENDA",Report!$C$10:$C$604,A298)</f>
        <v>0</v>
      </c>
      <c r="C298" s="26" t="n">
        <f aca="false">SUMIFS(Report!$U$10:$U$604,Report!$T$10:$T$604,"MERCADORIAS P/REVENDA",Report!$C$10:$C$604,A298)</f>
        <v>1501.38</v>
      </c>
      <c r="F298" s="26" t="n">
        <f aca="false">B298+C298</f>
        <v>1501.38</v>
      </c>
    </row>
    <row r="299" customFormat="false" ht="15" hidden="false" customHeight="true" outlineLevel="0" collapsed="false">
      <c r="A299" s="24" t="n">
        <v>46282</v>
      </c>
      <c r="B299" s="26" t="n">
        <f aca="false">SUMIFS(Report!$U$10:$U$604,Report!$T$10:$T$604,"&lt;&gt;"&amp;"MERCADORIAS P/REVENDA",Report!$C$10:$C$604,A299)</f>
        <v>0</v>
      </c>
      <c r="C299" s="26" t="n">
        <f aca="false">SUMIFS(Report!$U$10:$U$604,Report!$T$10:$T$604,"MERCADORIAS P/REVENDA",Report!$C$10:$C$604,A299)</f>
        <v>0</v>
      </c>
      <c r="F299" s="26" t="n">
        <f aca="false">B299+C299</f>
        <v>0</v>
      </c>
    </row>
    <row r="300" customFormat="false" ht="15" hidden="false" customHeight="true" outlineLevel="0" collapsed="false">
      <c r="A300" s="24" t="n">
        <v>46283</v>
      </c>
      <c r="B300" s="26" t="n">
        <f aca="false">SUMIFS(Report!$U$10:$U$604,Report!$T$10:$T$604,"&lt;&gt;"&amp;"MERCADORIAS P/REVENDA",Report!$C$10:$C$604,A300)</f>
        <v>247.27</v>
      </c>
      <c r="C300" s="26" t="n">
        <f aca="false">SUMIFS(Report!$U$10:$U$604,Report!$T$10:$T$604,"MERCADORIAS P/REVENDA",Report!$C$10:$C$604,A300)</f>
        <v>0</v>
      </c>
      <c r="F300" s="26" t="n">
        <f aca="false">B300+C300</f>
        <v>247.27</v>
      </c>
    </row>
    <row r="301" customFormat="false" ht="15" hidden="false" customHeight="true" outlineLevel="0" collapsed="false">
      <c r="A301" s="30" t="n">
        <v>46284</v>
      </c>
      <c r="B301" s="31" t="n">
        <f aca="false">SUMIFS(Report!$U$10:$U$604,Report!$T$10:$T$604,"&lt;&gt;"&amp;"MERCADORIAS P/REVENDA",Report!$C$10:$C$604,A301)</f>
        <v>0</v>
      </c>
      <c r="C301" s="31" t="n">
        <f aca="false">SUMIFS(Report!$U$10:$U$604,Report!$T$10:$T$604,"MERCADORIAS P/REVENDA",Report!$C$10:$C$604,A301)</f>
        <v>0</v>
      </c>
      <c r="F301" s="31" t="n">
        <f aca="false">B301+C301</f>
        <v>0</v>
      </c>
    </row>
    <row r="302" customFormat="false" ht="15" hidden="false" customHeight="true" outlineLevel="0" collapsed="false">
      <c r="A302" s="30" t="n">
        <v>46285</v>
      </c>
      <c r="B302" s="31" t="n">
        <f aca="false">SUMIFS(Report!$U$10:$U$604,Report!$T$10:$T$604,"&lt;&gt;"&amp;"MERCADORIAS P/REVENDA",Report!$C$10:$C$604,A302)</f>
        <v>138.3</v>
      </c>
      <c r="C302" s="31" t="n">
        <f aca="false">SUMIFS(Report!$U$10:$U$604,Report!$T$10:$T$604,"MERCADORIAS P/REVENDA",Report!$C$10:$C$604,A302)</f>
        <v>0</v>
      </c>
      <c r="F302" s="31" t="n">
        <f aca="false">B302+C302</f>
        <v>138.3</v>
      </c>
    </row>
    <row r="303" customFormat="false" ht="15" hidden="false" customHeight="true" outlineLevel="0" collapsed="false">
      <c r="A303" s="30" t="n">
        <v>46286</v>
      </c>
      <c r="B303" s="31" t="n">
        <f aca="false">SUMIFS(Report!$U$10:$U$604,Report!$T$10:$T$604,"&lt;&gt;"&amp;"MERCADORIAS P/REVENDA",Report!$C$10:$C$604,A303)</f>
        <v>0</v>
      </c>
      <c r="C303" s="31" t="n">
        <f aca="false">SUMIFS(Report!$U$10:$U$604,Report!$T$10:$T$604,"MERCADORIAS P/REVENDA",Report!$C$10:$C$604,A303)</f>
        <v>0</v>
      </c>
      <c r="F303" s="31" t="n">
        <f aca="false">B303+C303</f>
        <v>0</v>
      </c>
    </row>
    <row r="304" customFormat="false" ht="15" hidden="false" customHeight="true" outlineLevel="0" collapsed="false">
      <c r="A304" s="32" t="s">
        <v>707</v>
      </c>
      <c r="B304" s="33" t="n">
        <f aca="false">SUM(B297:B303)</f>
        <v>6314.45</v>
      </c>
      <c r="C304" s="33" t="n">
        <f aca="false">SUM(C297:C303)</f>
        <v>1501.38</v>
      </c>
      <c r="F304" s="33" t="n">
        <f aca="false">B304+C304</f>
        <v>7815.83</v>
      </c>
    </row>
    <row r="305" customFormat="false" ht="15" hidden="false" customHeight="true" outlineLevel="0" collapsed="false">
      <c r="A305" s="24" t="n">
        <v>46287</v>
      </c>
      <c r="B305" s="26" t="n">
        <f aca="false">SUMIFS(Report!$U$10:$U$604,Report!$T$10:$T$604,"&lt;&gt;"&amp;"MERCADORIAS P/REVENDA",Report!$C$10:$C$604,A305)</f>
        <v>0</v>
      </c>
      <c r="C305" s="26" t="n">
        <f aca="false">SUMIFS(Report!$U$10:$U$604,Report!$T$10:$T$604,"MERCADORIAS P/REVENDA",Report!$C$10:$C$604,A305)</f>
        <v>0</v>
      </c>
      <c r="F305" s="26" t="n">
        <f aca="false">B305+C305</f>
        <v>0</v>
      </c>
    </row>
    <row r="306" customFormat="false" ht="15" hidden="false" customHeight="true" outlineLevel="0" collapsed="false">
      <c r="A306" s="24" t="n">
        <v>46288</v>
      </c>
      <c r="B306" s="26" t="n">
        <f aca="false">SUMIFS(Report!$U$10:$U$604,Report!$T$10:$T$604,"&lt;&gt;"&amp;"MERCADORIAS P/REVENDA",Report!$C$10:$C$604,A306)</f>
        <v>0</v>
      </c>
      <c r="C306" s="26" t="n">
        <f aca="false">SUMIFS(Report!$U$10:$U$604,Report!$T$10:$T$604,"MERCADORIAS P/REVENDA",Report!$C$10:$C$604,A306)</f>
        <v>0</v>
      </c>
      <c r="F306" s="26" t="n">
        <f aca="false">B306+C306</f>
        <v>0</v>
      </c>
    </row>
    <row r="307" customFormat="false" ht="15" hidden="false" customHeight="true" outlineLevel="0" collapsed="false">
      <c r="A307" s="24" t="n">
        <v>46289</v>
      </c>
      <c r="B307" s="26" t="n">
        <f aca="false">SUMIFS(Report!$U$10:$U$604,Report!$T$10:$T$604,"&lt;&gt;"&amp;"MERCADORIAS P/REVENDA",Report!$C$10:$C$604,A307)</f>
        <v>0</v>
      </c>
      <c r="C307" s="26" t="n">
        <f aca="false">SUMIFS(Report!$U$10:$U$604,Report!$T$10:$T$604,"MERCADORIAS P/REVENDA",Report!$C$10:$C$604,A307)</f>
        <v>0</v>
      </c>
      <c r="F307" s="26" t="n">
        <f aca="false">B307+C307</f>
        <v>0</v>
      </c>
    </row>
    <row r="308" customFormat="false" ht="15" hidden="false" customHeight="true" outlineLevel="0" collapsed="false">
      <c r="A308" s="24" t="n">
        <v>46290</v>
      </c>
      <c r="B308" s="26" t="n">
        <f aca="false">SUMIFS(Report!$U$10:$U$604,Report!$T$10:$T$604,"&lt;&gt;"&amp;"MERCADORIAS P/REVENDA",Report!$C$10:$C$604,A308)</f>
        <v>446.17</v>
      </c>
      <c r="C308" s="26" t="n">
        <f aca="false">SUMIFS(Report!$U$10:$U$604,Report!$T$10:$T$604,"MERCADORIAS P/REVENDA",Report!$C$10:$C$604,A308)</f>
        <v>0</v>
      </c>
      <c r="F308" s="26" t="n">
        <f aca="false">B308+C308</f>
        <v>446.17</v>
      </c>
    </row>
    <row r="309" customFormat="false" ht="15" hidden="false" customHeight="true" outlineLevel="0" collapsed="false">
      <c r="A309" s="30" t="n">
        <v>46291</v>
      </c>
      <c r="B309" s="31" t="n">
        <f aca="false">SUMIFS(Report!$U$10:$U$604,Report!$T$10:$T$604,"&lt;&gt;"&amp;"MERCADORIAS P/REVENDA",Report!$C$10:$C$604,A309)</f>
        <v>0</v>
      </c>
      <c r="C309" s="31" t="n">
        <f aca="false">SUMIFS(Report!$U$10:$U$604,Report!$T$10:$T$604,"MERCADORIAS P/REVENDA",Report!$C$10:$C$604,A309)</f>
        <v>0</v>
      </c>
      <c r="F309" s="31" t="n">
        <f aca="false">B309+C309</f>
        <v>0</v>
      </c>
    </row>
    <row r="310" customFormat="false" ht="15" hidden="false" customHeight="true" outlineLevel="0" collapsed="false">
      <c r="A310" s="30" t="n">
        <v>46292</v>
      </c>
      <c r="B310" s="31" t="n">
        <f aca="false">SUMIFS(Report!$U$10:$U$604,Report!$T$10:$T$604,"&lt;&gt;"&amp;"MERCADORIAS P/REVENDA",Report!$C$10:$C$604,A310)</f>
        <v>0</v>
      </c>
      <c r="C310" s="31" t="n">
        <f aca="false">SUMIFS(Report!$U$10:$U$604,Report!$T$10:$T$604,"MERCADORIAS P/REVENDA",Report!$C$10:$C$604,A310)</f>
        <v>0</v>
      </c>
      <c r="F310" s="31" t="n">
        <f aca="false">B310+C310</f>
        <v>0</v>
      </c>
    </row>
    <row r="311" customFormat="false" ht="15" hidden="false" customHeight="true" outlineLevel="0" collapsed="false">
      <c r="A311" s="30" t="n">
        <v>46293</v>
      </c>
      <c r="B311" s="31" t="n">
        <f aca="false">SUMIFS(Report!$U$10:$U$604,Report!$T$10:$T$604,"&lt;&gt;"&amp;"MERCADORIAS P/REVENDA",Report!$C$10:$C$604,A311)</f>
        <v>4168.41</v>
      </c>
      <c r="C311" s="31" t="n">
        <f aca="false">SUMIFS(Report!$U$10:$U$604,Report!$T$10:$T$604,"MERCADORIAS P/REVENDA",Report!$C$10:$C$604,A311)</f>
        <v>0</v>
      </c>
      <c r="F311" s="31" t="n">
        <f aca="false">B311+C311</f>
        <v>4168.41</v>
      </c>
    </row>
    <row r="312" customFormat="false" ht="15" hidden="false" customHeight="true" outlineLevel="0" collapsed="false">
      <c r="A312" s="32" t="s">
        <v>708</v>
      </c>
      <c r="B312" s="33" t="n">
        <f aca="false">SUM(B305:B311)</f>
        <v>4614.58</v>
      </c>
      <c r="C312" s="33" t="n">
        <f aca="false">SUM(C305:C311)</f>
        <v>0</v>
      </c>
      <c r="F312" s="33" t="n">
        <f aca="false">B312+C312</f>
        <v>4614.58</v>
      </c>
    </row>
    <row r="313" customFormat="false" ht="15" hidden="false" customHeight="true" outlineLevel="0" collapsed="false">
      <c r="A313" s="24" t="n">
        <v>46294</v>
      </c>
      <c r="B313" s="26" t="n">
        <f aca="false">SUMIFS(Report!$U$10:$U$604,Report!$T$10:$T$604,"&lt;&gt;"&amp;"MERCADORIAS P/REVENDA",Report!$C$10:$C$604,A313)</f>
        <v>0</v>
      </c>
      <c r="C313" s="26" t="n">
        <f aca="false">SUMIFS(Report!$U$10:$U$604,Report!$T$10:$T$604,"MERCADORIAS P/REVENDA",Report!$C$10:$C$604,A313)</f>
        <v>0</v>
      </c>
      <c r="F313" s="26" t="n">
        <f aca="false">B313+C313</f>
        <v>0</v>
      </c>
    </row>
    <row r="314" customFormat="false" ht="15" hidden="false" customHeight="true" outlineLevel="0" collapsed="false">
      <c r="A314" s="24" t="n">
        <v>46295</v>
      </c>
      <c r="B314" s="26" t="n">
        <f aca="false">SUMIFS(Report!$U$10:$U$604,Report!$T$10:$T$604,"&lt;&gt;"&amp;"MERCADORIAS P/REVENDA",Report!$C$10:$C$604,A314)</f>
        <v>0</v>
      </c>
      <c r="C314" s="26" t="n">
        <f aca="false">SUMIFS(Report!$U$10:$U$604,Report!$T$10:$T$604,"MERCADORIAS P/REVENDA",Report!$C$10:$C$604,A314)</f>
        <v>0</v>
      </c>
      <c r="F314" s="26" t="n">
        <f aca="false">B314+C314</f>
        <v>0</v>
      </c>
    </row>
    <row r="315" customFormat="false" ht="15" hidden="false" customHeight="true" outlineLevel="0" collapsed="false">
      <c r="A315" s="24" t="n">
        <v>46296</v>
      </c>
      <c r="B315" s="26" t="n">
        <f aca="false">SUMIFS(Report!$U$10:$U$604,Report!$T$10:$T$604,"&lt;&gt;"&amp;"MERCADORIAS P/REVENDA",Report!$C$10:$C$604,A315)</f>
        <v>0</v>
      </c>
      <c r="C315" s="26" t="n">
        <f aca="false">SUMIFS(Report!$U$10:$U$604,Report!$T$10:$T$604,"MERCADORIAS P/REVENDA",Report!$C$10:$C$604,A315)</f>
        <v>0</v>
      </c>
      <c r="F315" s="26" t="n">
        <f aca="false">B315+C315</f>
        <v>0</v>
      </c>
    </row>
    <row r="316" customFormat="false" ht="15" hidden="false" customHeight="true" outlineLevel="0" collapsed="false">
      <c r="A316" s="24" t="n">
        <v>46297</v>
      </c>
      <c r="B316" s="26" t="n">
        <f aca="false">SUMIFS(Report!$U$10:$U$604,Report!$T$10:$T$604,"&lt;&gt;"&amp;"MERCADORIAS P/REVENDA",Report!$C$10:$C$604,A316)</f>
        <v>0</v>
      </c>
      <c r="C316" s="26" t="n">
        <f aca="false">SUMIFS(Report!$U$10:$U$604,Report!$T$10:$T$604,"MERCADORIAS P/REVENDA",Report!$C$10:$C$604,A316)</f>
        <v>0</v>
      </c>
      <c r="F316" s="26" t="n">
        <f aca="false">B316+C316</f>
        <v>0</v>
      </c>
    </row>
    <row r="317" customFormat="false" ht="15" hidden="false" customHeight="true" outlineLevel="0" collapsed="false">
      <c r="A317" s="30" t="n">
        <v>46298</v>
      </c>
      <c r="B317" s="31" t="n">
        <f aca="false">SUMIFS(Report!$U$10:$U$604,Report!$T$10:$T$604,"&lt;&gt;"&amp;"MERCADORIAS P/REVENDA",Report!$C$10:$C$604,A317)</f>
        <v>0</v>
      </c>
      <c r="C317" s="31" t="n">
        <f aca="false">SUMIFS(Report!$U$10:$U$604,Report!$T$10:$T$604,"MERCADORIAS P/REVENDA",Report!$C$10:$C$604,A317)</f>
        <v>0</v>
      </c>
      <c r="F317" s="31" t="n">
        <f aca="false">B317+C317</f>
        <v>0</v>
      </c>
    </row>
    <row r="318" customFormat="false" ht="15" hidden="false" customHeight="true" outlineLevel="0" collapsed="false">
      <c r="A318" s="30" t="n">
        <v>46299</v>
      </c>
      <c r="B318" s="31" t="n">
        <f aca="false">SUMIFS(Report!$U$10:$U$604,Report!$T$10:$T$604,"&lt;&gt;"&amp;"MERCADORIAS P/REVENDA",Report!$C$10:$C$604,A318)</f>
        <v>0</v>
      </c>
      <c r="C318" s="31" t="n">
        <f aca="false">SUMIFS(Report!$U$10:$U$604,Report!$T$10:$T$604,"MERCADORIAS P/REVENDA",Report!$C$10:$C$604,A318)</f>
        <v>0</v>
      </c>
      <c r="F318" s="31" t="n">
        <f aca="false">B318+C318</f>
        <v>0</v>
      </c>
    </row>
    <row r="319" customFormat="false" ht="15" hidden="false" customHeight="true" outlineLevel="0" collapsed="false">
      <c r="A319" s="30" t="n">
        <v>46300</v>
      </c>
      <c r="B319" s="31" t="n">
        <f aca="false">SUMIFS(Report!$U$10:$U$604,Report!$T$10:$T$604,"&lt;&gt;"&amp;"MERCADORIAS P/REVENDA",Report!$C$10:$C$604,A319)</f>
        <v>0</v>
      </c>
      <c r="C319" s="31" t="n">
        <f aca="false">SUMIFS(Report!$U$10:$U$604,Report!$T$10:$T$604,"MERCADORIAS P/REVENDA",Report!$C$10:$C$604,A319)</f>
        <v>0</v>
      </c>
      <c r="F319" s="31" t="n">
        <f aca="false">B319+C319</f>
        <v>0</v>
      </c>
    </row>
    <row r="320" customFormat="false" ht="15" hidden="false" customHeight="true" outlineLevel="0" collapsed="false">
      <c r="A320" s="32" t="s">
        <v>709</v>
      </c>
      <c r="B320" s="33" t="n">
        <f aca="false">SUM(B313:B319)</f>
        <v>0</v>
      </c>
      <c r="C320" s="33" t="n">
        <f aca="false">SUM(C313:C319)</f>
        <v>0</v>
      </c>
      <c r="F320" s="33" t="n">
        <f aca="false">B320+C320</f>
        <v>0</v>
      </c>
    </row>
    <row r="321" customFormat="false" ht="15" hidden="false" customHeight="true" outlineLevel="0" collapsed="false">
      <c r="A321" s="24" t="n">
        <v>46301</v>
      </c>
      <c r="B321" s="26" t="n">
        <f aca="false">SUMIFS(Report!$U$10:$U$604,Report!$T$10:$T$604,"&lt;&gt;"&amp;"MERCADORIAS P/REVENDA",Report!$C$10:$C$604,A321)</f>
        <v>0</v>
      </c>
      <c r="C321" s="26" t="n">
        <f aca="false">SUMIFS(Report!$U$10:$U$604,Report!$T$10:$T$604,"MERCADORIAS P/REVENDA",Report!$C$10:$C$604,A321)</f>
        <v>0</v>
      </c>
      <c r="F321" s="26" t="n">
        <f aca="false">B321+C321</f>
        <v>0</v>
      </c>
    </row>
    <row r="322" customFormat="false" ht="15" hidden="false" customHeight="true" outlineLevel="0" collapsed="false">
      <c r="A322" s="24" t="n">
        <v>46302</v>
      </c>
      <c r="B322" s="26" t="n">
        <f aca="false">SUMIFS(Report!$U$10:$U$604,Report!$T$10:$T$604,"&lt;&gt;"&amp;"MERCADORIAS P/REVENDA",Report!$C$10:$C$604,A322)</f>
        <v>0</v>
      </c>
      <c r="C322" s="26" t="n">
        <f aca="false">SUMIFS(Report!$U$10:$U$604,Report!$T$10:$T$604,"MERCADORIAS P/REVENDA",Report!$C$10:$C$604,A322)</f>
        <v>0</v>
      </c>
      <c r="F322" s="26" t="n">
        <f aca="false">B322+C322</f>
        <v>0</v>
      </c>
    </row>
    <row r="323" customFormat="false" ht="15" hidden="false" customHeight="true" outlineLevel="0" collapsed="false">
      <c r="A323" s="24" t="n">
        <v>46303</v>
      </c>
      <c r="B323" s="26" t="n">
        <f aca="false">SUMIFS(Report!$U$10:$U$604,Report!$T$10:$T$604,"&lt;&gt;"&amp;"MERCADORIAS P/REVENDA",Report!$C$10:$C$604,A323)</f>
        <v>0</v>
      </c>
      <c r="C323" s="26" t="n">
        <f aca="false">SUMIFS(Report!$U$10:$U$604,Report!$T$10:$T$604,"MERCADORIAS P/REVENDA",Report!$C$10:$C$604,A323)</f>
        <v>0</v>
      </c>
      <c r="F323" s="26" t="n">
        <f aca="false">B323+C323</f>
        <v>0</v>
      </c>
    </row>
    <row r="324" customFormat="false" ht="15" hidden="false" customHeight="true" outlineLevel="0" collapsed="false">
      <c r="A324" s="24" t="n">
        <v>46304</v>
      </c>
      <c r="B324" s="26" t="n">
        <f aca="false">SUMIFS(Report!$U$10:$U$604,Report!$T$10:$T$604,"&lt;&gt;"&amp;"MERCADORIAS P/REVENDA",Report!$C$10:$C$604,A324)</f>
        <v>0</v>
      </c>
      <c r="C324" s="26" t="n">
        <f aca="false">SUMIFS(Report!$U$10:$U$604,Report!$T$10:$T$604,"MERCADORIAS P/REVENDA",Report!$C$10:$C$604,A324)</f>
        <v>0</v>
      </c>
      <c r="F324" s="26" t="n">
        <f aca="false">B324+C324</f>
        <v>0</v>
      </c>
    </row>
    <row r="325" customFormat="false" ht="15" hidden="false" customHeight="true" outlineLevel="0" collapsed="false">
      <c r="A325" s="30" t="n">
        <v>46305</v>
      </c>
      <c r="B325" s="31" t="n">
        <f aca="false">SUMIFS(Report!$U$10:$U$604,Report!$T$10:$T$604,"&lt;&gt;"&amp;"MERCADORIAS P/REVENDA",Report!$C$10:$C$604,A325)</f>
        <v>0</v>
      </c>
      <c r="C325" s="31" t="n">
        <f aca="false">SUMIFS(Report!$U$10:$U$604,Report!$T$10:$T$604,"MERCADORIAS P/REVENDA",Report!$C$10:$C$604,A325)</f>
        <v>0</v>
      </c>
      <c r="F325" s="31" t="n">
        <f aca="false">B325+C325</f>
        <v>0</v>
      </c>
    </row>
    <row r="326" customFormat="false" ht="15" hidden="false" customHeight="true" outlineLevel="0" collapsed="false">
      <c r="A326" s="30" t="n">
        <v>46306</v>
      </c>
      <c r="B326" s="31" t="n">
        <f aca="false">SUMIFS(Report!$U$10:$U$604,Report!$T$10:$T$604,"&lt;&gt;"&amp;"MERCADORIAS P/REVENDA",Report!$C$10:$C$604,A326)</f>
        <v>0</v>
      </c>
      <c r="C326" s="31" t="n">
        <f aca="false">SUMIFS(Report!$U$10:$U$604,Report!$T$10:$T$604,"MERCADORIAS P/REVENDA",Report!$C$10:$C$604,A326)</f>
        <v>0</v>
      </c>
      <c r="F326" s="31" t="n">
        <f aca="false">B326+C326</f>
        <v>0</v>
      </c>
    </row>
    <row r="327" customFormat="false" ht="15" hidden="false" customHeight="true" outlineLevel="0" collapsed="false">
      <c r="A327" s="30" t="n">
        <v>46307</v>
      </c>
      <c r="B327" s="31" t="n">
        <f aca="false">SUMIFS(Report!$U$10:$U$604,Report!$T$10:$T$604,"&lt;&gt;"&amp;"MERCADORIAS P/REVENDA",Report!$C$10:$C$604,A327)</f>
        <v>0</v>
      </c>
      <c r="C327" s="31" t="n">
        <f aca="false">SUMIFS(Report!$U$10:$U$604,Report!$T$10:$T$604,"MERCADORIAS P/REVENDA",Report!$C$10:$C$604,A327)</f>
        <v>0</v>
      </c>
      <c r="F327" s="31" t="n">
        <f aca="false">B327+C327</f>
        <v>0</v>
      </c>
    </row>
    <row r="328" customFormat="false" ht="15" hidden="false" customHeight="true" outlineLevel="0" collapsed="false">
      <c r="A328" s="32" t="s">
        <v>710</v>
      </c>
      <c r="B328" s="33" t="n">
        <f aca="false">SUM(B321:B327)</f>
        <v>0</v>
      </c>
      <c r="C328" s="33" t="n">
        <f aca="false">SUM(C321:C327)</f>
        <v>0</v>
      </c>
      <c r="F328" s="33" t="n">
        <f aca="false">B328+C328</f>
        <v>0</v>
      </c>
    </row>
    <row r="329" customFormat="false" ht="15" hidden="false" customHeight="true" outlineLevel="0" collapsed="false">
      <c r="A329" s="24" t="n">
        <v>46308</v>
      </c>
      <c r="B329" s="26" t="n">
        <f aca="false">SUMIFS(Report!$U$10:$U$604,Report!$T$10:$T$604,"&lt;&gt;"&amp;"MERCADORIAS P/REVENDA",Report!$C$10:$C$604,A329)</f>
        <v>0</v>
      </c>
      <c r="C329" s="26" t="n">
        <f aca="false">SUMIFS(Report!$U$10:$U$604,Report!$T$10:$T$604,"MERCADORIAS P/REVENDA",Report!$C$10:$C$604,A329)</f>
        <v>0</v>
      </c>
      <c r="F329" s="26" t="n">
        <f aca="false">B329+C329</f>
        <v>0</v>
      </c>
    </row>
    <row r="330" customFormat="false" ht="15" hidden="false" customHeight="true" outlineLevel="0" collapsed="false">
      <c r="A330" s="24" t="n">
        <v>46309</v>
      </c>
      <c r="B330" s="26" t="n">
        <f aca="false">SUMIFS(Report!$U$10:$U$604,Report!$T$10:$T$604,"&lt;&gt;"&amp;"MERCADORIAS P/REVENDA",Report!$C$10:$C$604,A330)</f>
        <v>0</v>
      </c>
      <c r="C330" s="26" t="n">
        <f aca="false">SUMIFS(Report!$U$10:$U$604,Report!$T$10:$T$604,"MERCADORIAS P/REVENDA",Report!$C$10:$C$604,A330)</f>
        <v>0</v>
      </c>
      <c r="F330" s="26" t="n">
        <f aca="false">B330+C330</f>
        <v>0</v>
      </c>
    </row>
    <row r="331" customFormat="false" ht="15" hidden="false" customHeight="true" outlineLevel="0" collapsed="false">
      <c r="A331" s="24" t="n">
        <v>46310</v>
      </c>
      <c r="B331" s="26" t="n">
        <f aca="false">SUMIFS(Report!$U$10:$U$604,Report!$T$10:$T$604,"&lt;&gt;"&amp;"MERCADORIAS P/REVENDA",Report!$C$10:$C$604,A331)</f>
        <v>0</v>
      </c>
      <c r="C331" s="26" t="n">
        <f aca="false">SUMIFS(Report!$U$10:$U$604,Report!$T$10:$T$604,"MERCADORIAS P/REVENDA",Report!$C$10:$C$604,A331)</f>
        <v>0</v>
      </c>
      <c r="F331" s="26" t="n">
        <f aca="false">B331+C331</f>
        <v>0</v>
      </c>
    </row>
    <row r="332" customFormat="false" ht="15" hidden="false" customHeight="true" outlineLevel="0" collapsed="false">
      <c r="A332" s="24" t="n">
        <v>46311</v>
      </c>
      <c r="B332" s="26" t="n">
        <f aca="false">SUMIFS(Report!$U$10:$U$604,Report!$T$10:$T$604,"&lt;&gt;"&amp;"MERCADORIAS P/REVENDA",Report!$C$10:$C$604,A332)</f>
        <v>0</v>
      </c>
      <c r="C332" s="26" t="n">
        <f aca="false">SUMIFS(Report!$U$10:$U$604,Report!$T$10:$T$604,"MERCADORIAS P/REVENDA",Report!$C$10:$C$604,A332)</f>
        <v>0</v>
      </c>
      <c r="F332" s="26" t="n">
        <f aca="false">B332+C332</f>
        <v>0</v>
      </c>
    </row>
    <row r="333" customFormat="false" ht="15" hidden="false" customHeight="true" outlineLevel="0" collapsed="false">
      <c r="A333" s="30" t="n">
        <v>46312</v>
      </c>
      <c r="B333" s="31" t="n">
        <f aca="false">SUMIFS(Report!$U$10:$U$604,Report!$T$10:$T$604,"&lt;&gt;"&amp;"MERCADORIAS P/REVENDA",Report!$C$10:$C$604,A333)</f>
        <v>0</v>
      </c>
      <c r="C333" s="31" t="n">
        <f aca="false">SUMIFS(Report!$U$10:$U$604,Report!$T$10:$T$604,"MERCADORIAS P/REVENDA",Report!$C$10:$C$604,A333)</f>
        <v>0</v>
      </c>
      <c r="F333" s="31" t="n">
        <f aca="false">B333+C333</f>
        <v>0</v>
      </c>
    </row>
    <row r="334" customFormat="false" ht="15" hidden="false" customHeight="true" outlineLevel="0" collapsed="false">
      <c r="A334" s="30" t="n">
        <v>46313</v>
      </c>
      <c r="B334" s="31" t="n">
        <f aca="false">SUMIFS(Report!$U$10:$U$604,Report!$T$10:$T$604,"&lt;&gt;"&amp;"MERCADORIAS P/REVENDA",Report!$C$10:$C$604,A334)</f>
        <v>0</v>
      </c>
      <c r="C334" s="31" t="n">
        <f aca="false">SUMIFS(Report!$U$10:$U$604,Report!$T$10:$T$604,"MERCADORIAS P/REVENDA",Report!$C$10:$C$604,A334)</f>
        <v>0</v>
      </c>
      <c r="F334" s="31" t="n">
        <f aca="false">B334+C334</f>
        <v>0</v>
      </c>
    </row>
    <row r="335" customFormat="false" ht="15" hidden="false" customHeight="true" outlineLevel="0" collapsed="false">
      <c r="A335" s="30" t="n">
        <v>46314</v>
      </c>
      <c r="B335" s="31" t="n">
        <f aca="false">SUMIFS(Report!$U$10:$U$604,Report!$T$10:$T$604,"&lt;&gt;"&amp;"MERCADORIAS P/REVENDA",Report!$C$10:$C$604,A335)</f>
        <v>0</v>
      </c>
      <c r="C335" s="31" t="n">
        <f aca="false">SUMIFS(Report!$U$10:$U$604,Report!$T$10:$T$604,"MERCADORIAS P/REVENDA",Report!$C$10:$C$604,A335)</f>
        <v>0</v>
      </c>
      <c r="F335" s="31" t="n">
        <f aca="false">B335+C335</f>
        <v>0</v>
      </c>
    </row>
    <row r="336" customFormat="false" ht="15" hidden="false" customHeight="true" outlineLevel="0" collapsed="false">
      <c r="A336" s="32" t="s">
        <v>711</v>
      </c>
      <c r="B336" s="33" t="n">
        <f aca="false">SUM(B329:B335)</f>
        <v>0</v>
      </c>
      <c r="C336" s="33" t="n">
        <f aca="false">SUM(C329:C335)</f>
        <v>0</v>
      </c>
      <c r="F336" s="33" t="n">
        <f aca="false">B336+C336</f>
        <v>0</v>
      </c>
    </row>
    <row r="337" customFormat="false" ht="15" hidden="false" customHeight="true" outlineLevel="0" collapsed="false">
      <c r="A337" s="24" t="n">
        <v>46315</v>
      </c>
      <c r="B337" s="26" t="n">
        <f aca="false">SUMIFS(Report!$U$10:$U$604,Report!$T$10:$T$604,"&lt;&gt;"&amp;"MERCADORIAS P/REVENDA",Report!$C$10:$C$604,A337)</f>
        <v>0</v>
      </c>
      <c r="C337" s="26" t="n">
        <f aca="false">SUMIFS(Report!$U$10:$U$604,Report!$T$10:$T$604,"MERCADORIAS P/REVENDA",Report!$C$10:$C$604,A337)</f>
        <v>0</v>
      </c>
      <c r="F337" s="26" t="n">
        <f aca="false">B337+C337</f>
        <v>0</v>
      </c>
    </row>
    <row r="338" customFormat="false" ht="15" hidden="false" customHeight="true" outlineLevel="0" collapsed="false">
      <c r="A338" s="24" t="n">
        <v>46316</v>
      </c>
      <c r="B338" s="26" t="n">
        <f aca="false">SUMIFS(Report!$U$10:$U$604,Report!$T$10:$T$604,"&lt;&gt;"&amp;"MERCADORIAS P/REVENDA",Report!$C$10:$C$604,A338)</f>
        <v>0</v>
      </c>
      <c r="C338" s="26" t="n">
        <f aca="false">SUMIFS(Report!$U$10:$U$604,Report!$T$10:$T$604,"MERCADORIAS P/REVENDA",Report!$C$10:$C$604,A338)</f>
        <v>0</v>
      </c>
      <c r="F338" s="26" t="n">
        <f aca="false">B338+C338</f>
        <v>0</v>
      </c>
    </row>
    <row r="339" customFormat="false" ht="15" hidden="false" customHeight="true" outlineLevel="0" collapsed="false">
      <c r="A339" s="24" t="n">
        <v>46317</v>
      </c>
      <c r="B339" s="26" t="n">
        <f aca="false">SUMIFS(Report!$U$10:$U$604,Report!$T$10:$T$604,"&lt;&gt;"&amp;"MERCADORIAS P/REVENDA",Report!$C$10:$C$604,A339)</f>
        <v>0</v>
      </c>
      <c r="C339" s="26" t="n">
        <f aca="false">SUMIFS(Report!$U$10:$U$604,Report!$T$10:$T$604,"MERCADORIAS P/REVENDA",Report!$C$10:$C$604,A339)</f>
        <v>0</v>
      </c>
      <c r="F339" s="26" t="n">
        <f aca="false">B339+C339</f>
        <v>0</v>
      </c>
    </row>
    <row r="340" customFormat="false" ht="15" hidden="false" customHeight="true" outlineLevel="0" collapsed="false">
      <c r="A340" s="24" t="n">
        <v>46318</v>
      </c>
      <c r="B340" s="26" t="n">
        <f aca="false">SUMIFS(Report!$U$10:$U$604,Report!$T$10:$T$604,"&lt;&gt;"&amp;"MERCADORIAS P/REVENDA",Report!$C$10:$C$604,A340)</f>
        <v>0</v>
      </c>
      <c r="C340" s="26" t="n">
        <f aca="false">SUMIFS(Report!$U$10:$U$604,Report!$T$10:$T$604,"MERCADORIAS P/REVENDA",Report!$C$10:$C$604,A340)</f>
        <v>0</v>
      </c>
      <c r="F340" s="26" t="n">
        <f aca="false">B340+C340</f>
        <v>0</v>
      </c>
    </row>
    <row r="341" customFormat="false" ht="15" hidden="false" customHeight="true" outlineLevel="0" collapsed="false">
      <c r="A341" s="30" t="n">
        <v>46319</v>
      </c>
      <c r="B341" s="31" t="n">
        <f aca="false">SUMIFS(Report!$U$10:$U$604,Report!$T$10:$T$604,"&lt;&gt;"&amp;"MERCADORIAS P/REVENDA",Report!$C$10:$C$604,A341)</f>
        <v>0</v>
      </c>
      <c r="C341" s="31" t="n">
        <f aca="false">SUMIFS(Report!$U$10:$U$604,Report!$T$10:$T$604,"MERCADORIAS P/REVENDA",Report!$C$10:$C$604,A341)</f>
        <v>0</v>
      </c>
      <c r="F341" s="31" t="n">
        <f aca="false">B341+C341</f>
        <v>0</v>
      </c>
    </row>
    <row r="342" customFormat="false" ht="15" hidden="false" customHeight="true" outlineLevel="0" collapsed="false">
      <c r="A342" s="30" t="n">
        <v>46320</v>
      </c>
      <c r="B342" s="31" t="n">
        <f aca="false">SUMIFS(Report!$U$10:$U$604,Report!$T$10:$T$604,"&lt;&gt;"&amp;"MERCADORIAS P/REVENDA",Report!$C$10:$C$604,A342)</f>
        <v>0</v>
      </c>
      <c r="C342" s="31" t="n">
        <f aca="false">SUMIFS(Report!$U$10:$U$604,Report!$T$10:$T$604,"MERCADORIAS P/REVENDA",Report!$C$10:$C$604,A342)</f>
        <v>0</v>
      </c>
      <c r="F342" s="31" t="n">
        <f aca="false">B342+C342</f>
        <v>0</v>
      </c>
    </row>
    <row r="343" customFormat="false" ht="15" hidden="false" customHeight="true" outlineLevel="0" collapsed="false">
      <c r="A343" s="30" t="n">
        <v>46321</v>
      </c>
      <c r="B343" s="31" t="n">
        <f aca="false">SUMIFS(Report!$U$10:$U$604,Report!$T$10:$T$604,"&lt;&gt;"&amp;"MERCADORIAS P/REVENDA",Report!$C$10:$C$604,A343)</f>
        <v>0</v>
      </c>
      <c r="C343" s="31" t="n">
        <f aca="false">SUMIFS(Report!$U$10:$U$604,Report!$T$10:$T$604,"MERCADORIAS P/REVENDA",Report!$C$10:$C$604,A343)</f>
        <v>0</v>
      </c>
      <c r="F343" s="31" t="n">
        <f aca="false">B343+C343</f>
        <v>0</v>
      </c>
    </row>
    <row r="344" customFormat="false" ht="15" hidden="false" customHeight="true" outlineLevel="0" collapsed="false">
      <c r="A344" s="32" t="s">
        <v>712</v>
      </c>
      <c r="B344" s="33" t="n">
        <f aca="false">SUM(B337:B343)</f>
        <v>0</v>
      </c>
      <c r="C344" s="33" t="n">
        <f aca="false">SUM(C337:C343)</f>
        <v>0</v>
      </c>
      <c r="F344" s="33" t="n">
        <f aca="false">B344+C344</f>
        <v>0</v>
      </c>
    </row>
    <row r="345" customFormat="false" ht="15" hidden="false" customHeight="true" outlineLevel="0" collapsed="false">
      <c r="A345" s="24" t="n">
        <v>46322</v>
      </c>
      <c r="B345" s="26" t="n">
        <f aca="false">SUMIFS(Report!$U$10:$U$604,Report!$T$10:$T$604,"&lt;&gt;"&amp;"MERCADORIAS P/REVENDA",Report!$C$10:$C$604,A345)</f>
        <v>0</v>
      </c>
      <c r="C345" s="26" t="n">
        <f aca="false">SUMIFS(Report!$U$10:$U$604,Report!$T$10:$T$604,"MERCADORIAS P/REVENDA",Report!$C$10:$C$604,A345)</f>
        <v>0</v>
      </c>
      <c r="F345" s="26" t="n">
        <f aca="false">B345+C345</f>
        <v>0</v>
      </c>
    </row>
    <row r="346" customFormat="false" ht="15" hidden="false" customHeight="true" outlineLevel="0" collapsed="false">
      <c r="A346" s="24" t="n">
        <v>46323</v>
      </c>
      <c r="B346" s="26" t="n">
        <f aca="false">SUMIFS(Report!$U$10:$U$604,Report!$T$10:$T$604,"&lt;&gt;"&amp;"MERCADORIAS P/REVENDA",Report!$C$10:$C$604,A346)</f>
        <v>0</v>
      </c>
      <c r="C346" s="26" t="n">
        <f aca="false">SUMIFS(Report!$U$10:$U$604,Report!$T$10:$T$604,"MERCADORIAS P/REVENDA",Report!$C$10:$C$604,A346)</f>
        <v>0</v>
      </c>
      <c r="F346" s="26" t="n">
        <f aca="false">B346+C346</f>
        <v>0</v>
      </c>
    </row>
    <row r="347" customFormat="false" ht="15" hidden="false" customHeight="true" outlineLevel="0" collapsed="false">
      <c r="A347" s="24" t="n">
        <v>46324</v>
      </c>
      <c r="B347" s="26" t="n">
        <f aca="false">SUMIFS(Report!$U$10:$U$604,Report!$T$10:$T$604,"&lt;&gt;"&amp;"MERCADORIAS P/REVENDA",Report!$C$10:$C$604,A347)</f>
        <v>0</v>
      </c>
      <c r="C347" s="26" t="n">
        <f aca="false">SUMIFS(Report!$U$10:$U$604,Report!$T$10:$T$604,"MERCADORIAS P/REVENDA",Report!$C$10:$C$604,A347)</f>
        <v>0</v>
      </c>
      <c r="F347" s="26" t="n">
        <f aca="false">B347+C347</f>
        <v>0</v>
      </c>
    </row>
    <row r="348" customFormat="false" ht="15" hidden="false" customHeight="true" outlineLevel="0" collapsed="false">
      <c r="A348" s="24" t="n">
        <v>46325</v>
      </c>
      <c r="B348" s="26" t="n">
        <f aca="false">SUMIFS(Report!$U$10:$U$604,Report!$T$10:$T$604,"&lt;&gt;"&amp;"MERCADORIAS P/REVENDA",Report!$C$10:$C$604,A348)</f>
        <v>0</v>
      </c>
      <c r="C348" s="26" t="n">
        <f aca="false">SUMIFS(Report!$U$10:$U$604,Report!$T$10:$T$604,"MERCADORIAS P/REVENDA",Report!$C$10:$C$604,A348)</f>
        <v>0</v>
      </c>
      <c r="F348" s="26" t="n">
        <f aca="false">B348+C348</f>
        <v>0</v>
      </c>
    </row>
    <row r="349" customFormat="false" ht="15" hidden="false" customHeight="true" outlineLevel="0" collapsed="false">
      <c r="A349" s="30" t="n">
        <v>46326</v>
      </c>
      <c r="B349" s="31" t="n">
        <f aca="false">SUMIFS(Report!$U$10:$U$604,Report!$T$10:$T$604,"&lt;&gt;"&amp;"MERCADORIAS P/REVENDA",Report!$C$10:$C$604,A349)</f>
        <v>0</v>
      </c>
      <c r="C349" s="31" t="n">
        <f aca="false">SUMIFS(Report!$U$10:$U$604,Report!$T$10:$T$604,"MERCADORIAS P/REVENDA",Report!$C$10:$C$604,A349)</f>
        <v>0</v>
      </c>
      <c r="F349" s="31" t="n">
        <f aca="false">B349+C349</f>
        <v>0</v>
      </c>
    </row>
    <row r="350" customFormat="false" ht="15" hidden="false" customHeight="true" outlineLevel="0" collapsed="false">
      <c r="A350" s="30" t="n">
        <v>46327</v>
      </c>
      <c r="B350" s="31" t="n">
        <f aca="false">SUMIFS(Report!$U$10:$U$604,Report!$T$10:$T$604,"&lt;&gt;"&amp;"MERCADORIAS P/REVENDA",Report!$C$10:$C$604,A350)</f>
        <v>0</v>
      </c>
      <c r="C350" s="31" t="n">
        <f aca="false">SUMIFS(Report!$U$10:$U$604,Report!$T$10:$T$604,"MERCADORIAS P/REVENDA",Report!$C$10:$C$604,A350)</f>
        <v>0</v>
      </c>
      <c r="F350" s="31" t="n">
        <f aca="false">B350+C350</f>
        <v>0</v>
      </c>
    </row>
    <row r="351" customFormat="false" ht="15" hidden="false" customHeight="true" outlineLevel="0" collapsed="false">
      <c r="A351" s="30" t="n">
        <v>46328</v>
      </c>
      <c r="B351" s="31" t="n">
        <f aca="false">SUMIFS(Report!$U$10:$U$604,Report!$T$10:$T$604,"&lt;&gt;"&amp;"MERCADORIAS P/REVENDA",Report!$C$10:$C$604,A351)</f>
        <v>0</v>
      </c>
      <c r="C351" s="31" t="n">
        <f aca="false">SUMIFS(Report!$U$10:$U$604,Report!$T$10:$T$604,"MERCADORIAS P/REVENDA",Report!$C$10:$C$604,A351)</f>
        <v>0</v>
      </c>
      <c r="F351" s="31" t="n">
        <f aca="false">B351+C351</f>
        <v>0</v>
      </c>
    </row>
    <row r="352" customFormat="false" ht="15" hidden="false" customHeight="true" outlineLevel="0" collapsed="false">
      <c r="A352" s="32" t="s">
        <v>713</v>
      </c>
      <c r="B352" s="33" t="n">
        <f aca="false">SUM(B345:B351)</f>
        <v>0</v>
      </c>
      <c r="C352" s="33" t="n">
        <f aca="false">SUM(C345:C351)</f>
        <v>0</v>
      </c>
      <c r="F352" s="33" t="n">
        <f aca="false">B352+C352</f>
        <v>0</v>
      </c>
    </row>
    <row r="353" customFormat="false" ht="15" hidden="false" customHeight="true" outlineLevel="0" collapsed="false">
      <c r="A353" s="24" t="n">
        <v>46329</v>
      </c>
      <c r="B353" s="26" t="n">
        <f aca="false">SUMIFS(Report!$U$10:$U$604,Report!$T$10:$T$604,"&lt;&gt;"&amp;"MERCADORIAS P/REVENDA",Report!$C$10:$C$604,A353)</f>
        <v>0</v>
      </c>
      <c r="C353" s="26" t="n">
        <f aca="false">SUMIFS(Report!$U$10:$U$604,Report!$T$10:$T$604,"MERCADORIAS P/REVENDA",Report!$C$10:$C$604,A353)</f>
        <v>0</v>
      </c>
      <c r="F353" s="26" t="n">
        <f aca="false">B353+C353</f>
        <v>0</v>
      </c>
    </row>
    <row r="354" customFormat="false" ht="15" hidden="false" customHeight="true" outlineLevel="0" collapsed="false">
      <c r="A354" s="24" t="n">
        <v>46330</v>
      </c>
      <c r="B354" s="26" t="n">
        <f aca="false">SUMIFS(Report!$U$10:$U$604,Report!$T$10:$T$604,"&lt;&gt;"&amp;"MERCADORIAS P/REVENDA",Report!$C$10:$C$604,A354)</f>
        <v>0</v>
      </c>
      <c r="C354" s="26" t="n">
        <f aca="false">SUMIFS(Report!$U$10:$U$604,Report!$T$10:$T$604,"MERCADORIAS P/REVENDA",Report!$C$10:$C$604,A354)</f>
        <v>0</v>
      </c>
      <c r="F354" s="26" t="n">
        <f aca="false">B354+C354</f>
        <v>0</v>
      </c>
    </row>
    <row r="355" customFormat="false" ht="15" hidden="false" customHeight="true" outlineLevel="0" collapsed="false">
      <c r="A355" s="24" t="n">
        <v>46331</v>
      </c>
      <c r="B355" s="26" t="n">
        <f aca="false">SUMIFS(Report!$U$10:$U$604,Report!$T$10:$T$604,"&lt;&gt;"&amp;"MERCADORIAS P/REVENDA",Report!$C$10:$C$604,A355)</f>
        <v>0</v>
      </c>
      <c r="C355" s="26" t="n">
        <f aca="false">SUMIFS(Report!$U$10:$U$604,Report!$T$10:$T$604,"MERCADORIAS P/REVENDA",Report!$C$10:$C$604,A355)</f>
        <v>0</v>
      </c>
      <c r="F355" s="26" t="n">
        <f aca="false">B355+C355</f>
        <v>0</v>
      </c>
    </row>
    <row r="356" customFormat="false" ht="15" hidden="false" customHeight="true" outlineLevel="0" collapsed="false">
      <c r="A356" s="24" t="n">
        <v>46332</v>
      </c>
      <c r="B356" s="26" t="n">
        <f aca="false">SUMIFS(Report!$U$10:$U$604,Report!$T$10:$T$604,"&lt;&gt;"&amp;"MERCADORIAS P/REVENDA",Report!$C$10:$C$604,A356)</f>
        <v>0</v>
      </c>
      <c r="C356" s="26" t="n">
        <f aca="false">SUMIFS(Report!$U$10:$U$604,Report!$T$10:$T$604,"MERCADORIAS P/REVENDA",Report!$C$10:$C$604,A356)</f>
        <v>0</v>
      </c>
      <c r="F356" s="26" t="n">
        <f aca="false">B356+C356</f>
        <v>0</v>
      </c>
    </row>
    <row r="357" customFormat="false" ht="15" hidden="false" customHeight="true" outlineLevel="0" collapsed="false">
      <c r="A357" s="30" t="n">
        <v>46333</v>
      </c>
      <c r="B357" s="31" t="n">
        <f aca="false">SUMIFS(Report!$U$10:$U$604,Report!$T$10:$T$604,"&lt;&gt;"&amp;"MERCADORIAS P/REVENDA",Report!$C$10:$C$604,A357)</f>
        <v>0</v>
      </c>
      <c r="C357" s="31" t="n">
        <f aca="false">SUMIFS(Report!$U$10:$U$604,Report!$T$10:$T$604,"MERCADORIAS P/REVENDA",Report!$C$10:$C$604,A357)</f>
        <v>0</v>
      </c>
      <c r="F357" s="31" t="n">
        <f aca="false">B357+C357</f>
        <v>0</v>
      </c>
    </row>
    <row r="358" customFormat="false" ht="15" hidden="false" customHeight="true" outlineLevel="0" collapsed="false">
      <c r="A358" s="30" t="n">
        <v>46334</v>
      </c>
      <c r="B358" s="31" t="n">
        <f aca="false">SUMIFS(Report!$U$10:$U$604,Report!$T$10:$T$604,"&lt;&gt;"&amp;"MERCADORIAS P/REVENDA",Report!$C$10:$C$604,A358)</f>
        <v>0</v>
      </c>
      <c r="C358" s="31" t="n">
        <f aca="false">SUMIFS(Report!$U$10:$U$604,Report!$T$10:$T$604,"MERCADORIAS P/REVENDA",Report!$C$10:$C$604,A358)</f>
        <v>0</v>
      </c>
      <c r="F358" s="31" t="n">
        <f aca="false">B358+C358</f>
        <v>0</v>
      </c>
    </row>
    <row r="359" customFormat="false" ht="15" hidden="false" customHeight="true" outlineLevel="0" collapsed="false">
      <c r="A359" s="30" t="n">
        <v>46335</v>
      </c>
      <c r="B359" s="31" t="n">
        <f aca="false">SUMIFS(Report!$U$10:$U$604,Report!$T$10:$T$604,"&lt;&gt;"&amp;"MERCADORIAS P/REVENDA",Report!$C$10:$C$604,A359)</f>
        <v>0</v>
      </c>
      <c r="C359" s="31" t="n">
        <f aca="false">SUMIFS(Report!$U$10:$U$604,Report!$T$10:$T$604,"MERCADORIAS P/REVENDA",Report!$C$10:$C$604,A359)</f>
        <v>0</v>
      </c>
      <c r="F359" s="31" t="n">
        <f aca="false">B359+C359</f>
        <v>0</v>
      </c>
    </row>
    <row r="360" customFormat="false" ht="15" hidden="false" customHeight="true" outlineLevel="0" collapsed="false">
      <c r="A360" s="32" t="s">
        <v>714</v>
      </c>
      <c r="B360" s="33" t="n">
        <f aca="false">SUM(B353:B359)</f>
        <v>0</v>
      </c>
      <c r="C360" s="33" t="n">
        <f aca="false">SUM(C353:C359)</f>
        <v>0</v>
      </c>
      <c r="F360" s="33" t="n">
        <f aca="false">B360+C360</f>
        <v>0</v>
      </c>
    </row>
    <row r="361" customFormat="false" ht="15" hidden="false" customHeight="true" outlineLevel="0" collapsed="false">
      <c r="A361" s="24" t="n">
        <v>46336</v>
      </c>
      <c r="B361" s="26" t="n">
        <f aca="false">SUMIFS(Report!$U$10:$U$604,Report!$T$10:$T$604,"&lt;&gt;"&amp;"MERCADORIAS P/REVENDA",Report!$C$10:$C$604,A361)</f>
        <v>0</v>
      </c>
      <c r="C361" s="26" t="n">
        <f aca="false">SUMIFS(Report!$U$10:$U$604,Report!$T$10:$T$604,"MERCADORIAS P/REVENDA",Report!$C$10:$C$604,A361)</f>
        <v>0</v>
      </c>
      <c r="F361" s="26" t="n">
        <f aca="false">B361+C361</f>
        <v>0</v>
      </c>
    </row>
    <row r="362" customFormat="false" ht="15" hidden="false" customHeight="true" outlineLevel="0" collapsed="false">
      <c r="A362" s="24" t="n">
        <v>46337</v>
      </c>
      <c r="B362" s="26" t="n">
        <f aca="false">SUMIFS(Report!$U$10:$U$604,Report!$T$10:$T$604,"&lt;&gt;"&amp;"MERCADORIAS P/REVENDA",Report!$C$10:$C$604,A362)</f>
        <v>0</v>
      </c>
      <c r="C362" s="26" t="n">
        <f aca="false">SUMIFS(Report!$U$10:$U$604,Report!$T$10:$T$604,"MERCADORIAS P/REVENDA",Report!$C$10:$C$604,A362)</f>
        <v>0</v>
      </c>
      <c r="F362" s="26" t="n">
        <f aca="false">B362+C362</f>
        <v>0</v>
      </c>
    </row>
    <row r="363" customFormat="false" ht="15" hidden="false" customHeight="true" outlineLevel="0" collapsed="false">
      <c r="A363" s="24" t="n">
        <v>46338</v>
      </c>
      <c r="B363" s="26" t="n">
        <f aca="false">SUMIFS(Report!$U$10:$U$604,Report!$T$10:$T$604,"&lt;&gt;"&amp;"MERCADORIAS P/REVENDA",Report!$C$10:$C$604,A363)</f>
        <v>0</v>
      </c>
      <c r="C363" s="26" t="n">
        <f aca="false">SUMIFS(Report!$U$10:$U$604,Report!$T$10:$T$604,"MERCADORIAS P/REVENDA",Report!$C$10:$C$604,A363)</f>
        <v>0</v>
      </c>
      <c r="F363" s="26" t="n">
        <f aca="false">B363+C363</f>
        <v>0</v>
      </c>
    </row>
    <row r="364" customFormat="false" ht="15" hidden="false" customHeight="true" outlineLevel="0" collapsed="false">
      <c r="A364" s="24" t="n">
        <v>46339</v>
      </c>
      <c r="B364" s="26" t="n">
        <f aca="false">SUMIFS(Report!$U$10:$U$604,Report!$T$10:$T$604,"&lt;&gt;"&amp;"MERCADORIAS P/REVENDA",Report!$C$10:$C$604,A364)</f>
        <v>0</v>
      </c>
      <c r="C364" s="26" t="n">
        <f aca="false">SUMIFS(Report!$U$10:$U$604,Report!$T$10:$T$604,"MERCADORIAS P/REVENDA",Report!$C$10:$C$604,A364)</f>
        <v>0</v>
      </c>
      <c r="F364" s="26" t="n">
        <f aca="false">B364+C364</f>
        <v>0</v>
      </c>
    </row>
    <row r="365" customFormat="false" ht="15" hidden="false" customHeight="true" outlineLevel="0" collapsed="false">
      <c r="A365" s="30" t="n">
        <v>46340</v>
      </c>
      <c r="B365" s="31" t="n">
        <f aca="false">SUMIFS(Report!$U$10:$U$604,Report!$T$10:$T$604,"&lt;&gt;"&amp;"MERCADORIAS P/REVENDA",Report!$C$10:$C$604,A365)</f>
        <v>0</v>
      </c>
      <c r="C365" s="31" t="n">
        <f aca="false">SUMIFS(Report!$U$10:$U$604,Report!$T$10:$T$604,"MERCADORIAS P/REVENDA",Report!$C$10:$C$604,A365)</f>
        <v>0</v>
      </c>
      <c r="F365" s="31" t="n">
        <f aca="false">B365+C365</f>
        <v>0</v>
      </c>
    </row>
    <row r="366" customFormat="false" ht="15" hidden="false" customHeight="true" outlineLevel="0" collapsed="false">
      <c r="A366" s="30" t="n">
        <v>46341</v>
      </c>
      <c r="B366" s="31" t="n">
        <f aca="false">SUMIFS(Report!$U$10:$U$604,Report!$T$10:$T$604,"&lt;&gt;"&amp;"MERCADORIAS P/REVENDA",Report!$C$10:$C$604,A366)</f>
        <v>0</v>
      </c>
      <c r="C366" s="31" t="n">
        <f aca="false">SUMIFS(Report!$U$10:$U$604,Report!$T$10:$T$604,"MERCADORIAS P/REVENDA",Report!$C$10:$C$604,A366)</f>
        <v>0</v>
      </c>
      <c r="F366" s="31" t="n">
        <f aca="false">B366+C366</f>
        <v>0</v>
      </c>
    </row>
    <row r="367" customFormat="false" ht="15" hidden="false" customHeight="true" outlineLevel="0" collapsed="false">
      <c r="A367" s="30" t="n">
        <v>46342</v>
      </c>
      <c r="B367" s="31" t="n">
        <f aca="false">SUMIFS(Report!$U$10:$U$604,Report!$T$10:$T$604,"&lt;&gt;"&amp;"MERCADORIAS P/REVENDA",Report!$C$10:$C$604,A367)</f>
        <v>0</v>
      </c>
      <c r="C367" s="31" t="n">
        <f aca="false">SUMIFS(Report!$U$10:$U$604,Report!$T$10:$T$604,"MERCADORIAS P/REVENDA",Report!$C$10:$C$604,A367)</f>
        <v>0</v>
      </c>
      <c r="F367" s="31" t="n">
        <f aca="false">B367+C367</f>
        <v>0</v>
      </c>
    </row>
    <row r="368" customFormat="false" ht="15" hidden="false" customHeight="true" outlineLevel="0" collapsed="false">
      <c r="A368" s="32" t="s">
        <v>715</v>
      </c>
      <c r="B368" s="33" t="n">
        <f aca="false">SUM(B361:B367)</f>
        <v>0</v>
      </c>
      <c r="C368" s="33" t="n">
        <f aca="false">SUM(C361:C367)</f>
        <v>0</v>
      </c>
      <c r="F368" s="33" t="n">
        <f aca="false">B368+C368</f>
        <v>0</v>
      </c>
    </row>
    <row r="369" customFormat="false" ht="15" hidden="false" customHeight="true" outlineLevel="0" collapsed="false">
      <c r="A369" s="24" t="n">
        <v>46343</v>
      </c>
      <c r="B369" s="26" t="n">
        <f aca="false">SUMIFS(Report!$U$10:$U$604,Report!$T$10:$T$604,"&lt;&gt;"&amp;"MERCADORIAS P/REVENDA",Report!$C$10:$C$604,A369)</f>
        <v>0</v>
      </c>
      <c r="C369" s="26" t="n">
        <f aca="false">SUMIFS(Report!$U$10:$U$604,Report!$T$10:$T$604,"MERCADORIAS P/REVENDA",Report!$C$10:$C$604,A369)</f>
        <v>0</v>
      </c>
      <c r="F369" s="26" t="n">
        <f aca="false">B369+C369</f>
        <v>0</v>
      </c>
    </row>
    <row r="370" customFormat="false" ht="15" hidden="false" customHeight="true" outlineLevel="0" collapsed="false">
      <c r="A370" s="24" t="n">
        <v>46344</v>
      </c>
      <c r="B370" s="26" t="n">
        <f aca="false">SUMIFS(Report!$U$10:$U$604,Report!$T$10:$T$604,"&lt;&gt;"&amp;"MERCADORIAS P/REVENDA",Report!$C$10:$C$604,A370)</f>
        <v>0</v>
      </c>
      <c r="C370" s="26" t="n">
        <f aca="false">SUMIFS(Report!$U$10:$U$604,Report!$T$10:$T$604,"MERCADORIAS P/REVENDA",Report!$C$10:$C$604,A370)</f>
        <v>0</v>
      </c>
      <c r="F370" s="26" t="n">
        <f aca="false">B370+C370</f>
        <v>0</v>
      </c>
    </row>
    <row r="371" customFormat="false" ht="15" hidden="false" customHeight="true" outlineLevel="0" collapsed="false">
      <c r="A371" s="24" t="n">
        <v>46345</v>
      </c>
      <c r="B371" s="26" t="n">
        <f aca="false">SUMIFS(Report!$U$10:$U$604,Report!$T$10:$T$604,"&lt;&gt;"&amp;"MERCADORIAS P/REVENDA",Report!$C$10:$C$604,A371)</f>
        <v>0</v>
      </c>
      <c r="C371" s="26" t="n">
        <f aca="false">SUMIFS(Report!$U$10:$U$604,Report!$T$10:$T$604,"MERCADORIAS P/REVENDA",Report!$C$10:$C$604,A371)</f>
        <v>0</v>
      </c>
      <c r="F371" s="26" t="n">
        <f aca="false">B371+C371</f>
        <v>0</v>
      </c>
    </row>
    <row r="372" customFormat="false" ht="15" hidden="false" customHeight="true" outlineLevel="0" collapsed="false">
      <c r="A372" s="24" t="n">
        <v>46346</v>
      </c>
      <c r="B372" s="26" t="n">
        <f aca="false">SUMIFS(Report!$U$10:$U$604,Report!$T$10:$T$604,"&lt;&gt;"&amp;"MERCADORIAS P/REVENDA",Report!$C$10:$C$604,A372)</f>
        <v>0</v>
      </c>
      <c r="C372" s="26" t="n">
        <f aca="false">SUMIFS(Report!$U$10:$U$604,Report!$T$10:$T$604,"MERCADORIAS P/REVENDA",Report!$C$10:$C$604,A372)</f>
        <v>0</v>
      </c>
      <c r="F372" s="26" t="n">
        <f aca="false">B372+C372</f>
        <v>0</v>
      </c>
    </row>
    <row r="373" customFormat="false" ht="15" hidden="false" customHeight="true" outlineLevel="0" collapsed="false">
      <c r="A373" s="30" t="n">
        <v>46347</v>
      </c>
      <c r="B373" s="31" t="n">
        <f aca="false">SUMIFS(Report!$U$10:$U$604,Report!$T$10:$T$604,"&lt;&gt;"&amp;"MERCADORIAS P/REVENDA",Report!$C$10:$C$604,A373)</f>
        <v>0</v>
      </c>
      <c r="C373" s="31" t="n">
        <f aca="false">SUMIFS(Report!$U$10:$U$604,Report!$T$10:$T$604,"MERCADORIAS P/REVENDA",Report!$C$10:$C$604,A373)</f>
        <v>0</v>
      </c>
      <c r="F373" s="31" t="n">
        <f aca="false">B373+C373</f>
        <v>0</v>
      </c>
    </row>
    <row r="374" customFormat="false" ht="15" hidden="false" customHeight="true" outlineLevel="0" collapsed="false">
      <c r="A374" s="30" t="n">
        <v>46348</v>
      </c>
      <c r="B374" s="31" t="n">
        <f aca="false">SUMIFS(Report!$U$10:$U$604,Report!$T$10:$T$604,"&lt;&gt;"&amp;"MERCADORIAS P/REVENDA",Report!$C$10:$C$604,A374)</f>
        <v>0</v>
      </c>
      <c r="C374" s="31" t="n">
        <f aca="false">SUMIFS(Report!$U$10:$U$604,Report!$T$10:$T$604,"MERCADORIAS P/REVENDA",Report!$C$10:$C$604,A374)</f>
        <v>0</v>
      </c>
      <c r="F374" s="31" t="n">
        <f aca="false">B374+C374</f>
        <v>0</v>
      </c>
    </row>
    <row r="375" customFormat="false" ht="15" hidden="false" customHeight="true" outlineLevel="0" collapsed="false">
      <c r="A375" s="30" t="n">
        <v>46349</v>
      </c>
      <c r="B375" s="31" t="n">
        <f aca="false">SUMIFS(Report!$U$10:$U$604,Report!$T$10:$T$604,"&lt;&gt;"&amp;"MERCADORIAS P/REVENDA",Report!$C$10:$C$604,A375)</f>
        <v>0</v>
      </c>
      <c r="C375" s="31" t="n">
        <f aca="false">SUMIFS(Report!$U$10:$U$604,Report!$T$10:$T$604,"MERCADORIAS P/REVENDA",Report!$C$10:$C$604,A375)</f>
        <v>0</v>
      </c>
      <c r="F375" s="31" t="n">
        <f aca="false">B375+C375</f>
        <v>0</v>
      </c>
    </row>
    <row r="376" customFormat="false" ht="15" hidden="false" customHeight="true" outlineLevel="0" collapsed="false">
      <c r="A376" s="32" t="s">
        <v>716</v>
      </c>
      <c r="B376" s="33" t="n">
        <f aca="false">SUM(B369:B375)</f>
        <v>0</v>
      </c>
      <c r="C376" s="33" t="n">
        <f aca="false">SUM(C369:C375)</f>
        <v>0</v>
      </c>
      <c r="F376" s="33" t="n">
        <f aca="false">B376+C376</f>
        <v>0</v>
      </c>
    </row>
    <row r="377" customFormat="false" ht="15" hidden="false" customHeight="true" outlineLevel="0" collapsed="false">
      <c r="A377" s="24" t="n">
        <v>46350</v>
      </c>
      <c r="B377" s="26" t="n">
        <f aca="false">SUMIFS(Report!$U$10:$U$604,Report!$T$10:$T$604,"&lt;&gt;"&amp;"MERCADORIAS P/REVENDA",Report!$C$10:$C$604,A377)</f>
        <v>0</v>
      </c>
      <c r="C377" s="26" t="n">
        <f aca="false">SUMIFS(Report!$U$10:$U$604,Report!$T$10:$T$604,"MERCADORIAS P/REVENDA",Report!$C$10:$C$604,A377)</f>
        <v>0</v>
      </c>
      <c r="F377" s="26" t="n">
        <f aca="false">B377+C377</f>
        <v>0</v>
      </c>
    </row>
    <row r="378" customFormat="false" ht="15" hidden="false" customHeight="true" outlineLevel="0" collapsed="false">
      <c r="A378" s="24" t="n">
        <v>46351</v>
      </c>
      <c r="B378" s="26" t="n">
        <f aca="false">SUMIFS(Report!$U$10:$U$604,Report!$T$10:$T$604,"&lt;&gt;"&amp;"MERCADORIAS P/REVENDA",Report!$C$10:$C$604,A378)</f>
        <v>0</v>
      </c>
      <c r="C378" s="26" t="n">
        <f aca="false">SUMIFS(Report!$U$10:$U$604,Report!$T$10:$T$604,"MERCADORIAS P/REVENDA",Report!$C$10:$C$604,A378)</f>
        <v>0</v>
      </c>
      <c r="F378" s="26" t="n">
        <f aca="false">B378+C378</f>
        <v>0</v>
      </c>
    </row>
    <row r="379" customFormat="false" ht="15" hidden="false" customHeight="true" outlineLevel="0" collapsed="false">
      <c r="A379" s="24" t="n">
        <v>46352</v>
      </c>
      <c r="B379" s="26" t="n">
        <f aca="false">SUMIFS(Report!$U$10:$U$604,Report!$T$10:$T$604,"&lt;&gt;"&amp;"MERCADORIAS P/REVENDA",Report!$C$10:$C$604,A379)</f>
        <v>0</v>
      </c>
      <c r="C379" s="26" t="n">
        <f aca="false">SUMIFS(Report!$U$10:$U$604,Report!$T$10:$T$604,"MERCADORIAS P/REVENDA",Report!$C$10:$C$604,A379)</f>
        <v>0</v>
      </c>
      <c r="F379" s="26" t="n">
        <f aca="false">B379+C379</f>
        <v>0</v>
      </c>
    </row>
    <row r="380" customFormat="false" ht="15" hidden="false" customHeight="true" outlineLevel="0" collapsed="false">
      <c r="A380" s="24" t="n">
        <v>46353</v>
      </c>
      <c r="B380" s="26" t="n">
        <f aca="false">SUMIFS(Report!$U$10:$U$604,Report!$T$10:$T$604,"&lt;&gt;"&amp;"MERCADORIAS P/REVENDA",Report!$C$10:$C$604,A380)</f>
        <v>0</v>
      </c>
      <c r="C380" s="26" t="n">
        <f aca="false">SUMIFS(Report!$U$10:$U$604,Report!$T$10:$T$604,"MERCADORIAS P/REVENDA",Report!$C$10:$C$604,A380)</f>
        <v>0</v>
      </c>
      <c r="F380" s="26" t="n">
        <f aca="false">B380+C380</f>
        <v>0</v>
      </c>
    </row>
    <row r="381" customFormat="false" ht="15" hidden="false" customHeight="true" outlineLevel="0" collapsed="false">
      <c r="A381" s="30" t="n">
        <v>46354</v>
      </c>
      <c r="B381" s="31" t="n">
        <f aca="false">SUMIFS(Report!$U$10:$U$604,Report!$T$10:$T$604,"&lt;&gt;"&amp;"MERCADORIAS P/REVENDA",Report!$C$10:$C$604,A381)</f>
        <v>0</v>
      </c>
      <c r="C381" s="31" t="n">
        <f aca="false">SUMIFS(Report!$U$10:$U$604,Report!$T$10:$T$604,"MERCADORIAS P/REVENDA",Report!$C$10:$C$604,A381)</f>
        <v>0</v>
      </c>
      <c r="F381" s="31" t="n">
        <f aca="false">B381+C381</f>
        <v>0</v>
      </c>
    </row>
    <row r="382" customFormat="false" ht="15" hidden="false" customHeight="true" outlineLevel="0" collapsed="false">
      <c r="A382" s="30" t="n">
        <v>46355</v>
      </c>
      <c r="B382" s="31" t="n">
        <f aca="false">SUMIFS(Report!$U$10:$U$604,Report!$T$10:$T$604,"&lt;&gt;"&amp;"MERCADORIAS P/REVENDA",Report!$C$10:$C$604,A382)</f>
        <v>0</v>
      </c>
      <c r="C382" s="31" t="n">
        <f aca="false">SUMIFS(Report!$U$10:$U$604,Report!$T$10:$T$604,"MERCADORIAS P/REVENDA",Report!$C$10:$C$604,A382)</f>
        <v>0</v>
      </c>
      <c r="F382" s="31" t="n">
        <f aca="false">B382+C382</f>
        <v>0</v>
      </c>
    </row>
    <row r="383" customFormat="false" ht="15" hidden="false" customHeight="true" outlineLevel="0" collapsed="false">
      <c r="A383" s="30" t="n">
        <v>46356</v>
      </c>
      <c r="B383" s="31" t="n">
        <f aca="false">SUMIFS(Report!$U$10:$U$604,Report!$T$10:$T$604,"&lt;&gt;"&amp;"MERCADORIAS P/REVENDA",Report!$C$10:$C$604,A383)</f>
        <v>0</v>
      </c>
      <c r="C383" s="31" t="n">
        <f aca="false">SUMIFS(Report!$U$10:$U$604,Report!$T$10:$T$604,"MERCADORIAS P/REVENDA",Report!$C$10:$C$604,A383)</f>
        <v>0</v>
      </c>
      <c r="F383" s="31" t="n">
        <f aca="false">B383+C383</f>
        <v>0</v>
      </c>
    </row>
    <row r="384" customFormat="false" ht="15" hidden="false" customHeight="true" outlineLevel="0" collapsed="false">
      <c r="A384" s="32" t="s">
        <v>717</v>
      </c>
      <c r="B384" s="33" t="n">
        <f aca="false">SUM(B377:B383)</f>
        <v>0</v>
      </c>
      <c r="C384" s="33" t="n">
        <f aca="false">SUM(C377:C383)</f>
        <v>0</v>
      </c>
      <c r="F384" s="33" t="n">
        <f aca="false">B384+C384</f>
        <v>0</v>
      </c>
    </row>
    <row r="385" customFormat="false" ht="15" hidden="false" customHeight="true" outlineLevel="0" collapsed="false">
      <c r="A385" s="24" t="n">
        <v>46357</v>
      </c>
      <c r="B385" s="26" t="n">
        <f aca="false">SUMIFS(Report!$U$10:$U$604,Report!$T$10:$T$604,"&lt;&gt;"&amp;"MERCADORIAS P/REVENDA",Report!$C$10:$C$604,A385)</f>
        <v>0</v>
      </c>
      <c r="C385" s="26" t="n">
        <f aca="false">SUMIFS(Report!$U$10:$U$604,Report!$T$10:$T$604,"MERCADORIAS P/REVENDA",Report!$C$10:$C$604,A385)</f>
        <v>0</v>
      </c>
      <c r="F385" s="26" t="n">
        <f aca="false">B385+C385</f>
        <v>0</v>
      </c>
    </row>
    <row r="386" customFormat="false" ht="15" hidden="false" customHeight="true" outlineLevel="0" collapsed="false">
      <c r="A386" s="24" t="n">
        <v>46358</v>
      </c>
      <c r="B386" s="26" t="n">
        <f aca="false">SUMIFS(Report!$U$10:$U$604,Report!$T$10:$T$604,"&lt;&gt;"&amp;"MERCADORIAS P/REVENDA",Report!$C$10:$C$604,A386)</f>
        <v>0</v>
      </c>
      <c r="C386" s="26" t="n">
        <f aca="false">SUMIFS(Report!$U$10:$U$604,Report!$T$10:$T$604,"MERCADORIAS P/REVENDA",Report!$C$10:$C$604,A386)</f>
        <v>0</v>
      </c>
      <c r="F386" s="26" t="n">
        <f aca="false">B386+C386</f>
        <v>0</v>
      </c>
    </row>
    <row r="387" customFormat="false" ht="15" hidden="false" customHeight="true" outlineLevel="0" collapsed="false">
      <c r="A387" s="24" t="n">
        <v>46359</v>
      </c>
      <c r="B387" s="26" t="n">
        <f aca="false">SUMIFS(Report!$U$10:$U$604,Report!$T$10:$T$604,"&lt;&gt;"&amp;"MERCADORIAS P/REVENDA",Report!$C$10:$C$604,A387)</f>
        <v>0</v>
      </c>
      <c r="C387" s="26" t="n">
        <f aca="false">SUMIFS(Report!$U$10:$U$604,Report!$T$10:$T$604,"MERCADORIAS P/REVENDA",Report!$C$10:$C$604,A387)</f>
        <v>0</v>
      </c>
      <c r="F387" s="26" t="n">
        <f aca="false">B387+C387</f>
        <v>0</v>
      </c>
    </row>
    <row r="388" customFormat="false" ht="15" hidden="false" customHeight="true" outlineLevel="0" collapsed="false">
      <c r="A388" s="24" t="n">
        <v>46360</v>
      </c>
      <c r="B388" s="26" t="n">
        <f aca="false">SUMIFS(Report!$U$10:$U$604,Report!$T$10:$T$604,"&lt;&gt;"&amp;"MERCADORIAS P/REVENDA",Report!$C$10:$C$604,A388)</f>
        <v>0</v>
      </c>
      <c r="C388" s="26" t="n">
        <f aca="false">SUMIFS(Report!$U$10:$U$604,Report!$T$10:$T$604,"MERCADORIAS P/REVENDA",Report!$C$10:$C$604,A388)</f>
        <v>0</v>
      </c>
      <c r="F388" s="26" t="n">
        <f aca="false">B388+C388</f>
        <v>0</v>
      </c>
    </row>
    <row r="389" customFormat="false" ht="15" hidden="false" customHeight="true" outlineLevel="0" collapsed="false">
      <c r="A389" s="30" t="n">
        <v>46361</v>
      </c>
      <c r="B389" s="31" t="n">
        <f aca="false">SUMIFS(Report!$U$10:$U$604,Report!$T$10:$T$604,"&lt;&gt;"&amp;"MERCADORIAS P/REVENDA",Report!$C$10:$C$604,A389)</f>
        <v>0</v>
      </c>
      <c r="C389" s="31" t="n">
        <f aca="false">SUMIFS(Report!$U$10:$U$604,Report!$T$10:$T$604,"MERCADORIAS P/REVENDA",Report!$C$10:$C$604,A389)</f>
        <v>0</v>
      </c>
      <c r="F389" s="31" t="n">
        <f aca="false">B389+C389</f>
        <v>0</v>
      </c>
    </row>
    <row r="390" customFormat="false" ht="15" hidden="false" customHeight="true" outlineLevel="0" collapsed="false">
      <c r="A390" s="30" t="n">
        <v>46362</v>
      </c>
      <c r="B390" s="31" t="n">
        <f aca="false">SUMIFS(Report!$U$10:$U$604,Report!$T$10:$T$604,"&lt;&gt;"&amp;"MERCADORIAS P/REVENDA",Report!$C$10:$C$604,A390)</f>
        <v>0</v>
      </c>
      <c r="C390" s="31" t="n">
        <f aca="false">SUMIFS(Report!$U$10:$U$604,Report!$T$10:$T$604,"MERCADORIAS P/REVENDA",Report!$C$10:$C$604,A390)</f>
        <v>0</v>
      </c>
      <c r="F390" s="31" t="n">
        <f aca="false">B390+C390</f>
        <v>0</v>
      </c>
    </row>
    <row r="391" customFormat="false" ht="15" hidden="false" customHeight="true" outlineLevel="0" collapsed="false">
      <c r="A391" s="30" t="n">
        <v>46363</v>
      </c>
      <c r="B391" s="31" t="n">
        <f aca="false">SUMIFS(Report!$U$10:$U$604,Report!$T$10:$T$604,"&lt;&gt;"&amp;"MERCADORIAS P/REVENDA",Report!$C$10:$C$604,A391)</f>
        <v>0</v>
      </c>
      <c r="C391" s="31" t="n">
        <f aca="false">SUMIFS(Report!$U$10:$U$604,Report!$T$10:$T$604,"MERCADORIAS P/REVENDA",Report!$C$10:$C$604,A391)</f>
        <v>0</v>
      </c>
      <c r="F391" s="31" t="n">
        <f aca="false">B391+C391</f>
        <v>0</v>
      </c>
    </row>
    <row r="392" customFormat="false" ht="15" hidden="false" customHeight="true" outlineLevel="0" collapsed="false">
      <c r="A392" s="32" t="s">
        <v>718</v>
      </c>
      <c r="B392" s="33" t="n">
        <f aca="false">SUM(B385:B391)</f>
        <v>0</v>
      </c>
      <c r="C392" s="33" t="n">
        <f aca="false">SUM(C385:C391)</f>
        <v>0</v>
      </c>
      <c r="F392" s="33" t="n">
        <f aca="false">B392+C392</f>
        <v>0</v>
      </c>
    </row>
    <row r="393" customFormat="false" ht="15" hidden="false" customHeight="true" outlineLevel="0" collapsed="false">
      <c r="A393" s="24" t="n">
        <v>46364</v>
      </c>
      <c r="B393" s="26" t="n">
        <f aca="false">SUMIFS(Report!$U$10:$U$604,Report!$T$10:$T$604,"&lt;&gt;"&amp;"MERCADORIAS P/REVENDA",Report!$C$10:$C$604,A393)</f>
        <v>0</v>
      </c>
      <c r="C393" s="26" t="n">
        <f aca="false">SUMIFS(Report!$U$10:$U$604,Report!$T$10:$T$604,"MERCADORIAS P/REVENDA",Report!$C$10:$C$604,A393)</f>
        <v>0</v>
      </c>
      <c r="F393" s="26" t="n">
        <f aca="false">B393+C393</f>
        <v>0</v>
      </c>
    </row>
    <row r="394" customFormat="false" ht="15" hidden="false" customHeight="true" outlineLevel="0" collapsed="false">
      <c r="A394" s="24" t="n">
        <v>46365</v>
      </c>
      <c r="B394" s="26" t="n">
        <f aca="false">SUMIFS(Report!$U$10:$U$604,Report!$T$10:$T$604,"&lt;&gt;"&amp;"MERCADORIAS P/REVENDA",Report!$C$10:$C$604,A394)</f>
        <v>0</v>
      </c>
      <c r="C394" s="26" t="n">
        <f aca="false">SUMIFS(Report!$U$10:$U$604,Report!$T$10:$T$604,"MERCADORIAS P/REVENDA",Report!$C$10:$C$604,A394)</f>
        <v>0</v>
      </c>
      <c r="F394" s="26" t="n">
        <f aca="false">B394+C394</f>
        <v>0</v>
      </c>
    </row>
    <row r="395" customFormat="false" ht="15" hidden="false" customHeight="true" outlineLevel="0" collapsed="false">
      <c r="A395" s="24" t="n">
        <v>46366</v>
      </c>
      <c r="B395" s="26" t="n">
        <f aca="false">SUMIFS(Report!$U$10:$U$604,Report!$T$10:$T$604,"&lt;&gt;"&amp;"MERCADORIAS P/REVENDA",Report!$C$10:$C$604,A395)</f>
        <v>0</v>
      </c>
      <c r="C395" s="26" t="n">
        <f aca="false">SUMIFS(Report!$U$10:$U$604,Report!$T$10:$T$604,"MERCADORIAS P/REVENDA",Report!$C$10:$C$604,A395)</f>
        <v>0</v>
      </c>
      <c r="F395" s="26" t="n">
        <f aca="false">B395+C395</f>
        <v>0</v>
      </c>
    </row>
    <row r="396" customFormat="false" ht="15" hidden="false" customHeight="true" outlineLevel="0" collapsed="false">
      <c r="A396" s="24" t="n">
        <v>46367</v>
      </c>
      <c r="B396" s="26" t="n">
        <f aca="false">SUMIFS(Report!$U$10:$U$604,Report!$T$10:$T$604,"&lt;&gt;"&amp;"MERCADORIAS P/REVENDA",Report!$C$10:$C$604,A396)</f>
        <v>0</v>
      </c>
      <c r="C396" s="26" t="n">
        <f aca="false">SUMIFS(Report!$U$10:$U$604,Report!$T$10:$T$604,"MERCADORIAS P/REVENDA",Report!$C$10:$C$604,A396)</f>
        <v>0</v>
      </c>
      <c r="F396" s="26" t="n">
        <f aca="false">B396+C396</f>
        <v>0</v>
      </c>
    </row>
    <row r="397" customFormat="false" ht="15" hidden="false" customHeight="true" outlineLevel="0" collapsed="false">
      <c r="A397" s="30" t="n">
        <v>46368</v>
      </c>
      <c r="B397" s="31" t="n">
        <f aca="false">SUMIFS(Report!$U$10:$U$604,Report!$T$10:$T$604,"&lt;&gt;"&amp;"MERCADORIAS P/REVENDA",Report!$C$10:$C$604,A397)</f>
        <v>0</v>
      </c>
      <c r="C397" s="31" t="n">
        <f aca="false">SUMIFS(Report!$U$10:$U$604,Report!$T$10:$T$604,"MERCADORIAS P/REVENDA",Report!$C$10:$C$604,A397)</f>
        <v>0</v>
      </c>
      <c r="F397" s="31" t="n">
        <f aca="false">B397+C397</f>
        <v>0</v>
      </c>
    </row>
    <row r="398" customFormat="false" ht="15" hidden="false" customHeight="true" outlineLevel="0" collapsed="false">
      <c r="A398" s="30" t="n">
        <v>46369</v>
      </c>
      <c r="B398" s="31" t="n">
        <f aca="false">SUMIFS(Report!$U$10:$U$604,Report!$T$10:$T$604,"&lt;&gt;"&amp;"MERCADORIAS P/REVENDA",Report!$C$10:$C$604,A398)</f>
        <v>0</v>
      </c>
      <c r="C398" s="31" t="n">
        <f aca="false">SUMIFS(Report!$U$10:$U$604,Report!$T$10:$T$604,"MERCADORIAS P/REVENDA",Report!$C$10:$C$604,A398)</f>
        <v>0</v>
      </c>
      <c r="F398" s="31" t="n">
        <f aca="false">B398+C398</f>
        <v>0</v>
      </c>
    </row>
    <row r="399" customFormat="false" ht="15" hidden="false" customHeight="true" outlineLevel="0" collapsed="false">
      <c r="A399" s="30" t="n">
        <v>46370</v>
      </c>
      <c r="B399" s="31" t="n">
        <f aca="false">SUMIFS(Report!$U$10:$U$604,Report!$T$10:$T$604,"&lt;&gt;"&amp;"MERCADORIAS P/REVENDA",Report!$C$10:$C$604,A399)</f>
        <v>0</v>
      </c>
      <c r="C399" s="31" t="n">
        <f aca="false">SUMIFS(Report!$U$10:$U$604,Report!$T$10:$T$604,"MERCADORIAS P/REVENDA",Report!$C$10:$C$604,A399)</f>
        <v>0</v>
      </c>
      <c r="F399" s="31" t="n">
        <f aca="false">B399+C399</f>
        <v>0</v>
      </c>
    </row>
    <row r="400" customFormat="false" ht="15" hidden="false" customHeight="true" outlineLevel="0" collapsed="false">
      <c r="A400" s="32" t="s">
        <v>719</v>
      </c>
      <c r="B400" s="33" t="n">
        <f aca="false">SUM(B393:B399)</f>
        <v>0</v>
      </c>
      <c r="C400" s="33" t="n">
        <f aca="false">SUM(C393:C399)</f>
        <v>0</v>
      </c>
      <c r="F400" s="33" t="n">
        <f aca="false">B400+C400</f>
        <v>0</v>
      </c>
    </row>
    <row r="401" customFormat="false" ht="15" hidden="false" customHeight="true" outlineLevel="0" collapsed="false">
      <c r="A401" s="24" t="n">
        <v>46371</v>
      </c>
      <c r="B401" s="26" t="n">
        <f aca="false">SUMIFS(Report!$U$10:$U$604,Report!$T$10:$T$604,"&lt;&gt;"&amp;"MERCADORIAS P/REVENDA",Report!$C$10:$C$604,A401)</f>
        <v>0</v>
      </c>
      <c r="C401" s="26" t="n">
        <f aca="false">SUMIFS(Report!$U$10:$U$604,Report!$T$10:$T$604,"MERCADORIAS P/REVENDA",Report!$C$10:$C$604,A401)</f>
        <v>0</v>
      </c>
      <c r="F401" s="26" t="n">
        <f aca="false">B401+C401</f>
        <v>0</v>
      </c>
    </row>
    <row r="402" customFormat="false" ht="15" hidden="false" customHeight="true" outlineLevel="0" collapsed="false">
      <c r="A402" s="24" t="n">
        <v>46372</v>
      </c>
      <c r="B402" s="26" t="n">
        <f aca="false">SUMIFS(Report!$U$10:$U$604,Report!$T$10:$T$604,"&lt;&gt;"&amp;"MERCADORIAS P/REVENDA",Report!$C$10:$C$604,A402)</f>
        <v>0</v>
      </c>
      <c r="C402" s="26" t="n">
        <f aca="false">SUMIFS(Report!$U$10:$U$604,Report!$T$10:$T$604,"MERCADORIAS P/REVENDA",Report!$C$10:$C$604,A402)</f>
        <v>0</v>
      </c>
      <c r="F402" s="26" t="n">
        <f aca="false">B402+C402</f>
        <v>0</v>
      </c>
    </row>
    <row r="403" customFormat="false" ht="15" hidden="false" customHeight="true" outlineLevel="0" collapsed="false">
      <c r="A403" s="24" t="n">
        <v>46373</v>
      </c>
      <c r="B403" s="26" t="n">
        <f aca="false">SUMIFS(Report!$U$10:$U$604,Report!$T$10:$T$604,"&lt;&gt;"&amp;"MERCADORIAS P/REVENDA",Report!$C$10:$C$604,A403)</f>
        <v>0</v>
      </c>
      <c r="C403" s="26" t="n">
        <f aca="false">SUMIFS(Report!$U$10:$U$604,Report!$T$10:$T$604,"MERCADORIAS P/REVENDA",Report!$C$10:$C$604,A403)</f>
        <v>0</v>
      </c>
      <c r="F403" s="26" t="n">
        <f aca="false">B403+C403</f>
        <v>0</v>
      </c>
    </row>
    <row r="404" customFormat="false" ht="15" hidden="false" customHeight="true" outlineLevel="0" collapsed="false">
      <c r="A404" s="24" t="n">
        <v>46374</v>
      </c>
      <c r="B404" s="26" t="n">
        <f aca="false">SUMIFS(Report!$U$10:$U$604,Report!$T$10:$T$604,"&lt;&gt;"&amp;"MERCADORIAS P/REVENDA",Report!$C$10:$C$604,A404)</f>
        <v>0</v>
      </c>
      <c r="C404" s="26" t="n">
        <f aca="false">SUMIFS(Report!$U$10:$U$604,Report!$T$10:$T$604,"MERCADORIAS P/REVENDA",Report!$C$10:$C$604,A404)</f>
        <v>0</v>
      </c>
      <c r="F404" s="26" t="n">
        <f aca="false">B404+C404</f>
        <v>0</v>
      </c>
    </row>
    <row r="405" customFormat="false" ht="15" hidden="false" customHeight="true" outlineLevel="0" collapsed="false">
      <c r="A405" s="30" t="n">
        <v>46375</v>
      </c>
      <c r="B405" s="31" t="n">
        <f aca="false">SUMIFS(Report!$U$10:$U$604,Report!$T$10:$T$604,"&lt;&gt;"&amp;"MERCADORIAS P/REVENDA",Report!$C$10:$C$604,A405)</f>
        <v>0</v>
      </c>
      <c r="C405" s="31" t="n">
        <f aca="false">SUMIFS(Report!$U$10:$U$604,Report!$T$10:$T$604,"MERCADORIAS P/REVENDA",Report!$C$10:$C$604,A405)</f>
        <v>0</v>
      </c>
      <c r="F405" s="31" t="n">
        <f aca="false">B405+C405</f>
        <v>0</v>
      </c>
    </row>
    <row r="406" customFormat="false" ht="15" hidden="false" customHeight="true" outlineLevel="0" collapsed="false">
      <c r="A406" s="30" t="n">
        <v>46376</v>
      </c>
      <c r="B406" s="31" t="n">
        <f aca="false">SUMIFS(Report!$U$10:$U$604,Report!$T$10:$T$604,"&lt;&gt;"&amp;"MERCADORIAS P/REVENDA",Report!$C$10:$C$604,A406)</f>
        <v>0</v>
      </c>
      <c r="C406" s="31" t="n">
        <f aca="false">SUMIFS(Report!$U$10:$U$604,Report!$T$10:$T$604,"MERCADORIAS P/REVENDA",Report!$C$10:$C$604,A406)</f>
        <v>0</v>
      </c>
      <c r="F406" s="31" t="n">
        <f aca="false">B406+C406</f>
        <v>0</v>
      </c>
    </row>
    <row r="407" customFormat="false" ht="15" hidden="false" customHeight="true" outlineLevel="0" collapsed="false">
      <c r="A407" s="30" t="n">
        <v>46377</v>
      </c>
      <c r="B407" s="31" t="n">
        <f aca="false">SUMIFS(Report!$U$10:$U$604,Report!$T$10:$T$604,"&lt;&gt;"&amp;"MERCADORIAS P/REVENDA",Report!$C$10:$C$604,A407)</f>
        <v>0</v>
      </c>
      <c r="C407" s="31" t="n">
        <f aca="false">SUMIFS(Report!$U$10:$U$604,Report!$T$10:$T$604,"MERCADORIAS P/REVENDA",Report!$C$10:$C$604,A407)</f>
        <v>0</v>
      </c>
      <c r="F407" s="31" t="n">
        <f aca="false">B407+C407</f>
        <v>0</v>
      </c>
    </row>
    <row r="408" customFormat="false" ht="15" hidden="false" customHeight="true" outlineLevel="0" collapsed="false">
      <c r="A408" s="32" t="s">
        <v>720</v>
      </c>
      <c r="B408" s="33" t="n">
        <f aca="false">SUM(B401:B407)</f>
        <v>0</v>
      </c>
      <c r="C408" s="33" t="n">
        <f aca="false">SUM(C401:C407)</f>
        <v>0</v>
      </c>
      <c r="F408" s="33" t="n">
        <f aca="false">B408+C408</f>
        <v>0</v>
      </c>
    </row>
    <row r="409" customFormat="false" ht="15" hidden="false" customHeight="true" outlineLevel="0" collapsed="false">
      <c r="A409" s="24" t="n">
        <v>46378</v>
      </c>
      <c r="B409" s="26" t="n">
        <f aca="false">SUMIFS(Report!$U$10:$U$604,Report!$T$10:$T$604,"&lt;&gt;"&amp;"MERCADORIAS P/REVENDA",Report!$C$10:$C$604,A409)</f>
        <v>0</v>
      </c>
      <c r="C409" s="26" t="n">
        <f aca="false">SUMIFS(Report!$U$10:$U$604,Report!$T$10:$T$604,"MERCADORIAS P/REVENDA",Report!$C$10:$C$604,A409)</f>
        <v>0</v>
      </c>
      <c r="F409" s="26" t="n">
        <f aca="false">B409+C409</f>
        <v>0</v>
      </c>
    </row>
    <row r="410" customFormat="false" ht="15" hidden="false" customHeight="true" outlineLevel="0" collapsed="false">
      <c r="A410" s="24" t="n">
        <v>46379</v>
      </c>
      <c r="B410" s="26" t="n">
        <f aca="false">SUMIFS(Report!$U$10:$U$604,Report!$T$10:$T$604,"&lt;&gt;"&amp;"MERCADORIAS P/REVENDA",Report!$C$10:$C$604,A410)</f>
        <v>0</v>
      </c>
      <c r="C410" s="26" t="n">
        <f aca="false">SUMIFS(Report!$U$10:$U$604,Report!$T$10:$T$604,"MERCADORIAS P/REVENDA",Report!$C$10:$C$604,A410)</f>
        <v>0</v>
      </c>
      <c r="F410" s="26" t="n">
        <f aca="false">B410+C410</f>
        <v>0</v>
      </c>
    </row>
    <row r="411" customFormat="false" ht="15" hidden="false" customHeight="true" outlineLevel="0" collapsed="false">
      <c r="A411" s="24" t="n">
        <v>46380</v>
      </c>
      <c r="B411" s="26" t="n">
        <f aca="false">SUMIFS(Report!$U$10:$U$604,Report!$T$10:$T$604,"&lt;&gt;"&amp;"MERCADORIAS P/REVENDA",Report!$C$10:$C$604,A411)</f>
        <v>0</v>
      </c>
      <c r="C411" s="26" t="n">
        <f aca="false">SUMIFS(Report!$U$10:$U$604,Report!$T$10:$T$604,"MERCADORIAS P/REVENDA",Report!$C$10:$C$604,A411)</f>
        <v>0</v>
      </c>
      <c r="F411" s="26" t="n">
        <f aca="false">B411+C411</f>
        <v>0</v>
      </c>
    </row>
    <row r="412" customFormat="false" ht="15" hidden="false" customHeight="true" outlineLevel="0" collapsed="false">
      <c r="A412" s="24" t="n">
        <v>46381</v>
      </c>
      <c r="B412" s="26" t="n">
        <f aca="false">SUMIFS(Report!$U$10:$U$604,Report!$T$10:$T$604,"&lt;&gt;"&amp;"MERCADORIAS P/REVENDA",Report!$C$10:$C$604,A412)</f>
        <v>0</v>
      </c>
      <c r="C412" s="26" t="n">
        <f aca="false">SUMIFS(Report!$U$10:$U$604,Report!$T$10:$T$604,"MERCADORIAS P/REVENDA",Report!$C$10:$C$604,A412)</f>
        <v>0</v>
      </c>
      <c r="F412" s="26" t="n">
        <f aca="false">B412+C412</f>
        <v>0</v>
      </c>
    </row>
    <row r="413" customFormat="false" ht="15" hidden="false" customHeight="true" outlineLevel="0" collapsed="false">
      <c r="A413" s="30" t="n">
        <v>46382</v>
      </c>
      <c r="B413" s="31" t="n">
        <f aca="false">SUMIFS(Report!$U$10:$U$604,Report!$T$10:$T$604,"&lt;&gt;"&amp;"MERCADORIAS P/REVENDA",Report!$C$10:$C$604,A413)</f>
        <v>0</v>
      </c>
      <c r="C413" s="31" t="n">
        <f aca="false">SUMIFS(Report!$U$10:$U$604,Report!$T$10:$T$604,"MERCADORIAS P/REVENDA",Report!$C$10:$C$604,A413)</f>
        <v>0</v>
      </c>
      <c r="F413" s="31" t="n">
        <f aca="false">B413+C413</f>
        <v>0</v>
      </c>
    </row>
    <row r="414" customFormat="false" ht="15" hidden="false" customHeight="true" outlineLevel="0" collapsed="false">
      <c r="A414" s="30" t="n">
        <v>46383</v>
      </c>
      <c r="B414" s="31" t="n">
        <f aca="false">SUMIFS(Report!$U$10:$U$604,Report!$T$10:$T$604,"&lt;&gt;"&amp;"MERCADORIAS P/REVENDA",Report!$C$10:$C$604,A414)</f>
        <v>0</v>
      </c>
      <c r="C414" s="31" t="n">
        <f aca="false">SUMIFS(Report!$U$10:$U$604,Report!$T$10:$T$604,"MERCADORIAS P/REVENDA",Report!$C$10:$C$604,A414)</f>
        <v>0</v>
      </c>
      <c r="F414" s="31" t="n">
        <f aca="false">B414+C414</f>
        <v>0</v>
      </c>
    </row>
    <row r="415" customFormat="false" ht="15" hidden="false" customHeight="true" outlineLevel="0" collapsed="false">
      <c r="A415" s="30" t="n">
        <v>46384</v>
      </c>
      <c r="B415" s="31" t="n">
        <f aca="false">SUMIFS(Report!$U$10:$U$604,Report!$T$10:$T$604,"&lt;&gt;"&amp;"MERCADORIAS P/REVENDA",Report!$C$10:$C$604,A415)</f>
        <v>0</v>
      </c>
      <c r="C415" s="31" t="n">
        <f aca="false">SUMIFS(Report!$U$10:$U$604,Report!$T$10:$T$604,"MERCADORIAS P/REVENDA",Report!$C$10:$C$604,A415)</f>
        <v>0</v>
      </c>
      <c r="F415" s="31" t="n">
        <f aca="false">B415+C415</f>
        <v>0</v>
      </c>
    </row>
    <row r="416" customFormat="false" ht="15" hidden="false" customHeight="true" outlineLevel="0" collapsed="false">
      <c r="A416" s="32" t="s">
        <v>721</v>
      </c>
      <c r="B416" s="33" t="n">
        <f aca="false">SUM(B409:B415)</f>
        <v>0</v>
      </c>
      <c r="C416" s="33" t="n">
        <f aca="false">SUM(C409:C415)</f>
        <v>0</v>
      </c>
      <c r="F416" s="33" t="n">
        <f aca="false">B416+C416</f>
        <v>0</v>
      </c>
    </row>
    <row r="417" customFormat="false" ht="15" hidden="false" customHeight="true" outlineLevel="0" collapsed="false">
      <c r="A417" s="24" t="n">
        <v>46385</v>
      </c>
      <c r="B417" s="26" t="n">
        <f aca="false">SUMIFS(Report!$U$10:$U$604,Report!$T$10:$T$604,"&lt;&gt;"&amp;"MERCADORIAS P/REVENDA",Report!$C$10:$C$604,A417)</f>
        <v>0</v>
      </c>
      <c r="C417" s="26" t="n">
        <f aca="false">SUMIFS(Report!$U$10:$U$604,Report!$T$10:$T$604,"MERCADORIAS P/REVENDA",Report!$C$10:$C$604,A417)</f>
        <v>0</v>
      </c>
      <c r="F417" s="26" t="n">
        <f aca="false">B417+C417</f>
        <v>0</v>
      </c>
    </row>
    <row r="418" customFormat="false" ht="15" hidden="false" customHeight="true" outlineLevel="0" collapsed="false">
      <c r="A418" s="24" t="n">
        <v>46386</v>
      </c>
      <c r="B418" s="26" t="n">
        <f aca="false">SUMIFS(Report!$U$10:$U$604,Report!$T$10:$T$604,"&lt;&gt;"&amp;"MERCADORIAS P/REVENDA",Report!$C$10:$C$604,A418)</f>
        <v>0</v>
      </c>
      <c r="C418" s="26" t="n">
        <f aca="false">SUMIFS(Report!$U$10:$U$604,Report!$T$10:$T$604,"MERCADORIAS P/REVENDA",Report!$C$10:$C$604,A418)</f>
        <v>0</v>
      </c>
      <c r="F418" s="26" t="n">
        <f aca="false">B418+C418</f>
        <v>0</v>
      </c>
    </row>
    <row r="419" customFormat="false" ht="15" hidden="false" customHeight="true" outlineLevel="0" collapsed="false">
      <c r="A419" s="24" t="n">
        <v>46387</v>
      </c>
      <c r="B419" s="26" t="n">
        <f aca="false">SUMIFS(Report!$U$10:$U$604,Report!$T$10:$T$604,"&lt;&gt;"&amp;"MERCADORIAS P/REVENDA",Report!$C$10:$C$604,A419)</f>
        <v>0</v>
      </c>
      <c r="C419" s="26" t="n">
        <f aca="false">SUMIFS(Report!$U$10:$U$604,Report!$T$10:$T$604,"MERCADORIAS P/REVENDA",Report!$C$10:$C$604,A419)</f>
        <v>0</v>
      </c>
      <c r="F419" s="26" t="n">
        <f aca="false">B419+C419</f>
        <v>0</v>
      </c>
    </row>
    <row r="420" customFormat="false" ht="15" hidden="false" customHeight="true" outlineLevel="0" collapsed="false">
      <c r="A420" s="24" t="n">
        <v>46388</v>
      </c>
      <c r="B420" s="26" t="n">
        <f aca="false">SUMIFS(Report!$U$10:$U$604,Report!$T$10:$T$604,"&lt;&gt;"&amp;"MERCADORIAS P/REVENDA",Report!$C$10:$C$604,A420)</f>
        <v>0</v>
      </c>
      <c r="C420" s="26" t="n">
        <f aca="false">SUMIFS(Report!$U$10:$U$604,Report!$T$10:$T$604,"MERCADORIAS P/REVENDA",Report!$C$10:$C$604,A420)</f>
        <v>0</v>
      </c>
      <c r="F420" s="26" t="n">
        <f aca="false">B420+C420</f>
        <v>0</v>
      </c>
    </row>
    <row r="421" customFormat="false" ht="15" hidden="false" customHeight="true" outlineLevel="0" collapsed="false">
      <c r="A421" s="30" t="n">
        <v>46389</v>
      </c>
      <c r="B421" s="31" t="n">
        <f aca="false">SUMIFS(Report!$U$10:$U$604,Report!$T$10:$T$604,"&lt;&gt;"&amp;"MERCADORIAS P/REVENDA",Report!$C$10:$C$604,A421)</f>
        <v>0</v>
      </c>
      <c r="C421" s="31" t="n">
        <f aca="false">SUMIFS(Report!$U$10:$U$604,Report!$T$10:$T$604,"MERCADORIAS P/REVENDA",Report!$C$10:$C$604,A421)</f>
        <v>0</v>
      </c>
      <c r="F421" s="31" t="n">
        <f aca="false">B421+C421</f>
        <v>0</v>
      </c>
    </row>
    <row r="422" customFormat="false" ht="15" hidden="false" customHeight="true" outlineLevel="0" collapsed="false">
      <c r="A422" s="30" t="n">
        <v>46390</v>
      </c>
      <c r="B422" s="31" t="n">
        <f aca="false">SUMIFS(Report!$U$10:$U$604,Report!$T$10:$T$604,"&lt;&gt;"&amp;"MERCADORIAS P/REVENDA",Report!$C$10:$C$604,A422)</f>
        <v>0</v>
      </c>
      <c r="C422" s="31" t="n">
        <f aca="false">SUMIFS(Report!$U$10:$U$604,Report!$T$10:$T$604,"MERCADORIAS P/REVENDA",Report!$C$10:$C$604,A422)</f>
        <v>0</v>
      </c>
      <c r="F422" s="31" t="n">
        <f aca="false">B422+C422</f>
        <v>0</v>
      </c>
    </row>
    <row r="423" customFormat="false" ht="15" hidden="false" customHeight="true" outlineLevel="0" collapsed="false">
      <c r="A423" s="30" t="n">
        <v>46391</v>
      </c>
      <c r="B423" s="31" t="n">
        <f aca="false">SUMIFS(Report!$U$10:$U$604,Report!$T$10:$T$604,"&lt;&gt;"&amp;"MERCADORIAS P/REVENDA",Report!$C$10:$C$604,A423)</f>
        <v>0</v>
      </c>
      <c r="C423" s="31" t="n">
        <f aca="false">SUMIFS(Report!$U$10:$U$604,Report!$T$10:$T$604,"MERCADORIAS P/REVENDA",Report!$C$10:$C$604,A423)</f>
        <v>0</v>
      </c>
      <c r="F423" s="31" t="n">
        <f aca="false">B423+C423</f>
        <v>0</v>
      </c>
    </row>
    <row r="424" customFormat="false" ht="15" hidden="false" customHeight="true" outlineLevel="0" collapsed="false">
      <c r="A424" s="32" t="s">
        <v>722</v>
      </c>
      <c r="B424" s="33" t="n">
        <f aca="false">SUM(B417:B423)</f>
        <v>0</v>
      </c>
      <c r="C424" s="33" t="n">
        <f aca="false">SUM(C417:C423)</f>
        <v>0</v>
      </c>
      <c r="F424" s="33" t="n">
        <f aca="false">B424+C424</f>
        <v>0</v>
      </c>
    </row>
    <row r="425" customFormat="false" ht="15" hidden="false" customHeight="true" outlineLevel="0" collapsed="false">
      <c r="A425" s="24" t="n">
        <v>46392</v>
      </c>
      <c r="B425" s="26" t="n">
        <f aca="false">SUMIFS(Report!$U$10:$U$604,Report!$T$10:$T$604,"&lt;&gt;"&amp;"MERCADORIAS P/REVENDA",Report!$C$10:$C$604,A425)</f>
        <v>0</v>
      </c>
      <c r="C425" s="26" t="n">
        <f aca="false">SUMIFS(Report!$U$10:$U$604,Report!$T$10:$T$604,"MERCADORIAS P/REVENDA",Report!$C$10:$C$604,A425)</f>
        <v>0</v>
      </c>
      <c r="F425" s="26" t="n">
        <f aca="false">B425+C425</f>
        <v>0</v>
      </c>
    </row>
    <row r="426" customFormat="false" ht="15" hidden="false" customHeight="true" outlineLevel="0" collapsed="false">
      <c r="A426" s="24" t="n">
        <v>46393</v>
      </c>
      <c r="B426" s="26" t="n">
        <f aca="false">SUMIFS(Report!$U$10:$U$604,Report!$T$10:$T$604,"&lt;&gt;"&amp;"MERCADORIAS P/REVENDA",Report!$C$10:$C$604,A426)</f>
        <v>0</v>
      </c>
      <c r="C426" s="26" t="n">
        <f aca="false">SUMIFS(Report!$U$10:$U$604,Report!$T$10:$T$604,"MERCADORIAS P/REVENDA",Report!$C$10:$C$604,A426)</f>
        <v>0</v>
      </c>
      <c r="F426" s="26" t="n">
        <f aca="false">B426+C426</f>
        <v>0</v>
      </c>
    </row>
    <row r="427" customFormat="false" ht="15" hidden="false" customHeight="true" outlineLevel="0" collapsed="false">
      <c r="A427" s="24" t="n">
        <v>46394</v>
      </c>
      <c r="B427" s="26" t="n">
        <f aca="false">SUMIFS(Report!$U$10:$U$604,Report!$T$10:$T$604,"&lt;&gt;"&amp;"MERCADORIAS P/REVENDA",Report!$C$10:$C$604,A427)</f>
        <v>0</v>
      </c>
      <c r="C427" s="26" t="n">
        <f aca="false">SUMIFS(Report!$U$10:$U$604,Report!$T$10:$T$604,"MERCADORIAS P/REVENDA",Report!$C$10:$C$604,A427)</f>
        <v>0</v>
      </c>
      <c r="F427" s="26" t="n">
        <f aca="false">B427+C427</f>
        <v>0</v>
      </c>
    </row>
    <row r="428" customFormat="false" ht="15" hidden="false" customHeight="true" outlineLevel="0" collapsed="false">
      <c r="A428" s="24" t="n">
        <v>46395</v>
      </c>
      <c r="B428" s="26" t="n">
        <f aca="false">SUMIFS(Report!$U$10:$U$604,Report!$T$10:$T$604,"&lt;&gt;"&amp;"MERCADORIAS P/REVENDA",Report!$C$10:$C$604,A428)</f>
        <v>0</v>
      </c>
      <c r="C428" s="26" t="n">
        <f aca="false">SUMIFS(Report!$U$10:$U$604,Report!$T$10:$T$604,"MERCADORIAS P/REVENDA",Report!$C$10:$C$604,A428)</f>
        <v>0</v>
      </c>
      <c r="F428" s="26" t="n">
        <f aca="false">B428+C428</f>
        <v>0</v>
      </c>
    </row>
    <row r="429" customFormat="false" ht="15" hidden="false" customHeight="true" outlineLevel="0" collapsed="false">
      <c r="A429" s="30" t="n">
        <v>46396</v>
      </c>
      <c r="B429" s="31" t="n">
        <f aca="false">SUMIFS(Report!$U$10:$U$604,Report!$T$10:$T$604,"&lt;&gt;"&amp;"MERCADORIAS P/REVENDA",Report!$C$10:$C$604,A429)</f>
        <v>0</v>
      </c>
      <c r="C429" s="31" t="n">
        <f aca="false">SUMIFS(Report!$U$10:$U$604,Report!$T$10:$T$604,"MERCADORIAS P/REVENDA",Report!$C$10:$C$604,A429)</f>
        <v>0</v>
      </c>
      <c r="F429" s="31" t="n">
        <f aca="false">B429+C429</f>
        <v>0</v>
      </c>
    </row>
    <row r="430" customFormat="false" ht="15" hidden="false" customHeight="true" outlineLevel="0" collapsed="false">
      <c r="A430" s="30" t="n">
        <v>46397</v>
      </c>
      <c r="B430" s="31" t="n">
        <f aca="false">SUMIFS(Report!$U$10:$U$604,Report!$T$10:$T$604,"&lt;&gt;"&amp;"MERCADORIAS P/REVENDA",Report!$C$10:$C$604,A430)</f>
        <v>0</v>
      </c>
      <c r="C430" s="31" t="n">
        <f aca="false">SUMIFS(Report!$U$10:$U$604,Report!$T$10:$T$604,"MERCADORIAS P/REVENDA",Report!$C$10:$C$604,A430)</f>
        <v>0</v>
      </c>
      <c r="F430" s="31" t="n">
        <f aca="false">B430+C430</f>
        <v>0</v>
      </c>
    </row>
    <row r="431" customFormat="false" ht="15" hidden="false" customHeight="true" outlineLevel="0" collapsed="false">
      <c r="A431" s="30" t="n">
        <v>46398</v>
      </c>
      <c r="B431" s="31" t="n">
        <f aca="false">SUMIFS(Report!$U$10:$U$604,Report!$T$10:$T$604,"&lt;&gt;"&amp;"MERCADORIAS P/REVENDA",Report!$C$10:$C$604,A431)</f>
        <v>0</v>
      </c>
      <c r="C431" s="31" t="n">
        <f aca="false">SUMIFS(Report!$U$10:$U$604,Report!$T$10:$T$604,"MERCADORIAS P/REVENDA",Report!$C$10:$C$604,A431)</f>
        <v>0</v>
      </c>
      <c r="F431" s="31" t="n">
        <f aca="false">B431+C431</f>
        <v>0</v>
      </c>
    </row>
    <row r="432" customFormat="false" ht="15" hidden="false" customHeight="true" outlineLevel="0" collapsed="false">
      <c r="A432" s="32" t="s">
        <v>723</v>
      </c>
      <c r="B432" s="33" t="n">
        <f aca="false">SUM(B425:B431)</f>
        <v>0</v>
      </c>
      <c r="C432" s="33" t="n">
        <f aca="false">SUM(C425:C431)</f>
        <v>0</v>
      </c>
      <c r="F432" s="33" t="n">
        <f aca="false">B432+C432</f>
        <v>0</v>
      </c>
    </row>
    <row r="433" customFormat="false" ht="15" hidden="false" customHeight="true" outlineLevel="0" collapsed="false">
      <c r="A433" s="24" t="n">
        <v>46399</v>
      </c>
      <c r="B433" s="26" t="n">
        <f aca="false">SUMIFS(Report!$U$10:$U$604,Report!$T$10:$T$604,"&lt;&gt;"&amp;"MERCADORIAS P/REVENDA",Report!$C$10:$C$604,A433)</f>
        <v>0</v>
      </c>
      <c r="C433" s="26" t="n">
        <f aca="false">SUMIFS(Report!$U$10:$U$604,Report!$T$10:$T$604,"MERCADORIAS P/REVENDA",Report!$C$10:$C$604,A433)</f>
        <v>0</v>
      </c>
      <c r="F433" s="26" t="n">
        <f aca="false">B433+C433</f>
        <v>0</v>
      </c>
    </row>
    <row r="434" customFormat="false" ht="15" hidden="false" customHeight="true" outlineLevel="0" collapsed="false">
      <c r="A434" s="24" t="n">
        <v>46400</v>
      </c>
      <c r="B434" s="26" t="n">
        <f aca="false">SUMIFS(Report!$U$10:$U$604,Report!$T$10:$T$604,"&lt;&gt;"&amp;"MERCADORIAS P/REVENDA",Report!$C$10:$C$604,A434)</f>
        <v>0</v>
      </c>
      <c r="C434" s="26" t="n">
        <f aca="false">SUMIFS(Report!$U$10:$U$604,Report!$T$10:$T$604,"MERCADORIAS P/REVENDA",Report!$C$10:$C$604,A434)</f>
        <v>0</v>
      </c>
      <c r="F434" s="26" t="n">
        <f aca="false">B434+C434</f>
        <v>0</v>
      </c>
    </row>
    <row r="435" customFormat="false" ht="15" hidden="false" customHeight="true" outlineLevel="0" collapsed="false">
      <c r="A435" s="24" t="n">
        <v>46401</v>
      </c>
      <c r="B435" s="26" t="n">
        <f aca="false">SUMIFS(Report!$U$10:$U$604,Report!$T$10:$T$604,"&lt;&gt;"&amp;"MERCADORIAS P/REVENDA",Report!$C$10:$C$604,A435)</f>
        <v>0</v>
      </c>
      <c r="C435" s="26" t="n">
        <f aca="false">SUMIFS(Report!$U$10:$U$604,Report!$T$10:$T$604,"MERCADORIAS P/REVENDA",Report!$C$10:$C$604,A435)</f>
        <v>0</v>
      </c>
      <c r="F435" s="26" t="n">
        <f aca="false">B435+C435</f>
        <v>0</v>
      </c>
    </row>
    <row r="436" customFormat="false" ht="15" hidden="false" customHeight="true" outlineLevel="0" collapsed="false">
      <c r="A436" s="24" t="n">
        <v>46402</v>
      </c>
      <c r="B436" s="26" t="n">
        <f aca="false">SUMIFS(Report!$U$10:$U$604,Report!$T$10:$T$604,"&lt;&gt;"&amp;"MERCADORIAS P/REVENDA",Report!$C$10:$C$604,A436)</f>
        <v>0</v>
      </c>
      <c r="C436" s="26" t="n">
        <f aca="false">SUMIFS(Report!$U$10:$U$604,Report!$T$10:$T$604,"MERCADORIAS P/REVENDA",Report!$C$10:$C$604,A436)</f>
        <v>0</v>
      </c>
      <c r="F436" s="26" t="n">
        <f aca="false">B436+C436</f>
        <v>0</v>
      </c>
    </row>
    <row r="437" customFormat="false" ht="15" hidden="false" customHeight="true" outlineLevel="0" collapsed="false">
      <c r="A437" s="30" t="n">
        <v>46403</v>
      </c>
      <c r="B437" s="31" t="n">
        <f aca="false">SUMIFS(Report!$U$10:$U$604,Report!$T$10:$T$604,"&lt;&gt;"&amp;"MERCADORIAS P/REVENDA",Report!$C$10:$C$604,A437)</f>
        <v>0</v>
      </c>
      <c r="C437" s="31" t="n">
        <f aca="false">SUMIFS(Report!$U$10:$U$604,Report!$T$10:$T$604,"MERCADORIAS P/REVENDA",Report!$C$10:$C$604,A437)</f>
        <v>0</v>
      </c>
      <c r="F437" s="31" t="n">
        <f aca="false">B437+C437</f>
        <v>0</v>
      </c>
    </row>
    <row r="438" customFormat="false" ht="15" hidden="false" customHeight="true" outlineLevel="0" collapsed="false">
      <c r="A438" s="30" t="n">
        <v>46404</v>
      </c>
      <c r="B438" s="31" t="n">
        <f aca="false">SUMIFS(Report!$U$10:$U$604,Report!$T$10:$T$604,"&lt;&gt;"&amp;"MERCADORIAS P/REVENDA",Report!$C$10:$C$604,A438)</f>
        <v>0</v>
      </c>
      <c r="C438" s="31" t="n">
        <f aca="false">SUMIFS(Report!$U$10:$U$604,Report!$T$10:$T$604,"MERCADORIAS P/REVENDA",Report!$C$10:$C$604,A438)</f>
        <v>0</v>
      </c>
      <c r="F438" s="31" t="n">
        <f aca="false">B438+C438</f>
        <v>0</v>
      </c>
    </row>
    <row r="439" customFormat="false" ht="15" hidden="false" customHeight="true" outlineLevel="0" collapsed="false">
      <c r="A439" s="30" t="n">
        <v>46405</v>
      </c>
      <c r="B439" s="31" t="n">
        <f aca="false">SUMIFS(Report!$U$10:$U$604,Report!$T$10:$T$604,"&lt;&gt;"&amp;"MERCADORIAS P/REVENDA",Report!$C$10:$C$604,A439)</f>
        <v>0</v>
      </c>
      <c r="C439" s="31" t="n">
        <f aca="false">SUMIFS(Report!$U$10:$U$604,Report!$T$10:$T$604,"MERCADORIAS P/REVENDA",Report!$C$10:$C$604,A439)</f>
        <v>0</v>
      </c>
      <c r="F439" s="31" t="n">
        <f aca="false">B439+C439</f>
        <v>0</v>
      </c>
    </row>
    <row r="440" customFormat="false" ht="15" hidden="false" customHeight="true" outlineLevel="0" collapsed="false">
      <c r="A440" s="32" t="s">
        <v>724</v>
      </c>
      <c r="B440" s="33" t="n">
        <f aca="false">SUM(B433:B439)</f>
        <v>0</v>
      </c>
      <c r="C440" s="33" t="n">
        <f aca="false">SUM(C433:C439)</f>
        <v>0</v>
      </c>
      <c r="F440" s="33" t="n">
        <f aca="false">B440+C440</f>
        <v>0</v>
      </c>
    </row>
    <row r="441" customFormat="false" ht="15" hidden="false" customHeight="true" outlineLevel="0" collapsed="false">
      <c r="A441" s="24" t="n">
        <v>46406</v>
      </c>
      <c r="B441" s="26" t="n">
        <f aca="false">SUMIFS(Report!$U$10:$U$604,Report!$T$10:$T$604,"&lt;&gt;"&amp;"MERCADORIAS P/REVENDA",Report!$C$10:$C$604,A441)</f>
        <v>0</v>
      </c>
      <c r="C441" s="26" t="n">
        <f aca="false">SUMIFS(Report!$U$10:$U$604,Report!$T$10:$T$604,"MERCADORIAS P/REVENDA",Report!$C$10:$C$604,A441)</f>
        <v>0</v>
      </c>
      <c r="F441" s="26" t="n">
        <f aca="false">B441+C441</f>
        <v>0</v>
      </c>
    </row>
    <row r="442" customFormat="false" ht="15" hidden="false" customHeight="true" outlineLevel="0" collapsed="false">
      <c r="A442" s="24" t="n">
        <v>46407</v>
      </c>
      <c r="B442" s="26" t="n">
        <f aca="false">SUMIFS(Report!$U$10:$U$604,Report!$T$10:$T$604,"&lt;&gt;"&amp;"MERCADORIAS P/REVENDA",Report!$C$10:$C$604,A442)</f>
        <v>0</v>
      </c>
      <c r="C442" s="26" t="n">
        <f aca="false">SUMIFS(Report!$U$10:$U$604,Report!$T$10:$T$604,"MERCADORIAS P/REVENDA",Report!$C$10:$C$604,A442)</f>
        <v>0</v>
      </c>
      <c r="F442" s="26" t="n">
        <f aca="false">B442+C442</f>
        <v>0</v>
      </c>
    </row>
    <row r="443" customFormat="false" ht="15" hidden="false" customHeight="true" outlineLevel="0" collapsed="false">
      <c r="A443" s="24" t="n">
        <v>46408</v>
      </c>
      <c r="B443" s="26" t="n">
        <f aca="false">SUMIFS(Report!$U$10:$U$604,Report!$T$10:$T$604,"&lt;&gt;"&amp;"MERCADORIAS P/REVENDA",Report!$C$10:$C$604,A443)</f>
        <v>0</v>
      </c>
      <c r="C443" s="26" t="n">
        <f aca="false">SUMIFS(Report!$U$10:$U$604,Report!$T$10:$T$604,"MERCADORIAS P/REVENDA",Report!$C$10:$C$604,A443)</f>
        <v>0</v>
      </c>
      <c r="F443" s="26" t="n">
        <f aca="false">B443+C443</f>
        <v>0</v>
      </c>
    </row>
    <row r="444" customFormat="false" ht="15" hidden="false" customHeight="true" outlineLevel="0" collapsed="false">
      <c r="A444" s="24" t="n">
        <v>46409</v>
      </c>
      <c r="B444" s="26" t="n">
        <f aca="false">SUMIFS(Report!$U$10:$U$604,Report!$T$10:$T$604,"&lt;&gt;"&amp;"MERCADORIAS P/REVENDA",Report!$C$10:$C$604,A444)</f>
        <v>0</v>
      </c>
      <c r="C444" s="26" t="n">
        <f aca="false">SUMIFS(Report!$U$10:$U$604,Report!$T$10:$T$604,"MERCADORIAS P/REVENDA",Report!$C$10:$C$604,A444)</f>
        <v>0</v>
      </c>
      <c r="F444" s="26" t="n">
        <f aca="false">B444+C444</f>
        <v>0</v>
      </c>
    </row>
    <row r="445" customFormat="false" ht="15" hidden="false" customHeight="true" outlineLevel="0" collapsed="false">
      <c r="A445" s="30" t="n">
        <v>46410</v>
      </c>
      <c r="B445" s="31" t="n">
        <f aca="false">SUMIFS(Report!$U$10:$U$604,Report!$T$10:$T$604,"&lt;&gt;"&amp;"MERCADORIAS P/REVENDA",Report!$C$10:$C$604,A445)</f>
        <v>0</v>
      </c>
      <c r="C445" s="31" t="n">
        <f aca="false">SUMIFS(Report!$U$10:$U$604,Report!$T$10:$T$604,"MERCADORIAS P/REVENDA",Report!$C$10:$C$604,A445)</f>
        <v>0</v>
      </c>
      <c r="F445" s="31" t="n">
        <f aca="false">B445+C445</f>
        <v>0</v>
      </c>
    </row>
    <row r="446" customFormat="false" ht="15" hidden="false" customHeight="true" outlineLevel="0" collapsed="false">
      <c r="A446" s="30" t="n">
        <v>46411</v>
      </c>
      <c r="B446" s="31" t="n">
        <f aca="false">SUMIFS(Report!$U$10:$U$604,Report!$T$10:$T$604,"&lt;&gt;"&amp;"MERCADORIAS P/REVENDA",Report!$C$10:$C$604,A446)</f>
        <v>0</v>
      </c>
      <c r="C446" s="31" t="n">
        <f aca="false">SUMIFS(Report!$U$10:$U$604,Report!$T$10:$T$604,"MERCADORIAS P/REVENDA",Report!$C$10:$C$604,A446)</f>
        <v>0</v>
      </c>
      <c r="F446" s="31" t="n">
        <f aca="false">B446+C446</f>
        <v>0</v>
      </c>
    </row>
    <row r="447" customFormat="false" ht="15" hidden="false" customHeight="true" outlineLevel="0" collapsed="false">
      <c r="A447" s="30" t="n">
        <v>46412</v>
      </c>
      <c r="B447" s="31" t="n">
        <f aca="false">SUMIFS(Report!$U$10:$U$604,Report!$T$10:$T$604,"&lt;&gt;"&amp;"MERCADORIAS P/REVENDA",Report!$C$10:$C$604,A447)</f>
        <v>0</v>
      </c>
      <c r="C447" s="31" t="n">
        <f aca="false">SUMIFS(Report!$U$10:$U$604,Report!$T$10:$T$604,"MERCADORIAS P/REVENDA",Report!$C$10:$C$604,A447)</f>
        <v>0</v>
      </c>
      <c r="F447" s="31" t="n">
        <f aca="false">B447+C447</f>
        <v>0</v>
      </c>
    </row>
    <row r="448" customFormat="false" ht="15" hidden="false" customHeight="true" outlineLevel="0" collapsed="false">
      <c r="A448" s="32" t="s">
        <v>725</v>
      </c>
      <c r="B448" s="33" t="n">
        <f aca="false">SUM(B441:B447)</f>
        <v>0</v>
      </c>
      <c r="C448" s="33" t="n">
        <f aca="false">SUM(C441:C447)</f>
        <v>0</v>
      </c>
      <c r="F448" s="33" t="n">
        <f aca="false">B448+C448</f>
        <v>0</v>
      </c>
    </row>
    <row r="449" customFormat="false" ht="15" hidden="false" customHeight="true" outlineLevel="0" collapsed="false">
      <c r="A449" s="24" t="n">
        <v>46413</v>
      </c>
      <c r="B449" s="26" t="n">
        <f aca="false">SUMIFS(Report!$U$10:$U$604,Report!$T$10:$T$604,"&lt;&gt;"&amp;"MERCADORIAS P/REVENDA",Report!$C$10:$C$604,A449)</f>
        <v>0</v>
      </c>
      <c r="C449" s="26" t="n">
        <f aca="false">SUMIFS(Report!$U$10:$U$604,Report!$T$10:$T$604,"MERCADORIAS P/REVENDA",Report!$C$10:$C$604,A449)</f>
        <v>0</v>
      </c>
      <c r="F449" s="26" t="n">
        <f aca="false">B449+C449</f>
        <v>0</v>
      </c>
    </row>
    <row r="450" customFormat="false" ht="15" hidden="false" customHeight="true" outlineLevel="0" collapsed="false">
      <c r="A450" s="24" t="n">
        <v>46414</v>
      </c>
      <c r="B450" s="26" t="n">
        <f aca="false">SUMIFS(Report!$U$10:$U$604,Report!$T$10:$T$604,"&lt;&gt;"&amp;"MERCADORIAS P/REVENDA",Report!$C$10:$C$604,A450)</f>
        <v>0</v>
      </c>
      <c r="C450" s="26" t="n">
        <f aca="false">SUMIFS(Report!$U$10:$U$604,Report!$T$10:$T$604,"MERCADORIAS P/REVENDA",Report!$C$10:$C$604,A450)</f>
        <v>0</v>
      </c>
      <c r="F450" s="26" t="n">
        <f aca="false">B450+C450</f>
        <v>0</v>
      </c>
    </row>
    <row r="451" customFormat="false" ht="15" hidden="false" customHeight="true" outlineLevel="0" collapsed="false">
      <c r="A451" s="24" t="n">
        <v>46415</v>
      </c>
      <c r="B451" s="26" t="n">
        <f aca="false">SUMIFS(Report!$U$10:$U$604,Report!$T$10:$T$604,"&lt;&gt;"&amp;"MERCADORIAS P/REVENDA",Report!$C$10:$C$604,A451)</f>
        <v>0</v>
      </c>
      <c r="C451" s="26" t="n">
        <f aca="false">SUMIFS(Report!$U$10:$U$604,Report!$T$10:$T$604,"MERCADORIAS P/REVENDA",Report!$C$10:$C$604,A451)</f>
        <v>0</v>
      </c>
      <c r="F451" s="26" t="n">
        <f aca="false">B451+C451</f>
        <v>0</v>
      </c>
    </row>
    <row r="452" customFormat="false" ht="15" hidden="false" customHeight="true" outlineLevel="0" collapsed="false">
      <c r="A452" s="24" t="n">
        <v>46416</v>
      </c>
      <c r="B452" s="26" t="n">
        <f aca="false">SUMIFS(Report!$U$10:$U$604,Report!$T$10:$T$604,"&lt;&gt;"&amp;"MERCADORIAS P/REVENDA",Report!$C$10:$C$604,A452)</f>
        <v>0</v>
      </c>
      <c r="C452" s="26" t="n">
        <f aca="false">SUMIFS(Report!$U$10:$U$604,Report!$T$10:$T$604,"MERCADORIAS P/REVENDA",Report!$C$10:$C$604,A452)</f>
        <v>0</v>
      </c>
      <c r="F452" s="26" t="n">
        <f aca="false">B452+C452</f>
        <v>0</v>
      </c>
    </row>
    <row r="453" customFormat="false" ht="15" hidden="false" customHeight="true" outlineLevel="0" collapsed="false">
      <c r="A453" s="30" t="n">
        <v>46417</v>
      </c>
      <c r="B453" s="31" t="n">
        <f aca="false">SUMIFS(Report!$U$10:$U$604,Report!$T$10:$T$604,"&lt;&gt;"&amp;"MERCADORIAS P/REVENDA",Report!$C$10:$C$604,A453)</f>
        <v>0</v>
      </c>
      <c r="C453" s="31" t="n">
        <f aca="false">SUMIFS(Report!$U$10:$U$604,Report!$T$10:$T$604,"MERCADORIAS P/REVENDA",Report!$C$10:$C$604,A453)</f>
        <v>0</v>
      </c>
      <c r="F453" s="31" t="n">
        <f aca="false">B453+C453</f>
        <v>0</v>
      </c>
    </row>
    <row r="454" customFormat="false" ht="15" hidden="false" customHeight="true" outlineLevel="0" collapsed="false">
      <c r="A454" s="30" t="n">
        <v>46418</v>
      </c>
      <c r="B454" s="31" t="n">
        <f aca="false">SUMIFS(Report!$U$10:$U$604,Report!$T$10:$T$604,"&lt;&gt;"&amp;"MERCADORIAS P/REVENDA",Report!$C$10:$C$604,A454)</f>
        <v>0</v>
      </c>
      <c r="C454" s="31" t="n">
        <f aca="false">SUMIFS(Report!$U$10:$U$604,Report!$T$10:$T$604,"MERCADORIAS P/REVENDA",Report!$C$10:$C$604,A454)</f>
        <v>0</v>
      </c>
      <c r="F454" s="31" t="n">
        <f aca="false">B454+C454</f>
        <v>0</v>
      </c>
    </row>
    <row r="455" customFormat="false" ht="15" hidden="false" customHeight="true" outlineLevel="0" collapsed="false">
      <c r="A455" s="30" t="n">
        <v>46419</v>
      </c>
      <c r="B455" s="31" t="n">
        <f aca="false">SUMIFS(Report!$U$10:$U$604,Report!$T$10:$T$604,"&lt;&gt;"&amp;"MERCADORIAS P/REVENDA",Report!$C$10:$C$604,A455)</f>
        <v>0</v>
      </c>
      <c r="C455" s="31" t="n">
        <f aca="false">SUMIFS(Report!$U$10:$U$604,Report!$T$10:$T$604,"MERCADORIAS P/REVENDA",Report!$C$10:$C$604,A455)</f>
        <v>0</v>
      </c>
      <c r="F455" s="31" t="n">
        <f aca="false">B455+C455</f>
        <v>0</v>
      </c>
    </row>
    <row r="456" customFormat="false" ht="15" hidden="false" customHeight="true" outlineLevel="0" collapsed="false">
      <c r="A456" s="32" t="s">
        <v>726</v>
      </c>
      <c r="B456" s="33" t="n">
        <f aca="false">SUM(B449:B455)</f>
        <v>0</v>
      </c>
      <c r="C456" s="33" t="n">
        <f aca="false">SUM(C449:C455)</f>
        <v>0</v>
      </c>
      <c r="F456" s="33" t="n">
        <f aca="false">B456+C456</f>
        <v>0</v>
      </c>
    </row>
    <row r="457" customFormat="false" ht="15" hidden="false" customHeight="true" outlineLevel="0" collapsed="false">
      <c r="A457" s="24" t="n">
        <v>46420</v>
      </c>
      <c r="B457" s="26" t="n">
        <f aca="false">SUMIFS(Report!$U$10:$U$604,Report!$T$10:$T$604,"&lt;&gt;"&amp;"MERCADORIAS P/REVENDA",Report!$C$10:$C$604,A457)</f>
        <v>0</v>
      </c>
      <c r="C457" s="26" t="n">
        <f aca="false">SUMIFS(Report!$U$10:$U$604,Report!$T$10:$T$604,"MERCADORIAS P/REVENDA",Report!$C$10:$C$604,A457)</f>
        <v>0</v>
      </c>
      <c r="F457" s="26" t="n">
        <f aca="false">B457+C457</f>
        <v>0</v>
      </c>
    </row>
    <row r="458" customFormat="false" ht="15" hidden="false" customHeight="true" outlineLevel="0" collapsed="false">
      <c r="A458" s="24" t="n">
        <v>46421</v>
      </c>
      <c r="B458" s="26" t="n">
        <f aca="false">SUMIFS(Report!$U$10:$U$604,Report!$T$10:$T$604,"&lt;&gt;"&amp;"MERCADORIAS P/REVENDA",Report!$C$10:$C$604,A458)</f>
        <v>0</v>
      </c>
      <c r="C458" s="26" t="n">
        <f aca="false">SUMIFS(Report!$U$10:$U$604,Report!$T$10:$T$604,"MERCADORIAS P/REVENDA",Report!$C$10:$C$604,A458)</f>
        <v>0</v>
      </c>
      <c r="F458" s="26" t="n">
        <f aca="false">B458+C458</f>
        <v>0</v>
      </c>
    </row>
    <row r="459" customFormat="false" ht="15" hidden="false" customHeight="true" outlineLevel="0" collapsed="false">
      <c r="A459" s="24" t="n">
        <v>46422</v>
      </c>
      <c r="B459" s="26" t="n">
        <f aca="false">SUMIFS(Report!$U$10:$U$604,Report!$T$10:$T$604,"&lt;&gt;"&amp;"MERCADORIAS P/REVENDA",Report!$C$10:$C$604,A459)</f>
        <v>0</v>
      </c>
      <c r="C459" s="26" t="n">
        <f aca="false">SUMIFS(Report!$U$10:$U$604,Report!$T$10:$T$604,"MERCADORIAS P/REVENDA",Report!$C$10:$C$604,A459)</f>
        <v>0</v>
      </c>
      <c r="F459" s="26" t="n">
        <f aca="false">B459+C459</f>
        <v>0</v>
      </c>
    </row>
    <row r="460" customFormat="false" ht="15" hidden="false" customHeight="true" outlineLevel="0" collapsed="false">
      <c r="A460" s="24" t="n">
        <v>46423</v>
      </c>
      <c r="B460" s="26" t="n">
        <f aca="false">SUMIFS(Report!$U$10:$U$604,Report!$T$10:$T$604,"&lt;&gt;"&amp;"MERCADORIAS P/REVENDA",Report!$C$10:$C$604,A460)</f>
        <v>0</v>
      </c>
      <c r="C460" s="26" t="n">
        <f aca="false">SUMIFS(Report!$U$10:$U$604,Report!$T$10:$T$604,"MERCADORIAS P/REVENDA",Report!$C$10:$C$604,A460)</f>
        <v>0</v>
      </c>
      <c r="F460" s="26" t="n">
        <f aca="false">B460+C460</f>
        <v>0</v>
      </c>
    </row>
    <row r="461" customFormat="false" ht="15" hidden="false" customHeight="true" outlineLevel="0" collapsed="false">
      <c r="A461" s="30" t="n">
        <v>46424</v>
      </c>
      <c r="B461" s="31" t="n">
        <f aca="false">SUMIFS(Report!$U$10:$U$604,Report!$T$10:$T$604,"&lt;&gt;"&amp;"MERCADORIAS P/REVENDA",Report!$C$10:$C$604,A461)</f>
        <v>0</v>
      </c>
      <c r="C461" s="31" t="n">
        <f aca="false">SUMIFS(Report!$U$10:$U$604,Report!$T$10:$T$604,"MERCADORIAS P/REVENDA",Report!$C$10:$C$604,A461)</f>
        <v>0</v>
      </c>
      <c r="F461" s="31" t="n">
        <f aca="false">B461+C461</f>
        <v>0</v>
      </c>
    </row>
    <row r="462" customFormat="false" ht="15" hidden="false" customHeight="true" outlineLevel="0" collapsed="false">
      <c r="A462" s="30" t="n">
        <v>46425</v>
      </c>
      <c r="B462" s="31" t="n">
        <f aca="false">SUMIFS(Report!$U$10:$U$604,Report!$T$10:$T$604,"&lt;&gt;"&amp;"MERCADORIAS P/REVENDA",Report!$C$10:$C$604,A462)</f>
        <v>0</v>
      </c>
      <c r="C462" s="31" t="n">
        <f aca="false">SUMIFS(Report!$U$10:$U$604,Report!$T$10:$T$604,"MERCADORIAS P/REVENDA",Report!$C$10:$C$604,A462)</f>
        <v>0</v>
      </c>
      <c r="F462" s="31" t="n">
        <f aca="false">B462+C462</f>
        <v>0</v>
      </c>
    </row>
    <row r="463" customFormat="false" ht="15" hidden="false" customHeight="true" outlineLevel="0" collapsed="false">
      <c r="A463" s="30" t="n">
        <v>46426</v>
      </c>
      <c r="B463" s="31" t="n">
        <f aca="false">SUMIFS(Report!$U$10:$U$604,Report!$T$10:$T$604,"&lt;&gt;"&amp;"MERCADORIAS P/REVENDA",Report!$C$10:$C$604,A463)</f>
        <v>0</v>
      </c>
      <c r="C463" s="31" t="n">
        <f aca="false">SUMIFS(Report!$U$10:$U$604,Report!$T$10:$T$604,"MERCADORIAS P/REVENDA",Report!$C$10:$C$604,A463)</f>
        <v>0</v>
      </c>
      <c r="F463" s="31" t="n">
        <f aca="false">B463+C463</f>
        <v>0</v>
      </c>
    </row>
    <row r="464" customFormat="false" ht="15" hidden="false" customHeight="true" outlineLevel="0" collapsed="false">
      <c r="A464" s="32" t="s">
        <v>727</v>
      </c>
      <c r="B464" s="33" t="n">
        <f aca="false">SUM(B457:B463)</f>
        <v>0</v>
      </c>
      <c r="C464" s="33" t="n">
        <f aca="false">SUM(C457:C463)</f>
        <v>0</v>
      </c>
      <c r="F464" s="33" t="n">
        <f aca="false">B464+C464</f>
        <v>0</v>
      </c>
    </row>
    <row r="465" customFormat="false" ht="15" hidden="false" customHeight="true" outlineLevel="0" collapsed="false">
      <c r="A465" s="24" t="n">
        <v>46427</v>
      </c>
      <c r="B465" s="26" t="n">
        <f aca="false">SUMIFS(Report!$U$10:$U$604,Report!$T$10:$T$604,"&lt;&gt;"&amp;"MERCADORIAS P/REVENDA",Report!$C$10:$C$604,A465)</f>
        <v>0</v>
      </c>
      <c r="C465" s="26" t="n">
        <f aca="false">SUMIFS(Report!$U$10:$U$604,Report!$T$10:$T$604,"MERCADORIAS P/REVENDA",Report!$C$10:$C$604,A465)</f>
        <v>0</v>
      </c>
      <c r="F465" s="26" t="n">
        <f aca="false">B465+C465</f>
        <v>0</v>
      </c>
    </row>
    <row r="466" customFormat="false" ht="15" hidden="false" customHeight="true" outlineLevel="0" collapsed="false">
      <c r="A466" s="24" t="n">
        <v>46428</v>
      </c>
      <c r="B466" s="26" t="n">
        <f aca="false">SUMIFS(Report!$U$10:$U$604,Report!$T$10:$T$604,"&lt;&gt;"&amp;"MERCADORIAS P/REVENDA",Report!$C$10:$C$604,A466)</f>
        <v>0</v>
      </c>
      <c r="C466" s="26" t="n">
        <f aca="false">SUMIFS(Report!$U$10:$U$604,Report!$T$10:$T$604,"MERCADORIAS P/REVENDA",Report!$C$10:$C$604,A466)</f>
        <v>0</v>
      </c>
      <c r="F466" s="26" t="n">
        <f aca="false">B466+C466</f>
        <v>0</v>
      </c>
    </row>
    <row r="467" customFormat="false" ht="15" hidden="false" customHeight="true" outlineLevel="0" collapsed="false">
      <c r="A467" s="24" t="n">
        <v>46429</v>
      </c>
      <c r="B467" s="26" t="n">
        <f aca="false">SUMIFS(Report!$U$10:$U$604,Report!$T$10:$T$604,"&lt;&gt;"&amp;"MERCADORIAS P/REVENDA",Report!$C$10:$C$604,A467)</f>
        <v>0</v>
      </c>
      <c r="C467" s="26" t="n">
        <f aca="false">SUMIFS(Report!$U$10:$U$604,Report!$T$10:$T$604,"MERCADORIAS P/REVENDA",Report!$C$10:$C$604,A467)</f>
        <v>0</v>
      </c>
      <c r="F467" s="26" t="n">
        <f aca="false">B467+C467</f>
        <v>0</v>
      </c>
    </row>
    <row r="468" customFormat="false" ht="15" hidden="false" customHeight="true" outlineLevel="0" collapsed="false">
      <c r="A468" s="24" t="n">
        <v>46430</v>
      </c>
      <c r="B468" s="26" t="n">
        <f aca="false">SUMIFS(Report!$U$10:$U$604,Report!$T$10:$T$604,"&lt;&gt;"&amp;"MERCADORIAS P/REVENDA",Report!$C$10:$C$604,A468)</f>
        <v>0</v>
      </c>
      <c r="C468" s="26" t="n">
        <f aca="false">SUMIFS(Report!$U$10:$U$604,Report!$T$10:$T$604,"MERCADORIAS P/REVENDA",Report!$C$10:$C$604,A468)</f>
        <v>0</v>
      </c>
      <c r="F468" s="26" t="n">
        <f aca="false">B468+C468</f>
        <v>0</v>
      </c>
    </row>
    <row r="469" customFormat="false" ht="15" hidden="false" customHeight="true" outlineLevel="0" collapsed="false">
      <c r="A469" s="30" t="n">
        <v>46431</v>
      </c>
      <c r="B469" s="31" t="n">
        <f aca="false">SUMIFS(Report!$U$10:$U$604,Report!$T$10:$T$604,"&lt;&gt;"&amp;"MERCADORIAS P/REVENDA",Report!$C$10:$C$604,A469)</f>
        <v>0</v>
      </c>
      <c r="C469" s="31" t="n">
        <f aca="false">SUMIFS(Report!$U$10:$U$604,Report!$T$10:$T$604,"MERCADORIAS P/REVENDA",Report!$C$10:$C$604,A469)</f>
        <v>0</v>
      </c>
      <c r="F469" s="31" t="n">
        <f aca="false">B469+C469</f>
        <v>0</v>
      </c>
    </row>
    <row r="470" customFormat="false" ht="15" hidden="false" customHeight="true" outlineLevel="0" collapsed="false">
      <c r="A470" s="30" t="n">
        <v>46432</v>
      </c>
      <c r="B470" s="31" t="n">
        <f aca="false">SUMIFS(Report!$U$10:$U$604,Report!$T$10:$T$604,"&lt;&gt;"&amp;"MERCADORIAS P/REVENDA",Report!$C$10:$C$604,A470)</f>
        <v>0</v>
      </c>
      <c r="C470" s="31" t="n">
        <f aca="false">SUMIFS(Report!$U$10:$U$604,Report!$T$10:$T$604,"MERCADORIAS P/REVENDA",Report!$C$10:$C$604,A470)</f>
        <v>0</v>
      </c>
      <c r="F470" s="31" t="n">
        <f aca="false">B470+C470</f>
        <v>0</v>
      </c>
    </row>
    <row r="471" customFormat="false" ht="15" hidden="false" customHeight="true" outlineLevel="0" collapsed="false">
      <c r="A471" s="30" t="n">
        <v>46433</v>
      </c>
      <c r="B471" s="31" t="n">
        <f aca="false">SUMIFS(Report!$U$10:$U$604,Report!$T$10:$T$604,"&lt;&gt;"&amp;"MERCADORIAS P/REVENDA",Report!$C$10:$C$604,A471)</f>
        <v>0</v>
      </c>
      <c r="C471" s="31" t="n">
        <f aca="false">SUMIFS(Report!$U$10:$U$604,Report!$T$10:$T$604,"MERCADORIAS P/REVENDA",Report!$C$10:$C$604,A471)</f>
        <v>0</v>
      </c>
      <c r="F471" s="31" t="n">
        <f aca="false">B471+C471</f>
        <v>0</v>
      </c>
    </row>
    <row r="472" customFormat="false" ht="15" hidden="false" customHeight="true" outlineLevel="0" collapsed="false">
      <c r="A472" s="32" t="s">
        <v>728</v>
      </c>
      <c r="B472" s="33" t="n">
        <f aca="false">SUM(B465:B471)</f>
        <v>0</v>
      </c>
      <c r="C472" s="33" t="n">
        <f aca="false">SUM(C465:C471)</f>
        <v>0</v>
      </c>
      <c r="F472" s="33" t="n">
        <f aca="false">B472+C472</f>
        <v>0</v>
      </c>
    </row>
    <row r="473" customFormat="false" ht="15" hidden="false" customHeight="true" outlineLevel="0" collapsed="false">
      <c r="A473" s="24" t="n">
        <v>46434</v>
      </c>
      <c r="B473" s="26" t="n">
        <f aca="false">SUMIFS(Report!$U$10:$U$604,Report!$T$10:$T$604,"&lt;&gt;"&amp;"MERCADORIAS P/REVENDA",Report!$C$10:$C$604,A473)</f>
        <v>0</v>
      </c>
      <c r="C473" s="26" t="n">
        <f aca="false">SUMIFS(Report!$U$10:$U$604,Report!$T$10:$T$604,"MERCADORIAS P/REVENDA",Report!$C$10:$C$604,A473)</f>
        <v>0</v>
      </c>
      <c r="F473" s="26" t="n">
        <f aca="false">B473+C473</f>
        <v>0</v>
      </c>
    </row>
    <row r="474" customFormat="false" ht="15" hidden="false" customHeight="true" outlineLevel="0" collapsed="false">
      <c r="A474" s="24" t="n">
        <v>46435</v>
      </c>
      <c r="B474" s="26" t="n">
        <f aca="false">SUMIFS(Report!$U$10:$U$604,Report!$T$10:$T$604,"&lt;&gt;"&amp;"MERCADORIAS P/REVENDA",Report!$C$10:$C$604,A474)</f>
        <v>0</v>
      </c>
      <c r="C474" s="26" t="n">
        <f aca="false">SUMIFS(Report!$U$10:$U$604,Report!$T$10:$T$604,"MERCADORIAS P/REVENDA",Report!$C$10:$C$604,A474)</f>
        <v>0</v>
      </c>
      <c r="F474" s="26" t="n">
        <f aca="false">B474+C474</f>
        <v>0</v>
      </c>
    </row>
    <row r="475" customFormat="false" ht="15" hidden="false" customHeight="true" outlineLevel="0" collapsed="false">
      <c r="A475" s="24" t="n">
        <v>46436</v>
      </c>
      <c r="B475" s="26" t="n">
        <f aca="false">SUMIFS(Report!$U$10:$U$604,Report!$T$10:$T$604,"&lt;&gt;"&amp;"MERCADORIAS P/REVENDA",Report!$C$10:$C$604,A475)</f>
        <v>0</v>
      </c>
      <c r="C475" s="26" t="n">
        <f aca="false">SUMIFS(Report!$U$10:$U$604,Report!$T$10:$T$604,"MERCADORIAS P/REVENDA",Report!$C$10:$C$604,A475)</f>
        <v>0</v>
      </c>
      <c r="F475" s="26" t="n">
        <f aca="false">B475+C475</f>
        <v>0</v>
      </c>
    </row>
    <row r="476" customFormat="false" ht="15" hidden="false" customHeight="true" outlineLevel="0" collapsed="false">
      <c r="A476" s="24" t="n">
        <v>46437</v>
      </c>
      <c r="B476" s="26" t="n">
        <f aca="false">SUMIFS(Report!$U$10:$U$604,Report!$T$10:$T$604,"&lt;&gt;"&amp;"MERCADORIAS P/REVENDA",Report!$C$10:$C$604,A476)</f>
        <v>0</v>
      </c>
      <c r="C476" s="26" t="n">
        <f aca="false">SUMIFS(Report!$U$10:$U$604,Report!$T$10:$T$604,"MERCADORIAS P/REVENDA",Report!$C$10:$C$604,A476)</f>
        <v>0</v>
      </c>
      <c r="F476" s="26" t="n">
        <f aca="false">B476+C476</f>
        <v>0</v>
      </c>
    </row>
    <row r="477" customFormat="false" ht="15" hidden="false" customHeight="true" outlineLevel="0" collapsed="false">
      <c r="A477" s="30" t="n">
        <v>46438</v>
      </c>
      <c r="B477" s="31" t="n">
        <f aca="false">SUMIFS(Report!$U$10:$U$604,Report!$T$10:$T$604,"&lt;&gt;"&amp;"MERCADORIAS P/REVENDA",Report!$C$10:$C$604,A477)</f>
        <v>0</v>
      </c>
      <c r="C477" s="31" t="n">
        <f aca="false">SUMIFS(Report!$U$10:$U$604,Report!$T$10:$T$604,"MERCADORIAS P/REVENDA",Report!$C$10:$C$604,A477)</f>
        <v>0</v>
      </c>
      <c r="F477" s="31" t="n">
        <f aca="false">B477+C477</f>
        <v>0</v>
      </c>
    </row>
    <row r="478" customFormat="false" ht="15" hidden="false" customHeight="true" outlineLevel="0" collapsed="false">
      <c r="A478" s="30" t="n">
        <v>46439</v>
      </c>
      <c r="B478" s="31" t="n">
        <f aca="false">SUMIFS(Report!$U$10:$U$604,Report!$T$10:$T$604,"&lt;&gt;"&amp;"MERCADORIAS P/REVENDA",Report!$C$10:$C$604,A478)</f>
        <v>0</v>
      </c>
      <c r="C478" s="31" t="n">
        <f aca="false">SUMIFS(Report!$U$10:$U$604,Report!$T$10:$T$604,"MERCADORIAS P/REVENDA",Report!$C$10:$C$604,A478)</f>
        <v>0</v>
      </c>
      <c r="F478" s="31" t="n">
        <f aca="false">B478+C478</f>
        <v>0</v>
      </c>
    </row>
    <row r="479" customFormat="false" ht="15" hidden="false" customHeight="true" outlineLevel="0" collapsed="false">
      <c r="A479" s="30" t="n">
        <v>46440</v>
      </c>
      <c r="B479" s="31" t="n">
        <f aca="false">SUMIFS(Report!$U$10:$U$604,Report!$T$10:$T$604,"&lt;&gt;"&amp;"MERCADORIAS P/REVENDA",Report!$C$10:$C$604,A479)</f>
        <v>0</v>
      </c>
      <c r="C479" s="31" t="n">
        <f aca="false">SUMIFS(Report!$U$10:$U$604,Report!$T$10:$T$604,"MERCADORIAS P/REVENDA",Report!$C$10:$C$604,A479)</f>
        <v>0</v>
      </c>
      <c r="F479" s="31" t="n">
        <f aca="false">B479+C479</f>
        <v>0</v>
      </c>
    </row>
    <row r="480" customFormat="false" ht="15" hidden="false" customHeight="true" outlineLevel="0" collapsed="false">
      <c r="A480" s="32" t="s">
        <v>729</v>
      </c>
      <c r="B480" s="33" t="n">
        <f aca="false">SUM(B473:B479)</f>
        <v>0</v>
      </c>
      <c r="C480" s="33" t="n">
        <f aca="false">SUM(C473:C479)</f>
        <v>0</v>
      </c>
      <c r="F480" s="33" t="n">
        <f aca="false">B480+C480</f>
        <v>0</v>
      </c>
    </row>
    <row r="481" customFormat="false" ht="15" hidden="false" customHeight="true" outlineLevel="0" collapsed="false">
      <c r="A481" s="24" t="n">
        <v>46441</v>
      </c>
      <c r="B481" s="26" t="n">
        <f aca="false">SUMIFS(Report!$U$10:$U$604,Report!$T$10:$T$604,"&lt;&gt;"&amp;"MERCADORIAS P/REVENDA",Report!$C$10:$C$604,A481)</f>
        <v>0</v>
      </c>
      <c r="C481" s="26" t="n">
        <f aca="false">SUMIFS(Report!$U$10:$U$604,Report!$T$10:$T$604,"MERCADORIAS P/REVENDA",Report!$C$10:$C$604,A481)</f>
        <v>0</v>
      </c>
      <c r="F481" s="26" t="n">
        <f aca="false">B481+C481</f>
        <v>0</v>
      </c>
    </row>
    <row r="482" customFormat="false" ht="15" hidden="false" customHeight="true" outlineLevel="0" collapsed="false">
      <c r="A482" s="24" t="n">
        <v>46442</v>
      </c>
      <c r="B482" s="26" t="n">
        <f aca="false">SUMIFS(Report!$U$10:$U$604,Report!$T$10:$T$604,"&lt;&gt;"&amp;"MERCADORIAS P/REVENDA",Report!$C$10:$C$604,A482)</f>
        <v>0</v>
      </c>
      <c r="C482" s="26" t="n">
        <f aca="false">SUMIFS(Report!$U$10:$U$604,Report!$T$10:$T$604,"MERCADORIAS P/REVENDA",Report!$C$10:$C$604,A482)</f>
        <v>0</v>
      </c>
      <c r="F482" s="26" t="n">
        <f aca="false">B482+C482</f>
        <v>0</v>
      </c>
    </row>
    <row r="483" customFormat="false" ht="15" hidden="false" customHeight="true" outlineLevel="0" collapsed="false">
      <c r="A483" s="24" t="n">
        <v>46443</v>
      </c>
      <c r="B483" s="26" t="n">
        <f aca="false">SUMIFS(Report!$U$10:$U$604,Report!$T$10:$T$604,"&lt;&gt;"&amp;"MERCADORIAS P/REVENDA",Report!$C$10:$C$604,A483)</f>
        <v>0</v>
      </c>
      <c r="C483" s="26" t="n">
        <f aca="false">SUMIFS(Report!$U$10:$U$604,Report!$T$10:$T$604,"MERCADORIAS P/REVENDA",Report!$C$10:$C$604,A483)</f>
        <v>0</v>
      </c>
      <c r="F483" s="26" t="n">
        <f aca="false">B483+C483</f>
        <v>0</v>
      </c>
    </row>
    <row r="484" customFormat="false" ht="15" hidden="false" customHeight="true" outlineLevel="0" collapsed="false">
      <c r="A484" s="24" t="n">
        <v>46444</v>
      </c>
      <c r="B484" s="26" t="n">
        <f aca="false">SUMIFS(Report!$U$10:$U$604,Report!$T$10:$T$604,"&lt;&gt;"&amp;"MERCADORIAS P/REVENDA",Report!$C$10:$C$604,A484)</f>
        <v>0</v>
      </c>
      <c r="C484" s="26" t="n">
        <f aca="false">SUMIFS(Report!$U$10:$U$604,Report!$T$10:$T$604,"MERCADORIAS P/REVENDA",Report!$C$10:$C$604,A484)</f>
        <v>0</v>
      </c>
      <c r="F484" s="26" t="n">
        <f aca="false">B484+C484</f>
        <v>0</v>
      </c>
    </row>
    <row r="485" customFormat="false" ht="15" hidden="false" customHeight="true" outlineLevel="0" collapsed="false">
      <c r="A485" s="30" t="n">
        <v>46445</v>
      </c>
      <c r="B485" s="31" t="n">
        <f aca="false">SUMIFS(Report!$U$10:$U$604,Report!$T$10:$T$604,"&lt;&gt;"&amp;"MERCADORIAS P/REVENDA",Report!$C$10:$C$604,A485)</f>
        <v>0</v>
      </c>
      <c r="C485" s="31" t="n">
        <f aca="false">SUMIFS(Report!$U$10:$U$604,Report!$T$10:$T$604,"MERCADORIAS P/REVENDA",Report!$C$10:$C$604,A485)</f>
        <v>0</v>
      </c>
      <c r="F485" s="31" t="n">
        <f aca="false">B485+C485</f>
        <v>0</v>
      </c>
    </row>
    <row r="486" customFormat="false" ht="15" hidden="false" customHeight="true" outlineLevel="0" collapsed="false">
      <c r="A486" s="30" t="n">
        <v>46446</v>
      </c>
      <c r="B486" s="31" t="n">
        <f aca="false">SUMIFS(Report!$U$10:$U$604,Report!$T$10:$T$604,"&lt;&gt;"&amp;"MERCADORIAS P/REVENDA",Report!$C$10:$C$604,A486)</f>
        <v>0</v>
      </c>
      <c r="C486" s="31" t="n">
        <f aca="false">SUMIFS(Report!$U$10:$U$604,Report!$T$10:$T$604,"MERCADORIAS P/REVENDA",Report!$C$10:$C$604,A486)</f>
        <v>0</v>
      </c>
      <c r="F486" s="31" t="n">
        <f aca="false">B486+C486</f>
        <v>0</v>
      </c>
    </row>
    <row r="487" customFormat="false" ht="15" hidden="false" customHeight="true" outlineLevel="0" collapsed="false">
      <c r="A487" s="30" t="n">
        <v>46447</v>
      </c>
      <c r="B487" s="31" t="n">
        <f aca="false">SUMIFS(Report!$U$10:$U$604,Report!$T$10:$T$604,"&lt;&gt;"&amp;"MERCADORIAS P/REVENDA",Report!$C$10:$C$604,A487)</f>
        <v>0</v>
      </c>
      <c r="C487" s="31" t="n">
        <f aca="false">SUMIFS(Report!$U$10:$U$604,Report!$T$10:$T$604,"MERCADORIAS P/REVENDA",Report!$C$10:$C$604,A487)</f>
        <v>0</v>
      </c>
      <c r="F487" s="31" t="n">
        <f aca="false">B487+C487</f>
        <v>0</v>
      </c>
    </row>
    <row r="488" customFormat="false" ht="15" hidden="false" customHeight="true" outlineLevel="0" collapsed="false">
      <c r="A488" s="32" t="s">
        <v>730</v>
      </c>
      <c r="B488" s="33" t="n">
        <f aca="false">SUM(B481:B487)</f>
        <v>0</v>
      </c>
      <c r="C488" s="33" t="n">
        <f aca="false">SUM(C481:C487)</f>
        <v>0</v>
      </c>
      <c r="F488" s="33" t="n">
        <f aca="false">B488+C488</f>
        <v>0</v>
      </c>
    </row>
    <row r="489" customFormat="false" ht="15" hidden="false" customHeight="true" outlineLevel="0" collapsed="false">
      <c r="A489" s="24" t="n">
        <v>46448</v>
      </c>
      <c r="B489" s="26" t="n">
        <f aca="false">SUMIFS(Report!$U$10:$U$604,Report!$T$10:$T$604,"&lt;&gt;"&amp;"MERCADORIAS P/REVENDA",Report!$C$10:$C$604,A489)</f>
        <v>0</v>
      </c>
      <c r="C489" s="26" t="n">
        <f aca="false">SUMIFS(Report!$U$10:$U$604,Report!$T$10:$T$604,"MERCADORIAS P/REVENDA",Report!$C$10:$C$604,A489)</f>
        <v>0</v>
      </c>
      <c r="F489" s="26" t="n">
        <f aca="false">B489+C489</f>
        <v>0</v>
      </c>
    </row>
    <row r="490" customFormat="false" ht="15" hidden="false" customHeight="true" outlineLevel="0" collapsed="false">
      <c r="A490" s="24" t="n">
        <v>46449</v>
      </c>
      <c r="B490" s="26" t="n">
        <f aca="false">SUMIFS(Report!$U$10:$U$604,Report!$T$10:$T$604,"&lt;&gt;"&amp;"MERCADORIAS P/REVENDA",Report!$C$10:$C$604,A490)</f>
        <v>0</v>
      </c>
      <c r="C490" s="26" t="n">
        <f aca="false">SUMIFS(Report!$U$10:$U$604,Report!$T$10:$T$604,"MERCADORIAS P/REVENDA",Report!$C$10:$C$604,A490)</f>
        <v>0</v>
      </c>
      <c r="F490" s="26" t="n">
        <f aca="false">B490+C490</f>
        <v>0</v>
      </c>
    </row>
    <row r="491" customFormat="false" ht="15" hidden="false" customHeight="true" outlineLevel="0" collapsed="false">
      <c r="A491" s="24" t="n">
        <v>46450</v>
      </c>
      <c r="B491" s="26" t="n">
        <f aca="false">SUMIFS(Report!$U$10:$U$604,Report!$T$10:$T$604,"&lt;&gt;"&amp;"MERCADORIAS P/REVENDA",Report!$C$10:$C$604,A491)</f>
        <v>0</v>
      </c>
      <c r="C491" s="26" t="n">
        <f aca="false">SUMIFS(Report!$U$10:$U$604,Report!$T$10:$T$604,"MERCADORIAS P/REVENDA",Report!$C$10:$C$604,A491)</f>
        <v>0</v>
      </c>
      <c r="F491" s="26" t="n">
        <f aca="false">B491+C491</f>
        <v>0</v>
      </c>
    </row>
    <row r="492" customFormat="false" ht="15" hidden="false" customHeight="true" outlineLevel="0" collapsed="false">
      <c r="A492" s="24" t="n">
        <v>46451</v>
      </c>
      <c r="B492" s="26" t="n">
        <f aca="false">SUMIFS(Report!$U$10:$U$604,Report!$T$10:$T$604,"&lt;&gt;"&amp;"MERCADORIAS P/REVENDA",Report!$C$10:$C$604,A492)</f>
        <v>0</v>
      </c>
      <c r="C492" s="26" t="n">
        <f aca="false">SUMIFS(Report!$U$10:$U$604,Report!$T$10:$T$604,"MERCADORIAS P/REVENDA",Report!$C$10:$C$604,A492)</f>
        <v>0</v>
      </c>
      <c r="F492" s="26" t="n">
        <f aca="false">B492+C492</f>
        <v>0</v>
      </c>
    </row>
    <row r="493" customFormat="false" ht="15" hidden="false" customHeight="true" outlineLevel="0" collapsed="false">
      <c r="A493" s="30" t="n">
        <v>46452</v>
      </c>
      <c r="B493" s="31" t="n">
        <f aca="false">SUMIFS(Report!$U$10:$U$604,Report!$T$10:$T$604,"&lt;&gt;"&amp;"MERCADORIAS P/REVENDA",Report!$C$10:$C$604,A493)</f>
        <v>0</v>
      </c>
      <c r="C493" s="31" t="n">
        <f aca="false">SUMIFS(Report!$U$10:$U$604,Report!$T$10:$T$604,"MERCADORIAS P/REVENDA",Report!$C$10:$C$604,A493)</f>
        <v>0</v>
      </c>
      <c r="F493" s="31" t="n">
        <f aca="false">B493+C493</f>
        <v>0</v>
      </c>
    </row>
    <row r="494" customFormat="false" ht="15" hidden="false" customHeight="true" outlineLevel="0" collapsed="false">
      <c r="A494" s="30" t="n">
        <v>46453</v>
      </c>
      <c r="B494" s="31" t="n">
        <f aca="false">SUMIFS(Report!$U$10:$U$604,Report!$T$10:$T$604,"&lt;&gt;"&amp;"MERCADORIAS P/REVENDA",Report!$C$10:$C$604,A494)</f>
        <v>0</v>
      </c>
      <c r="C494" s="31" t="n">
        <f aca="false">SUMIFS(Report!$U$10:$U$604,Report!$T$10:$T$604,"MERCADORIAS P/REVENDA",Report!$C$10:$C$604,A494)</f>
        <v>0</v>
      </c>
      <c r="F494" s="31" t="n">
        <f aca="false">B494+C494</f>
        <v>0</v>
      </c>
    </row>
    <row r="495" customFormat="false" ht="15" hidden="false" customHeight="true" outlineLevel="0" collapsed="false">
      <c r="A495" s="30" t="n">
        <v>46454</v>
      </c>
      <c r="B495" s="31" t="n">
        <f aca="false">SUMIFS(Report!$U$10:$U$604,Report!$T$10:$T$604,"&lt;&gt;"&amp;"MERCADORIAS P/REVENDA",Report!$C$10:$C$604,A495)</f>
        <v>0</v>
      </c>
      <c r="C495" s="31" t="n">
        <f aca="false">SUMIFS(Report!$U$10:$U$604,Report!$T$10:$T$604,"MERCADORIAS P/REVENDA",Report!$C$10:$C$604,A495)</f>
        <v>0</v>
      </c>
      <c r="F495" s="31" t="n">
        <f aca="false">B495+C495</f>
        <v>0</v>
      </c>
    </row>
    <row r="496" customFormat="false" ht="15" hidden="false" customHeight="true" outlineLevel="0" collapsed="false">
      <c r="A496" s="32" t="s">
        <v>731</v>
      </c>
      <c r="B496" s="33" t="n">
        <f aca="false">SUM(B489:B495)</f>
        <v>0</v>
      </c>
      <c r="C496" s="33" t="n">
        <f aca="false">SUM(C489:C495)</f>
        <v>0</v>
      </c>
      <c r="F496" s="33" t="n">
        <f aca="false">B496+C496</f>
        <v>0</v>
      </c>
    </row>
    <row r="497" customFormat="false" ht="15" hidden="false" customHeight="true" outlineLevel="0" collapsed="false">
      <c r="A497" s="24" t="n">
        <v>46455</v>
      </c>
      <c r="B497" s="26" t="n">
        <f aca="false">SUMIFS(Report!$U$10:$U$604,Report!$T$10:$T$604,"&lt;&gt;"&amp;"MERCADORIAS P/REVENDA",Report!$C$10:$C$604,A497)</f>
        <v>0</v>
      </c>
      <c r="C497" s="26" t="n">
        <f aca="false">SUMIFS(Report!$U$10:$U$604,Report!$T$10:$T$604,"MERCADORIAS P/REVENDA",Report!$C$10:$C$604,A497)</f>
        <v>0</v>
      </c>
      <c r="F497" s="26" t="n">
        <f aca="false">B497+C497</f>
        <v>0</v>
      </c>
    </row>
    <row r="498" customFormat="false" ht="15" hidden="false" customHeight="true" outlineLevel="0" collapsed="false">
      <c r="A498" s="24" t="n">
        <v>46456</v>
      </c>
      <c r="B498" s="26" t="n">
        <f aca="false">SUMIFS(Report!$U$10:$U$604,Report!$T$10:$T$604,"&lt;&gt;"&amp;"MERCADORIAS P/REVENDA",Report!$C$10:$C$604,A498)</f>
        <v>0</v>
      </c>
      <c r="C498" s="26" t="n">
        <f aca="false">SUMIFS(Report!$U$10:$U$604,Report!$T$10:$T$604,"MERCADORIAS P/REVENDA",Report!$C$10:$C$604,A498)</f>
        <v>0</v>
      </c>
      <c r="F498" s="26" t="n">
        <f aca="false">B498+C498</f>
        <v>0</v>
      </c>
    </row>
    <row r="499" customFormat="false" ht="15" hidden="false" customHeight="true" outlineLevel="0" collapsed="false">
      <c r="A499" s="24" t="n">
        <v>46457</v>
      </c>
      <c r="B499" s="26" t="n">
        <f aca="false">SUMIFS(Report!$U$10:$U$604,Report!$T$10:$T$604,"&lt;&gt;"&amp;"MERCADORIAS P/REVENDA",Report!$C$10:$C$604,A499)</f>
        <v>0</v>
      </c>
      <c r="C499" s="26" t="n">
        <f aca="false">SUMIFS(Report!$U$10:$U$604,Report!$T$10:$T$604,"MERCADORIAS P/REVENDA",Report!$C$10:$C$604,A499)</f>
        <v>0</v>
      </c>
      <c r="F499" s="26" t="n">
        <f aca="false">B499+C499</f>
        <v>0</v>
      </c>
    </row>
    <row r="500" customFormat="false" ht="15" hidden="false" customHeight="true" outlineLevel="0" collapsed="false">
      <c r="A500" s="24" t="n">
        <v>46458</v>
      </c>
      <c r="B500" s="26" t="n">
        <f aca="false">SUMIFS(Report!$U$10:$U$604,Report!$T$10:$T$604,"&lt;&gt;"&amp;"MERCADORIAS P/REVENDA",Report!$C$10:$C$604,A500)</f>
        <v>0</v>
      </c>
      <c r="C500" s="26" t="n">
        <f aca="false">SUMIFS(Report!$U$10:$U$604,Report!$T$10:$T$604,"MERCADORIAS P/REVENDA",Report!$C$10:$C$604,A500)</f>
        <v>0</v>
      </c>
      <c r="F500" s="26" t="n">
        <f aca="false">B500+C500</f>
        <v>0</v>
      </c>
    </row>
    <row r="501" customFormat="false" ht="15" hidden="false" customHeight="true" outlineLevel="0" collapsed="false">
      <c r="A501" s="30" t="n">
        <v>46459</v>
      </c>
      <c r="B501" s="31" t="n">
        <f aca="false">SUMIFS(Report!$U$10:$U$604,Report!$T$10:$T$604,"&lt;&gt;"&amp;"MERCADORIAS P/REVENDA",Report!$C$10:$C$604,A501)</f>
        <v>0</v>
      </c>
      <c r="C501" s="31" t="n">
        <f aca="false">SUMIFS(Report!$U$10:$U$604,Report!$T$10:$T$604,"MERCADORIAS P/REVENDA",Report!$C$10:$C$604,A501)</f>
        <v>0</v>
      </c>
      <c r="F501" s="31" t="n">
        <f aca="false">B501+C501</f>
        <v>0</v>
      </c>
    </row>
    <row r="502" customFormat="false" ht="15" hidden="false" customHeight="true" outlineLevel="0" collapsed="false">
      <c r="A502" s="30" t="n">
        <v>46460</v>
      </c>
      <c r="B502" s="31" t="n">
        <f aca="false">SUMIFS(Report!$U$10:$U$604,Report!$T$10:$T$604,"&lt;&gt;"&amp;"MERCADORIAS P/REVENDA",Report!$C$10:$C$604,A502)</f>
        <v>0</v>
      </c>
      <c r="C502" s="31" t="n">
        <f aca="false">SUMIFS(Report!$U$10:$U$604,Report!$T$10:$T$604,"MERCADORIAS P/REVENDA",Report!$C$10:$C$604,A502)</f>
        <v>0</v>
      </c>
      <c r="F502" s="31" t="n">
        <f aca="false">B502+C502</f>
        <v>0</v>
      </c>
    </row>
    <row r="503" customFormat="false" ht="15" hidden="false" customHeight="true" outlineLevel="0" collapsed="false">
      <c r="A503" s="30" t="n">
        <v>46461</v>
      </c>
      <c r="B503" s="31" t="n">
        <f aca="false">SUMIFS(Report!$U$10:$U$604,Report!$T$10:$T$604,"&lt;&gt;"&amp;"MERCADORIAS P/REVENDA",Report!$C$10:$C$604,A503)</f>
        <v>0</v>
      </c>
      <c r="C503" s="31" t="n">
        <f aca="false">SUMIFS(Report!$U$10:$U$604,Report!$T$10:$T$604,"MERCADORIAS P/REVENDA",Report!$C$10:$C$604,A503)</f>
        <v>0</v>
      </c>
      <c r="F503" s="31" t="n">
        <f aca="false">B503+C503</f>
        <v>0</v>
      </c>
    </row>
    <row r="504" customFormat="false" ht="15" hidden="false" customHeight="true" outlineLevel="0" collapsed="false">
      <c r="A504" s="32" t="s">
        <v>732</v>
      </c>
      <c r="B504" s="33" t="n">
        <f aca="false">SUM(B497:B503)</f>
        <v>0</v>
      </c>
      <c r="C504" s="33" t="n">
        <f aca="false">SUM(C497:C503)</f>
        <v>0</v>
      </c>
      <c r="F504" s="33" t="n">
        <f aca="false">B504+C504</f>
        <v>0</v>
      </c>
    </row>
    <row r="505" customFormat="false" ht="15" hidden="false" customHeight="true" outlineLevel="0" collapsed="false">
      <c r="A505" s="24" t="n">
        <v>46462</v>
      </c>
      <c r="B505" s="26" t="n">
        <f aca="false">SUMIFS(Report!$U$10:$U$604,Report!$T$10:$T$604,"&lt;&gt;"&amp;"MERCADORIAS P/REVENDA",Report!$C$10:$C$604,A505)</f>
        <v>0</v>
      </c>
      <c r="C505" s="26" t="n">
        <f aca="false">SUMIFS(Report!$U$10:$U$604,Report!$T$10:$T$604,"MERCADORIAS P/REVENDA",Report!$C$10:$C$604,A505)</f>
        <v>0</v>
      </c>
      <c r="F505" s="26" t="n">
        <f aca="false">B505+C505</f>
        <v>0</v>
      </c>
    </row>
    <row r="506" customFormat="false" ht="15" hidden="false" customHeight="true" outlineLevel="0" collapsed="false">
      <c r="A506" s="24" t="n">
        <v>46463</v>
      </c>
      <c r="B506" s="26" t="n">
        <f aca="false">SUMIFS(Report!$U$10:$U$604,Report!$T$10:$T$604,"&lt;&gt;"&amp;"MERCADORIAS P/REVENDA",Report!$C$10:$C$604,A506)</f>
        <v>0</v>
      </c>
      <c r="C506" s="26" t="n">
        <f aca="false">SUMIFS(Report!$U$10:$U$604,Report!$T$10:$T$604,"MERCADORIAS P/REVENDA",Report!$C$10:$C$604,A506)</f>
        <v>0</v>
      </c>
      <c r="F506" s="26" t="n">
        <f aca="false">B506+C506</f>
        <v>0</v>
      </c>
    </row>
    <row r="507" customFormat="false" ht="15" hidden="false" customHeight="true" outlineLevel="0" collapsed="false">
      <c r="A507" s="24" t="n">
        <v>46464</v>
      </c>
      <c r="B507" s="26" t="n">
        <f aca="false">SUMIFS(Report!$U$10:$U$604,Report!$T$10:$T$604,"&lt;&gt;"&amp;"MERCADORIAS P/REVENDA",Report!$C$10:$C$604,A507)</f>
        <v>0</v>
      </c>
      <c r="C507" s="26" t="n">
        <f aca="false">SUMIFS(Report!$U$10:$U$604,Report!$T$10:$T$604,"MERCADORIAS P/REVENDA",Report!$C$10:$C$604,A507)</f>
        <v>0</v>
      </c>
      <c r="F507" s="26" t="n">
        <f aca="false">B507+C507</f>
        <v>0</v>
      </c>
    </row>
    <row r="508" customFormat="false" ht="15" hidden="false" customHeight="true" outlineLevel="0" collapsed="false">
      <c r="A508" s="24" t="n">
        <v>46465</v>
      </c>
      <c r="B508" s="26" t="n">
        <f aca="false">SUMIFS(Report!$U$10:$U$604,Report!$T$10:$T$604,"&lt;&gt;"&amp;"MERCADORIAS P/REVENDA",Report!$C$10:$C$604,A508)</f>
        <v>0</v>
      </c>
      <c r="C508" s="26" t="n">
        <f aca="false">SUMIFS(Report!$U$10:$U$604,Report!$T$10:$T$604,"MERCADORIAS P/REVENDA",Report!$C$10:$C$604,A508)</f>
        <v>0</v>
      </c>
      <c r="F508" s="26" t="n">
        <f aca="false">B508+C508</f>
        <v>0</v>
      </c>
    </row>
    <row r="509" customFormat="false" ht="15" hidden="false" customHeight="true" outlineLevel="0" collapsed="false">
      <c r="A509" s="30" t="n">
        <v>46466</v>
      </c>
      <c r="B509" s="31" t="n">
        <f aca="false">SUMIFS(Report!$U$10:$U$604,Report!$T$10:$T$604,"&lt;&gt;"&amp;"MERCADORIAS P/REVENDA",Report!$C$10:$C$604,A509)</f>
        <v>0</v>
      </c>
      <c r="C509" s="31" t="n">
        <f aca="false">SUMIFS(Report!$U$10:$U$604,Report!$T$10:$T$604,"MERCADORIAS P/REVENDA",Report!$C$10:$C$604,A509)</f>
        <v>0</v>
      </c>
      <c r="F509" s="31" t="n">
        <f aca="false">B509+C509</f>
        <v>0</v>
      </c>
    </row>
    <row r="510" customFormat="false" ht="15" hidden="false" customHeight="true" outlineLevel="0" collapsed="false">
      <c r="A510" s="30" t="n">
        <v>46467</v>
      </c>
      <c r="B510" s="31" t="n">
        <f aca="false">SUMIFS(Report!$U$10:$U$604,Report!$T$10:$T$604,"&lt;&gt;"&amp;"MERCADORIAS P/REVENDA",Report!$C$10:$C$604,A510)</f>
        <v>0</v>
      </c>
      <c r="C510" s="31" t="n">
        <f aca="false">SUMIFS(Report!$U$10:$U$604,Report!$T$10:$T$604,"MERCADORIAS P/REVENDA",Report!$C$10:$C$604,A510)</f>
        <v>0</v>
      </c>
      <c r="F510" s="31" t="n">
        <f aca="false">B510+C510</f>
        <v>0</v>
      </c>
    </row>
    <row r="511" customFormat="false" ht="15" hidden="false" customHeight="true" outlineLevel="0" collapsed="false">
      <c r="A511" s="30" t="n">
        <v>46468</v>
      </c>
      <c r="B511" s="31" t="n">
        <f aca="false">SUMIFS(Report!$U$10:$U$604,Report!$T$10:$T$604,"&lt;&gt;"&amp;"MERCADORIAS P/REVENDA",Report!$C$10:$C$604,A511)</f>
        <v>0</v>
      </c>
      <c r="C511" s="31" t="n">
        <f aca="false">SUMIFS(Report!$U$10:$U$604,Report!$T$10:$T$604,"MERCADORIAS P/REVENDA",Report!$C$10:$C$604,A511)</f>
        <v>0</v>
      </c>
      <c r="F511" s="31" t="n">
        <f aca="false">B511+C511</f>
        <v>0</v>
      </c>
    </row>
    <row r="512" customFormat="false" ht="15" hidden="false" customHeight="true" outlineLevel="0" collapsed="false">
      <c r="A512" s="32" t="s">
        <v>733</v>
      </c>
      <c r="B512" s="33" t="n">
        <f aca="false">SUM(B505:B511)</f>
        <v>0</v>
      </c>
      <c r="C512" s="33" t="n">
        <f aca="false">SUM(C505:C511)</f>
        <v>0</v>
      </c>
      <c r="F512" s="33" t="n">
        <f aca="false">B512+C512</f>
        <v>0</v>
      </c>
    </row>
    <row r="513" customFormat="false" ht="15" hidden="false" customHeight="true" outlineLevel="0" collapsed="false">
      <c r="A513" s="24" t="n">
        <v>46469</v>
      </c>
      <c r="B513" s="26" t="n">
        <f aca="false">SUMIFS(Report!$U$10:$U$604,Report!$T$10:$T$604,"&lt;&gt;"&amp;"MERCADORIAS P/REVENDA",Report!$C$10:$C$604,A513)</f>
        <v>0</v>
      </c>
      <c r="C513" s="26" t="n">
        <f aca="false">SUMIFS(Report!$U$10:$U$604,Report!$T$10:$T$604,"MERCADORIAS P/REVENDA",Report!$C$10:$C$604,A513)</f>
        <v>0</v>
      </c>
      <c r="F513" s="26" t="n">
        <f aca="false">B513+C513</f>
        <v>0</v>
      </c>
    </row>
    <row r="514" customFormat="false" ht="15" hidden="false" customHeight="true" outlineLevel="0" collapsed="false">
      <c r="A514" s="24" t="n">
        <v>46470</v>
      </c>
      <c r="B514" s="26" t="n">
        <f aca="false">SUMIFS(Report!$U$10:$U$604,Report!$T$10:$T$604,"&lt;&gt;"&amp;"MERCADORIAS P/REVENDA",Report!$C$10:$C$604,A514)</f>
        <v>0</v>
      </c>
      <c r="C514" s="26" t="n">
        <f aca="false">SUMIFS(Report!$U$10:$U$604,Report!$T$10:$T$604,"MERCADORIAS P/REVENDA",Report!$C$10:$C$604,A514)</f>
        <v>0</v>
      </c>
      <c r="F514" s="26" t="n">
        <f aca="false">B514+C514</f>
        <v>0</v>
      </c>
    </row>
    <row r="515" customFormat="false" ht="15" hidden="false" customHeight="true" outlineLevel="0" collapsed="false">
      <c r="A515" s="24" t="n">
        <v>46471</v>
      </c>
      <c r="B515" s="26" t="n">
        <f aca="false">SUMIFS(Report!$U$10:$U$604,Report!$T$10:$T$604,"&lt;&gt;"&amp;"MERCADORIAS P/REVENDA",Report!$C$10:$C$604,A515)</f>
        <v>0</v>
      </c>
      <c r="C515" s="26" t="n">
        <f aca="false">SUMIFS(Report!$U$10:$U$604,Report!$T$10:$T$604,"MERCADORIAS P/REVENDA",Report!$C$10:$C$604,A515)</f>
        <v>0</v>
      </c>
      <c r="F515" s="26" t="n">
        <f aca="false">B515+C515</f>
        <v>0</v>
      </c>
    </row>
    <row r="516" customFormat="false" ht="15" hidden="false" customHeight="true" outlineLevel="0" collapsed="false">
      <c r="A516" s="24" t="n">
        <v>46472</v>
      </c>
      <c r="B516" s="26" t="n">
        <f aca="false">SUMIFS(Report!$U$10:$U$604,Report!$T$10:$T$604,"&lt;&gt;"&amp;"MERCADORIAS P/REVENDA",Report!$C$10:$C$604,A516)</f>
        <v>0</v>
      </c>
      <c r="C516" s="26" t="n">
        <f aca="false">SUMIFS(Report!$U$10:$U$604,Report!$T$10:$T$604,"MERCADORIAS P/REVENDA",Report!$C$10:$C$604,A516)</f>
        <v>0</v>
      </c>
      <c r="F516" s="26" t="n">
        <f aca="false">B516+C516</f>
        <v>0</v>
      </c>
    </row>
    <row r="517" customFormat="false" ht="15" hidden="false" customHeight="true" outlineLevel="0" collapsed="false">
      <c r="A517" s="30" t="n">
        <v>46473</v>
      </c>
      <c r="B517" s="31" t="n">
        <f aca="false">SUMIFS(Report!$U$10:$U$604,Report!$T$10:$T$604,"&lt;&gt;"&amp;"MERCADORIAS P/REVENDA",Report!$C$10:$C$604,A517)</f>
        <v>0</v>
      </c>
      <c r="C517" s="31" t="n">
        <f aca="false">SUMIFS(Report!$U$10:$U$604,Report!$T$10:$T$604,"MERCADORIAS P/REVENDA",Report!$C$10:$C$604,A517)</f>
        <v>0</v>
      </c>
      <c r="F517" s="31" t="n">
        <f aca="false">B517+C517</f>
        <v>0</v>
      </c>
    </row>
    <row r="518" customFormat="false" ht="15" hidden="false" customHeight="true" outlineLevel="0" collapsed="false">
      <c r="A518" s="30" t="n">
        <v>46474</v>
      </c>
      <c r="B518" s="31" t="n">
        <f aca="false">SUMIFS(Report!$U$10:$U$604,Report!$T$10:$T$604,"&lt;&gt;"&amp;"MERCADORIAS P/REVENDA",Report!$C$10:$C$604,A518)</f>
        <v>0</v>
      </c>
      <c r="C518" s="31" t="n">
        <f aca="false">SUMIFS(Report!$U$10:$U$604,Report!$T$10:$T$604,"MERCADORIAS P/REVENDA",Report!$C$10:$C$604,A518)</f>
        <v>0</v>
      </c>
      <c r="F518" s="31" t="n">
        <f aca="false">B518+C518</f>
        <v>0</v>
      </c>
    </row>
    <row r="519" customFormat="false" ht="15" hidden="false" customHeight="true" outlineLevel="0" collapsed="false">
      <c r="A519" s="30" t="n">
        <v>46475</v>
      </c>
      <c r="B519" s="31" t="n">
        <f aca="false">SUMIFS(Report!$U$10:$U$604,Report!$T$10:$T$604,"&lt;&gt;"&amp;"MERCADORIAS P/REVENDA",Report!$C$10:$C$604,A519)</f>
        <v>0</v>
      </c>
      <c r="C519" s="31" t="n">
        <f aca="false">SUMIFS(Report!$U$10:$U$604,Report!$T$10:$T$604,"MERCADORIAS P/REVENDA",Report!$C$10:$C$604,A519)</f>
        <v>0</v>
      </c>
      <c r="F519" s="31" t="n">
        <f aca="false">B519+C519</f>
        <v>0</v>
      </c>
    </row>
    <row r="520" customFormat="false" ht="15" hidden="false" customHeight="true" outlineLevel="0" collapsed="false">
      <c r="A520" s="32" t="s">
        <v>734</v>
      </c>
      <c r="B520" s="33" t="n">
        <f aca="false">SUM(B513:B519)</f>
        <v>0</v>
      </c>
      <c r="C520" s="33" t="n">
        <f aca="false">SUM(C513:C519)</f>
        <v>0</v>
      </c>
      <c r="F520" s="33" t="n">
        <f aca="false">B520+C520</f>
        <v>0</v>
      </c>
    </row>
    <row r="521" customFormat="false" ht="15" hidden="false" customHeight="true" outlineLevel="0" collapsed="false">
      <c r="A521" s="24" t="n">
        <v>46476</v>
      </c>
      <c r="B521" s="26" t="n">
        <f aca="false">SUMIFS(Report!$U$10:$U$604,Report!$T$10:$T$604,"&lt;&gt;"&amp;"MERCADORIAS P/REVENDA",Report!$C$10:$C$604,A521)</f>
        <v>0</v>
      </c>
      <c r="C521" s="26" t="n">
        <f aca="false">SUMIFS(Report!$U$10:$U$604,Report!$T$10:$T$604,"MERCADORIAS P/REVENDA",Report!$C$10:$C$604,A521)</f>
        <v>0</v>
      </c>
      <c r="F521" s="26" t="n">
        <f aca="false">B521+C521</f>
        <v>0</v>
      </c>
    </row>
    <row r="522" customFormat="false" ht="15" hidden="false" customHeight="true" outlineLevel="0" collapsed="false">
      <c r="A522" s="24" t="n">
        <v>46477</v>
      </c>
      <c r="B522" s="26" t="n">
        <f aca="false">SUMIFS(Report!$U$10:$U$604,Report!$T$10:$T$604,"&lt;&gt;"&amp;"MERCADORIAS P/REVENDA",Report!$C$10:$C$604,A522)</f>
        <v>0</v>
      </c>
      <c r="C522" s="26" t="n">
        <f aca="false">SUMIFS(Report!$U$10:$U$604,Report!$T$10:$T$604,"MERCADORIAS P/REVENDA",Report!$C$10:$C$604,A522)</f>
        <v>0</v>
      </c>
      <c r="F522" s="26" t="n">
        <f aca="false">B522+C522</f>
        <v>0</v>
      </c>
    </row>
    <row r="523" customFormat="false" ht="15" hidden="false" customHeight="true" outlineLevel="0" collapsed="false">
      <c r="A523" s="24" t="n">
        <v>46478</v>
      </c>
      <c r="B523" s="26" t="n">
        <f aca="false">SUMIFS(Report!$U$10:$U$604,Report!$T$10:$T$604,"&lt;&gt;"&amp;"MERCADORIAS P/REVENDA",Report!$C$10:$C$604,A523)</f>
        <v>0</v>
      </c>
      <c r="C523" s="26" t="n">
        <f aca="false">SUMIFS(Report!$U$10:$U$604,Report!$T$10:$T$604,"MERCADORIAS P/REVENDA",Report!$C$10:$C$604,A523)</f>
        <v>0</v>
      </c>
      <c r="F523" s="26" t="n">
        <f aca="false">B523+C523</f>
        <v>0</v>
      </c>
    </row>
    <row r="524" customFormat="false" ht="15" hidden="false" customHeight="true" outlineLevel="0" collapsed="false">
      <c r="A524" s="24" t="n">
        <v>46479</v>
      </c>
      <c r="B524" s="26" t="n">
        <f aca="false">SUMIFS(Report!$U$10:$U$604,Report!$T$10:$T$604,"&lt;&gt;"&amp;"MERCADORIAS P/REVENDA",Report!$C$10:$C$604,A524)</f>
        <v>0</v>
      </c>
      <c r="C524" s="26" t="n">
        <f aca="false">SUMIFS(Report!$U$10:$U$604,Report!$T$10:$T$604,"MERCADORIAS P/REVENDA",Report!$C$10:$C$604,A524)</f>
        <v>0</v>
      </c>
      <c r="F524" s="26" t="n">
        <f aca="false">B524+C524</f>
        <v>0</v>
      </c>
    </row>
    <row r="525" customFormat="false" ht="15" hidden="false" customHeight="true" outlineLevel="0" collapsed="false">
      <c r="A525" s="30" t="n">
        <v>46480</v>
      </c>
      <c r="B525" s="31" t="n">
        <f aca="false">SUMIFS(Report!$U$10:$U$604,Report!$T$10:$T$604,"&lt;&gt;"&amp;"MERCADORIAS P/REVENDA",Report!$C$10:$C$604,A525)</f>
        <v>0</v>
      </c>
      <c r="C525" s="31" t="n">
        <f aca="false">SUMIFS(Report!$U$10:$U$604,Report!$T$10:$T$604,"MERCADORIAS P/REVENDA",Report!$C$10:$C$604,A525)</f>
        <v>0</v>
      </c>
      <c r="F525" s="31" t="n">
        <f aca="false">B525+C525</f>
        <v>0</v>
      </c>
    </row>
    <row r="526" customFormat="false" ht="15" hidden="false" customHeight="true" outlineLevel="0" collapsed="false">
      <c r="A526" s="30" t="n">
        <v>46481</v>
      </c>
      <c r="B526" s="31" t="n">
        <f aca="false">SUMIFS(Report!$U$10:$U$604,Report!$T$10:$T$604,"&lt;&gt;"&amp;"MERCADORIAS P/REVENDA",Report!$C$10:$C$604,A526)</f>
        <v>0</v>
      </c>
      <c r="C526" s="31" t="n">
        <f aca="false">SUMIFS(Report!$U$10:$U$604,Report!$T$10:$T$604,"MERCADORIAS P/REVENDA",Report!$C$10:$C$604,A526)</f>
        <v>0</v>
      </c>
      <c r="F526" s="31" t="n">
        <f aca="false">B526+C526</f>
        <v>0</v>
      </c>
    </row>
    <row r="527" customFormat="false" ht="15" hidden="false" customHeight="true" outlineLevel="0" collapsed="false">
      <c r="A527" s="30" t="n">
        <v>46482</v>
      </c>
      <c r="B527" s="31" t="n">
        <f aca="false">SUMIFS(Report!$U$10:$U$604,Report!$T$10:$T$604,"&lt;&gt;"&amp;"MERCADORIAS P/REVENDA",Report!$C$10:$C$604,A527)</f>
        <v>0</v>
      </c>
      <c r="C527" s="31" t="n">
        <f aca="false">SUMIFS(Report!$U$10:$U$604,Report!$T$10:$T$604,"MERCADORIAS P/REVENDA",Report!$C$10:$C$604,A527)</f>
        <v>0</v>
      </c>
      <c r="F527" s="31" t="n">
        <f aca="false">B527+C527</f>
        <v>0</v>
      </c>
    </row>
    <row r="528" customFormat="false" ht="15" hidden="false" customHeight="true" outlineLevel="0" collapsed="false">
      <c r="A528" s="32" t="s">
        <v>735</v>
      </c>
      <c r="B528" s="33" t="n">
        <f aca="false">SUM(B521:B527)</f>
        <v>0</v>
      </c>
      <c r="C528" s="33" t="n">
        <f aca="false">SUM(C521:C527)</f>
        <v>0</v>
      </c>
      <c r="F528" s="33" t="n">
        <f aca="false">B528+C528</f>
        <v>0</v>
      </c>
    </row>
    <row r="529" customFormat="false" ht="15" hidden="false" customHeight="true" outlineLevel="0" collapsed="false">
      <c r="A529" s="24" t="n">
        <v>46483</v>
      </c>
      <c r="B529" s="26" t="n">
        <f aca="false">SUMIFS(Report!$U$10:$U$604,Report!$T$10:$T$604,"&lt;&gt;"&amp;"MERCADORIAS P/REVENDA",Report!$C$10:$C$604,A529)</f>
        <v>0</v>
      </c>
      <c r="C529" s="26" t="n">
        <f aca="false">SUMIFS(Report!$U$10:$U$604,Report!$T$10:$T$604,"MERCADORIAS P/REVENDA",Report!$C$10:$C$604,A529)</f>
        <v>0</v>
      </c>
      <c r="F529" s="26" t="n">
        <f aca="false">B529+C529</f>
        <v>0</v>
      </c>
    </row>
    <row r="530" customFormat="false" ht="15" hidden="false" customHeight="true" outlineLevel="0" collapsed="false">
      <c r="A530" s="24" t="n">
        <v>46484</v>
      </c>
      <c r="B530" s="26" t="n">
        <f aca="false">SUMIFS(Report!$U$10:$U$604,Report!$T$10:$T$604,"&lt;&gt;"&amp;"MERCADORIAS P/REVENDA",Report!$C$10:$C$604,A530)</f>
        <v>0</v>
      </c>
      <c r="C530" s="26" t="n">
        <f aca="false">SUMIFS(Report!$U$10:$U$604,Report!$T$10:$T$604,"MERCADORIAS P/REVENDA",Report!$C$10:$C$604,A530)</f>
        <v>0</v>
      </c>
      <c r="F530" s="26" t="n">
        <f aca="false">B530+C530</f>
        <v>0</v>
      </c>
    </row>
    <row r="531" customFormat="false" ht="15" hidden="false" customHeight="true" outlineLevel="0" collapsed="false">
      <c r="A531" s="24" t="n">
        <v>46485</v>
      </c>
      <c r="B531" s="26" t="n">
        <f aca="false">SUMIFS(Report!$U$10:$U$604,Report!$T$10:$T$604,"&lt;&gt;"&amp;"MERCADORIAS P/REVENDA",Report!$C$10:$C$604,A531)</f>
        <v>0</v>
      </c>
      <c r="C531" s="26" t="n">
        <f aca="false">SUMIFS(Report!$U$10:$U$604,Report!$T$10:$T$604,"MERCADORIAS P/REVENDA",Report!$C$10:$C$604,A531)</f>
        <v>0</v>
      </c>
      <c r="F531" s="26" t="n">
        <f aca="false">B531+C531</f>
        <v>0</v>
      </c>
    </row>
    <row r="532" customFormat="false" ht="15" hidden="false" customHeight="true" outlineLevel="0" collapsed="false">
      <c r="A532" s="24" t="n">
        <v>46486</v>
      </c>
      <c r="B532" s="26" t="n">
        <f aca="false">SUMIFS(Report!$U$10:$U$604,Report!$T$10:$T$604,"&lt;&gt;"&amp;"MERCADORIAS P/REVENDA",Report!$C$10:$C$604,A532)</f>
        <v>0</v>
      </c>
      <c r="C532" s="26" t="n">
        <f aca="false">SUMIFS(Report!$U$10:$U$604,Report!$T$10:$T$604,"MERCADORIAS P/REVENDA",Report!$C$10:$C$604,A532)</f>
        <v>0</v>
      </c>
      <c r="F532" s="26" t="n">
        <f aca="false">B532+C532</f>
        <v>0</v>
      </c>
    </row>
    <row r="533" customFormat="false" ht="15" hidden="false" customHeight="true" outlineLevel="0" collapsed="false">
      <c r="A533" s="30" t="n">
        <v>46487</v>
      </c>
      <c r="B533" s="31" t="n">
        <f aca="false">SUMIFS(Report!$U$10:$U$604,Report!$T$10:$T$604,"&lt;&gt;"&amp;"MERCADORIAS P/REVENDA",Report!$C$10:$C$604,A533)</f>
        <v>0</v>
      </c>
      <c r="C533" s="31" t="n">
        <f aca="false">SUMIFS(Report!$U$10:$U$604,Report!$T$10:$T$604,"MERCADORIAS P/REVENDA",Report!$C$10:$C$604,A533)</f>
        <v>0</v>
      </c>
      <c r="F533" s="31" t="n">
        <f aca="false">B533+C533</f>
        <v>0</v>
      </c>
    </row>
    <row r="534" customFormat="false" ht="15" hidden="false" customHeight="true" outlineLevel="0" collapsed="false">
      <c r="A534" s="30" t="n">
        <v>46488</v>
      </c>
      <c r="B534" s="31" t="n">
        <f aca="false">SUMIFS(Report!$U$10:$U$604,Report!$T$10:$T$604,"&lt;&gt;"&amp;"MERCADORIAS P/REVENDA",Report!$C$10:$C$604,A534)</f>
        <v>0</v>
      </c>
      <c r="C534" s="31" t="n">
        <f aca="false">SUMIFS(Report!$U$10:$U$604,Report!$T$10:$T$604,"MERCADORIAS P/REVENDA",Report!$C$10:$C$604,A534)</f>
        <v>0</v>
      </c>
      <c r="F534" s="31" t="n">
        <f aca="false">B534+C534</f>
        <v>0</v>
      </c>
    </row>
    <row r="535" customFormat="false" ht="15" hidden="false" customHeight="true" outlineLevel="0" collapsed="false">
      <c r="A535" s="30" t="n">
        <v>46489</v>
      </c>
      <c r="B535" s="31" t="n">
        <f aca="false">SUMIFS(Report!$U$10:$U$604,Report!$T$10:$T$604,"&lt;&gt;"&amp;"MERCADORIAS P/REVENDA",Report!$C$10:$C$604,A535)</f>
        <v>0</v>
      </c>
      <c r="C535" s="31" t="n">
        <f aca="false">SUMIFS(Report!$U$10:$U$604,Report!$T$10:$T$604,"MERCADORIAS P/REVENDA",Report!$C$10:$C$604,A535)</f>
        <v>0</v>
      </c>
      <c r="F535" s="31" t="n">
        <f aca="false">B535+C535</f>
        <v>0</v>
      </c>
    </row>
    <row r="536" customFormat="false" ht="15" hidden="false" customHeight="true" outlineLevel="0" collapsed="false">
      <c r="A536" s="32" t="s">
        <v>736</v>
      </c>
      <c r="B536" s="33" t="n">
        <f aca="false">SUM(B529:B535)</f>
        <v>0</v>
      </c>
      <c r="C536" s="33" t="n">
        <f aca="false">SUM(C529:C535)</f>
        <v>0</v>
      </c>
      <c r="F536" s="33" t="n">
        <f aca="false">B536+C536</f>
        <v>0</v>
      </c>
    </row>
    <row r="537" customFormat="false" ht="15" hidden="false" customHeight="true" outlineLevel="0" collapsed="false">
      <c r="A537" s="24" t="n">
        <v>46490</v>
      </c>
      <c r="B537" s="26" t="n">
        <f aca="false">SUMIFS(Report!$U$10:$U$604,Report!$T$10:$T$604,"&lt;&gt;"&amp;"MERCADORIAS P/REVENDA",Report!$C$10:$C$604,A537)</f>
        <v>0</v>
      </c>
      <c r="C537" s="26" t="n">
        <f aca="false">SUMIFS(Report!$U$10:$U$604,Report!$T$10:$T$604,"MERCADORIAS P/REVENDA",Report!$C$10:$C$604,A537)</f>
        <v>0</v>
      </c>
      <c r="F537" s="26" t="n">
        <f aca="false">B537+C537</f>
        <v>0</v>
      </c>
    </row>
    <row r="538" customFormat="false" ht="15" hidden="false" customHeight="true" outlineLevel="0" collapsed="false">
      <c r="A538" s="24" t="n">
        <v>46491</v>
      </c>
      <c r="B538" s="26" t="n">
        <f aca="false">SUMIFS(Report!$U$10:$U$604,Report!$T$10:$T$604,"&lt;&gt;"&amp;"MERCADORIAS P/REVENDA",Report!$C$10:$C$604,A538)</f>
        <v>0</v>
      </c>
      <c r="C538" s="26" t="n">
        <f aca="false">SUMIFS(Report!$U$10:$U$604,Report!$T$10:$T$604,"MERCADORIAS P/REVENDA",Report!$C$10:$C$604,A538)</f>
        <v>0</v>
      </c>
      <c r="F538" s="26" t="n">
        <f aca="false">B538+C538</f>
        <v>0</v>
      </c>
    </row>
    <row r="539" customFormat="false" ht="15" hidden="false" customHeight="true" outlineLevel="0" collapsed="false">
      <c r="A539" s="24" t="n">
        <v>46492</v>
      </c>
      <c r="B539" s="26" t="n">
        <f aca="false">SUMIFS(Report!$U$10:$U$604,Report!$T$10:$T$604,"&lt;&gt;"&amp;"MERCADORIAS P/REVENDA",Report!$C$10:$C$604,A539)</f>
        <v>0</v>
      </c>
      <c r="C539" s="26" t="n">
        <f aca="false">SUMIFS(Report!$U$10:$U$604,Report!$T$10:$T$604,"MERCADORIAS P/REVENDA",Report!$C$10:$C$604,A539)</f>
        <v>0</v>
      </c>
      <c r="F539" s="26" t="n">
        <f aca="false">B539+C539</f>
        <v>0</v>
      </c>
    </row>
    <row r="540" customFormat="false" ht="15" hidden="false" customHeight="true" outlineLevel="0" collapsed="false">
      <c r="A540" s="24" t="n">
        <v>46493</v>
      </c>
      <c r="B540" s="26" t="n">
        <f aca="false">SUMIFS(Report!$U$10:$U$604,Report!$T$10:$T$604,"&lt;&gt;"&amp;"MERCADORIAS P/REVENDA",Report!$C$10:$C$604,A540)</f>
        <v>0</v>
      </c>
      <c r="C540" s="26" t="n">
        <f aca="false">SUMIFS(Report!$U$10:$U$604,Report!$T$10:$T$604,"MERCADORIAS P/REVENDA",Report!$C$10:$C$604,A540)</f>
        <v>0</v>
      </c>
      <c r="F540" s="26" t="n">
        <f aca="false">B540+C540</f>
        <v>0</v>
      </c>
    </row>
    <row r="541" customFormat="false" ht="15" hidden="false" customHeight="true" outlineLevel="0" collapsed="false">
      <c r="A541" s="30" t="n">
        <v>46494</v>
      </c>
      <c r="B541" s="31" t="n">
        <f aca="false">SUMIFS(Report!$U$10:$U$604,Report!$T$10:$T$604,"&lt;&gt;"&amp;"MERCADORIAS P/REVENDA",Report!$C$10:$C$604,A541)</f>
        <v>0</v>
      </c>
      <c r="C541" s="31" t="n">
        <f aca="false">SUMIFS(Report!$U$10:$U$604,Report!$T$10:$T$604,"MERCADORIAS P/REVENDA",Report!$C$10:$C$604,A541)</f>
        <v>0</v>
      </c>
      <c r="F541" s="31" t="n">
        <f aca="false">B541+C541</f>
        <v>0</v>
      </c>
    </row>
    <row r="542" customFormat="false" ht="15" hidden="false" customHeight="true" outlineLevel="0" collapsed="false">
      <c r="A542" s="30" t="n">
        <v>46495</v>
      </c>
      <c r="B542" s="31" t="n">
        <f aca="false">SUMIFS(Report!$U$10:$U$604,Report!$T$10:$T$604,"&lt;&gt;"&amp;"MERCADORIAS P/REVENDA",Report!$C$10:$C$604,A542)</f>
        <v>0</v>
      </c>
      <c r="C542" s="31" t="n">
        <f aca="false">SUMIFS(Report!$U$10:$U$604,Report!$T$10:$T$604,"MERCADORIAS P/REVENDA",Report!$C$10:$C$604,A542)</f>
        <v>0</v>
      </c>
      <c r="F542" s="31" t="n">
        <f aca="false">B542+C542</f>
        <v>0</v>
      </c>
    </row>
    <row r="543" customFormat="false" ht="15" hidden="false" customHeight="true" outlineLevel="0" collapsed="false">
      <c r="A543" s="30" t="n">
        <v>46496</v>
      </c>
      <c r="B543" s="31" t="n">
        <f aca="false">SUMIFS(Report!$U$10:$U$604,Report!$T$10:$T$604,"&lt;&gt;"&amp;"MERCADORIAS P/REVENDA",Report!$C$10:$C$604,A543)</f>
        <v>0</v>
      </c>
      <c r="C543" s="31" t="n">
        <f aca="false">SUMIFS(Report!$U$10:$U$604,Report!$T$10:$T$604,"MERCADORIAS P/REVENDA",Report!$C$10:$C$604,A543)</f>
        <v>0</v>
      </c>
      <c r="F543" s="31" t="n">
        <f aca="false">B543+C543</f>
        <v>0</v>
      </c>
    </row>
    <row r="544" customFormat="false" ht="15" hidden="false" customHeight="true" outlineLevel="0" collapsed="false">
      <c r="A544" s="32" t="s">
        <v>737</v>
      </c>
      <c r="B544" s="33" t="n">
        <f aca="false">SUM(B537:B543)</f>
        <v>0</v>
      </c>
      <c r="C544" s="33" t="n">
        <f aca="false">SUM(C537:C543)</f>
        <v>0</v>
      </c>
      <c r="F544" s="33" t="n">
        <f aca="false">B544+C544</f>
        <v>0</v>
      </c>
    </row>
    <row r="545" customFormat="false" ht="15" hidden="false" customHeight="true" outlineLevel="0" collapsed="false">
      <c r="A545" s="24" t="n">
        <v>46497</v>
      </c>
      <c r="B545" s="26" t="n">
        <f aca="false">SUMIFS(Report!$U$10:$U$604,Report!$T$10:$T$604,"&lt;&gt;"&amp;"MERCADORIAS P/REVENDA",Report!$C$10:$C$604,A545)</f>
        <v>0</v>
      </c>
      <c r="C545" s="26" t="n">
        <f aca="false">SUMIFS(Report!$U$10:$U$604,Report!$T$10:$T$604,"MERCADORIAS P/REVENDA",Report!$C$10:$C$604,A545)</f>
        <v>0</v>
      </c>
      <c r="F545" s="26" t="n">
        <f aca="false">B545+C545</f>
        <v>0</v>
      </c>
    </row>
    <row r="546" customFormat="false" ht="15" hidden="false" customHeight="true" outlineLevel="0" collapsed="false">
      <c r="A546" s="24" t="n">
        <v>46498</v>
      </c>
      <c r="B546" s="26" t="n">
        <f aca="false">SUMIFS(Report!$U$10:$U$604,Report!$T$10:$T$604,"&lt;&gt;"&amp;"MERCADORIAS P/REVENDA",Report!$C$10:$C$604,A546)</f>
        <v>0</v>
      </c>
      <c r="C546" s="26" t="n">
        <f aca="false">SUMIFS(Report!$U$10:$U$604,Report!$T$10:$T$604,"MERCADORIAS P/REVENDA",Report!$C$10:$C$604,A546)</f>
        <v>0</v>
      </c>
      <c r="F546" s="26" t="n">
        <f aca="false">B546+C546</f>
        <v>0</v>
      </c>
    </row>
    <row r="547" customFormat="false" ht="15" hidden="false" customHeight="true" outlineLevel="0" collapsed="false">
      <c r="A547" s="24" t="n">
        <v>46499</v>
      </c>
      <c r="B547" s="26" t="n">
        <f aca="false">SUMIFS(Report!$U$10:$U$604,Report!$T$10:$T$604,"&lt;&gt;"&amp;"MERCADORIAS P/REVENDA",Report!$C$10:$C$604,A547)</f>
        <v>0</v>
      </c>
      <c r="C547" s="26" t="n">
        <f aca="false">SUMIFS(Report!$U$10:$U$604,Report!$T$10:$T$604,"MERCADORIAS P/REVENDA",Report!$C$10:$C$604,A547)</f>
        <v>0</v>
      </c>
      <c r="F547" s="26" t="n">
        <f aca="false">B547+C547</f>
        <v>0</v>
      </c>
    </row>
    <row r="548" customFormat="false" ht="15" hidden="false" customHeight="true" outlineLevel="0" collapsed="false">
      <c r="A548" s="24" t="n">
        <v>46500</v>
      </c>
      <c r="B548" s="26" t="n">
        <f aca="false">SUMIFS(Report!$U$10:$U$604,Report!$T$10:$T$604,"&lt;&gt;"&amp;"MERCADORIAS P/REVENDA",Report!$C$10:$C$604,A548)</f>
        <v>0</v>
      </c>
      <c r="C548" s="26" t="n">
        <f aca="false">SUMIFS(Report!$U$10:$U$604,Report!$T$10:$T$604,"MERCADORIAS P/REVENDA",Report!$C$10:$C$604,A548)</f>
        <v>0</v>
      </c>
      <c r="F548" s="26" t="n">
        <f aca="false">B548+C548</f>
        <v>0</v>
      </c>
    </row>
    <row r="549" customFormat="false" ht="15" hidden="false" customHeight="true" outlineLevel="0" collapsed="false">
      <c r="A549" s="30" t="n">
        <v>46501</v>
      </c>
      <c r="B549" s="31" t="n">
        <f aca="false">SUMIFS(Report!$U$10:$U$604,Report!$T$10:$T$604,"&lt;&gt;"&amp;"MERCADORIAS P/REVENDA",Report!$C$10:$C$604,A549)</f>
        <v>0</v>
      </c>
      <c r="C549" s="31" t="n">
        <f aca="false">SUMIFS(Report!$U$10:$U$604,Report!$T$10:$T$604,"MERCADORIAS P/REVENDA",Report!$C$10:$C$604,A549)</f>
        <v>0</v>
      </c>
      <c r="F549" s="31" t="n">
        <f aca="false">B549+C549</f>
        <v>0</v>
      </c>
    </row>
    <row r="550" customFormat="false" ht="15" hidden="false" customHeight="true" outlineLevel="0" collapsed="false">
      <c r="A550" s="30" t="n">
        <v>46502</v>
      </c>
      <c r="B550" s="31" t="n">
        <f aca="false">SUMIFS(Report!$U$10:$U$604,Report!$T$10:$T$604,"&lt;&gt;"&amp;"MERCADORIAS P/REVENDA",Report!$C$10:$C$604,A550)</f>
        <v>0</v>
      </c>
      <c r="C550" s="31" t="n">
        <f aca="false">SUMIFS(Report!$U$10:$U$604,Report!$T$10:$T$604,"MERCADORIAS P/REVENDA",Report!$C$10:$C$604,A550)</f>
        <v>0</v>
      </c>
      <c r="F550" s="31" t="n">
        <f aca="false">B550+C550</f>
        <v>0</v>
      </c>
    </row>
    <row r="551" customFormat="false" ht="15" hidden="false" customHeight="true" outlineLevel="0" collapsed="false">
      <c r="A551" s="30" t="n">
        <v>46503</v>
      </c>
      <c r="B551" s="31" t="n">
        <f aca="false">SUMIFS(Report!$U$10:$U$604,Report!$T$10:$T$604,"&lt;&gt;"&amp;"MERCADORIAS P/REVENDA",Report!$C$10:$C$604,A551)</f>
        <v>0</v>
      </c>
      <c r="C551" s="31" t="n">
        <f aca="false">SUMIFS(Report!$U$10:$U$604,Report!$T$10:$T$604,"MERCADORIAS P/REVENDA",Report!$C$10:$C$604,A551)</f>
        <v>0</v>
      </c>
      <c r="F551" s="31" t="n">
        <f aca="false">B551+C551</f>
        <v>0</v>
      </c>
    </row>
    <row r="552" customFormat="false" ht="15" hidden="false" customHeight="true" outlineLevel="0" collapsed="false">
      <c r="A552" s="32" t="s">
        <v>738</v>
      </c>
      <c r="B552" s="33" t="n">
        <f aca="false">SUM(B545:B551)</f>
        <v>0</v>
      </c>
      <c r="C552" s="33" t="n">
        <f aca="false">SUM(C545:C551)</f>
        <v>0</v>
      </c>
      <c r="F552" s="33" t="n">
        <f aca="false">B552+C552</f>
        <v>0</v>
      </c>
    </row>
    <row r="553" customFormat="false" ht="15" hidden="false" customHeight="true" outlineLevel="0" collapsed="false">
      <c r="A553" s="24" t="n">
        <v>46504</v>
      </c>
      <c r="B553" s="26" t="n">
        <f aca="false">SUMIFS(Report!$U$10:$U$604,Report!$T$10:$T$604,"&lt;&gt;"&amp;"MERCADORIAS P/REVENDA",Report!$C$10:$C$604,A553)</f>
        <v>0</v>
      </c>
      <c r="C553" s="26" t="n">
        <f aca="false">SUMIFS(Report!$U$10:$U$604,Report!$T$10:$T$604,"MERCADORIAS P/REVENDA",Report!$C$10:$C$604,A553)</f>
        <v>0</v>
      </c>
      <c r="F553" s="26" t="n">
        <f aca="false">B553+C553</f>
        <v>0</v>
      </c>
    </row>
    <row r="554" customFormat="false" ht="15" hidden="false" customHeight="true" outlineLevel="0" collapsed="false">
      <c r="A554" s="24" t="n">
        <v>46505</v>
      </c>
      <c r="B554" s="26" t="n">
        <f aca="false">SUMIFS(Report!$U$10:$U$604,Report!$T$10:$T$604,"&lt;&gt;"&amp;"MERCADORIAS P/REVENDA",Report!$C$10:$C$604,A554)</f>
        <v>0</v>
      </c>
      <c r="C554" s="26" t="n">
        <f aca="false">SUMIFS(Report!$U$10:$U$604,Report!$T$10:$T$604,"MERCADORIAS P/REVENDA",Report!$C$10:$C$604,A554)</f>
        <v>0</v>
      </c>
      <c r="F554" s="26" t="n">
        <f aca="false">B554+C554</f>
        <v>0</v>
      </c>
    </row>
    <row r="555" customFormat="false" ht="15" hidden="false" customHeight="true" outlineLevel="0" collapsed="false">
      <c r="A555" s="24" t="n">
        <v>46506</v>
      </c>
      <c r="B555" s="26" t="n">
        <f aca="false">SUMIFS(Report!$U$10:$U$604,Report!$T$10:$T$604,"&lt;&gt;"&amp;"MERCADORIAS P/REVENDA",Report!$C$10:$C$604,A555)</f>
        <v>0</v>
      </c>
      <c r="C555" s="26" t="n">
        <f aca="false">SUMIFS(Report!$U$10:$U$604,Report!$T$10:$T$604,"MERCADORIAS P/REVENDA",Report!$C$10:$C$604,A555)</f>
        <v>0</v>
      </c>
      <c r="F555" s="26" t="n">
        <f aca="false">B555+C555</f>
        <v>0</v>
      </c>
    </row>
    <row r="556" customFormat="false" ht="15" hidden="false" customHeight="true" outlineLevel="0" collapsed="false">
      <c r="A556" s="24" t="n">
        <v>46507</v>
      </c>
      <c r="B556" s="26" t="n">
        <f aca="false">SUMIFS(Report!$U$10:$U$604,Report!$T$10:$T$604,"&lt;&gt;"&amp;"MERCADORIAS P/REVENDA",Report!$C$10:$C$604,A556)</f>
        <v>0</v>
      </c>
      <c r="C556" s="26" t="n">
        <f aca="false">SUMIFS(Report!$U$10:$U$604,Report!$T$10:$T$604,"MERCADORIAS P/REVENDA",Report!$C$10:$C$604,A556)</f>
        <v>0</v>
      </c>
      <c r="F556" s="26" t="n">
        <f aca="false">B556+C556</f>
        <v>0</v>
      </c>
    </row>
    <row r="557" customFormat="false" ht="15" hidden="false" customHeight="true" outlineLevel="0" collapsed="false">
      <c r="A557" s="30" t="n">
        <v>46508</v>
      </c>
      <c r="B557" s="31" t="n">
        <f aca="false">SUMIFS(Report!$U$10:$U$604,Report!$T$10:$T$604,"&lt;&gt;"&amp;"MERCADORIAS P/REVENDA",Report!$C$10:$C$604,A557)</f>
        <v>0</v>
      </c>
      <c r="C557" s="31" t="n">
        <f aca="false">SUMIFS(Report!$U$10:$U$604,Report!$T$10:$T$604,"MERCADORIAS P/REVENDA",Report!$C$10:$C$604,A557)</f>
        <v>0</v>
      </c>
      <c r="F557" s="31" t="n">
        <f aca="false">B557+C557</f>
        <v>0</v>
      </c>
    </row>
    <row r="558" customFormat="false" ht="15" hidden="false" customHeight="true" outlineLevel="0" collapsed="false">
      <c r="A558" s="30" t="n">
        <v>46509</v>
      </c>
      <c r="B558" s="31" t="n">
        <f aca="false">SUMIFS(Report!$U$10:$U$604,Report!$T$10:$T$604,"&lt;&gt;"&amp;"MERCADORIAS P/REVENDA",Report!$C$10:$C$604,A558)</f>
        <v>0</v>
      </c>
      <c r="C558" s="31" t="n">
        <f aca="false">SUMIFS(Report!$U$10:$U$604,Report!$T$10:$T$604,"MERCADORIAS P/REVENDA",Report!$C$10:$C$604,A558)</f>
        <v>0</v>
      </c>
      <c r="F558" s="31" t="n">
        <f aca="false">B558+C558</f>
        <v>0</v>
      </c>
    </row>
    <row r="559" customFormat="false" ht="15" hidden="false" customHeight="true" outlineLevel="0" collapsed="false">
      <c r="A559" s="30" t="n">
        <v>46510</v>
      </c>
      <c r="B559" s="31" t="n">
        <f aca="false">SUMIFS(Report!$U$10:$U$604,Report!$T$10:$T$604,"&lt;&gt;"&amp;"MERCADORIAS P/REVENDA",Report!$C$10:$C$604,A559)</f>
        <v>0</v>
      </c>
      <c r="C559" s="31" t="n">
        <f aca="false">SUMIFS(Report!$U$10:$U$604,Report!$T$10:$T$604,"MERCADORIAS P/REVENDA",Report!$C$10:$C$604,A559)</f>
        <v>0</v>
      </c>
      <c r="F559" s="31" t="n">
        <f aca="false">B559+C559</f>
        <v>0</v>
      </c>
    </row>
    <row r="560" customFormat="false" ht="15" hidden="false" customHeight="true" outlineLevel="0" collapsed="false">
      <c r="A560" s="32" t="s">
        <v>739</v>
      </c>
      <c r="B560" s="33" t="n">
        <f aca="false">SUM(B553:B559)</f>
        <v>0</v>
      </c>
      <c r="C560" s="33" t="n">
        <f aca="false">SUM(C553:C559)</f>
        <v>0</v>
      </c>
      <c r="F560" s="33" t="n">
        <f aca="false">B560+C560</f>
        <v>0</v>
      </c>
    </row>
    <row r="561" customFormat="false" ht="15" hidden="false" customHeight="true" outlineLevel="0" collapsed="false">
      <c r="A561" s="24" t="n">
        <v>46511</v>
      </c>
      <c r="B561" s="26" t="n">
        <f aca="false">SUMIFS(Report!$U$10:$U$604,Report!$T$10:$T$604,"&lt;&gt;"&amp;"MERCADORIAS P/REVENDA",Report!$C$10:$C$604,A561)</f>
        <v>0</v>
      </c>
      <c r="C561" s="26" t="n">
        <f aca="false">SUMIFS(Report!$U$10:$U$604,Report!$T$10:$T$604,"MERCADORIAS P/REVENDA",Report!$C$10:$C$604,A561)</f>
        <v>0</v>
      </c>
      <c r="F561" s="26" t="n">
        <f aca="false">B561+C561</f>
        <v>0</v>
      </c>
    </row>
    <row r="562" customFormat="false" ht="15" hidden="false" customHeight="true" outlineLevel="0" collapsed="false">
      <c r="A562" s="24" t="n">
        <v>46512</v>
      </c>
      <c r="B562" s="26" t="n">
        <f aca="false">SUMIFS(Report!$U$10:$U$604,Report!$T$10:$T$604,"&lt;&gt;"&amp;"MERCADORIAS P/REVENDA",Report!$C$10:$C$604,A562)</f>
        <v>0</v>
      </c>
      <c r="C562" s="26" t="n">
        <f aca="false">SUMIFS(Report!$U$10:$U$604,Report!$T$10:$T$604,"MERCADORIAS P/REVENDA",Report!$C$10:$C$604,A562)</f>
        <v>0</v>
      </c>
      <c r="F562" s="26" t="n">
        <f aca="false">B562+C562</f>
        <v>0</v>
      </c>
    </row>
    <row r="563" customFormat="false" ht="15" hidden="false" customHeight="true" outlineLevel="0" collapsed="false">
      <c r="A563" s="24" t="n">
        <v>46513</v>
      </c>
      <c r="B563" s="26" t="n">
        <f aca="false">SUMIFS(Report!$U$10:$U$604,Report!$T$10:$T$604,"&lt;&gt;"&amp;"MERCADORIAS P/REVENDA",Report!$C$10:$C$604,A563)</f>
        <v>0</v>
      </c>
      <c r="C563" s="26" t="n">
        <f aca="false">SUMIFS(Report!$U$10:$U$604,Report!$T$10:$T$604,"MERCADORIAS P/REVENDA",Report!$C$10:$C$604,A563)</f>
        <v>0</v>
      </c>
      <c r="F563" s="26" t="n">
        <f aca="false">B563+C563</f>
        <v>0</v>
      </c>
    </row>
    <row r="564" customFormat="false" ht="15" hidden="false" customHeight="true" outlineLevel="0" collapsed="false">
      <c r="A564" s="24" t="n">
        <v>46514</v>
      </c>
      <c r="B564" s="26" t="n">
        <f aca="false">SUMIFS(Report!$U$10:$U$604,Report!$T$10:$T$604,"&lt;&gt;"&amp;"MERCADORIAS P/REVENDA",Report!$C$10:$C$604,A564)</f>
        <v>0</v>
      </c>
      <c r="C564" s="26" t="n">
        <f aca="false">SUMIFS(Report!$U$10:$U$604,Report!$T$10:$T$604,"MERCADORIAS P/REVENDA",Report!$C$10:$C$604,A564)</f>
        <v>0</v>
      </c>
      <c r="F564" s="26" t="n">
        <f aca="false">B564+C564</f>
        <v>0</v>
      </c>
    </row>
    <row r="565" customFormat="false" ht="15" hidden="false" customHeight="true" outlineLevel="0" collapsed="false">
      <c r="A565" s="30" t="n">
        <v>46515</v>
      </c>
      <c r="B565" s="31" t="n">
        <f aca="false">SUMIFS(Report!$U$10:$U$604,Report!$T$10:$T$604,"&lt;&gt;"&amp;"MERCADORIAS P/REVENDA",Report!$C$10:$C$604,A565)</f>
        <v>0</v>
      </c>
      <c r="C565" s="31" t="n">
        <f aca="false">SUMIFS(Report!$U$10:$U$604,Report!$T$10:$T$604,"MERCADORIAS P/REVENDA",Report!$C$10:$C$604,A565)</f>
        <v>0</v>
      </c>
      <c r="F565" s="31" t="n">
        <f aca="false">B565+C565</f>
        <v>0</v>
      </c>
    </row>
    <row r="566" customFormat="false" ht="15" hidden="false" customHeight="true" outlineLevel="0" collapsed="false">
      <c r="A566" s="30" t="n">
        <v>46516</v>
      </c>
      <c r="B566" s="31" t="n">
        <f aca="false">SUMIFS(Report!$U$10:$U$604,Report!$T$10:$T$604,"&lt;&gt;"&amp;"MERCADORIAS P/REVENDA",Report!$C$10:$C$604,A566)</f>
        <v>0</v>
      </c>
      <c r="C566" s="31" t="n">
        <f aca="false">SUMIFS(Report!$U$10:$U$604,Report!$T$10:$T$604,"MERCADORIAS P/REVENDA",Report!$C$10:$C$604,A566)</f>
        <v>0</v>
      </c>
      <c r="F566" s="31" t="n">
        <f aca="false">B566+C566</f>
        <v>0</v>
      </c>
    </row>
    <row r="567" customFormat="false" ht="15" hidden="false" customHeight="true" outlineLevel="0" collapsed="false">
      <c r="A567" s="30" t="n">
        <v>46517</v>
      </c>
      <c r="B567" s="31" t="n">
        <f aca="false">SUMIFS(Report!$U$10:$U$604,Report!$T$10:$T$604,"&lt;&gt;"&amp;"MERCADORIAS P/REVENDA",Report!$C$10:$C$604,A567)</f>
        <v>0</v>
      </c>
      <c r="C567" s="31" t="n">
        <f aca="false">SUMIFS(Report!$U$10:$U$604,Report!$T$10:$T$604,"MERCADORIAS P/REVENDA",Report!$C$10:$C$604,A567)</f>
        <v>0</v>
      </c>
      <c r="F567" s="31" t="n">
        <f aca="false">B567+C567</f>
        <v>0</v>
      </c>
    </row>
    <row r="568" customFormat="false" ht="15" hidden="false" customHeight="true" outlineLevel="0" collapsed="false">
      <c r="A568" s="32" t="s">
        <v>740</v>
      </c>
      <c r="B568" s="33" t="n">
        <f aca="false">SUM(B561:B567)</f>
        <v>0</v>
      </c>
      <c r="C568" s="33" t="n">
        <f aca="false">SUM(C561:C567)</f>
        <v>0</v>
      </c>
      <c r="F568" s="33" t="n">
        <f aca="false">B568+C568</f>
        <v>0</v>
      </c>
    </row>
    <row r="569" customFormat="false" ht="15" hidden="false" customHeight="true" outlineLevel="0" collapsed="false">
      <c r="A569" s="24" t="n">
        <v>46518</v>
      </c>
      <c r="B569" s="26" t="n">
        <f aca="false">SUMIFS(Report!$U$10:$U$604,Report!$T$10:$T$604,"&lt;&gt;"&amp;"MERCADORIAS P/REVENDA",Report!$C$10:$C$604,A569)</f>
        <v>0</v>
      </c>
      <c r="C569" s="26" t="n">
        <f aca="false">SUMIFS(Report!$U$10:$U$604,Report!$T$10:$T$604,"MERCADORIAS P/REVENDA",Report!$C$10:$C$604,A569)</f>
        <v>0</v>
      </c>
      <c r="F569" s="26" t="n">
        <f aca="false">B569+C569</f>
        <v>0</v>
      </c>
    </row>
    <row r="570" customFormat="false" ht="15" hidden="false" customHeight="true" outlineLevel="0" collapsed="false">
      <c r="A570" s="24" t="n">
        <v>46519</v>
      </c>
      <c r="B570" s="26" t="n">
        <f aca="false">SUMIFS(Report!$U$10:$U$604,Report!$T$10:$T$604,"&lt;&gt;"&amp;"MERCADORIAS P/REVENDA",Report!$C$10:$C$604,A570)</f>
        <v>0</v>
      </c>
      <c r="C570" s="26" t="n">
        <f aca="false">SUMIFS(Report!$U$10:$U$604,Report!$T$10:$T$604,"MERCADORIAS P/REVENDA",Report!$C$10:$C$604,A570)</f>
        <v>0</v>
      </c>
      <c r="F570" s="26" t="n">
        <f aca="false">B570+C570</f>
        <v>0</v>
      </c>
    </row>
    <row r="571" customFormat="false" ht="15" hidden="false" customHeight="true" outlineLevel="0" collapsed="false">
      <c r="A571" s="24" t="n">
        <v>46520</v>
      </c>
      <c r="B571" s="26" t="n">
        <f aca="false">SUMIFS(Report!$U$10:$U$604,Report!$T$10:$T$604,"&lt;&gt;"&amp;"MERCADORIAS P/REVENDA",Report!$C$10:$C$604,A571)</f>
        <v>0</v>
      </c>
      <c r="C571" s="26" t="n">
        <f aca="false">SUMIFS(Report!$U$10:$U$604,Report!$T$10:$T$604,"MERCADORIAS P/REVENDA",Report!$C$10:$C$604,A571)</f>
        <v>0</v>
      </c>
      <c r="F571" s="26" t="n">
        <f aca="false">B571+C571</f>
        <v>0</v>
      </c>
    </row>
    <row r="572" customFormat="false" ht="15" hidden="false" customHeight="true" outlineLevel="0" collapsed="false">
      <c r="A572" s="24" t="n">
        <v>46521</v>
      </c>
      <c r="B572" s="26" t="n">
        <f aca="false">SUMIFS(Report!$U$10:$U$604,Report!$T$10:$T$604,"&lt;&gt;"&amp;"MERCADORIAS P/REVENDA",Report!$C$10:$C$604,A572)</f>
        <v>0</v>
      </c>
      <c r="C572" s="26" t="n">
        <f aca="false">SUMIFS(Report!$U$10:$U$604,Report!$T$10:$T$604,"MERCADORIAS P/REVENDA",Report!$C$10:$C$604,A572)</f>
        <v>0</v>
      </c>
      <c r="F572" s="26" t="n">
        <f aca="false">B572+C572</f>
        <v>0</v>
      </c>
    </row>
    <row r="573" customFormat="false" ht="15" hidden="false" customHeight="true" outlineLevel="0" collapsed="false">
      <c r="A573" s="30" t="n">
        <v>46522</v>
      </c>
      <c r="B573" s="31" t="n">
        <f aca="false">SUMIFS(Report!$U$10:$U$604,Report!$T$10:$T$604,"&lt;&gt;"&amp;"MERCADORIAS P/REVENDA",Report!$C$10:$C$604,A573)</f>
        <v>0</v>
      </c>
      <c r="C573" s="31" t="n">
        <f aca="false">SUMIFS(Report!$U$10:$U$604,Report!$T$10:$T$604,"MERCADORIAS P/REVENDA",Report!$C$10:$C$604,A573)</f>
        <v>0</v>
      </c>
      <c r="F573" s="31" t="n">
        <f aca="false">B573+C573</f>
        <v>0</v>
      </c>
    </row>
    <row r="574" customFormat="false" ht="15" hidden="false" customHeight="true" outlineLevel="0" collapsed="false">
      <c r="A574" s="30" t="n">
        <v>46523</v>
      </c>
      <c r="B574" s="31" t="n">
        <f aca="false">SUMIFS(Report!$U$10:$U$604,Report!$T$10:$T$604,"&lt;&gt;"&amp;"MERCADORIAS P/REVENDA",Report!$C$10:$C$604,A574)</f>
        <v>0</v>
      </c>
      <c r="C574" s="31" t="n">
        <f aca="false">SUMIFS(Report!$U$10:$U$604,Report!$T$10:$T$604,"MERCADORIAS P/REVENDA",Report!$C$10:$C$604,A574)</f>
        <v>0</v>
      </c>
      <c r="F574" s="31" t="n">
        <f aca="false">B574+C574</f>
        <v>0</v>
      </c>
    </row>
    <row r="575" customFormat="false" ht="15" hidden="false" customHeight="true" outlineLevel="0" collapsed="false">
      <c r="A575" s="30" t="n">
        <v>46524</v>
      </c>
      <c r="B575" s="31" t="n">
        <f aca="false">SUMIFS(Report!$U$10:$U$604,Report!$T$10:$T$604,"&lt;&gt;"&amp;"MERCADORIAS P/REVENDA",Report!$C$10:$C$604,A575)</f>
        <v>0</v>
      </c>
      <c r="C575" s="31" t="n">
        <f aca="false">SUMIFS(Report!$U$10:$U$604,Report!$T$10:$T$604,"MERCADORIAS P/REVENDA",Report!$C$10:$C$604,A575)</f>
        <v>0</v>
      </c>
      <c r="F575" s="31" t="n">
        <f aca="false">B575+C575</f>
        <v>0</v>
      </c>
    </row>
    <row r="576" customFormat="false" ht="15" hidden="false" customHeight="true" outlineLevel="0" collapsed="false">
      <c r="A576" s="32" t="s">
        <v>741</v>
      </c>
      <c r="B576" s="33" t="n">
        <f aca="false">SUM(B569:B575)</f>
        <v>0</v>
      </c>
      <c r="C576" s="33" t="n">
        <f aca="false">SUM(C569:C575)</f>
        <v>0</v>
      </c>
      <c r="F576" s="33" t="n">
        <f aca="false">B576+C576</f>
        <v>0</v>
      </c>
    </row>
    <row r="577" customFormat="false" ht="15" hidden="false" customHeight="true" outlineLevel="0" collapsed="false">
      <c r="A577" s="24" t="n">
        <v>46525</v>
      </c>
      <c r="B577" s="26" t="n">
        <f aca="false">SUMIFS(Report!$U$10:$U$604,Report!$T$10:$T$604,"&lt;&gt;"&amp;"MERCADORIAS P/REVENDA",Report!$C$10:$C$604,A577)</f>
        <v>0</v>
      </c>
      <c r="C577" s="26" t="n">
        <f aca="false">SUMIFS(Report!$U$10:$U$604,Report!$T$10:$T$604,"MERCADORIAS P/REVENDA",Report!$C$10:$C$604,A577)</f>
        <v>0</v>
      </c>
      <c r="F577" s="26" t="n">
        <f aca="false">B577+C577</f>
        <v>0</v>
      </c>
    </row>
    <row r="578" customFormat="false" ht="15" hidden="false" customHeight="true" outlineLevel="0" collapsed="false">
      <c r="A578" s="24" t="n">
        <v>46526</v>
      </c>
      <c r="B578" s="26" t="n">
        <f aca="false">SUMIFS(Report!$U$10:$U$604,Report!$T$10:$T$604,"&lt;&gt;"&amp;"MERCADORIAS P/REVENDA",Report!$C$10:$C$604,A578)</f>
        <v>0</v>
      </c>
      <c r="C578" s="26" t="n">
        <f aca="false">SUMIFS(Report!$U$10:$U$604,Report!$T$10:$T$604,"MERCADORIAS P/REVENDA",Report!$C$10:$C$604,A578)</f>
        <v>0</v>
      </c>
      <c r="F578" s="26" t="n">
        <f aca="false">B578+C578</f>
        <v>0</v>
      </c>
    </row>
    <row r="579" customFormat="false" ht="15" hidden="false" customHeight="true" outlineLevel="0" collapsed="false">
      <c r="A579" s="24" t="n">
        <v>46527</v>
      </c>
      <c r="B579" s="26" t="n">
        <f aca="false">SUMIFS(Report!$U$10:$U$604,Report!$T$10:$T$604,"&lt;&gt;"&amp;"MERCADORIAS P/REVENDA",Report!$C$10:$C$604,A579)</f>
        <v>0</v>
      </c>
      <c r="C579" s="26" t="n">
        <f aca="false">SUMIFS(Report!$U$10:$U$604,Report!$T$10:$T$604,"MERCADORIAS P/REVENDA",Report!$C$10:$C$604,A579)</f>
        <v>0</v>
      </c>
      <c r="F579" s="26" t="n">
        <f aca="false">B579+C579</f>
        <v>0</v>
      </c>
    </row>
    <row r="580" customFormat="false" ht="15" hidden="false" customHeight="true" outlineLevel="0" collapsed="false">
      <c r="A580" s="24" t="n">
        <v>46528</v>
      </c>
      <c r="B580" s="26" t="n">
        <f aca="false">SUMIFS(Report!$U$10:$U$604,Report!$T$10:$T$604,"&lt;&gt;"&amp;"MERCADORIAS P/REVENDA",Report!$C$10:$C$604,A580)</f>
        <v>0</v>
      </c>
      <c r="C580" s="26" t="n">
        <f aca="false">SUMIFS(Report!$U$10:$U$604,Report!$T$10:$T$604,"MERCADORIAS P/REVENDA",Report!$C$10:$C$604,A580)</f>
        <v>0</v>
      </c>
      <c r="F580" s="26" t="n">
        <f aca="false">B580+C580</f>
        <v>0</v>
      </c>
    </row>
    <row r="581" customFormat="false" ht="15" hidden="false" customHeight="true" outlineLevel="0" collapsed="false">
      <c r="A581" s="30" t="n">
        <v>46529</v>
      </c>
      <c r="B581" s="31" t="n">
        <f aca="false">SUMIFS(Report!$U$10:$U$604,Report!$T$10:$T$604,"&lt;&gt;"&amp;"MERCADORIAS P/REVENDA",Report!$C$10:$C$604,A581)</f>
        <v>0</v>
      </c>
      <c r="C581" s="31" t="n">
        <f aca="false">SUMIFS(Report!$U$10:$U$604,Report!$T$10:$T$604,"MERCADORIAS P/REVENDA",Report!$C$10:$C$604,A581)</f>
        <v>0</v>
      </c>
      <c r="F581" s="31" t="n">
        <f aca="false">B581+C581</f>
        <v>0</v>
      </c>
    </row>
    <row r="582" customFormat="false" ht="15" hidden="false" customHeight="true" outlineLevel="0" collapsed="false">
      <c r="A582" s="30" t="n">
        <v>46530</v>
      </c>
      <c r="B582" s="31" t="n">
        <f aca="false">SUMIFS(Report!$U$10:$U$604,Report!$T$10:$T$604,"&lt;&gt;"&amp;"MERCADORIAS P/REVENDA",Report!$C$10:$C$604,A582)</f>
        <v>0</v>
      </c>
      <c r="C582" s="31" t="n">
        <f aca="false">SUMIFS(Report!$U$10:$U$604,Report!$T$10:$T$604,"MERCADORIAS P/REVENDA",Report!$C$10:$C$604,A582)</f>
        <v>0</v>
      </c>
      <c r="F582" s="31" t="n">
        <f aca="false">B582+C582</f>
        <v>0</v>
      </c>
    </row>
    <row r="583" customFormat="false" ht="15" hidden="false" customHeight="true" outlineLevel="0" collapsed="false">
      <c r="A583" s="30" t="n">
        <v>46531</v>
      </c>
      <c r="B583" s="31" t="n">
        <f aca="false">SUMIFS(Report!$U$10:$U$604,Report!$T$10:$T$604,"&lt;&gt;"&amp;"MERCADORIAS P/REVENDA",Report!$C$10:$C$604,A583)</f>
        <v>0</v>
      </c>
      <c r="C583" s="31" t="n">
        <f aca="false">SUMIFS(Report!$U$10:$U$604,Report!$T$10:$T$604,"MERCADORIAS P/REVENDA",Report!$C$10:$C$604,A583)</f>
        <v>0</v>
      </c>
      <c r="F583" s="31" t="n">
        <f aca="false">B583+C583</f>
        <v>0</v>
      </c>
    </row>
    <row r="584" customFormat="false" ht="15" hidden="false" customHeight="true" outlineLevel="0" collapsed="false">
      <c r="A584" s="32" t="s">
        <v>742</v>
      </c>
      <c r="B584" s="33" t="n">
        <f aca="false">SUM(B577:B583)</f>
        <v>0</v>
      </c>
      <c r="C584" s="33" t="n">
        <f aca="false">SUM(C577:C583)</f>
        <v>0</v>
      </c>
      <c r="F584" s="33" t="n">
        <f aca="false">B584+C584</f>
        <v>0</v>
      </c>
    </row>
    <row r="585" customFormat="false" ht="15" hidden="false" customHeight="true" outlineLevel="0" collapsed="false">
      <c r="A585" s="24" t="n">
        <v>46532</v>
      </c>
      <c r="B585" s="26" t="n">
        <f aca="false">SUMIFS(Report!$U$10:$U$604,Report!$T$10:$T$604,"&lt;&gt;"&amp;"MERCADORIAS P/REVENDA",Report!$C$10:$C$604,A585)</f>
        <v>0</v>
      </c>
      <c r="C585" s="26" t="n">
        <f aca="false">SUMIFS(Report!$U$10:$U$604,Report!$T$10:$T$604,"MERCADORIAS P/REVENDA",Report!$C$10:$C$604,A585)</f>
        <v>0</v>
      </c>
      <c r="F585" s="26" t="n">
        <f aca="false">B585+C585</f>
        <v>0</v>
      </c>
    </row>
    <row r="586" customFormat="false" ht="15" hidden="false" customHeight="true" outlineLevel="0" collapsed="false">
      <c r="A586" s="24" t="n">
        <v>46533</v>
      </c>
      <c r="B586" s="26" t="n">
        <f aca="false">SUMIFS(Report!$U$10:$U$604,Report!$T$10:$T$604,"&lt;&gt;"&amp;"MERCADORIAS P/REVENDA",Report!$C$10:$C$604,A586)</f>
        <v>0</v>
      </c>
      <c r="C586" s="26" t="n">
        <f aca="false">SUMIFS(Report!$U$10:$U$604,Report!$T$10:$T$604,"MERCADORIAS P/REVENDA",Report!$C$10:$C$604,A586)</f>
        <v>0</v>
      </c>
      <c r="F586" s="26" t="n">
        <f aca="false">B586+C586</f>
        <v>0</v>
      </c>
    </row>
    <row r="587" customFormat="false" ht="15" hidden="false" customHeight="true" outlineLevel="0" collapsed="false">
      <c r="A587" s="24" t="n">
        <v>46534</v>
      </c>
      <c r="B587" s="26" t="n">
        <f aca="false">SUMIFS(Report!$U$10:$U$604,Report!$T$10:$T$604,"&lt;&gt;"&amp;"MERCADORIAS P/REVENDA",Report!$C$10:$C$604,A587)</f>
        <v>0</v>
      </c>
      <c r="C587" s="26" t="n">
        <f aca="false">SUMIFS(Report!$U$10:$U$604,Report!$T$10:$T$604,"MERCADORIAS P/REVENDA",Report!$C$10:$C$604,A587)</f>
        <v>0</v>
      </c>
      <c r="F587" s="26" t="n">
        <f aca="false">B587+C587</f>
        <v>0</v>
      </c>
    </row>
    <row r="588" customFormat="false" ht="15" hidden="false" customHeight="true" outlineLevel="0" collapsed="false">
      <c r="A588" s="24" t="n">
        <v>46535</v>
      </c>
      <c r="B588" s="26" t="n">
        <f aca="false">SUMIFS(Report!$U$10:$U$604,Report!$T$10:$T$604,"&lt;&gt;"&amp;"MERCADORIAS P/REVENDA",Report!$C$10:$C$604,A588)</f>
        <v>0</v>
      </c>
      <c r="C588" s="26" t="n">
        <f aca="false">SUMIFS(Report!$U$10:$U$604,Report!$T$10:$T$604,"MERCADORIAS P/REVENDA",Report!$C$10:$C$604,A588)</f>
        <v>0</v>
      </c>
      <c r="F588" s="26" t="n">
        <f aca="false">B588+C588</f>
        <v>0</v>
      </c>
    </row>
    <row r="589" customFormat="false" ht="15" hidden="false" customHeight="true" outlineLevel="0" collapsed="false">
      <c r="A589" s="30" t="n">
        <v>46536</v>
      </c>
      <c r="B589" s="31" t="n">
        <f aca="false">SUMIFS(Report!$U$10:$U$604,Report!$T$10:$T$604,"&lt;&gt;"&amp;"MERCADORIAS P/REVENDA",Report!$C$10:$C$604,A589)</f>
        <v>0</v>
      </c>
      <c r="C589" s="31" t="n">
        <f aca="false">SUMIFS(Report!$U$10:$U$604,Report!$T$10:$T$604,"MERCADORIAS P/REVENDA",Report!$C$10:$C$604,A589)</f>
        <v>0</v>
      </c>
      <c r="F589" s="31" t="n">
        <f aca="false">B589+C589</f>
        <v>0</v>
      </c>
    </row>
    <row r="590" customFormat="false" ht="15" hidden="false" customHeight="true" outlineLevel="0" collapsed="false">
      <c r="A590" s="30" t="n">
        <v>46537</v>
      </c>
      <c r="B590" s="31" t="n">
        <f aca="false">SUMIFS(Report!$U$10:$U$604,Report!$T$10:$T$604,"&lt;&gt;"&amp;"MERCADORIAS P/REVENDA",Report!$C$10:$C$604,A590)</f>
        <v>0</v>
      </c>
      <c r="C590" s="31" t="n">
        <f aca="false">SUMIFS(Report!$U$10:$U$604,Report!$T$10:$T$604,"MERCADORIAS P/REVENDA",Report!$C$10:$C$604,A590)</f>
        <v>0</v>
      </c>
      <c r="F590" s="31" t="n">
        <f aca="false">B590+C590</f>
        <v>0</v>
      </c>
    </row>
    <row r="591" customFormat="false" ht="15" hidden="false" customHeight="true" outlineLevel="0" collapsed="false">
      <c r="A591" s="30" t="n">
        <v>46538</v>
      </c>
      <c r="B591" s="31" t="n">
        <f aca="false">SUMIFS(Report!$U$10:$U$604,Report!$T$10:$T$604,"&lt;&gt;"&amp;"MERCADORIAS P/REVENDA",Report!$C$10:$C$604,A591)</f>
        <v>0</v>
      </c>
      <c r="C591" s="31" t="n">
        <f aca="false">SUMIFS(Report!$U$10:$U$604,Report!$T$10:$T$604,"MERCADORIAS P/REVENDA",Report!$C$10:$C$604,A591)</f>
        <v>0</v>
      </c>
      <c r="F591" s="31" t="n">
        <f aca="false">B591+C591</f>
        <v>0</v>
      </c>
    </row>
    <row r="592" customFormat="false" ht="15" hidden="false" customHeight="true" outlineLevel="0" collapsed="false">
      <c r="A592" s="32" t="s">
        <v>743</v>
      </c>
      <c r="B592" s="33" t="n">
        <f aca="false">SUM(B585:B591)</f>
        <v>0</v>
      </c>
      <c r="C592" s="33" t="n">
        <f aca="false">SUM(C585:C591)</f>
        <v>0</v>
      </c>
      <c r="F592" s="33" t="n">
        <f aca="false">B592+C592</f>
        <v>0</v>
      </c>
    </row>
    <row r="593" customFormat="false" ht="15" hidden="false" customHeight="true" outlineLevel="0" collapsed="false">
      <c r="A593" s="24" t="n">
        <v>46539</v>
      </c>
      <c r="B593" s="26" t="n">
        <f aca="false">SUMIFS(Report!$U$10:$U$604,Report!$T$10:$T$604,"&lt;&gt;"&amp;"MERCADORIAS P/REVENDA",Report!$C$10:$C$604,A593)</f>
        <v>0</v>
      </c>
      <c r="C593" s="26" t="n">
        <f aca="false">SUMIFS(Report!$U$10:$U$604,Report!$T$10:$T$604,"MERCADORIAS P/REVENDA",Report!$C$10:$C$604,A593)</f>
        <v>0</v>
      </c>
      <c r="F593" s="26" t="n">
        <f aca="false">B593+C593</f>
        <v>0</v>
      </c>
    </row>
    <row r="594" customFormat="false" ht="15" hidden="false" customHeight="true" outlineLevel="0" collapsed="false">
      <c r="A594" s="24" t="n">
        <v>46540</v>
      </c>
      <c r="B594" s="26" t="n">
        <f aca="false">SUMIFS(Report!$U$10:$U$604,Report!$T$10:$T$604,"&lt;&gt;"&amp;"MERCADORIAS P/REVENDA",Report!$C$10:$C$604,A594)</f>
        <v>0</v>
      </c>
      <c r="C594" s="26" t="n">
        <f aca="false">SUMIFS(Report!$U$10:$U$604,Report!$T$10:$T$604,"MERCADORIAS P/REVENDA",Report!$C$10:$C$604,A594)</f>
        <v>0</v>
      </c>
      <c r="F594" s="26" t="n">
        <f aca="false">B594+C594</f>
        <v>0</v>
      </c>
    </row>
    <row r="595" customFormat="false" ht="15" hidden="false" customHeight="true" outlineLevel="0" collapsed="false">
      <c r="A595" s="24" t="n">
        <v>46541</v>
      </c>
      <c r="B595" s="26" t="n">
        <f aca="false">SUMIFS(Report!$U$10:$U$604,Report!$T$10:$T$604,"&lt;&gt;"&amp;"MERCADORIAS P/REVENDA",Report!$C$10:$C$604,A595)</f>
        <v>0</v>
      </c>
      <c r="C595" s="26" t="n">
        <f aca="false">SUMIFS(Report!$U$10:$U$604,Report!$T$10:$T$604,"MERCADORIAS P/REVENDA",Report!$C$10:$C$604,A595)</f>
        <v>0</v>
      </c>
      <c r="F595" s="26" t="n">
        <f aca="false">B595+C595</f>
        <v>0</v>
      </c>
    </row>
    <row r="596" customFormat="false" ht="15" hidden="false" customHeight="true" outlineLevel="0" collapsed="false">
      <c r="A596" s="24" t="n">
        <v>46542</v>
      </c>
      <c r="B596" s="26" t="n">
        <f aca="false">SUMIFS(Report!$U$10:$U$604,Report!$T$10:$T$604,"&lt;&gt;"&amp;"MERCADORIAS P/REVENDA",Report!$C$10:$C$604,A596)</f>
        <v>0</v>
      </c>
      <c r="C596" s="26" t="n">
        <f aca="false">SUMIFS(Report!$U$10:$U$604,Report!$T$10:$T$604,"MERCADORIAS P/REVENDA",Report!$C$10:$C$604,A596)</f>
        <v>0</v>
      </c>
      <c r="F596" s="26" t="n">
        <f aca="false">B596+C596</f>
        <v>0</v>
      </c>
    </row>
    <row r="597" customFormat="false" ht="15" hidden="false" customHeight="true" outlineLevel="0" collapsed="false">
      <c r="A597" s="30" t="n">
        <v>46543</v>
      </c>
      <c r="B597" s="31" t="n">
        <f aca="false">SUMIFS(Report!$U$10:$U$604,Report!$T$10:$T$604,"&lt;&gt;"&amp;"MERCADORIAS P/REVENDA",Report!$C$10:$C$604,A597)</f>
        <v>0</v>
      </c>
      <c r="C597" s="31" t="n">
        <f aca="false">SUMIFS(Report!$U$10:$U$604,Report!$T$10:$T$604,"MERCADORIAS P/REVENDA",Report!$C$10:$C$604,A597)</f>
        <v>0</v>
      </c>
      <c r="F597" s="31" t="n">
        <f aca="false">B597+C597</f>
        <v>0</v>
      </c>
    </row>
    <row r="598" customFormat="false" ht="15" hidden="false" customHeight="true" outlineLevel="0" collapsed="false">
      <c r="A598" s="30" t="n">
        <v>46544</v>
      </c>
      <c r="B598" s="31" t="n">
        <f aca="false">SUMIFS(Report!$U$10:$U$604,Report!$T$10:$T$604,"&lt;&gt;"&amp;"MERCADORIAS P/REVENDA",Report!$C$10:$C$604,A598)</f>
        <v>0</v>
      </c>
      <c r="C598" s="31" t="n">
        <f aca="false">SUMIFS(Report!$U$10:$U$604,Report!$T$10:$T$604,"MERCADORIAS P/REVENDA",Report!$C$10:$C$604,A598)</f>
        <v>0</v>
      </c>
      <c r="F598" s="31" t="n">
        <f aca="false">B598+C598</f>
        <v>0</v>
      </c>
    </row>
    <row r="599" customFormat="false" ht="15" hidden="false" customHeight="true" outlineLevel="0" collapsed="false">
      <c r="A599" s="30" t="n">
        <v>46545</v>
      </c>
      <c r="B599" s="31" t="n">
        <f aca="false">SUMIFS(Report!$U$10:$U$604,Report!$T$10:$T$604,"&lt;&gt;"&amp;"MERCADORIAS P/REVENDA",Report!$C$10:$C$604,A599)</f>
        <v>0</v>
      </c>
      <c r="C599" s="31" t="n">
        <f aca="false">SUMIFS(Report!$U$10:$U$604,Report!$T$10:$T$604,"MERCADORIAS P/REVENDA",Report!$C$10:$C$604,A599)</f>
        <v>0</v>
      </c>
      <c r="F599" s="31" t="n">
        <f aca="false">B599+C599</f>
        <v>0</v>
      </c>
    </row>
    <row r="600" customFormat="false" ht="15" hidden="false" customHeight="true" outlineLevel="0" collapsed="false">
      <c r="A600" s="32" t="s">
        <v>744</v>
      </c>
      <c r="B600" s="33" t="n">
        <f aca="false">SUM(B593:B599)</f>
        <v>0</v>
      </c>
      <c r="C600" s="33" t="n">
        <f aca="false">SUM(C593:C599)</f>
        <v>0</v>
      </c>
      <c r="F600" s="33" t="n">
        <f aca="false">B600+C600</f>
        <v>0</v>
      </c>
    </row>
    <row r="601" customFormat="false" ht="15" hidden="false" customHeight="true" outlineLevel="0" collapsed="false">
      <c r="A601" s="24" t="n">
        <v>46546</v>
      </c>
      <c r="B601" s="26" t="n">
        <f aca="false">SUMIFS(Report!$U$10:$U$604,Report!$T$10:$T$604,"&lt;&gt;"&amp;"MERCADORIAS P/REVENDA",Report!$C$10:$C$604,A601)</f>
        <v>0</v>
      </c>
      <c r="C601" s="26" t="n">
        <f aca="false">SUMIFS(Report!$U$10:$U$604,Report!$T$10:$T$604,"MERCADORIAS P/REVENDA",Report!$C$10:$C$604,A601)</f>
        <v>0</v>
      </c>
      <c r="F601" s="26" t="n">
        <f aca="false">B601+C601</f>
        <v>0</v>
      </c>
    </row>
    <row r="602" customFormat="false" ht="15" hidden="false" customHeight="true" outlineLevel="0" collapsed="false">
      <c r="A602" s="24" t="n">
        <v>46547</v>
      </c>
      <c r="B602" s="26" t="n">
        <f aca="false">SUMIFS(Report!$U$10:$U$604,Report!$T$10:$T$604,"&lt;&gt;"&amp;"MERCADORIAS P/REVENDA",Report!$C$10:$C$604,A602)</f>
        <v>0</v>
      </c>
      <c r="C602" s="26" t="n">
        <f aca="false">SUMIFS(Report!$U$10:$U$604,Report!$T$10:$T$604,"MERCADORIAS P/REVENDA",Report!$C$10:$C$604,A602)</f>
        <v>0</v>
      </c>
      <c r="F602" s="26" t="n">
        <f aca="false">B602+C602</f>
        <v>0</v>
      </c>
    </row>
    <row r="603" customFormat="false" ht="15" hidden="false" customHeight="true" outlineLevel="0" collapsed="false">
      <c r="A603" s="24" t="n">
        <v>46548</v>
      </c>
      <c r="B603" s="26" t="n">
        <f aca="false">SUMIFS(Report!$U$10:$U$604,Report!$T$10:$T$604,"&lt;&gt;"&amp;"MERCADORIAS P/REVENDA",Report!$C$10:$C$604,A603)</f>
        <v>0</v>
      </c>
      <c r="C603" s="26" t="n">
        <f aca="false">SUMIFS(Report!$U$10:$U$604,Report!$T$10:$T$604,"MERCADORIAS P/REVENDA",Report!$C$10:$C$604,A603)</f>
        <v>0</v>
      </c>
      <c r="F603" s="26" t="n">
        <f aca="false">B603+C603</f>
        <v>0</v>
      </c>
    </row>
    <row r="604" customFormat="false" ht="15" hidden="false" customHeight="true" outlineLevel="0" collapsed="false">
      <c r="A604" s="24" t="n">
        <v>46549</v>
      </c>
      <c r="B604" s="26" t="n">
        <f aca="false">SUMIFS(Report!$U$10:$U$604,Report!$T$10:$T$604,"&lt;&gt;"&amp;"MERCADORIAS P/REVENDA",Report!$C$10:$C$604,A604)</f>
        <v>0</v>
      </c>
      <c r="C604" s="26" t="n">
        <f aca="false">SUMIFS(Report!$U$10:$U$604,Report!$T$10:$T$604,"MERCADORIAS P/REVENDA",Report!$C$10:$C$604,A604)</f>
        <v>0</v>
      </c>
      <c r="F604" s="26" t="n">
        <f aca="false">B604+C604</f>
        <v>0</v>
      </c>
    </row>
    <row r="605" customFormat="false" ht="15" hidden="false" customHeight="true" outlineLevel="0" collapsed="false">
      <c r="A605" s="30" t="n">
        <v>46550</v>
      </c>
      <c r="B605" s="31" t="n">
        <f aca="false">SUMIFS(Report!$U$10:$U$604,Report!$T$10:$T$604,"&lt;&gt;"&amp;"MERCADORIAS P/REVENDA",Report!$C$10:$C$604,A605)</f>
        <v>0</v>
      </c>
      <c r="C605" s="31" t="n">
        <f aca="false">SUMIFS(Report!$U$10:$U$604,Report!$T$10:$T$604,"MERCADORIAS P/REVENDA",Report!$C$10:$C$604,A605)</f>
        <v>0</v>
      </c>
      <c r="F605" s="31" t="n">
        <f aca="false">B605+C605</f>
        <v>0</v>
      </c>
    </row>
    <row r="606" customFormat="false" ht="15" hidden="false" customHeight="true" outlineLevel="0" collapsed="false">
      <c r="A606" s="30" t="n">
        <v>46551</v>
      </c>
      <c r="B606" s="31" t="n">
        <f aca="false">SUMIFS(Report!$U$10:$U$604,Report!$T$10:$T$604,"&lt;&gt;"&amp;"MERCADORIAS P/REVENDA",Report!$C$10:$C$604,A606)</f>
        <v>0</v>
      </c>
      <c r="C606" s="31" t="n">
        <f aca="false">SUMIFS(Report!$U$10:$U$604,Report!$T$10:$T$604,"MERCADORIAS P/REVENDA",Report!$C$10:$C$604,A606)</f>
        <v>0</v>
      </c>
      <c r="F606" s="31" t="n">
        <f aca="false">B606+C606</f>
        <v>0</v>
      </c>
    </row>
    <row r="607" customFormat="false" ht="15" hidden="false" customHeight="true" outlineLevel="0" collapsed="false">
      <c r="A607" s="30" t="n">
        <v>46552</v>
      </c>
      <c r="B607" s="31" t="n">
        <f aca="false">SUMIFS(Report!$U$10:$U$604,Report!$T$10:$T$604,"&lt;&gt;"&amp;"MERCADORIAS P/REVENDA",Report!$C$10:$C$604,A607)</f>
        <v>0</v>
      </c>
      <c r="C607" s="31" t="n">
        <f aca="false">SUMIFS(Report!$U$10:$U$604,Report!$T$10:$T$604,"MERCADORIAS P/REVENDA",Report!$C$10:$C$604,A607)</f>
        <v>0</v>
      </c>
      <c r="F607" s="31" t="n">
        <f aca="false">B607+C607</f>
        <v>0</v>
      </c>
    </row>
    <row r="608" customFormat="false" ht="15" hidden="false" customHeight="true" outlineLevel="0" collapsed="false">
      <c r="A608" s="32" t="s">
        <v>745</v>
      </c>
      <c r="B608" s="33" t="n">
        <f aca="false">SUM(B601:B607)</f>
        <v>0</v>
      </c>
      <c r="C608" s="33" t="n">
        <f aca="false">SUM(C601:C607)</f>
        <v>0</v>
      </c>
      <c r="F608" s="33" t="n">
        <f aca="false">B608+C608</f>
        <v>0</v>
      </c>
    </row>
    <row r="609" customFormat="false" ht="15" hidden="false" customHeight="true" outlineLevel="0" collapsed="false">
      <c r="A609" s="24" t="n">
        <v>46553</v>
      </c>
      <c r="B609" s="26" t="n">
        <f aca="false">SUMIFS(Report!$U$10:$U$604,Report!$T$10:$T$604,"&lt;&gt;"&amp;"MERCADORIAS P/REVENDA",Report!$C$10:$C$604,A609)</f>
        <v>0</v>
      </c>
      <c r="C609" s="26" t="n">
        <f aca="false">SUMIFS(Report!$U$10:$U$604,Report!$T$10:$T$604,"MERCADORIAS P/REVENDA",Report!$C$10:$C$604,A609)</f>
        <v>0</v>
      </c>
      <c r="F609" s="26" t="n">
        <f aca="false">B609+C609</f>
        <v>0</v>
      </c>
    </row>
    <row r="610" customFormat="false" ht="15" hidden="false" customHeight="true" outlineLevel="0" collapsed="false">
      <c r="A610" s="24" t="n">
        <v>46554</v>
      </c>
      <c r="B610" s="26" t="n">
        <f aca="false">SUMIFS(Report!$U$10:$U$604,Report!$T$10:$T$604,"&lt;&gt;"&amp;"MERCADORIAS P/REVENDA",Report!$C$10:$C$604,A610)</f>
        <v>0</v>
      </c>
      <c r="C610" s="26" t="n">
        <f aca="false">SUMIFS(Report!$U$10:$U$604,Report!$T$10:$T$604,"MERCADORIAS P/REVENDA",Report!$C$10:$C$604,A610)</f>
        <v>0</v>
      </c>
      <c r="F610" s="26" t="n">
        <f aca="false">B610+C610</f>
        <v>0</v>
      </c>
    </row>
    <row r="611" customFormat="false" ht="15" hidden="false" customHeight="true" outlineLevel="0" collapsed="false">
      <c r="A611" s="24" t="n">
        <v>46555</v>
      </c>
      <c r="B611" s="26" t="n">
        <f aca="false">SUMIFS(Report!$U$10:$U$604,Report!$T$10:$T$604,"&lt;&gt;"&amp;"MERCADORIAS P/REVENDA",Report!$C$10:$C$604,A611)</f>
        <v>0</v>
      </c>
      <c r="C611" s="26" t="n">
        <f aca="false">SUMIFS(Report!$U$10:$U$604,Report!$T$10:$T$604,"MERCADORIAS P/REVENDA",Report!$C$10:$C$604,A611)</f>
        <v>0</v>
      </c>
      <c r="F611" s="26" t="n">
        <f aca="false">B611+C611</f>
        <v>0</v>
      </c>
    </row>
    <row r="612" customFormat="false" ht="15" hidden="false" customHeight="true" outlineLevel="0" collapsed="false">
      <c r="A612" s="24" t="n">
        <v>46556</v>
      </c>
      <c r="B612" s="26" t="n">
        <f aca="false">SUMIFS(Report!$U$10:$U$604,Report!$T$10:$T$604,"&lt;&gt;"&amp;"MERCADORIAS P/REVENDA",Report!$C$10:$C$604,A612)</f>
        <v>0</v>
      </c>
      <c r="C612" s="26" t="n">
        <f aca="false">SUMIFS(Report!$U$10:$U$604,Report!$T$10:$T$604,"MERCADORIAS P/REVENDA",Report!$C$10:$C$604,A612)</f>
        <v>0</v>
      </c>
      <c r="F612" s="26" t="n">
        <f aca="false">B612+C612</f>
        <v>0</v>
      </c>
    </row>
    <row r="613" customFormat="false" ht="15" hidden="false" customHeight="true" outlineLevel="0" collapsed="false">
      <c r="A613" s="30" t="n">
        <v>46557</v>
      </c>
      <c r="B613" s="31" t="n">
        <f aca="false">SUMIFS(Report!$U$10:$U$604,Report!$T$10:$T$604,"&lt;&gt;"&amp;"MERCADORIAS P/REVENDA",Report!$C$10:$C$604,A613)</f>
        <v>0</v>
      </c>
      <c r="C613" s="31" t="n">
        <f aca="false">SUMIFS(Report!$U$10:$U$604,Report!$T$10:$T$604,"MERCADORIAS P/REVENDA",Report!$C$10:$C$604,A613)</f>
        <v>0</v>
      </c>
      <c r="F613" s="31" t="n">
        <f aca="false">B613+C613</f>
        <v>0</v>
      </c>
    </row>
    <row r="614" customFormat="false" ht="15" hidden="false" customHeight="true" outlineLevel="0" collapsed="false">
      <c r="A614" s="30" t="n">
        <v>46558</v>
      </c>
      <c r="B614" s="31" t="n">
        <f aca="false">SUMIFS(Report!$U$10:$U$604,Report!$T$10:$T$604,"&lt;&gt;"&amp;"MERCADORIAS P/REVENDA",Report!$C$10:$C$604,A614)</f>
        <v>0</v>
      </c>
      <c r="C614" s="31" t="n">
        <f aca="false">SUMIFS(Report!$U$10:$U$604,Report!$T$10:$T$604,"MERCADORIAS P/REVENDA",Report!$C$10:$C$604,A614)</f>
        <v>0</v>
      </c>
      <c r="F614" s="31" t="n">
        <f aca="false">B614+C614</f>
        <v>0</v>
      </c>
    </row>
    <row r="615" customFormat="false" ht="15" hidden="false" customHeight="true" outlineLevel="0" collapsed="false">
      <c r="A615" s="30" t="n">
        <v>46559</v>
      </c>
      <c r="B615" s="31" t="n">
        <f aca="false">SUMIFS(Report!$U$10:$U$604,Report!$T$10:$T$604,"&lt;&gt;"&amp;"MERCADORIAS P/REVENDA",Report!$C$10:$C$604,A615)</f>
        <v>0</v>
      </c>
      <c r="C615" s="31" t="n">
        <f aca="false">SUMIFS(Report!$U$10:$U$604,Report!$T$10:$T$604,"MERCADORIAS P/REVENDA",Report!$C$10:$C$604,A615)</f>
        <v>0</v>
      </c>
      <c r="F615" s="31" t="n">
        <f aca="false">B615+C615</f>
        <v>0</v>
      </c>
    </row>
    <row r="616" customFormat="false" ht="15" hidden="false" customHeight="true" outlineLevel="0" collapsed="false">
      <c r="A616" s="32" t="s">
        <v>746</v>
      </c>
      <c r="B616" s="33" t="n">
        <f aca="false">SUM(B609:B615)</f>
        <v>0</v>
      </c>
      <c r="C616" s="33" t="n">
        <f aca="false">SUM(C609:C615)</f>
        <v>0</v>
      </c>
      <c r="F616" s="33" t="n">
        <f aca="false">B616+C616</f>
        <v>0</v>
      </c>
    </row>
    <row r="617" customFormat="false" ht="15" hidden="false" customHeight="true" outlineLevel="0" collapsed="false">
      <c r="A617" s="24" t="n">
        <v>46560</v>
      </c>
      <c r="B617" s="26" t="n">
        <f aca="false">SUMIFS(Report!$U$10:$U$604,Report!$T$10:$T$604,"&lt;&gt;"&amp;"MERCADORIAS P/REVENDA",Report!$C$10:$C$604,A617)</f>
        <v>0</v>
      </c>
      <c r="C617" s="26" t="n">
        <f aca="false">SUMIFS(Report!$U$10:$U$604,Report!$T$10:$T$604,"MERCADORIAS P/REVENDA",Report!$C$10:$C$604,A617)</f>
        <v>0</v>
      </c>
      <c r="F617" s="26" t="n">
        <f aca="false">B617+C617</f>
        <v>0</v>
      </c>
    </row>
    <row r="618" customFormat="false" ht="15" hidden="false" customHeight="true" outlineLevel="0" collapsed="false">
      <c r="A618" s="24" t="n">
        <v>46561</v>
      </c>
      <c r="B618" s="26" t="n">
        <f aca="false">SUMIFS(Report!$U$10:$U$604,Report!$T$10:$T$604,"&lt;&gt;"&amp;"MERCADORIAS P/REVENDA",Report!$C$10:$C$604,A618)</f>
        <v>0</v>
      </c>
      <c r="C618" s="26" t="n">
        <f aca="false">SUMIFS(Report!$U$10:$U$604,Report!$T$10:$T$604,"MERCADORIAS P/REVENDA",Report!$C$10:$C$604,A618)</f>
        <v>0</v>
      </c>
      <c r="F618" s="26" t="n">
        <f aca="false">B618+C618</f>
        <v>0</v>
      </c>
    </row>
    <row r="619" customFormat="false" ht="15" hidden="false" customHeight="true" outlineLevel="0" collapsed="false">
      <c r="A619" s="24" t="n">
        <v>46562</v>
      </c>
      <c r="B619" s="26" t="n">
        <f aca="false">SUMIFS(Report!$U$10:$U$604,Report!$T$10:$T$604,"&lt;&gt;"&amp;"MERCADORIAS P/REVENDA",Report!$C$10:$C$604,A619)</f>
        <v>0</v>
      </c>
      <c r="C619" s="26" t="n">
        <f aca="false">SUMIFS(Report!$U$10:$U$604,Report!$T$10:$T$604,"MERCADORIAS P/REVENDA",Report!$C$10:$C$604,A619)</f>
        <v>0</v>
      </c>
      <c r="F619" s="26" t="n">
        <f aca="false">B619+C619</f>
        <v>0</v>
      </c>
    </row>
    <row r="620" customFormat="false" ht="15" hidden="false" customHeight="true" outlineLevel="0" collapsed="false">
      <c r="A620" s="24" t="n">
        <v>46563</v>
      </c>
      <c r="B620" s="26" t="n">
        <f aca="false">SUMIFS(Report!$U$10:$U$604,Report!$T$10:$T$604,"&lt;&gt;"&amp;"MERCADORIAS P/REVENDA",Report!$C$10:$C$604,A620)</f>
        <v>0</v>
      </c>
      <c r="C620" s="26" t="n">
        <f aca="false">SUMIFS(Report!$U$10:$U$604,Report!$T$10:$T$604,"MERCADORIAS P/REVENDA",Report!$C$10:$C$604,A620)</f>
        <v>0</v>
      </c>
      <c r="F620" s="26" t="n">
        <f aca="false">B620+C620</f>
        <v>0</v>
      </c>
    </row>
    <row r="621" customFormat="false" ht="15" hidden="false" customHeight="true" outlineLevel="0" collapsed="false">
      <c r="A621" s="30" t="n">
        <v>46564</v>
      </c>
      <c r="B621" s="31" t="n">
        <f aca="false">SUMIFS(Report!$U$10:$U$604,Report!$T$10:$T$604,"&lt;&gt;"&amp;"MERCADORIAS P/REVENDA",Report!$C$10:$C$604,A621)</f>
        <v>0</v>
      </c>
      <c r="C621" s="31" t="n">
        <f aca="false">SUMIFS(Report!$U$10:$U$604,Report!$T$10:$T$604,"MERCADORIAS P/REVENDA",Report!$C$10:$C$604,A621)</f>
        <v>0</v>
      </c>
      <c r="F621" s="31" t="n">
        <f aca="false">B621+C621</f>
        <v>0</v>
      </c>
    </row>
    <row r="622" customFormat="false" ht="15" hidden="false" customHeight="true" outlineLevel="0" collapsed="false">
      <c r="A622" s="30" t="n">
        <v>46565</v>
      </c>
      <c r="B622" s="31" t="n">
        <f aca="false">SUMIFS(Report!$U$10:$U$604,Report!$T$10:$T$604,"&lt;&gt;"&amp;"MERCADORIAS P/REVENDA",Report!$C$10:$C$604,A622)</f>
        <v>0</v>
      </c>
      <c r="C622" s="31" t="n">
        <f aca="false">SUMIFS(Report!$U$10:$U$604,Report!$T$10:$T$604,"MERCADORIAS P/REVENDA",Report!$C$10:$C$604,A622)</f>
        <v>0</v>
      </c>
      <c r="F622" s="31" t="n">
        <f aca="false">B622+C622</f>
        <v>0</v>
      </c>
    </row>
    <row r="623" customFormat="false" ht="15" hidden="false" customHeight="true" outlineLevel="0" collapsed="false">
      <c r="A623" s="30" t="n">
        <v>46566</v>
      </c>
      <c r="B623" s="31" t="n">
        <f aca="false">SUMIFS(Report!$U$10:$U$604,Report!$T$10:$T$604,"&lt;&gt;"&amp;"MERCADORIAS P/REVENDA",Report!$C$10:$C$604,A623)</f>
        <v>0</v>
      </c>
      <c r="C623" s="31" t="n">
        <f aca="false">SUMIFS(Report!$U$10:$U$604,Report!$T$10:$T$604,"MERCADORIAS P/REVENDA",Report!$C$10:$C$604,A623)</f>
        <v>0</v>
      </c>
      <c r="F623" s="31" t="n">
        <f aca="false">B623+C623</f>
        <v>0</v>
      </c>
    </row>
    <row r="624" customFormat="false" ht="15" hidden="false" customHeight="true" outlineLevel="0" collapsed="false">
      <c r="A624" s="32" t="s">
        <v>747</v>
      </c>
      <c r="B624" s="33" t="n">
        <f aca="false">SUM(B617:B623)</f>
        <v>0</v>
      </c>
      <c r="C624" s="33" t="n">
        <f aca="false">SUM(C617:C623)</f>
        <v>0</v>
      </c>
      <c r="F624" s="33" t="n">
        <f aca="false">B624+C624</f>
        <v>0</v>
      </c>
    </row>
    <row r="625" customFormat="false" ht="15" hidden="false" customHeight="true" outlineLevel="0" collapsed="false">
      <c r="A625" s="24" t="n">
        <v>46567</v>
      </c>
      <c r="B625" s="26" t="n">
        <f aca="false">SUMIFS(Report!$U$10:$U$604,Report!$T$10:$T$604,"&lt;&gt;"&amp;"MERCADORIAS P/REVENDA",Report!$C$10:$C$604,A625)</f>
        <v>0</v>
      </c>
      <c r="C625" s="26" t="n">
        <f aca="false">SUMIFS(Report!$U$10:$U$604,Report!$T$10:$T$604,"MERCADORIAS P/REVENDA",Report!$C$10:$C$604,A625)</f>
        <v>0</v>
      </c>
      <c r="F625" s="26" t="n">
        <f aca="false">B625+C625</f>
        <v>0</v>
      </c>
    </row>
    <row r="626" customFormat="false" ht="15" hidden="false" customHeight="true" outlineLevel="0" collapsed="false">
      <c r="A626" s="24" t="n">
        <v>46568</v>
      </c>
      <c r="B626" s="26" t="n">
        <f aca="false">SUMIFS(Report!$U$10:$U$604,Report!$T$10:$T$604,"&lt;&gt;"&amp;"MERCADORIAS P/REVENDA",Report!$C$10:$C$604,A626)</f>
        <v>0</v>
      </c>
      <c r="C626" s="26" t="n">
        <f aca="false">SUMIFS(Report!$U$10:$U$604,Report!$T$10:$T$604,"MERCADORIAS P/REVENDA",Report!$C$10:$C$604,A626)</f>
        <v>0</v>
      </c>
      <c r="F626" s="26" t="n">
        <f aca="false">B626+C626</f>
        <v>0</v>
      </c>
    </row>
    <row r="627" customFormat="false" ht="15" hidden="false" customHeight="true" outlineLevel="0" collapsed="false">
      <c r="A627" s="24" t="n">
        <v>46569</v>
      </c>
      <c r="B627" s="26" t="n">
        <f aca="false">SUMIFS(Report!$U$10:$U$604,Report!$T$10:$T$604,"&lt;&gt;"&amp;"MERCADORIAS P/REVENDA",Report!$C$10:$C$604,A627)</f>
        <v>0</v>
      </c>
      <c r="C627" s="26" t="n">
        <f aca="false">SUMIFS(Report!$U$10:$U$604,Report!$T$10:$T$604,"MERCADORIAS P/REVENDA",Report!$C$10:$C$604,A627)</f>
        <v>0</v>
      </c>
      <c r="F627" s="26" t="n">
        <f aca="false">B627+C627</f>
        <v>0</v>
      </c>
    </row>
    <row r="628" customFormat="false" ht="15" hidden="false" customHeight="true" outlineLevel="0" collapsed="false">
      <c r="A628" s="24" t="n">
        <v>46570</v>
      </c>
      <c r="B628" s="26" t="n">
        <f aca="false">SUMIFS(Report!$U$10:$U$604,Report!$T$10:$T$604,"&lt;&gt;"&amp;"MERCADORIAS P/REVENDA",Report!$C$10:$C$604,A628)</f>
        <v>0</v>
      </c>
      <c r="C628" s="26" t="n">
        <f aca="false">SUMIFS(Report!$U$10:$U$604,Report!$T$10:$T$604,"MERCADORIAS P/REVENDA",Report!$C$10:$C$604,A628)</f>
        <v>0</v>
      </c>
      <c r="F628" s="26" t="n">
        <f aca="false">B628+C628</f>
        <v>0</v>
      </c>
    </row>
    <row r="629" customFormat="false" ht="15" hidden="false" customHeight="true" outlineLevel="0" collapsed="false">
      <c r="A629" s="30" t="n">
        <v>46571</v>
      </c>
      <c r="B629" s="31" t="n">
        <f aca="false">SUMIFS(Report!$U$10:$U$604,Report!$T$10:$T$604,"&lt;&gt;"&amp;"MERCADORIAS P/REVENDA",Report!$C$10:$C$604,A629)</f>
        <v>0</v>
      </c>
      <c r="C629" s="31" t="n">
        <f aca="false">SUMIFS(Report!$U$10:$U$604,Report!$T$10:$T$604,"MERCADORIAS P/REVENDA",Report!$C$10:$C$604,A629)</f>
        <v>0</v>
      </c>
      <c r="F629" s="31" t="n">
        <f aca="false">B629+C629</f>
        <v>0</v>
      </c>
    </row>
    <row r="630" customFormat="false" ht="15" hidden="false" customHeight="true" outlineLevel="0" collapsed="false">
      <c r="A630" s="30" t="n">
        <v>46572</v>
      </c>
      <c r="B630" s="31" t="n">
        <f aca="false">SUMIFS(Report!$U$10:$U$604,Report!$T$10:$T$604,"&lt;&gt;"&amp;"MERCADORIAS P/REVENDA",Report!$C$10:$C$604,A630)</f>
        <v>0</v>
      </c>
      <c r="C630" s="31" t="n">
        <f aca="false">SUMIFS(Report!$U$10:$U$604,Report!$T$10:$T$604,"MERCADORIAS P/REVENDA",Report!$C$10:$C$604,A630)</f>
        <v>0</v>
      </c>
      <c r="F630" s="31" t="n">
        <f aca="false">B630+C630</f>
        <v>0</v>
      </c>
    </row>
    <row r="631" customFormat="false" ht="15" hidden="false" customHeight="true" outlineLevel="0" collapsed="false">
      <c r="A631" s="30" t="n">
        <v>46573</v>
      </c>
      <c r="B631" s="31" t="n">
        <f aca="false">SUMIFS(Report!$U$10:$U$604,Report!$T$10:$T$604,"&lt;&gt;"&amp;"MERCADORIAS P/REVENDA",Report!$C$10:$C$604,A631)</f>
        <v>0</v>
      </c>
      <c r="C631" s="31" t="n">
        <f aca="false">SUMIFS(Report!$U$10:$U$604,Report!$T$10:$T$604,"MERCADORIAS P/REVENDA",Report!$C$10:$C$604,A631)</f>
        <v>0</v>
      </c>
      <c r="F631" s="31" t="n">
        <f aca="false">B631+C631</f>
        <v>0</v>
      </c>
    </row>
    <row r="632" customFormat="false" ht="15" hidden="false" customHeight="true" outlineLevel="0" collapsed="false">
      <c r="A632" s="32" t="s">
        <v>748</v>
      </c>
      <c r="B632" s="33" t="n">
        <f aca="false">SUM(B625:B631)</f>
        <v>0</v>
      </c>
      <c r="C632" s="33" t="n">
        <f aca="false">SUM(C625:C631)</f>
        <v>0</v>
      </c>
      <c r="F632" s="33" t="n">
        <f aca="false">B632+C632</f>
        <v>0</v>
      </c>
    </row>
    <row r="633" customFormat="false" ht="15" hidden="false" customHeight="true" outlineLevel="0" collapsed="false">
      <c r="A633" s="24" t="n">
        <v>46574</v>
      </c>
      <c r="B633" s="26" t="n">
        <f aca="false">SUMIFS(Report!$U$10:$U$604,Report!$T$10:$T$604,"&lt;&gt;"&amp;"MERCADORIAS P/REVENDA",Report!$C$10:$C$604,A633)</f>
        <v>0</v>
      </c>
      <c r="C633" s="26" t="n">
        <f aca="false">SUMIFS(Report!$U$10:$U$604,Report!$T$10:$T$604,"MERCADORIAS P/REVENDA",Report!$C$10:$C$604,A633)</f>
        <v>0</v>
      </c>
      <c r="F633" s="26" t="n">
        <f aca="false">B633+C633</f>
        <v>0</v>
      </c>
    </row>
    <row r="634" customFormat="false" ht="15" hidden="false" customHeight="true" outlineLevel="0" collapsed="false">
      <c r="A634" s="24" t="n">
        <v>46575</v>
      </c>
      <c r="B634" s="26" t="n">
        <f aca="false">SUMIFS(Report!$U$10:$U$604,Report!$T$10:$T$604,"&lt;&gt;"&amp;"MERCADORIAS P/REVENDA",Report!$C$10:$C$604,A634)</f>
        <v>0</v>
      </c>
      <c r="C634" s="26" t="n">
        <f aca="false">SUMIFS(Report!$U$10:$U$604,Report!$T$10:$T$604,"MERCADORIAS P/REVENDA",Report!$C$10:$C$604,A634)</f>
        <v>0</v>
      </c>
      <c r="F634" s="26" t="n">
        <f aca="false">B634+C634</f>
        <v>0</v>
      </c>
    </row>
    <row r="635" customFormat="false" ht="15" hidden="false" customHeight="true" outlineLevel="0" collapsed="false">
      <c r="A635" s="24" t="n">
        <v>46576</v>
      </c>
      <c r="B635" s="26" t="n">
        <f aca="false">SUMIFS(Report!$U$10:$U$604,Report!$T$10:$T$604,"&lt;&gt;"&amp;"MERCADORIAS P/REVENDA",Report!$C$10:$C$604,A635)</f>
        <v>0</v>
      </c>
      <c r="C635" s="26" t="n">
        <f aca="false">SUMIFS(Report!$U$10:$U$604,Report!$T$10:$T$604,"MERCADORIAS P/REVENDA",Report!$C$10:$C$604,A635)</f>
        <v>0</v>
      </c>
      <c r="F635" s="26" t="n">
        <f aca="false">B635+C635</f>
        <v>0</v>
      </c>
    </row>
    <row r="636" customFormat="false" ht="15" hidden="false" customHeight="true" outlineLevel="0" collapsed="false">
      <c r="A636" s="24" t="n">
        <v>46577</v>
      </c>
      <c r="B636" s="26" t="n">
        <f aca="false">SUMIFS(Report!$U$10:$U$604,Report!$T$10:$T$604,"&lt;&gt;"&amp;"MERCADORIAS P/REVENDA",Report!$C$10:$C$604,A636)</f>
        <v>0</v>
      </c>
      <c r="C636" s="26" t="n">
        <f aca="false">SUMIFS(Report!$U$10:$U$604,Report!$T$10:$T$604,"MERCADORIAS P/REVENDA",Report!$C$10:$C$604,A636)</f>
        <v>0</v>
      </c>
      <c r="F636" s="26" t="n">
        <f aca="false">B636+C636</f>
        <v>0</v>
      </c>
    </row>
    <row r="637" customFormat="false" ht="15" hidden="false" customHeight="true" outlineLevel="0" collapsed="false">
      <c r="A637" s="30" t="n">
        <v>46578</v>
      </c>
      <c r="B637" s="31" t="n">
        <f aca="false">SUMIFS(Report!$U$10:$U$604,Report!$T$10:$T$604,"&lt;&gt;"&amp;"MERCADORIAS P/REVENDA",Report!$C$10:$C$604,A637)</f>
        <v>0</v>
      </c>
      <c r="C637" s="31" t="n">
        <f aca="false">SUMIFS(Report!$U$10:$U$604,Report!$T$10:$T$604,"MERCADORIAS P/REVENDA",Report!$C$10:$C$604,A637)</f>
        <v>0</v>
      </c>
      <c r="F637" s="31" t="n">
        <f aca="false">B637+C637</f>
        <v>0</v>
      </c>
    </row>
    <row r="638" customFormat="false" ht="15" hidden="false" customHeight="true" outlineLevel="0" collapsed="false">
      <c r="A638" s="30" t="n">
        <v>46579</v>
      </c>
      <c r="B638" s="31" t="n">
        <f aca="false">SUMIFS(Report!$U$10:$U$604,Report!$T$10:$T$604,"&lt;&gt;"&amp;"MERCADORIAS P/REVENDA",Report!$C$10:$C$604,A638)</f>
        <v>0</v>
      </c>
      <c r="C638" s="31" t="n">
        <f aca="false">SUMIFS(Report!$U$10:$U$604,Report!$T$10:$T$604,"MERCADORIAS P/REVENDA",Report!$C$10:$C$604,A638)</f>
        <v>0</v>
      </c>
      <c r="F638" s="31" t="n">
        <f aca="false">B638+C638</f>
        <v>0</v>
      </c>
    </row>
    <row r="639" customFormat="false" ht="15" hidden="false" customHeight="true" outlineLevel="0" collapsed="false">
      <c r="A639" s="30" t="n">
        <v>46580</v>
      </c>
      <c r="B639" s="31" t="n">
        <f aca="false">SUMIFS(Report!$U$10:$U$604,Report!$T$10:$T$604,"&lt;&gt;"&amp;"MERCADORIAS P/REVENDA",Report!$C$10:$C$604,A639)</f>
        <v>0</v>
      </c>
      <c r="C639" s="31" t="n">
        <f aca="false">SUMIFS(Report!$U$10:$U$604,Report!$T$10:$T$604,"MERCADORIAS P/REVENDA",Report!$C$10:$C$604,A639)</f>
        <v>0</v>
      </c>
      <c r="F639" s="31" t="n">
        <f aca="false">B639+C639</f>
        <v>0</v>
      </c>
    </row>
    <row r="640" customFormat="false" ht="15" hidden="false" customHeight="true" outlineLevel="0" collapsed="false">
      <c r="A640" s="32" t="s">
        <v>749</v>
      </c>
      <c r="B640" s="33" t="n">
        <f aca="false">SUM(B633:B639)</f>
        <v>0</v>
      </c>
      <c r="C640" s="33" t="n">
        <f aca="false">SUM(C633:C639)</f>
        <v>0</v>
      </c>
      <c r="F640" s="33" t="n">
        <f aca="false">B640+C640</f>
        <v>0</v>
      </c>
    </row>
    <row r="641" customFormat="false" ht="15" hidden="false" customHeight="true" outlineLevel="0" collapsed="false">
      <c r="A641" s="24" t="n">
        <v>46581</v>
      </c>
      <c r="B641" s="26" t="n">
        <f aca="false">SUMIFS(Report!$U$10:$U$604,Report!$T$10:$T$604,"&lt;&gt;"&amp;"MERCADORIAS P/REVENDA",Report!$C$10:$C$604,A641)</f>
        <v>0</v>
      </c>
      <c r="C641" s="26" t="n">
        <f aca="false">SUMIFS(Report!$U$10:$U$604,Report!$T$10:$T$604,"MERCADORIAS P/REVENDA",Report!$C$10:$C$604,A641)</f>
        <v>0</v>
      </c>
      <c r="F641" s="26" t="n">
        <f aca="false">B641+C641</f>
        <v>0</v>
      </c>
    </row>
    <row r="642" customFormat="false" ht="15" hidden="false" customHeight="true" outlineLevel="0" collapsed="false">
      <c r="A642" s="24" t="n">
        <v>46582</v>
      </c>
      <c r="B642" s="26" t="n">
        <f aca="false">SUMIFS(Report!$U$10:$U$604,Report!$T$10:$T$604,"&lt;&gt;"&amp;"MERCADORIAS P/REVENDA",Report!$C$10:$C$604,A642)</f>
        <v>0</v>
      </c>
      <c r="C642" s="26" t="n">
        <f aca="false">SUMIFS(Report!$U$10:$U$604,Report!$T$10:$T$604,"MERCADORIAS P/REVENDA",Report!$C$10:$C$604,A642)</f>
        <v>0</v>
      </c>
      <c r="F642" s="26" t="n">
        <f aca="false">B642+C642</f>
        <v>0</v>
      </c>
    </row>
    <row r="643" customFormat="false" ht="15" hidden="false" customHeight="true" outlineLevel="0" collapsed="false">
      <c r="A643" s="24" t="n">
        <v>46583</v>
      </c>
      <c r="B643" s="26" t="n">
        <f aca="false">SUMIFS(Report!$U$10:$U$604,Report!$T$10:$T$604,"&lt;&gt;"&amp;"MERCADORIAS P/REVENDA",Report!$C$10:$C$604,A643)</f>
        <v>0</v>
      </c>
      <c r="C643" s="26" t="n">
        <f aca="false">SUMIFS(Report!$U$10:$U$604,Report!$T$10:$T$604,"MERCADORIAS P/REVENDA",Report!$C$10:$C$604,A643)</f>
        <v>0</v>
      </c>
      <c r="F643" s="26" t="n">
        <f aca="false">B643+C643</f>
        <v>0</v>
      </c>
    </row>
    <row r="644" customFormat="false" ht="15" hidden="false" customHeight="true" outlineLevel="0" collapsed="false">
      <c r="A644" s="24" t="n">
        <v>46584</v>
      </c>
      <c r="B644" s="26" t="n">
        <f aca="false">SUMIFS(Report!$U$10:$U$604,Report!$T$10:$T$604,"&lt;&gt;"&amp;"MERCADORIAS P/REVENDA",Report!$C$10:$C$604,A644)</f>
        <v>0</v>
      </c>
      <c r="C644" s="26" t="n">
        <f aca="false">SUMIFS(Report!$U$10:$U$604,Report!$T$10:$T$604,"MERCADORIAS P/REVENDA",Report!$C$10:$C$604,A644)</f>
        <v>0</v>
      </c>
      <c r="F644" s="26" t="n">
        <f aca="false">B644+C644</f>
        <v>0</v>
      </c>
    </row>
    <row r="645" customFormat="false" ht="15" hidden="false" customHeight="true" outlineLevel="0" collapsed="false">
      <c r="A645" s="30" t="n">
        <v>46585</v>
      </c>
      <c r="B645" s="31" t="n">
        <f aca="false">SUMIFS(Report!$U$10:$U$604,Report!$T$10:$T$604,"&lt;&gt;"&amp;"MERCADORIAS P/REVENDA",Report!$C$10:$C$604,A645)</f>
        <v>0</v>
      </c>
      <c r="C645" s="31" t="n">
        <f aca="false">SUMIFS(Report!$U$10:$U$604,Report!$T$10:$T$604,"MERCADORIAS P/REVENDA",Report!$C$10:$C$604,A645)</f>
        <v>0</v>
      </c>
      <c r="F645" s="31" t="n">
        <f aca="false">B645+C645</f>
        <v>0</v>
      </c>
    </row>
    <row r="646" customFormat="false" ht="15" hidden="false" customHeight="true" outlineLevel="0" collapsed="false">
      <c r="A646" s="30" t="n">
        <v>46586</v>
      </c>
      <c r="B646" s="31" t="n">
        <f aca="false">SUMIFS(Report!$U$10:$U$604,Report!$T$10:$T$604,"&lt;&gt;"&amp;"MERCADORIAS P/REVENDA",Report!$C$10:$C$604,A646)</f>
        <v>0</v>
      </c>
      <c r="C646" s="31" t="n">
        <f aca="false">SUMIFS(Report!$U$10:$U$604,Report!$T$10:$T$604,"MERCADORIAS P/REVENDA",Report!$C$10:$C$604,A646)</f>
        <v>0</v>
      </c>
      <c r="F646" s="31" t="n">
        <f aca="false">B646+C646</f>
        <v>0</v>
      </c>
    </row>
    <row r="647" customFormat="false" ht="15" hidden="false" customHeight="true" outlineLevel="0" collapsed="false">
      <c r="A647" s="30" t="n">
        <v>46587</v>
      </c>
      <c r="B647" s="31" t="n">
        <f aca="false">SUMIFS(Report!$U$10:$U$604,Report!$T$10:$T$604,"&lt;&gt;"&amp;"MERCADORIAS P/REVENDA",Report!$C$10:$C$604,A647)</f>
        <v>0</v>
      </c>
      <c r="C647" s="31" t="n">
        <f aca="false">SUMIFS(Report!$U$10:$U$604,Report!$T$10:$T$604,"MERCADORIAS P/REVENDA",Report!$C$10:$C$604,A647)</f>
        <v>0</v>
      </c>
      <c r="F647" s="31" t="n">
        <f aca="false">B647+C647</f>
        <v>0</v>
      </c>
    </row>
    <row r="648" customFormat="false" ht="15" hidden="false" customHeight="true" outlineLevel="0" collapsed="false">
      <c r="A648" s="32" t="s">
        <v>750</v>
      </c>
      <c r="B648" s="33" t="n">
        <f aca="false">SUM(B641:B647)</f>
        <v>0</v>
      </c>
      <c r="C648" s="33" t="n">
        <f aca="false">SUM(C641:C647)</f>
        <v>0</v>
      </c>
      <c r="F648" s="33" t="n">
        <f aca="false">B648+C648</f>
        <v>0</v>
      </c>
    </row>
    <row r="649" customFormat="false" ht="15" hidden="false" customHeight="true" outlineLevel="0" collapsed="false">
      <c r="A649" s="24" t="n">
        <v>46588</v>
      </c>
      <c r="B649" s="26" t="n">
        <f aca="false">SUMIFS(Report!$U$10:$U$604,Report!$T$10:$T$604,"&lt;&gt;"&amp;"MERCADORIAS P/REVENDA",Report!$C$10:$C$604,A649)</f>
        <v>0</v>
      </c>
      <c r="C649" s="26" t="n">
        <f aca="false">SUMIFS(Report!$U$10:$U$604,Report!$T$10:$T$604,"MERCADORIAS P/REVENDA",Report!$C$10:$C$604,A649)</f>
        <v>0</v>
      </c>
      <c r="F649" s="26" t="n">
        <f aca="false">B649+C649</f>
        <v>0</v>
      </c>
    </row>
    <row r="650" customFormat="false" ht="15" hidden="false" customHeight="true" outlineLevel="0" collapsed="false">
      <c r="A650" s="24" t="n">
        <v>46589</v>
      </c>
      <c r="B650" s="26" t="n">
        <f aca="false">SUMIFS(Report!$U$10:$U$604,Report!$T$10:$T$604,"&lt;&gt;"&amp;"MERCADORIAS P/REVENDA",Report!$C$10:$C$604,A650)</f>
        <v>0</v>
      </c>
      <c r="C650" s="26" t="n">
        <f aca="false">SUMIFS(Report!$U$10:$U$604,Report!$T$10:$T$604,"MERCADORIAS P/REVENDA",Report!$C$10:$C$604,A650)</f>
        <v>0</v>
      </c>
      <c r="F650" s="26" t="n">
        <f aca="false">B650+C650</f>
        <v>0</v>
      </c>
    </row>
    <row r="651" customFormat="false" ht="15" hidden="false" customHeight="true" outlineLevel="0" collapsed="false">
      <c r="A651" s="24" t="n">
        <v>46590</v>
      </c>
      <c r="B651" s="26" t="n">
        <f aca="false">SUMIFS(Report!$U$10:$U$604,Report!$T$10:$T$604,"&lt;&gt;"&amp;"MERCADORIAS P/REVENDA",Report!$C$10:$C$604,A651)</f>
        <v>0</v>
      </c>
      <c r="C651" s="26" t="n">
        <f aca="false">SUMIFS(Report!$U$10:$U$604,Report!$T$10:$T$604,"MERCADORIAS P/REVENDA",Report!$C$10:$C$604,A651)</f>
        <v>0</v>
      </c>
      <c r="F651" s="26" t="n">
        <f aca="false">B651+C651</f>
        <v>0</v>
      </c>
    </row>
    <row r="652" customFormat="false" ht="15" hidden="false" customHeight="true" outlineLevel="0" collapsed="false">
      <c r="A652" s="24" t="n">
        <v>46591</v>
      </c>
      <c r="B652" s="26" t="n">
        <f aca="false">SUMIFS(Report!$U$10:$U$604,Report!$T$10:$T$604,"&lt;&gt;"&amp;"MERCADORIAS P/REVENDA",Report!$C$10:$C$604,A652)</f>
        <v>0</v>
      </c>
      <c r="C652" s="26" t="n">
        <f aca="false">SUMIFS(Report!$U$10:$U$604,Report!$T$10:$T$604,"MERCADORIAS P/REVENDA",Report!$C$10:$C$604,A652)</f>
        <v>0</v>
      </c>
      <c r="F652" s="26" t="n">
        <f aca="false">B652+C652</f>
        <v>0</v>
      </c>
    </row>
    <row r="653" customFormat="false" ht="15" hidden="false" customHeight="true" outlineLevel="0" collapsed="false">
      <c r="A653" s="30" t="n">
        <v>46592</v>
      </c>
      <c r="B653" s="31" t="n">
        <f aca="false">SUMIFS(Report!$U$10:$U$604,Report!$T$10:$T$604,"&lt;&gt;"&amp;"MERCADORIAS P/REVENDA",Report!$C$10:$C$604,A653)</f>
        <v>0</v>
      </c>
      <c r="C653" s="31" t="n">
        <f aca="false">SUMIFS(Report!$U$10:$U$604,Report!$T$10:$T$604,"MERCADORIAS P/REVENDA",Report!$C$10:$C$604,A653)</f>
        <v>0</v>
      </c>
      <c r="F653" s="31" t="n">
        <f aca="false">B653+C653</f>
        <v>0</v>
      </c>
    </row>
    <row r="654" customFormat="false" ht="15" hidden="false" customHeight="true" outlineLevel="0" collapsed="false">
      <c r="A654" s="30" t="n">
        <v>46593</v>
      </c>
      <c r="B654" s="31" t="n">
        <f aca="false">SUMIFS(Report!$U$10:$U$604,Report!$T$10:$T$604,"&lt;&gt;"&amp;"MERCADORIAS P/REVENDA",Report!$C$10:$C$604,A654)</f>
        <v>0</v>
      </c>
      <c r="C654" s="31" t="n">
        <f aca="false">SUMIFS(Report!$U$10:$U$604,Report!$T$10:$T$604,"MERCADORIAS P/REVENDA",Report!$C$10:$C$604,A654)</f>
        <v>0</v>
      </c>
      <c r="F654" s="31" t="n">
        <f aca="false">B654+C654</f>
        <v>0</v>
      </c>
    </row>
    <row r="655" customFormat="false" ht="15" hidden="false" customHeight="true" outlineLevel="0" collapsed="false">
      <c r="A655" s="30" t="n">
        <v>46594</v>
      </c>
      <c r="B655" s="31" t="n">
        <f aca="false">SUMIFS(Report!$U$10:$U$604,Report!$T$10:$T$604,"&lt;&gt;"&amp;"MERCADORIAS P/REVENDA",Report!$C$10:$C$604,A655)</f>
        <v>0</v>
      </c>
      <c r="C655" s="31" t="n">
        <f aca="false">SUMIFS(Report!$U$10:$U$604,Report!$T$10:$T$604,"MERCADORIAS P/REVENDA",Report!$C$10:$C$604,A655)</f>
        <v>0</v>
      </c>
      <c r="F655" s="31" t="n">
        <f aca="false">B655+C655</f>
        <v>0</v>
      </c>
    </row>
    <row r="656" customFormat="false" ht="15" hidden="false" customHeight="true" outlineLevel="0" collapsed="false">
      <c r="A656" s="32" t="s">
        <v>751</v>
      </c>
      <c r="B656" s="33" t="n">
        <f aca="false">SUM(B649:B655)</f>
        <v>0</v>
      </c>
      <c r="C656" s="33" t="n">
        <f aca="false">SUM(C649:C655)</f>
        <v>0</v>
      </c>
      <c r="F656" s="33" t="n">
        <f aca="false">B656+C656</f>
        <v>0</v>
      </c>
    </row>
    <row r="657" customFormat="false" ht="15" hidden="false" customHeight="true" outlineLevel="0" collapsed="false">
      <c r="A657" s="24" t="n">
        <v>46595</v>
      </c>
      <c r="B657" s="26" t="n">
        <f aca="false">SUMIFS(Report!$U$10:$U$604,Report!$T$10:$T$604,"&lt;&gt;"&amp;"MERCADORIAS P/REVENDA",Report!$C$10:$C$604,A657)</f>
        <v>0</v>
      </c>
      <c r="C657" s="26" t="n">
        <f aca="false">SUMIFS(Report!$U$10:$U$604,Report!$T$10:$T$604,"MERCADORIAS P/REVENDA",Report!$C$10:$C$604,A657)</f>
        <v>0</v>
      </c>
      <c r="F657" s="26" t="n">
        <f aca="false">B657+C657</f>
        <v>0</v>
      </c>
    </row>
    <row r="658" customFormat="false" ht="15" hidden="false" customHeight="true" outlineLevel="0" collapsed="false">
      <c r="A658" s="24" t="n">
        <v>46596</v>
      </c>
      <c r="B658" s="26" t="n">
        <f aca="false">SUMIFS(Report!$U$10:$U$604,Report!$T$10:$T$604,"&lt;&gt;"&amp;"MERCADORIAS P/REVENDA",Report!$C$10:$C$604,A658)</f>
        <v>0</v>
      </c>
      <c r="C658" s="26" t="n">
        <f aca="false">SUMIFS(Report!$U$10:$U$604,Report!$T$10:$T$604,"MERCADORIAS P/REVENDA",Report!$C$10:$C$604,A658)</f>
        <v>0</v>
      </c>
      <c r="F658" s="26" t="n">
        <f aca="false">B658+C658</f>
        <v>0</v>
      </c>
    </row>
    <row r="659" customFormat="false" ht="15" hidden="false" customHeight="true" outlineLevel="0" collapsed="false">
      <c r="A659" s="24" t="n">
        <v>46597</v>
      </c>
      <c r="B659" s="26" t="n">
        <f aca="false">SUMIFS(Report!$U$10:$U$604,Report!$T$10:$T$604,"&lt;&gt;"&amp;"MERCADORIAS P/REVENDA",Report!$C$10:$C$604,A659)</f>
        <v>0</v>
      </c>
      <c r="C659" s="26" t="n">
        <f aca="false">SUMIFS(Report!$U$10:$U$604,Report!$T$10:$T$604,"MERCADORIAS P/REVENDA",Report!$C$10:$C$604,A659)</f>
        <v>0</v>
      </c>
      <c r="F659" s="26" t="n">
        <f aca="false">B659+C659</f>
        <v>0</v>
      </c>
    </row>
    <row r="660" customFormat="false" ht="15" hidden="false" customHeight="true" outlineLevel="0" collapsed="false">
      <c r="A660" s="24" t="n">
        <v>46598</v>
      </c>
      <c r="B660" s="26" t="n">
        <f aca="false">SUMIFS(Report!$U$10:$U$604,Report!$T$10:$T$604,"&lt;&gt;"&amp;"MERCADORIAS P/REVENDA",Report!$C$10:$C$604,A660)</f>
        <v>0</v>
      </c>
      <c r="C660" s="26" t="n">
        <f aca="false">SUMIFS(Report!$U$10:$U$604,Report!$T$10:$T$604,"MERCADORIAS P/REVENDA",Report!$C$10:$C$604,A660)</f>
        <v>0</v>
      </c>
      <c r="F660" s="26" t="n">
        <f aca="false">B660+C660</f>
        <v>0</v>
      </c>
    </row>
    <row r="661" customFormat="false" ht="15" hidden="false" customHeight="true" outlineLevel="0" collapsed="false">
      <c r="A661" s="30" t="n">
        <v>46599</v>
      </c>
      <c r="B661" s="31" t="n">
        <f aca="false">SUMIFS(Report!$U$10:$U$604,Report!$T$10:$T$604,"&lt;&gt;"&amp;"MERCADORIAS P/REVENDA",Report!$C$10:$C$604,A661)</f>
        <v>0</v>
      </c>
      <c r="C661" s="31" t="n">
        <f aca="false">SUMIFS(Report!$U$10:$U$604,Report!$T$10:$T$604,"MERCADORIAS P/REVENDA",Report!$C$10:$C$604,A661)</f>
        <v>0</v>
      </c>
      <c r="F661" s="31" t="n">
        <f aca="false">B661+C661</f>
        <v>0</v>
      </c>
    </row>
    <row r="662" customFormat="false" ht="15" hidden="false" customHeight="true" outlineLevel="0" collapsed="false">
      <c r="A662" s="30" t="n">
        <v>46600</v>
      </c>
      <c r="B662" s="31" t="n">
        <f aca="false">SUMIFS(Report!$U$10:$U$604,Report!$T$10:$T$604,"&lt;&gt;"&amp;"MERCADORIAS P/REVENDA",Report!$C$10:$C$604,A662)</f>
        <v>0</v>
      </c>
      <c r="C662" s="31" t="n">
        <f aca="false">SUMIFS(Report!$U$10:$U$604,Report!$T$10:$T$604,"MERCADORIAS P/REVENDA",Report!$C$10:$C$604,A662)</f>
        <v>0</v>
      </c>
      <c r="F662" s="31" t="n">
        <f aca="false">B662+C662</f>
        <v>0</v>
      </c>
    </row>
    <row r="663" customFormat="false" ht="15" hidden="false" customHeight="true" outlineLevel="0" collapsed="false">
      <c r="A663" s="30" t="n">
        <v>46601</v>
      </c>
      <c r="B663" s="31" t="n">
        <f aca="false">SUMIFS(Report!$U$10:$U$604,Report!$T$10:$T$604,"&lt;&gt;"&amp;"MERCADORIAS P/REVENDA",Report!$C$10:$C$604,A663)</f>
        <v>0</v>
      </c>
      <c r="C663" s="31" t="n">
        <f aca="false">SUMIFS(Report!$U$10:$U$604,Report!$T$10:$T$604,"MERCADORIAS P/REVENDA",Report!$C$10:$C$604,A663)</f>
        <v>0</v>
      </c>
      <c r="F663" s="31" t="n">
        <f aca="false">B663+C663</f>
        <v>0</v>
      </c>
    </row>
    <row r="664" customFormat="false" ht="15" hidden="false" customHeight="true" outlineLevel="0" collapsed="false">
      <c r="A664" s="32" t="s">
        <v>752</v>
      </c>
      <c r="B664" s="33" t="n">
        <f aca="false">SUM(B657:B663)</f>
        <v>0</v>
      </c>
      <c r="C664" s="33" t="n">
        <f aca="false">SUM(C657:C663)</f>
        <v>0</v>
      </c>
      <c r="F664" s="33" t="n">
        <f aca="false">B664+C664</f>
        <v>0</v>
      </c>
    </row>
    <row r="665" customFormat="false" ht="15" hidden="false" customHeight="true" outlineLevel="0" collapsed="false">
      <c r="A665" s="24" t="n">
        <v>46602</v>
      </c>
      <c r="B665" s="26" t="n">
        <f aca="false">SUMIFS(Report!$U$10:$U$604,Report!$T$10:$T$604,"&lt;&gt;"&amp;"MERCADORIAS P/REVENDA",Report!$C$10:$C$604,A665)</f>
        <v>0</v>
      </c>
      <c r="C665" s="26" t="n">
        <f aca="false">SUMIFS(Report!$U$10:$U$604,Report!$T$10:$T$604,"MERCADORIAS P/REVENDA",Report!$C$10:$C$604,A665)</f>
        <v>0</v>
      </c>
      <c r="F665" s="26" t="n">
        <f aca="false">B665+C665</f>
        <v>0</v>
      </c>
    </row>
    <row r="666" customFormat="false" ht="15" hidden="false" customHeight="true" outlineLevel="0" collapsed="false">
      <c r="A666" s="24" t="n">
        <v>46603</v>
      </c>
      <c r="B666" s="26" t="n">
        <f aca="false">SUMIFS(Report!$U$10:$U$604,Report!$T$10:$T$604,"&lt;&gt;"&amp;"MERCADORIAS P/REVENDA",Report!$C$10:$C$604,A666)</f>
        <v>0</v>
      </c>
      <c r="C666" s="26" t="n">
        <f aca="false">SUMIFS(Report!$U$10:$U$604,Report!$T$10:$T$604,"MERCADORIAS P/REVENDA",Report!$C$10:$C$604,A666)</f>
        <v>0</v>
      </c>
      <c r="F666" s="26" t="n">
        <f aca="false">B666+C666</f>
        <v>0</v>
      </c>
    </row>
    <row r="667" customFormat="false" ht="15" hidden="false" customHeight="true" outlineLevel="0" collapsed="false">
      <c r="A667" s="24" t="n">
        <v>46604</v>
      </c>
      <c r="B667" s="26" t="n">
        <f aca="false">SUMIFS(Report!$U$10:$U$604,Report!$T$10:$T$604,"&lt;&gt;"&amp;"MERCADORIAS P/REVENDA",Report!$C$10:$C$604,A667)</f>
        <v>0</v>
      </c>
      <c r="C667" s="26" t="n">
        <f aca="false">SUMIFS(Report!$U$10:$U$604,Report!$T$10:$T$604,"MERCADORIAS P/REVENDA",Report!$C$10:$C$604,A667)</f>
        <v>0</v>
      </c>
      <c r="F667" s="26" t="n">
        <f aca="false">B667+C667</f>
        <v>0</v>
      </c>
    </row>
    <row r="668" customFormat="false" ht="15" hidden="false" customHeight="true" outlineLevel="0" collapsed="false">
      <c r="A668" s="24" t="n">
        <v>46605</v>
      </c>
      <c r="B668" s="26" t="n">
        <f aca="false">SUMIFS(Report!$U$10:$U$604,Report!$T$10:$T$604,"&lt;&gt;"&amp;"MERCADORIAS P/REVENDA",Report!$C$10:$C$604,A668)</f>
        <v>0</v>
      </c>
      <c r="C668" s="26" t="n">
        <f aca="false">SUMIFS(Report!$U$10:$U$604,Report!$T$10:$T$604,"MERCADORIAS P/REVENDA",Report!$C$10:$C$604,A668)</f>
        <v>0</v>
      </c>
      <c r="F668" s="26" t="n">
        <f aca="false">B668+C668</f>
        <v>0</v>
      </c>
    </row>
    <row r="669" customFormat="false" ht="15" hidden="false" customHeight="true" outlineLevel="0" collapsed="false">
      <c r="A669" s="30" t="n">
        <v>46606</v>
      </c>
      <c r="B669" s="31" t="n">
        <f aca="false">SUMIFS(Report!$U$10:$U$604,Report!$T$10:$T$604,"&lt;&gt;"&amp;"MERCADORIAS P/REVENDA",Report!$C$10:$C$604,A669)</f>
        <v>0</v>
      </c>
      <c r="C669" s="31" t="n">
        <f aca="false">SUMIFS(Report!$U$10:$U$604,Report!$T$10:$T$604,"MERCADORIAS P/REVENDA",Report!$C$10:$C$604,A669)</f>
        <v>0</v>
      </c>
      <c r="F669" s="31" t="n">
        <f aca="false">B669+C669</f>
        <v>0</v>
      </c>
    </row>
    <row r="670" customFormat="false" ht="15" hidden="false" customHeight="true" outlineLevel="0" collapsed="false">
      <c r="A670" s="30" t="n">
        <v>46607</v>
      </c>
      <c r="B670" s="31" t="n">
        <f aca="false">SUMIFS(Report!$U$10:$U$604,Report!$T$10:$T$604,"&lt;&gt;"&amp;"MERCADORIAS P/REVENDA",Report!$C$10:$C$604,A670)</f>
        <v>0</v>
      </c>
      <c r="C670" s="31" t="n">
        <f aca="false">SUMIFS(Report!$U$10:$U$604,Report!$T$10:$T$604,"MERCADORIAS P/REVENDA",Report!$C$10:$C$604,A670)</f>
        <v>0</v>
      </c>
      <c r="F670" s="31" t="n">
        <f aca="false">B670+C670</f>
        <v>0</v>
      </c>
    </row>
    <row r="671" customFormat="false" ht="15" hidden="false" customHeight="true" outlineLevel="0" collapsed="false">
      <c r="A671" s="30" t="n">
        <v>46608</v>
      </c>
      <c r="B671" s="31" t="n">
        <f aca="false">SUMIFS(Report!$U$10:$U$604,Report!$T$10:$T$604,"&lt;&gt;"&amp;"MERCADORIAS P/REVENDA",Report!$C$10:$C$604,A671)</f>
        <v>0</v>
      </c>
      <c r="C671" s="31" t="n">
        <f aca="false">SUMIFS(Report!$U$10:$U$604,Report!$T$10:$T$604,"MERCADORIAS P/REVENDA",Report!$C$10:$C$604,A671)</f>
        <v>0</v>
      </c>
      <c r="F671" s="31" t="n">
        <f aca="false">B671+C671</f>
        <v>0</v>
      </c>
    </row>
    <row r="672" customFormat="false" ht="15" hidden="false" customHeight="true" outlineLevel="0" collapsed="false">
      <c r="A672" s="32" t="s">
        <v>753</v>
      </c>
      <c r="B672" s="33" t="n">
        <f aca="false">SUM(B665:B671)</f>
        <v>0</v>
      </c>
      <c r="C672" s="33" t="n">
        <f aca="false">SUM(C665:C671)</f>
        <v>0</v>
      </c>
      <c r="F672" s="33" t="n">
        <f aca="false">B672+C672</f>
        <v>0</v>
      </c>
    </row>
    <row r="673" customFormat="false" ht="15" hidden="false" customHeight="true" outlineLevel="0" collapsed="false">
      <c r="A673" s="24" t="n">
        <v>46609</v>
      </c>
      <c r="B673" s="26" t="n">
        <f aca="false">SUMIFS(Report!$U$10:$U$604,Report!$T$10:$T$604,"&lt;&gt;"&amp;"MERCADORIAS P/REVENDA",Report!$C$10:$C$604,A673)</f>
        <v>0</v>
      </c>
      <c r="C673" s="26" t="n">
        <f aca="false">SUMIFS(Report!$U$10:$U$604,Report!$T$10:$T$604,"MERCADORIAS P/REVENDA",Report!$C$10:$C$604,A673)</f>
        <v>0</v>
      </c>
      <c r="F673" s="26" t="n">
        <f aca="false">B673+C673</f>
        <v>0</v>
      </c>
    </row>
    <row r="674" customFormat="false" ht="15" hidden="false" customHeight="true" outlineLevel="0" collapsed="false">
      <c r="A674" s="24" t="n">
        <v>46610</v>
      </c>
      <c r="B674" s="26" t="n">
        <f aca="false">SUMIFS(Report!$U$10:$U$604,Report!$T$10:$T$604,"&lt;&gt;"&amp;"MERCADORIAS P/REVENDA",Report!$C$10:$C$604,A674)</f>
        <v>0</v>
      </c>
      <c r="C674" s="26" t="n">
        <f aca="false">SUMIFS(Report!$U$10:$U$604,Report!$T$10:$T$604,"MERCADORIAS P/REVENDA",Report!$C$10:$C$604,A674)</f>
        <v>0</v>
      </c>
      <c r="F674" s="26" t="n">
        <f aca="false">B674+C674</f>
        <v>0</v>
      </c>
    </row>
    <row r="675" customFormat="false" ht="15" hidden="false" customHeight="true" outlineLevel="0" collapsed="false">
      <c r="A675" s="24" t="n">
        <v>46611</v>
      </c>
      <c r="B675" s="26" t="n">
        <f aca="false">SUMIFS(Report!$U$10:$U$604,Report!$T$10:$T$604,"&lt;&gt;"&amp;"MERCADORIAS P/REVENDA",Report!$C$10:$C$604,A675)</f>
        <v>0</v>
      </c>
      <c r="C675" s="26" t="n">
        <f aca="false">SUMIFS(Report!$U$10:$U$604,Report!$T$10:$T$604,"MERCADORIAS P/REVENDA",Report!$C$10:$C$604,A675)</f>
        <v>0</v>
      </c>
      <c r="F675" s="26" t="n">
        <f aca="false">B675+C675</f>
        <v>0</v>
      </c>
    </row>
    <row r="676" customFormat="false" ht="15" hidden="false" customHeight="true" outlineLevel="0" collapsed="false">
      <c r="A676" s="24" t="n">
        <v>46612</v>
      </c>
      <c r="B676" s="26" t="n">
        <f aca="false">SUMIFS(Report!$U$10:$U$604,Report!$T$10:$T$604,"&lt;&gt;"&amp;"MERCADORIAS P/REVENDA",Report!$C$10:$C$604,A676)</f>
        <v>0</v>
      </c>
      <c r="C676" s="26" t="n">
        <f aca="false">SUMIFS(Report!$U$10:$U$604,Report!$T$10:$T$604,"MERCADORIAS P/REVENDA",Report!$C$10:$C$604,A676)</f>
        <v>0</v>
      </c>
      <c r="F676" s="26" t="n">
        <f aca="false">B676+C676</f>
        <v>0</v>
      </c>
    </row>
    <row r="677" customFormat="false" ht="15" hidden="false" customHeight="true" outlineLevel="0" collapsed="false">
      <c r="A677" s="30" t="n">
        <v>46613</v>
      </c>
      <c r="B677" s="31" t="n">
        <f aca="false">SUMIFS(Report!$U$10:$U$604,Report!$T$10:$T$604,"&lt;&gt;"&amp;"MERCADORIAS P/REVENDA",Report!$C$10:$C$604,A677)</f>
        <v>0</v>
      </c>
      <c r="C677" s="31" t="n">
        <f aca="false">SUMIFS(Report!$U$10:$U$604,Report!$T$10:$T$604,"MERCADORIAS P/REVENDA",Report!$C$10:$C$604,A677)</f>
        <v>0</v>
      </c>
      <c r="F677" s="31" t="n">
        <f aca="false">B677+C677</f>
        <v>0</v>
      </c>
    </row>
    <row r="678" customFormat="false" ht="15" hidden="false" customHeight="true" outlineLevel="0" collapsed="false">
      <c r="A678" s="30" t="n">
        <v>46614</v>
      </c>
      <c r="B678" s="31" t="n">
        <f aca="false">SUMIFS(Report!$U$10:$U$604,Report!$T$10:$T$604,"&lt;&gt;"&amp;"MERCADORIAS P/REVENDA",Report!$C$10:$C$604,A678)</f>
        <v>0</v>
      </c>
      <c r="C678" s="31" t="n">
        <f aca="false">SUMIFS(Report!$U$10:$U$604,Report!$T$10:$T$604,"MERCADORIAS P/REVENDA",Report!$C$10:$C$604,A678)</f>
        <v>0</v>
      </c>
      <c r="F678" s="31" t="n">
        <f aca="false">B678+C678</f>
        <v>0</v>
      </c>
    </row>
    <row r="679" customFormat="false" ht="15" hidden="false" customHeight="true" outlineLevel="0" collapsed="false">
      <c r="A679" s="30" t="n">
        <v>46615</v>
      </c>
      <c r="B679" s="31" t="n">
        <f aca="false">SUMIFS(Report!$U$10:$U$604,Report!$T$10:$T$604,"&lt;&gt;"&amp;"MERCADORIAS P/REVENDA",Report!$C$10:$C$604,A679)</f>
        <v>0</v>
      </c>
      <c r="C679" s="31" t="n">
        <f aca="false">SUMIFS(Report!$U$10:$U$604,Report!$T$10:$T$604,"MERCADORIAS P/REVENDA",Report!$C$10:$C$604,A679)</f>
        <v>0</v>
      </c>
      <c r="F679" s="31" t="n">
        <f aca="false">B679+C679</f>
        <v>0</v>
      </c>
    </row>
    <row r="680" customFormat="false" ht="15" hidden="false" customHeight="true" outlineLevel="0" collapsed="false">
      <c r="A680" s="32" t="s">
        <v>754</v>
      </c>
      <c r="B680" s="33" t="n">
        <f aca="false">SUM(B673:B679)</f>
        <v>0</v>
      </c>
      <c r="C680" s="33" t="n">
        <f aca="false">SUM(C673:C679)</f>
        <v>0</v>
      </c>
      <c r="F680" s="33" t="n">
        <f aca="false">B680+C680</f>
        <v>0</v>
      </c>
    </row>
    <row r="681" customFormat="false" ht="15" hidden="false" customHeight="true" outlineLevel="0" collapsed="false">
      <c r="A681" s="24" t="n">
        <v>46616</v>
      </c>
      <c r="B681" s="26" t="n">
        <f aca="false">SUMIFS(Report!$U$10:$U$604,Report!$T$10:$T$604,"&lt;&gt;"&amp;"MERCADORIAS P/REVENDA",Report!$C$10:$C$604,A681)</f>
        <v>0</v>
      </c>
      <c r="C681" s="26" t="n">
        <f aca="false">SUMIFS(Report!$U$10:$U$604,Report!$T$10:$T$604,"MERCADORIAS P/REVENDA",Report!$C$10:$C$604,A681)</f>
        <v>0</v>
      </c>
      <c r="F681" s="26" t="n">
        <f aca="false">B681+C681</f>
        <v>0</v>
      </c>
    </row>
    <row r="682" customFormat="false" ht="15" hidden="false" customHeight="true" outlineLevel="0" collapsed="false">
      <c r="A682" s="24" t="n">
        <v>46617</v>
      </c>
      <c r="B682" s="26" t="n">
        <f aca="false">SUMIFS(Report!$U$10:$U$604,Report!$T$10:$T$604,"&lt;&gt;"&amp;"MERCADORIAS P/REVENDA",Report!$C$10:$C$604,A682)</f>
        <v>0</v>
      </c>
      <c r="C682" s="26" t="n">
        <f aca="false">SUMIFS(Report!$U$10:$U$604,Report!$T$10:$T$604,"MERCADORIAS P/REVENDA",Report!$C$10:$C$604,A682)</f>
        <v>0</v>
      </c>
      <c r="F682" s="26" t="n">
        <f aca="false">B682+C682</f>
        <v>0</v>
      </c>
    </row>
    <row r="683" customFormat="false" ht="15" hidden="false" customHeight="true" outlineLevel="0" collapsed="false">
      <c r="A683" s="24" t="n">
        <v>46618</v>
      </c>
      <c r="B683" s="26" t="n">
        <f aca="false">SUMIFS(Report!$U$10:$U$604,Report!$T$10:$T$604,"&lt;&gt;"&amp;"MERCADORIAS P/REVENDA",Report!$C$10:$C$604,A683)</f>
        <v>0</v>
      </c>
      <c r="C683" s="26" t="n">
        <f aca="false">SUMIFS(Report!$U$10:$U$604,Report!$T$10:$T$604,"MERCADORIAS P/REVENDA",Report!$C$10:$C$604,A683)</f>
        <v>0</v>
      </c>
      <c r="F683" s="26" t="n">
        <f aca="false">B683+C683</f>
        <v>0</v>
      </c>
    </row>
    <row r="684" customFormat="false" ht="15" hidden="false" customHeight="true" outlineLevel="0" collapsed="false">
      <c r="A684" s="24" t="n">
        <v>46619</v>
      </c>
      <c r="B684" s="26" t="n">
        <f aca="false">SUMIFS(Report!$U$10:$U$604,Report!$T$10:$T$604,"&lt;&gt;"&amp;"MERCADORIAS P/REVENDA",Report!$C$10:$C$604,A684)</f>
        <v>0</v>
      </c>
      <c r="C684" s="26" t="n">
        <f aca="false">SUMIFS(Report!$U$10:$U$604,Report!$T$10:$T$604,"MERCADORIAS P/REVENDA",Report!$C$10:$C$604,A684)</f>
        <v>0</v>
      </c>
      <c r="F684" s="26" t="n">
        <f aca="false">B684+C684</f>
        <v>0</v>
      </c>
    </row>
    <row r="685" customFormat="false" ht="15" hidden="false" customHeight="true" outlineLevel="0" collapsed="false">
      <c r="A685" s="30" t="n">
        <v>46620</v>
      </c>
      <c r="B685" s="31" t="n">
        <f aca="false">SUMIFS(Report!$U$10:$U$604,Report!$T$10:$T$604,"&lt;&gt;"&amp;"MERCADORIAS P/REVENDA",Report!$C$10:$C$604,A685)</f>
        <v>0</v>
      </c>
      <c r="C685" s="31" t="n">
        <f aca="false">SUMIFS(Report!$U$10:$U$604,Report!$T$10:$T$604,"MERCADORIAS P/REVENDA",Report!$C$10:$C$604,A685)</f>
        <v>0</v>
      </c>
      <c r="F685" s="31" t="n">
        <f aca="false">B685+C685</f>
        <v>0</v>
      </c>
    </row>
    <row r="686" customFormat="false" ht="15" hidden="false" customHeight="true" outlineLevel="0" collapsed="false">
      <c r="A686" s="30" t="n">
        <v>46621</v>
      </c>
      <c r="B686" s="31" t="n">
        <f aca="false">SUMIFS(Report!$U$10:$U$604,Report!$T$10:$T$604,"&lt;&gt;"&amp;"MERCADORIAS P/REVENDA",Report!$C$10:$C$604,A686)</f>
        <v>0</v>
      </c>
      <c r="C686" s="31" t="n">
        <f aca="false">SUMIFS(Report!$U$10:$U$604,Report!$T$10:$T$604,"MERCADORIAS P/REVENDA",Report!$C$10:$C$604,A686)</f>
        <v>0</v>
      </c>
      <c r="F686" s="31" t="n">
        <f aca="false">B686+C686</f>
        <v>0</v>
      </c>
    </row>
    <row r="687" customFormat="false" ht="15" hidden="false" customHeight="true" outlineLevel="0" collapsed="false">
      <c r="A687" s="30" t="n">
        <v>46622</v>
      </c>
      <c r="B687" s="31" t="n">
        <f aca="false">SUMIFS(Report!$U$10:$U$604,Report!$T$10:$T$604,"&lt;&gt;"&amp;"MERCADORIAS P/REVENDA",Report!$C$10:$C$604,A687)</f>
        <v>0</v>
      </c>
      <c r="C687" s="31" t="n">
        <f aca="false">SUMIFS(Report!$U$10:$U$604,Report!$T$10:$T$604,"MERCADORIAS P/REVENDA",Report!$C$10:$C$604,A687)</f>
        <v>0</v>
      </c>
      <c r="F687" s="31" t="n">
        <f aca="false">B687+C687</f>
        <v>0</v>
      </c>
    </row>
    <row r="688" customFormat="false" ht="15" hidden="false" customHeight="true" outlineLevel="0" collapsed="false">
      <c r="A688" s="32" t="s">
        <v>755</v>
      </c>
      <c r="B688" s="33" t="n">
        <f aca="false">SUM(B681:B687)</f>
        <v>0</v>
      </c>
      <c r="C688" s="33" t="n">
        <f aca="false">SUM(C681:C687)</f>
        <v>0</v>
      </c>
      <c r="F688" s="33" t="n">
        <f aca="false">B688+C688</f>
        <v>0</v>
      </c>
    </row>
    <row r="689" customFormat="false" ht="15" hidden="false" customHeight="true" outlineLevel="0" collapsed="false">
      <c r="A689" s="24" t="n">
        <v>46623</v>
      </c>
      <c r="B689" s="26" t="n">
        <f aca="false">SUMIFS(Report!$U$10:$U$604,Report!$T$10:$T$604,"&lt;&gt;"&amp;"MERCADORIAS P/REVENDA",Report!$C$10:$C$604,A689)</f>
        <v>0</v>
      </c>
      <c r="C689" s="26" t="n">
        <f aca="false">SUMIFS(Report!$U$10:$U$604,Report!$T$10:$T$604,"MERCADORIAS P/REVENDA",Report!$C$10:$C$604,A689)</f>
        <v>0</v>
      </c>
      <c r="F689" s="26" t="n">
        <f aca="false">B689+C689</f>
        <v>0</v>
      </c>
    </row>
    <row r="690" customFormat="false" ht="15" hidden="false" customHeight="true" outlineLevel="0" collapsed="false">
      <c r="A690" s="24" t="n">
        <v>46624</v>
      </c>
      <c r="B690" s="26" t="n">
        <f aca="false">SUMIFS(Report!$U$10:$U$604,Report!$T$10:$T$604,"&lt;&gt;"&amp;"MERCADORIAS P/REVENDA",Report!$C$10:$C$604,A690)</f>
        <v>0</v>
      </c>
      <c r="C690" s="26" t="n">
        <f aca="false">SUMIFS(Report!$U$10:$U$604,Report!$T$10:$T$604,"MERCADORIAS P/REVENDA",Report!$C$10:$C$604,A690)</f>
        <v>0</v>
      </c>
      <c r="F690" s="26" t="n">
        <f aca="false">B690+C690</f>
        <v>0</v>
      </c>
    </row>
    <row r="691" customFormat="false" ht="15" hidden="false" customHeight="true" outlineLevel="0" collapsed="false">
      <c r="A691" s="24" t="n">
        <v>46625</v>
      </c>
      <c r="B691" s="26" t="n">
        <f aca="false">SUMIFS(Report!$U$10:$U$604,Report!$T$10:$T$604,"&lt;&gt;"&amp;"MERCADORIAS P/REVENDA",Report!$C$10:$C$604,A691)</f>
        <v>0</v>
      </c>
      <c r="C691" s="26" t="n">
        <f aca="false">SUMIFS(Report!$U$10:$U$604,Report!$T$10:$T$604,"MERCADORIAS P/REVENDA",Report!$C$10:$C$604,A691)</f>
        <v>0</v>
      </c>
      <c r="F691" s="26" t="n">
        <f aca="false">B691+C691</f>
        <v>0</v>
      </c>
    </row>
    <row r="692" customFormat="false" ht="15" hidden="false" customHeight="true" outlineLevel="0" collapsed="false">
      <c r="A692" s="24" t="n">
        <v>46626</v>
      </c>
      <c r="B692" s="26" t="n">
        <f aca="false">SUMIFS(Report!$U$10:$U$604,Report!$T$10:$T$604,"&lt;&gt;"&amp;"MERCADORIAS P/REVENDA",Report!$C$10:$C$604,A692)</f>
        <v>0</v>
      </c>
      <c r="C692" s="26" t="n">
        <f aca="false">SUMIFS(Report!$U$10:$U$604,Report!$T$10:$T$604,"MERCADORIAS P/REVENDA",Report!$C$10:$C$604,A692)</f>
        <v>0</v>
      </c>
      <c r="F692" s="26" t="n">
        <f aca="false">B692+C692</f>
        <v>0</v>
      </c>
    </row>
    <row r="693" customFormat="false" ht="15" hidden="false" customHeight="true" outlineLevel="0" collapsed="false">
      <c r="A693" s="30" t="n">
        <v>46627</v>
      </c>
      <c r="B693" s="31" t="n">
        <f aca="false">SUMIFS(Report!$U$10:$U$604,Report!$T$10:$T$604,"&lt;&gt;"&amp;"MERCADORIAS P/REVENDA",Report!$C$10:$C$604,A693)</f>
        <v>0</v>
      </c>
      <c r="C693" s="31" t="n">
        <f aca="false">SUMIFS(Report!$U$10:$U$604,Report!$T$10:$T$604,"MERCADORIAS P/REVENDA",Report!$C$10:$C$604,A693)</f>
        <v>0</v>
      </c>
      <c r="F693" s="31" t="n">
        <f aca="false">B693+C693</f>
        <v>0</v>
      </c>
    </row>
    <row r="694" customFormat="false" ht="15" hidden="false" customHeight="true" outlineLevel="0" collapsed="false">
      <c r="A694" s="30" t="n">
        <v>46628</v>
      </c>
      <c r="B694" s="31" t="n">
        <f aca="false">SUMIFS(Report!$U$10:$U$604,Report!$T$10:$T$604,"&lt;&gt;"&amp;"MERCADORIAS P/REVENDA",Report!$C$10:$C$604,A694)</f>
        <v>0</v>
      </c>
      <c r="C694" s="31" t="n">
        <f aca="false">SUMIFS(Report!$U$10:$U$604,Report!$T$10:$T$604,"MERCADORIAS P/REVENDA",Report!$C$10:$C$604,A694)</f>
        <v>0</v>
      </c>
      <c r="F694" s="31" t="n">
        <f aca="false">B694+C694</f>
        <v>0</v>
      </c>
    </row>
    <row r="695" customFormat="false" ht="15" hidden="false" customHeight="true" outlineLevel="0" collapsed="false">
      <c r="A695" s="30" t="n">
        <v>46629</v>
      </c>
      <c r="B695" s="31" t="n">
        <f aca="false">SUMIFS(Report!$U$10:$U$604,Report!$T$10:$T$604,"&lt;&gt;"&amp;"MERCADORIAS P/REVENDA",Report!$C$10:$C$604,A695)</f>
        <v>0</v>
      </c>
      <c r="C695" s="31" t="n">
        <f aca="false">SUMIFS(Report!$U$10:$U$604,Report!$T$10:$T$604,"MERCADORIAS P/REVENDA",Report!$C$10:$C$604,A695)</f>
        <v>0</v>
      </c>
      <c r="F695" s="31" t="n">
        <f aca="false">B695+C695</f>
        <v>0</v>
      </c>
    </row>
    <row r="696" customFormat="false" ht="15" hidden="false" customHeight="true" outlineLevel="0" collapsed="false">
      <c r="A696" s="32" t="s">
        <v>756</v>
      </c>
      <c r="B696" s="33" t="n">
        <f aca="false">SUM(B689:B695)</f>
        <v>0</v>
      </c>
      <c r="C696" s="33" t="n">
        <f aca="false">SUM(C689:C695)</f>
        <v>0</v>
      </c>
      <c r="F696" s="33" t="n">
        <f aca="false">B696+C696</f>
        <v>0</v>
      </c>
    </row>
    <row r="697" customFormat="false" ht="15" hidden="false" customHeight="true" outlineLevel="0" collapsed="false">
      <c r="A697" s="24" t="n">
        <v>46630</v>
      </c>
      <c r="B697" s="26" t="n">
        <f aca="false">SUMIFS(Report!$U$10:$U$604,Report!$T$10:$T$604,"&lt;&gt;"&amp;"MERCADORIAS P/REVENDA",Report!$C$10:$C$604,A697)</f>
        <v>0</v>
      </c>
      <c r="C697" s="26" t="n">
        <f aca="false">SUMIFS(Report!$U$10:$U$604,Report!$T$10:$T$604,"MERCADORIAS P/REVENDA",Report!$C$10:$C$604,A697)</f>
        <v>0</v>
      </c>
      <c r="F697" s="26" t="n">
        <f aca="false">B697+C697</f>
        <v>0</v>
      </c>
    </row>
    <row r="698" customFormat="false" ht="15" hidden="false" customHeight="true" outlineLevel="0" collapsed="false">
      <c r="A698" s="24" t="n">
        <v>46631</v>
      </c>
      <c r="B698" s="26" t="n">
        <f aca="false">SUMIFS(Report!$U$10:$U$604,Report!$T$10:$T$604,"&lt;&gt;"&amp;"MERCADORIAS P/REVENDA",Report!$C$10:$C$604,A698)</f>
        <v>0</v>
      </c>
      <c r="C698" s="26" t="n">
        <f aca="false">SUMIFS(Report!$U$10:$U$604,Report!$T$10:$T$604,"MERCADORIAS P/REVENDA",Report!$C$10:$C$604,A698)</f>
        <v>0</v>
      </c>
      <c r="F698" s="26" t="n">
        <f aca="false">B698+C698</f>
        <v>0</v>
      </c>
    </row>
    <row r="699" customFormat="false" ht="15" hidden="false" customHeight="true" outlineLevel="0" collapsed="false">
      <c r="A699" s="24" t="n">
        <v>46632</v>
      </c>
      <c r="B699" s="26" t="n">
        <f aca="false">SUMIFS(Report!$U$10:$U$604,Report!$T$10:$T$604,"&lt;&gt;"&amp;"MERCADORIAS P/REVENDA",Report!$C$10:$C$604,A699)</f>
        <v>0</v>
      </c>
      <c r="C699" s="26" t="n">
        <f aca="false">SUMIFS(Report!$U$10:$U$604,Report!$T$10:$T$604,"MERCADORIAS P/REVENDA",Report!$C$10:$C$604,A699)</f>
        <v>0</v>
      </c>
      <c r="F699" s="26" t="n">
        <f aca="false">B699+C699</f>
        <v>0</v>
      </c>
    </row>
    <row r="700" customFormat="false" ht="15" hidden="false" customHeight="true" outlineLevel="0" collapsed="false">
      <c r="A700" s="24" t="n">
        <v>46633</v>
      </c>
      <c r="B700" s="26" t="n">
        <f aca="false">SUMIFS(Report!$U$10:$U$604,Report!$T$10:$T$604,"&lt;&gt;"&amp;"MERCADORIAS P/REVENDA",Report!$C$10:$C$604,A700)</f>
        <v>0</v>
      </c>
      <c r="C700" s="26" t="n">
        <f aca="false">SUMIFS(Report!$U$10:$U$604,Report!$T$10:$T$604,"MERCADORIAS P/REVENDA",Report!$C$10:$C$604,A700)</f>
        <v>0</v>
      </c>
      <c r="F700" s="26" t="n">
        <f aca="false">B700+C700</f>
        <v>0</v>
      </c>
    </row>
    <row r="701" customFormat="false" ht="15" hidden="false" customHeight="true" outlineLevel="0" collapsed="false">
      <c r="A701" s="30" t="n">
        <v>46634</v>
      </c>
      <c r="B701" s="31" t="n">
        <f aca="false">SUMIFS(Report!$U$10:$U$604,Report!$T$10:$T$604,"&lt;&gt;"&amp;"MERCADORIAS P/REVENDA",Report!$C$10:$C$604,A701)</f>
        <v>0</v>
      </c>
      <c r="C701" s="31" t="n">
        <f aca="false">SUMIFS(Report!$U$10:$U$604,Report!$T$10:$T$604,"MERCADORIAS P/REVENDA",Report!$C$10:$C$604,A701)</f>
        <v>0</v>
      </c>
      <c r="F701" s="31" t="n">
        <f aca="false">B701+C701</f>
        <v>0</v>
      </c>
    </row>
    <row r="702" customFormat="false" ht="15" hidden="false" customHeight="true" outlineLevel="0" collapsed="false">
      <c r="A702" s="30" t="n">
        <v>46635</v>
      </c>
      <c r="B702" s="31" t="n">
        <f aca="false">SUMIFS(Report!$U$10:$U$604,Report!$T$10:$T$604,"&lt;&gt;"&amp;"MERCADORIAS P/REVENDA",Report!$C$10:$C$604,A702)</f>
        <v>0</v>
      </c>
      <c r="C702" s="31" t="n">
        <f aca="false">SUMIFS(Report!$U$10:$U$604,Report!$T$10:$T$604,"MERCADORIAS P/REVENDA",Report!$C$10:$C$604,A702)</f>
        <v>0</v>
      </c>
      <c r="F702" s="31" t="n">
        <f aca="false">B702+C702</f>
        <v>0</v>
      </c>
    </row>
    <row r="703" customFormat="false" ht="15" hidden="false" customHeight="true" outlineLevel="0" collapsed="false">
      <c r="A703" s="30" t="n">
        <v>46636</v>
      </c>
      <c r="B703" s="31" t="n">
        <f aca="false">SUMIFS(Report!$U$10:$U$604,Report!$T$10:$T$604,"&lt;&gt;"&amp;"MERCADORIAS P/REVENDA",Report!$C$10:$C$604,A703)</f>
        <v>0</v>
      </c>
      <c r="C703" s="31" t="n">
        <f aca="false">SUMIFS(Report!$U$10:$U$604,Report!$T$10:$T$604,"MERCADORIAS P/REVENDA",Report!$C$10:$C$604,A703)</f>
        <v>0</v>
      </c>
      <c r="F703" s="31" t="n">
        <f aca="false">B703+C703</f>
        <v>0</v>
      </c>
    </row>
    <row r="704" customFormat="false" ht="15" hidden="false" customHeight="true" outlineLevel="0" collapsed="false">
      <c r="A704" s="32" t="s">
        <v>757</v>
      </c>
      <c r="B704" s="33" t="n">
        <f aca="false">SUM(B697:B703)</f>
        <v>0</v>
      </c>
      <c r="C704" s="33" t="n">
        <f aca="false">SUM(C697:C703)</f>
        <v>0</v>
      </c>
      <c r="F704" s="33" t="n">
        <f aca="false">B704+C704</f>
        <v>0</v>
      </c>
    </row>
    <row r="705" customFormat="false" ht="15" hidden="false" customHeight="true" outlineLevel="0" collapsed="false">
      <c r="A705" s="24" t="n">
        <v>46637</v>
      </c>
      <c r="B705" s="26" t="n">
        <f aca="false">SUMIFS(Report!$U$10:$U$604,Report!$T$10:$T$604,"&lt;&gt;"&amp;"MERCADORIAS P/REVENDA",Report!$C$10:$C$604,A705)</f>
        <v>0</v>
      </c>
      <c r="C705" s="26" t="n">
        <f aca="false">SUMIFS(Report!$U$10:$U$604,Report!$T$10:$T$604,"MERCADORIAS P/REVENDA",Report!$C$10:$C$604,A705)</f>
        <v>0</v>
      </c>
      <c r="F705" s="26" t="n">
        <f aca="false">B705+C705</f>
        <v>0</v>
      </c>
    </row>
    <row r="706" customFormat="false" ht="15" hidden="false" customHeight="true" outlineLevel="0" collapsed="false">
      <c r="A706" s="24" t="n">
        <v>46638</v>
      </c>
      <c r="B706" s="26" t="n">
        <f aca="false">SUMIFS(Report!$U$10:$U$604,Report!$T$10:$T$604,"&lt;&gt;"&amp;"MERCADORIAS P/REVENDA",Report!$C$10:$C$604,A706)</f>
        <v>0</v>
      </c>
      <c r="C706" s="26" t="n">
        <f aca="false">SUMIFS(Report!$U$10:$U$604,Report!$T$10:$T$604,"MERCADORIAS P/REVENDA",Report!$C$10:$C$604,A706)</f>
        <v>0</v>
      </c>
      <c r="F706" s="26" t="n">
        <f aca="false">B706+C706</f>
        <v>0</v>
      </c>
    </row>
    <row r="707" customFormat="false" ht="15" hidden="false" customHeight="true" outlineLevel="0" collapsed="false">
      <c r="A707" s="24" t="n">
        <v>46639</v>
      </c>
      <c r="B707" s="26" t="n">
        <f aca="false">SUMIFS(Report!$U$10:$U$604,Report!$T$10:$T$604,"&lt;&gt;"&amp;"MERCADORIAS P/REVENDA",Report!$C$10:$C$604,A707)</f>
        <v>0</v>
      </c>
      <c r="C707" s="26" t="n">
        <f aca="false">SUMIFS(Report!$U$10:$U$604,Report!$T$10:$T$604,"MERCADORIAS P/REVENDA",Report!$C$10:$C$604,A707)</f>
        <v>0</v>
      </c>
      <c r="F707" s="26" t="n">
        <f aca="false">B707+C707</f>
        <v>0</v>
      </c>
    </row>
    <row r="708" customFormat="false" ht="15" hidden="false" customHeight="true" outlineLevel="0" collapsed="false">
      <c r="A708" s="24" t="n">
        <v>46640</v>
      </c>
      <c r="B708" s="26" t="n">
        <f aca="false">SUMIFS(Report!$U$10:$U$604,Report!$T$10:$T$604,"&lt;&gt;"&amp;"MERCADORIAS P/REVENDA",Report!$C$10:$C$604,A708)</f>
        <v>0</v>
      </c>
      <c r="C708" s="26" t="n">
        <f aca="false">SUMIFS(Report!$U$10:$U$604,Report!$T$10:$T$604,"MERCADORIAS P/REVENDA",Report!$C$10:$C$604,A708)</f>
        <v>0</v>
      </c>
      <c r="F708" s="26" t="n">
        <f aca="false">B708+C708</f>
        <v>0</v>
      </c>
    </row>
    <row r="709" customFormat="false" ht="15" hidden="false" customHeight="true" outlineLevel="0" collapsed="false">
      <c r="A709" s="30" t="n">
        <v>46641</v>
      </c>
      <c r="B709" s="31" t="n">
        <f aca="false">SUMIFS(Report!$U$10:$U$604,Report!$T$10:$T$604,"&lt;&gt;"&amp;"MERCADORIAS P/REVENDA",Report!$C$10:$C$604,A709)</f>
        <v>0</v>
      </c>
      <c r="C709" s="31" t="n">
        <f aca="false">SUMIFS(Report!$U$10:$U$604,Report!$T$10:$T$604,"MERCADORIAS P/REVENDA",Report!$C$10:$C$604,A709)</f>
        <v>0</v>
      </c>
      <c r="F709" s="31" t="n">
        <f aca="false">B709+C709</f>
        <v>0</v>
      </c>
    </row>
    <row r="710" customFormat="false" ht="15" hidden="false" customHeight="true" outlineLevel="0" collapsed="false">
      <c r="A710" s="30" t="n">
        <v>46642</v>
      </c>
      <c r="B710" s="31" t="n">
        <f aca="false">SUMIFS(Report!$U$10:$U$604,Report!$T$10:$T$604,"&lt;&gt;"&amp;"MERCADORIAS P/REVENDA",Report!$C$10:$C$604,A710)</f>
        <v>0</v>
      </c>
      <c r="C710" s="31" t="n">
        <f aca="false">SUMIFS(Report!$U$10:$U$604,Report!$T$10:$T$604,"MERCADORIAS P/REVENDA",Report!$C$10:$C$604,A710)</f>
        <v>0</v>
      </c>
      <c r="F710" s="31" t="n">
        <f aca="false">B710+C710</f>
        <v>0</v>
      </c>
    </row>
    <row r="711" customFormat="false" ht="15" hidden="false" customHeight="true" outlineLevel="0" collapsed="false">
      <c r="A711" s="30" t="n">
        <v>46643</v>
      </c>
      <c r="B711" s="31" t="n">
        <f aca="false">SUMIFS(Report!$U$10:$U$604,Report!$T$10:$T$604,"&lt;&gt;"&amp;"MERCADORIAS P/REVENDA",Report!$C$10:$C$604,A711)</f>
        <v>0</v>
      </c>
      <c r="C711" s="31" t="n">
        <f aca="false">SUMIFS(Report!$U$10:$U$604,Report!$T$10:$T$604,"MERCADORIAS P/REVENDA",Report!$C$10:$C$604,A711)</f>
        <v>0</v>
      </c>
      <c r="F711" s="31" t="n">
        <f aca="false">B711+C711</f>
        <v>0</v>
      </c>
    </row>
    <row r="712" customFormat="false" ht="15" hidden="false" customHeight="true" outlineLevel="0" collapsed="false">
      <c r="A712" s="32" t="s">
        <v>758</v>
      </c>
      <c r="B712" s="33" t="n">
        <f aca="false">SUM(B705:B711)</f>
        <v>0</v>
      </c>
      <c r="C712" s="33" t="n">
        <f aca="false">SUM(C705:C711)</f>
        <v>0</v>
      </c>
      <c r="F712" s="33" t="n">
        <f aca="false">B712+C712</f>
        <v>0</v>
      </c>
    </row>
    <row r="713" customFormat="false" ht="15" hidden="false" customHeight="true" outlineLevel="0" collapsed="false">
      <c r="A713" s="24" t="n">
        <v>46644</v>
      </c>
      <c r="B713" s="26" t="n">
        <f aca="false">SUMIFS(Report!$U$10:$U$604,Report!$T$10:$T$604,"&lt;&gt;"&amp;"MERCADORIAS P/REVENDA",Report!$C$10:$C$604,A713)</f>
        <v>0</v>
      </c>
      <c r="C713" s="26" t="n">
        <f aca="false">SUMIFS(Report!$U$10:$U$604,Report!$T$10:$T$604,"MERCADORIAS P/REVENDA",Report!$C$10:$C$604,A713)</f>
        <v>0</v>
      </c>
      <c r="F713" s="26" t="n">
        <f aca="false">B713+C713</f>
        <v>0</v>
      </c>
    </row>
    <row r="714" customFormat="false" ht="15" hidden="false" customHeight="true" outlineLevel="0" collapsed="false">
      <c r="A714" s="24" t="n">
        <v>46645</v>
      </c>
      <c r="B714" s="26" t="n">
        <f aca="false">SUMIFS(Report!$U$10:$U$604,Report!$T$10:$T$604,"&lt;&gt;"&amp;"MERCADORIAS P/REVENDA",Report!$C$10:$C$604,A714)</f>
        <v>0</v>
      </c>
      <c r="C714" s="26" t="n">
        <f aca="false">SUMIFS(Report!$U$10:$U$604,Report!$T$10:$T$604,"MERCADORIAS P/REVENDA",Report!$C$10:$C$604,A714)</f>
        <v>0</v>
      </c>
      <c r="F714" s="26" t="n">
        <f aca="false">B714+C714</f>
        <v>0</v>
      </c>
    </row>
    <row r="715" customFormat="false" ht="15" hidden="false" customHeight="true" outlineLevel="0" collapsed="false">
      <c r="A715" s="24" t="n">
        <v>46646</v>
      </c>
      <c r="B715" s="26" t="n">
        <f aca="false">SUMIFS(Report!$U$10:$U$604,Report!$T$10:$T$604,"&lt;&gt;"&amp;"MERCADORIAS P/REVENDA",Report!$C$10:$C$604,A715)</f>
        <v>0</v>
      </c>
      <c r="C715" s="26" t="n">
        <f aca="false">SUMIFS(Report!$U$10:$U$604,Report!$T$10:$T$604,"MERCADORIAS P/REVENDA",Report!$C$10:$C$604,A715)</f>
        <v>0</v>
      </c>
      <c r="F715" s="26" t="n">
        <f aca="false">B715+C715</f>
        <v>0</v>
      </c>
    </row>
    <row r="716" customFormat="false" ht="15" hidden="false" customHeight="true" outlineLevel="0" collapsed="false">
      <c r="A716" s="24" t="n">
        <v>46647</v>
      </c>
      <c r="B716" s="26" t="n">
        <f aca="false">SUMIFS(Report!$U$10:$U$604,Report!$T$10:$T$604,"&lt;&gt;"&amp;"MERCADORIAS P/REVENDA",Report!$C$10:$C$604,A716)</f>
        <v>0</v>
      </c>
      <c r="C716" s="26" t="n">
        <f aca="false">SUMIFS(Report!$U$10:$U$604,Report!$T$10:$T$604,"MERCADORIAS P/REVENDA",Report!$C$10:$C$604,A716)</f>
        <v>0</v>
      </c>
      <c r="F716" s="26" t="n">
        <f aca="false">B716+C716</f>
        <v>0</v>
      </c>
    </row>
    <row r="717" customFormat="false" ht="15" hidden="false" customHeight="true" outlineLevel="0" collapsed="false">
      <c r="A717" s="30" t="n">
        <v>46648</v>
      </c>
      <c r="B717" s="31" t="n">
        <f aca="false">SUMIFS(Report!$U$10:$U$604,Report!$T$10:$T$604,"&lt;&gt;"&amp;"MERCADORIAS P/REVENDA",Report!$C$10:$C$604,A717)</f>
        <v>0</v>
      </c>
      <c r="C717" s="31" t="n">
        <f aca="false">SUMIFS(Report!$U$10:$U$604,Report!$T$10:$T$604,"MERCADORIAS P/REVENDA",Report!$C$10:$C$604,A717)</f>
        <v>0</v>
      </c>
      <c r="F717" s="31" t="n">
        <f aca="false">B717+C717</f>
        <v>0</v>
      </c>
    </row>
    <row r="718" customFormat="false" ht="15" hidden="false" customHeight="true" outlineLevel="0" collapsed="false">
      <c r="A718" s="30" t="n">
        <v>46649</v>
      </c>
      <c r="B718" s="31" t="n">
        <f aca="false">SUMIFS(Report!$U$10:$U$604,Report!$T$10:$T$604,"&lt;&gt;"&amp;"MERCADORIAS P/REVENDA",Report!$C$10:$C$604,A718)</f>
        <v>0</v>
      </c>
      <c r="C718" s="31" t="n">
        <f aca="false">SUMIFS(Report!$U$10:$U$604,Report!$T$10:$T$604,"MERCADORIAS P/REVENDA",Report!$C$10:$C$604,A718)</f>
        <v>0</v>
      </c>
      <c r="F718" s="31" t="n">
        <f aca="false">B718+C718</f>
        <v>0</v>
      </c>
    </row>
    <row r="719" customFormat="false" ht="15" hidden="false" customHeight="true" outlineLevel="0" collapsed="false">
      <c r="A719" s="30" t="n">
        <v>46650</v>
      </c>
      <c r="B719" s="31" t="n">
        <f aca="false">SUMIFS(Report!$U$10:$U$604,Report!$T$10:$T$604,"&lt;&gt;"&amp;"MERCADORIAS P/REVENDA",Report!$C$10:$C$604,A719)</f>
        <v>0</v>
      </c>
      <c r="C719" s="31" t="n">
        <f aca="false">SUMIFS(Report!$U$10:$U$604,Report!$T$10:$T$604,"MERCADORIAS P/REVENDA",Report!$C$10:$C$604,A719)</f>
        <v>0</v>
      </c>
      <c r="F719" s="31" t="n">
        <f aca="false">B719+C719</f>
        <v>0</v>
      </c>
    </row>
    <row r="720" customFormat="false" ht="15" hidden="false" customHeight="true" outlineLevel="0" collapsed="false">
      <c r="A720" s="32" t="s">
        <v>759</v>
      </c>
      <c r="B720" s="33" t="n">
        <f aca="false">SUM(B713:B719)</f>
        <v>0</v>
      </c>
      <c r="C720" s="33" t="n">
        <f aca="false">SUM(C713:C719)</f>
        <v>0</v>
      </c>
      <c r="F720" s="33" t="n">
        <f aca="false">B720+C720</f>
        <v>0</v>
      </c>
    </row>
    <row r="721" customFormat="false" ht="15" hidden="false" customHeight="true" outlineLevel="0" collapsed="false">
      <c r="A721" s="24" t="n">
        <v>46651</v>
      </c>
      <c r="B721" s="26" t="n">
        <f aca="false">SUMIFS(Report!$U$10:$U$604,Report!$T$10:$T$604,"&lt;&gt;"&amp;"MERCADORIAS P/REVENDA",Report!$C$10:$C$604,A721)</f>
        <v>0</v>
      </c>
      <c r="C721" s="26" t="n">
        <f aca="false">SUMIFS(Report!$U$10:$U$604,Report!$T$10:$T$604,"MERCADORIAS P/REVENDA",Report!$C$10:$C$604,A721)</f>
        <v>0</v>
      </c>
      <c r="F721" s="26" t="n">
        <f aca="false">B721+C721</f>
        <v>0</v>
      </c>
    </row>
    <row r="722" customFormat="false" ht="15" hidden="false" customHeight="true" outlineLevel="0" collapsed="false">
      <c r="A722" s="24" t="n">
        <v>46652</v>
      </c>
      <c r="B722" s="26" t="n">
        <f aca="false">SUMIFS(Report!$U$10:$U$604,Report!$T$10:$T$604,"&lt;&gt;"&amp;"MERCADORIAS P/REVENDA",Report!$C$10:$C$604,A722)</f>
        <v>0</v>
      </c>
      <c r="C722" s="26" t="n">
        <f aca="false">SUMIFS(Report!$U$10:$U$604,Report!$T$10:$T$604,"MERCADORIAS P/REVENDA",Report!$C$10:$C$604,A722)</f>
        <v>0</v>
      </c>
      <c r="F722" s="26" t="n">
        <f aca="false">B722+C722</f>
        <v>0</v>
      </c>
    </row>
    <row r="723" customFormat="false" ht="15" hidden="false" customHeight="true" outlineLevel="0" collapsed="false">
      <c r="A723" s="24" t="n">
        <v>46653</v>
      </c>
      <c r="B723" s="26" t="n">
        <f aca="false">SUMIFS(Report!$U$10:$U$604,Report!$T$10:$T$604,"&lt;&gt;"&amp;"MERCADORIAS P/REVENDA",Report!$C$10:$C$604,A723)</f>
        <v>0</v>
      </c>
      <c r="C723" s="26" t="n">
        <f aca="false">SUMIFS(Report!$U$10:$U$604,Report!$T$10:$T$604,"MERCADORIAS P/REVENDA",Report!$C$10:$C$604,A723)</f>
        <v>0</v>
      </c>
      <c r="F723" s="26" t="n">
        <f aca="false">B723+C723</f>
        <v>0</v>
      </c>
    </row>
    <row r="724" customFormat="false" ht="15" hidden="false" customHeight="true" outlineLevel="0" collapsed="false">
      <c r="A724" s="24" t="n">
        <v>46654</v>
      </c>
      <c r="B724" s="26" t="n">
        <f aca="false">SUMIFS(Report!$U$10:$U$604,Report!$T$10:$T$604,"&lt;&gt;"&amp;"MERCADORIAS P/REVENDA",Report!$C$10:$C$604,A724)</f>
        <v>0</v>
      </c>
      <c r="C724" s="26" t="n">
        <f aca="false">SUMIFS(Report!$U$10:$U$604,Report!$T$10:$T$604,"MERCADORIAS P/REVENDA",Report!$C$10:$C$604,A724)</f>
        <v>0</v>
      </c>
      <c r="F724" s="26" t="n">
        <f aca="false">B724+C724</f>
        <v>0</v>
      </c>
    </row>
    <row r="725" customFormat="false" ht="15" hidden="false" customHeight="true" outlineLevel="0" collapsed="false">
      <c r="A725" s="30" t="n">
        <v>46655</v>
      </c>
      <c r="B725" s="31" t="n">
        <f aca="false">SUMIFS(Report!$U$10:$U$604,Report!$T$10:$T$604,"&lt;&gt;"&amp;"MERCADORIAS P/REVENDA",Report!$C$10:$C$604,A725)</f>
        <v>0</v>
      </c>
      <c r="C725" s="31" t="n">
        <f aca="false">SUMIFS(Report!$U$10:$U$604,Report!$T$10:$T$604,"MERCADORIAS P/REVENDA",Report!$C$10:$C$604,A725)</f>
        <v>0</v>
      </c>
      <c r="F725" s="31" t="n">
        <f aca="false">B725+C725</f>
        <v>0</v>
      </c>
    </row>
    <row r="726" customFormat="false" ht="15" hidden="false" customHeight="true" outlineLevel="0" collapsed="false">
      <c r="A726" s="30" t="n">
        <v>46656</v>
      </c>
      <c r="B726" s="31" t="n">
        <f aca="false">SUMIFS(Report!$U$10:$U$604,Report!$T$10:$T$604,"&lt;&gt;"&amp;"MERCADORIAS P/REVENDA",Report!$C$10:$C$604,A726)</f>
        <v>0</v>
      </c>
      <c r="C726" s="31" t="n">
        <f aca="false">SUMIFS(Report!$U$10:$U$604,Report!$T$10:$T$604,"MERCADORIAS P/REVENDA",Report!$C$10:$C$604,A726)</f>
        <v>0</v>
      </c>
      <c r="F726" s="31" t="n">
        <f aca="false">B726+C726</f>
        <v>0</v>
      </c>
    </row>
    <row r="727" customFormat="false" ht="15" hidden="false" customHeight="true" outlineLevel="0" collapsed="false">
      <c r="A727" s="30" t="n">
        <v>46657</v>
      </c>
      <c r="B727" s="31" t="n">
        <f aca="false">SUMIFS(Report!$U$10:$U$604,Report!$T$10:$T$604,"&lt;&gt;"&amp;"MERCADORIAS P/REVENDA",Report!$C$10:$C$604,A727)</f>
        <v>0</v>
      </c>
      <c r="C727" s="31" t="n">
        <f aca="false">SUMIFS(Report!$U$10:$U$604,Report!$T$10:$T$604,"MERCADORIAS P/REVENDA",Report!$C$10:$C$604,A727)</f>
        <v>0</v>
      </c>
      <c r="F727" s="31" t="n">
        <f aca="false">B727+C727</f>
        <v>0</v>
      </c>
    </row>
    <row r="728" customFormat="false" ht="15" hidden="false" customHeight="true" outlineLevel="0" collapsed="false">
      <c r="A728" s="32" t="s">
        <v>760</v>
      </c>
      <c r="B728" s="33" t="n">
        <f aca="false">SUM(B721:B727)</f>
        <v>0</v>
      </c>
      <c r="C728" s="33" t="n">
        <f aca="false">SUM(C721:C727)</f>
        <v>0</v>
      </c>
      <c r="F728" s="33" t="n">
        <f aca="false">B728+C728</f>
        <v>0</v>
      </c>
    </row>
    <row r="729" customFormat="false" ht="15" hidden="false" customHeight="true" outlineLevel="0" collapsed="false">
      <c r="A729" s="24" t="n">
        <v>46658</v>
      </c>
      <c r="B729" s="26" t="n">
        <f aca="false">SUMIFS(Report!$U$10:$U$604,Report!$T$10:$T$604,"&lt;&gt;"&amp;"MERCADORIAS P/REVENDA",Report!$C$10:$C$604,A729)</f>
        <v>0</v>
      </c>
      <c r="C729" s="26" t="n">
        <f aca="false">SUMIFS(Report!$U$10:$U$604,Report!$T$10:$T$604,"MERCADORIAS P/REVENDA",Report!$C$10:$C$604,A729)</f>
        <v>0</v>
      </c>
      <c r="F729" s="26" t="n">
        <f aca="false">B729+C729</f>
        <v>0</v>
      </c>
    </row>
    <row r="730" customFormat="false" ht="15" hidden="false" customHeight="true" outlineLevel="0" collapsed="false">
      <c r="A730" s="24" t="n">
        <v>46659</v>
      </c>
      <c r="B730" s="26" t="n">
        <f aca="false">SUMIFS(Report!$U$10:$U$604,Report!$T$10:$T$604,"&lt;&gt;"&amp;"MERCADORIAS P/REVENDA",Report!$C$10:$C$604,A730)</f>
        <v>0</v>
      </c>
      <c r="C730" s="26" t="n">
        <f aca="false">SUMIFS(Report!$U$10:$U$604,Report!$T$10:$T$604,"MERCADORIAS P/REVENDA",Report!$C$10:$C$604,A730)</f>
        <v>0</v>
      </c>
      <c r="F730" s="26" t="n">
        <f aca="false">B730+C730</f>
        <v>0</v>
      </c>
    </row>
    <row r="731" customFormat="false" ht="15" hidden="false" customHeight="true" outlineLevel="0" collapsed="false">
      <c r="A731" s="24" t="n">
        <v>46660</v>
      </c>
      <c r="B731" s="26" t="n">
        <f aca="false">SUMIFS(Report!$U$10:$U$604,Report!$T$10:$T$604,"&lt;&gt;"&amp;"MERCADORIAS P/REVENDA",Report!$C$10:$C$604,A731)</f>
        <v>0</v>
      </c>
      <c r="C731" s="26" t="n">
        <f aca="false">SUMIFS(Report!$U$10:$U$604,Report!$T$10:$T$604,"MERCADORIAS P/REVENDA",Report!$C$10:$C$604,A731)</f>
        <v>0</v>
      </c>
      <c r="F731" s="26" t="n">
        <f aca="false">B731+C731</f>
        <v>0</v>
      </c>
    </row>
    <row r="732" customFormat="false" ht="15" hidden="false" customHeight="true" outlineLevel="0" collapsed="false">
      <c r="A732" s="24" t="n">
        <v>46661</v>
      </c>
      <c r="B732" s="26" t="n">
        <f aca="false">SUMIFS(Report!$U$10:$U$604,Report!$T$10:$T$604,"&lt;&gt;"&amp;"MERCADORIAS P/REVENDA",Report!$C$10:$C$604,A732)</f>
        <v>0</v>
      </c>
      <c r="C732" s="26" t="n">
        <f aca="false">SUMIFS(Report!$U$10:$U$604,Report!$T$10:$T$604,"MERCADORIAS P/REVENDA",Report!$C$10:$C$604,A732)</f>
        <v>0</v>
      </c>
      <c r="F732" s="26" t="n">
        <f aca="false">B732+C732</f>
        <v>0</v>
      </c>
    </row>
    <row r="733" customFormat="false" ht="15" hidden="false" customHeight="true" outlineLevel="0" collapsed="false">
      <c r="A733" s="30" t="n">
        <v>46662</v>
      </c>
      <c r="B733" s="31" t="n">
        <f aca="false">SUMIFS(Report!$U$10:$U$604,Report!$T$10:$T$604,"&lt;&gt;"&amp;"MERCADORIAS P/REVENDA",Report!$C$10:$C$604,A733)</f>
        <v>0</v>
      </c>
      <c r="C733" s="31" t="n">
        <f aca="false">SUMIFS(Report!$U$10:$U$604,Report!$T$10:$T$604,"MERCADORIAS P/REVENDA",Report!$C$10:$C$604,A733)</f>
        <v>0</v>
      </c>
      <c r="F733" s="31" t="n">
        <f aca="false">B733+C733</f>
        <v>0</v>
      </c>
    </row>
    <row r="734" customFormat="false" ht="15" hidden="false" customHeight="true" outlineLevel="0" collapsed="false">
      <c r="A734" s="30" t="n">
        <v>46663</v>
      </c>
      <c r="B734" s="31" t="n">
        <f aca="false">SUMIFS(Report!$U$10:$U$604,Report!$T$10:$T$604,"&lt;&gt;"&amp;"MERCADORIAS P/REVENDA",Report!$C$10:$C$604,A734)</f>
        <v>0</v>
      </c>
      <c r="C734" s="31" t="n">
        <f aca="false">SUMIFS(Report!$U$10:$U$604,Report!$T$10:$T$604,"MERCADORIAS P/REVENDA",Report!$C$10:$C$604,A734)</f>
        <v>0</v>
      </c>
      <c r="F734" s="31" t="n">
        <f aca="false">B734+C734</f>
        <v>0</v>
      </c>
    </row>
    <row r="735" customFormat="false" ht="15" hidden="false" customHeight="true" outlineLevel="0" collapsed="false">
      <c r="A735" s="30" t="n">
        <v>46664</v>
      </c>
      <c r="B735" s="31" t="n">
        <f aca="false">SUMIFS(Report!$U$10:$U$604,Report!$T$10:$T$604,"&lt;&gt;"&amp;"MERCADORIAS P/REVENDA",Report!$C$10:$C$604,A735)</f>
        <v>0</v>
      </c>
      <c r="C735" s="31" t="n">
        <f aca="false">SUMIFS(Report!$U$10:$U$604,Report!$T$10:$T$604,"MERCADORIAS P/REVENDA",Report!$C$10:$C$604,A735)</f>
        <v>0</v>
      </c>
      <c r="F735" s="31" t="n">
        <f aca="false">B735+C735</f>
        <v>0</v>
      </c>
    </row>
    <row r="736" customFormat="false" ht="15" hidden="false" customHeight="true" outlineLevel="0" collapsed="false">
      <c r="A736" s="32" t="s">
        <v>761</v>
      </c>
      <c r="B736" s="33" t="n">
        <f aca="false">SUM(B729:B735)</f>
        <v>0</v>
      </c>
      <c r="C736" s="33" t="n">
        <f aca="false">SUM(C729:C735)</f>
        <v>0</v>
      </c>
      <c r="F736" s="33" t="n">
        <f aca="false">B736+C736</f>
        <v>0</v>
      </c>
    </row>
    <row r="737" customFormat="false" ht="15" hidden="false" customHeight="true" outlineLevel="0" collapsed="false">
      <c r="A737" s="24" t="n">
        <v>46665</v>
      </c>
      <c r="B737" s="26" t="n">
        <f aca="false">SUMIFS(Report!$U$10:$U$604,Report!$T$10:$T$604,"&lt;&gt;"&amp;"MERCADORIAS P/REVENDA",Report!$C$10:$C$604,A737)</f>
        <v>0</v>
      </c>
      <c r="C737" s="26" t="n">
        <f aca="false">SUMIFS(Report!$U$10:$U$604,Report!$T$10:$T$604,"MERCADORIAS P/REVENDA",Report!$C$10:$C$604,A737)</f>
        <v>0</v>
      </c>
      <c r="F737" s="26" t="n">
        <f aca="false">B737+C737</f>
        <v>0</v>
      </c>
    </row>
    <row r="738" customFormat="false" ht="15" hidden="false" customHeight="true" outlineLevel="0" collapsed="false">
      <c r="A738" s="24" t="n">
        <v>46666</v>
      </c>
      <c r="B738" s="26" t="n">
        <f aca="false">SUMIFS(Report!$U$10:$U$604,Report!$T$10:$T$604,"&lt;&gt;"&amp;"MERCADORIAS P/REVENDA",Report!$C$10:$C$604,A738)</f>
        <v>0</v>
      </c>
      <c r="C738" s="26" t="n">
        <f aca="false">SUMIFS(Report!$U$10:$U$604,Report!$T$10:$T$604,"MERCADORIAS P/REVENDA",Report!$C$10:$C$604,A738)</f>
        <v>0</v>
      </c>
      <c r="F738" s="26" t="n">
        <f aca="false">B738+C738</f>
        <v>0</v>
      </c>
    </row>
    <row r="739" customFormat="false" ht="15" hidden="false" customHeight="true" outlineLevel="0" collapsed="false">
      <c r="A739" s="24" t="n">
        <v>46667</v>
      </c>
      <c r="B739" s="26" t="n">
        <f aca="false">SUMIFS(Report!$U$10:$U$604,Report!$T$10:$T$604,"&lt;&gt;"&amp;"MERCADORIAS P/REVENDA",Report!$C$10:$C$604,A739)</f>
        <v>0</v>
      </c>
      <c r="C739" s="26" t="n">
        <f aca="false">SUMIFS(Report!$U$10:$U$604,Report!$T$10:$T$604,"MERCADORIAS P/REVENDA",Report!$C$10:$C$604,A739)</f>
        <v>0</v>
      </c>
      <c r="F739" s="26" t="n">
        <f aca="false">B739+C739</f>
        <v>0</v>
      </c>
    </row>
    <row r="740" customFormat="false" ht="15" hidden="false" customHeight="true" outlineLevel="0" collapsed="false">
      <c r="A740" s="24" t="n">
        <v>46668</v>
      </c>
      <c r="B740" s="26" t="n">
        <f aca="false">SUMIFS(Report!$U$10:$U$604,Report!$T$10:$T$604,"&lt;&gt;"&amp;"MERCADORIAS P/REVENDA",Report!$C$10:$C$604,A740)</f>
        <v>0</v>
      </c>
      <c r="C740" s="26" t="n">
        <f aca="false">SUMIFS(Report!$U$10:$U$604,Report!$T$10:$T$604,"MERCADORIAS P/REVENDA",Report!$C$10:$C$604,A740)</f>
        <v>0</v>
      </c>
      <c r="F740" s="26" t="n">
        <f aca="false">B740+C740</f>
        <v>0</v>
      </c>
    </row>
    <row r="741" customFormat="false" ht="15" hidden="false" customHeight="true" outlineLevel="0" collapsed="false">
      <c r="A741" s="30" t="n">
        <v>46669</v>
      </c>
      <c r="B741" s="31" t="n">
        <f aca="false">SUMIFS(Report!$U$10:$U$604,Report!$T$10:$T$604,"&lt;&gt;"&amp;"MERCADORIAS P/REVENDA",Report!$C$10:$C$604,A741)</f>
        <v>0</v>
      </c>
      <c r="C741" s="31" t="n">
        <f aca="false">SUMIFS(Report!$U$10:$U$604,Report!$T$10:$T$604,"MERCADORIAS P/REVENDA",Report!$C$10:$C$604,A741)</f>
        <v>0</v>
      </c>
      <c r="F741" s="31" t="n">
        <f aca="false">B741+C741</f>
        <v>0</v>
      </c>
    </row>
    <row r="742" customFormat="false" ht="15" hidden="false" customHeight="true" outlineLevel="0" collapsed="false">
      <c r="A742" s="30" t="n">
        <v>46670</v>
      </c>
      <c r="B742" s="31" t="n">
        <f aca="false">SUMIFS(Report!$U$10:$U$604,Report!$T$10:$T$604,"&lt;&gt;"&amp;"MERCADORIAS P/REVENDA",Report!$C$10:$C$604,A742)</f>
        <v>0</v>
      </c>
      <c r="C742" s="31" t="n">
        <f aca="false">SUMIFS(Report!$U$10:$U$604,Report!$T$10:$T$604,"MERCADORIAS P/REVENDA",Report!$C$10:$C$604,A742)</f>
        <v>0</v>
      </c>
      <c r="F742" s="31" t="n">
        <f aca="false">B742+C742</f>
        <v>0</v>
      </c>
    </row>
    <row r="743" customFormat="false" ht="15" hidden="false" customHeight="true" outlineLevel="0" collapsed="false">
      <c r="A743" s="30" t="n">
        <v>46671</v>
      </c>
      <c r="B743" s="31" t="n">
        <f aca="false">SUMIFS(Report!$U$10:$U$604,Report!$T$10:$T$604,"&lt;&gt;"&amp;"MERCADORIAS P/REVENDA",Report!$C$10:$C$604,A743)</f>
        <v>0</v>
      </c>
      <c r="C743" s="31" t="n">
        <f aca="false">SUMIFS(Report!$U$10:$U$604,Report!$T$10:$T$604,"MERCADORIAS P/REVENDA",Report!$C$10:$C$604,A743)</f>
        <v>0</v>
      </c>
      <c r="F743" s="31" t="n">
        <f aca="false">B743+C743</f>
        <v>0</v>
      </c>
    </row>
    <row r="744" customFormat="false" ht="15" hidden="false" customHeight="true" outlineLevel="0" collapsed="false">
      <c r="A744" s="32" t="s">
        <v>762</v>
      </c>
      <c r="B744" s="33" t="n">
        <f aca="false">SUM(B737:B743)</f>
        <v>0</v>
      </c>
      <c r="C744" s="33" t="n">
        <f aca="false">SUM(C737:C743)</f>
        <v>0</v>
      </c>
      <c r="F744" s="33" t="n">
        <f aca="false">B744+C744</f>
        <v>0</v>
      </c>
    </row>
    <row r="745" customFormat="false" ht="15" hidden="false" customHeight="true" outlineLevel="0" collapsed="false">
      <c r="A745" s="24" t="n">
        <v>46672</v>
      </c>
      <c r="B745" s="26" t="n">
        <f aca="false">SUMIFS(Report!$U$10:$U$604,Report!$T$10:$T$604,"&lt;&gt;"&amp;"MERCADORIAS P/REVENDA",Report!$C$10:$C$604,A745)</f>
        <v>0</v>
      </c>
      <c r="C745" s="26" t="n">
        <f aca="false">SUMIFS(Report!$U$10:$U$604,Report!$T$10:$T$604,"MERCADORIAS P/REVENDA",Report!$C$10:$C$604,A745)</f>
        <v>0</v>
      </c>
      <c r="F745" s="26" t="n">
        <f aca="false">B745+C745</f>
        <v>0</v>
      </c>
    </row>
    <row r="746" customFormat="false" ht="15" hidden="false" customHeight="true" outlineLevel="0" collapsed="false">
      <c r="A746" s="24" t="n">
        <v>46673</v>
      </c>
      <c r="B746" s="26" t="n">
        <f aca="false">SUMIFS(Report!$U$10:$U$604,Report!$T$10:$T$604,"&lt;&gt;"&amp;"MERCADORIAS P/REVENDA",Report!$C$10:$C$604,A746)</f>
        <v>0</v>
      </c>
      <c r="C746" s="26" t="n">
        <f aca="false">SUMIFS(Report!$U$10:$U$604,Report!$T$10:$T$604,"MERCADORIAS P/REVENDA",Report!$C$10:$C$604,A746)</f>
        <v>0</v>
      </c>
      <c r="F746" s="26" t="n">
        <f aca="false">B746+C746</f>
        <v>0</v>
      </c>
    </row>
    <row r="747" customFormat="false" ht="15" hidden="false" customHeight="true" outlineLevel="0" collapsed="false">
      <c r="A747" s="24" t="n">
        <v>46674</v>
      </c>
      <c r="B747" s="26" t="n">
        <f aca="false">SUMIFS(Report!$U$10:$U$604,Report!$T$10:$T$604,"&lt;&gt;"&amp;"MERCADORIAS P/REVENDA",Report!$C$10:$C$604,A747)</f>
        <v>0</v>
      </c>
      <c r="C747" s="26" t="n">
        <f aca="false">SUMIFS(Report!$U$10:$U$604,Report!$T$10:$T$604,"MERCADORIAS P/REVENDA",Report!$C$10:$C$604,A747)</f>
        <v>0</v>
      </c>
      <c r="F747" s="26" t="n">
        <f aca="false">B747+C747</f>
        <v>0</v>
      </c>
    </row>
    <row r="748" customFormat="false" ht="15" hidden="false" customHeight="true" outlineLevel="0" collapsed="false">
      <c r="A748" s="24" t="n">
        <v>46675</v>
      </c>
      <c r="B748" s="26" t="n">
        <f aca="false">SUMIFS(Report!$U$10:$U$604,Report!$T$10:$T$604,"&lt;&gt;"&amp;"MERCADORIAS P/REVENDA",Report!$C$10:$C$604,A748)</f>
        <v>0</v>
      </c>
      <c r="C748" s="26" t="n">
        <f aca="false">SUMIFS(Report!$U$10:$U$604,Report!$T$10:$T$604,"MERCADORIAS P/REVENDA",Report!$C$10:$C$604,A748)</f>
        <v>0</v>
      </c>
      <c r="F748" s="26" t="n">
        <f aca="false">B748+C748</f>
        <v>0</v>
      </c>
    </row>
    <row r="749" customFormat="false" ht="15" hidden="false" customHeight="true" outlineLevel="0" collapsed="false">
      <c r="A749" s="30" t="n">
        <v>46676</v>
      </c>
      <c r="B749" s="31" t="n">
        <f aca="false">SUMIFS(Report!$U$10:$U$604,Report!$T$10:$T$604,"&lt;&gt;"&amp;"MERCADORIAS P/REVENDA",Report!$C$10:$C$604,A749)</f>
        <v>0</v>
      </c>
      <c r="C749" s="31" t="n">
        <f aca="false">SUMIFS(Report!$U$10:$U$604,Report!$T$10:$T$604,"MERCADORIAS P/REVENDA",Report!$C$10:$C$604,A749)</f>
        <v>0</v>
      </c>
      <c r="F749" s="31" t="n">
        <f aca="false">B749+C749</f>
        <v>0</v>
      </c>
    </row>
    <row r="750" customFormat="false" ht="15" hidden="false" customHeight="true" outlineLevel="0" collapsed="false">
      <c r="A750" s="30" t="n">
        <v>46677</v>
      </c>
      <c r="B750" s="31" t="n">
        <f aca="false">SUMIFS(Report!$U$10:$U$604,Report!$T$10:$T$604,"&lt;&gt;"&amp;"MERCADORIAS P/REVENDA",Report!$C$10:$C$604,A750)</f>
        <v>0</v>
      </c>
      <c r="C750" s="31" t="n">
        <f aca="false">SUMIFS(Report!$U$10:$U$604,Report!$T$10:$T$604,"MERCADORIAS P/REVENDA",Report!$C$10:$C$604,A750)</f>
        <v>0</v>
      </c>
      <c r="F750" s="31" t="n">
        <f aca="false">B750+C750</f>
        <v>0</v>
      </c>
    </row>
    <row r="751" customFormat="false" ht="15" hidden="false" customHeight="true" outlineLevel="0" collapsed="false">
      <c r="A751" s="30" t="n">
        <v>46678</v>
      </c>
      <c r="B751" s="31" t="n">
        <f aca="false">SUMIFS(Report!$U$10:$U$604,Report!$T$10:$T$604,"&lt;&gt;"&amp;"MERCADORIAS P/REVENDA",Report!$C$10:$C$604,A751)</f>
        <v>0</v>
      </c>
      <c r="C751" s="31" t="n">
        <f aca="false">SUMIFS(Report!$U$10:$U$604,Report!$T$10:$T$604,"MERCADORIAS P/REVENDA",Report!$C$10:$C$604,A751)</f>
        <v>0</v>
      </c>
      <c r="F751" s="31" t="n">
        <f aca="false">B751+C751</f>
        <v>0</v>
      </c>
    </row>
    <row r="752" customFormat="false" ht="15" hidden="false" customHeight="true" outlineLevel="0" collapsed="false">
      <c r="A752" s="32" t="s">
        <v>763</v>
      </c>
      <c r="B752" s="33" t="n">
        <f aca="false">SUM(B745:B751)</f>
        <v>0</v>
      </c>
      <c r="C752" s="33" t="n">
        <f aca="false">SUM(C745:C751)</f>
        <v>0</v>
      </c>
      <c r="F752" s="33" t="n">
        <f aca="false">B752+C752</f>
        <v>0</v>
      </c>
    </row>
    <row r="753" customFormat="false" ht="15" hidden="false" customHeight="true" outlineLevel="0" collapsed="false">
      <c r="A753" s="24" t="n">
        <v>46679</v>
      </c>
      <c r="B753" s="26" t="n">
        <f aca="false">SUMIFS(Report!$U$10:$U$604,Report!$T$10:$T$604,"&lt;&gt;"&amp;"MERCADORIAS P/REVENDA",Report!$C$10:$C$604,A753)</f>
        <v>0</v>
      </c>
      <c r="C753" s="26" t="n">
        <f aca="false">SUMIFS(Report!$U$10:$U$604,Report!$T$10:$T$604,"MERCADORIAS P/REVENDA",Report!$C$10:$C$604,A753)</f>
        <v>0</v>
      </c>
      <c r="F753" s="26" t="n">
        <f aca="false">B753+C753</f>
        <v>0</v>
      </c>
    </row>
    <row r="754" customFormat="false" ht="15" hidden="false" customHeight="true" outlineLevel="0" collapsed="false">
      <c r="A754" s="24" t="n">
        <v>46680</v>
      </c>
      <c r="B754" s="26" t="n">
        <f aca="false">SUMIFS(Report!$U$10:$U$604,Report!$T$10:$T$604,"&lt;&gt;"&amp;"MERCADORIAS P/REVENDA",Report!$C$10:$C$604,A754)</f>
        <v>0</v>
      </c>
      <c r="C754" s="26" t="n">
        <f aca="false">SUMIFS(Report!$U$10:$U$604,Report!$T$10:$T$604,"MERCADORIAS P/REVENDA",Report!$C$10:$C$604,A754)</f>
        <v>0</v>
      </c>
      <c r="F754" s="26" t="n">
        <f aca="false">B754+C754</f>
        <v>0</v>
      </c>
    </row>
    <row r="755" customFormat="false" ht="15" hidden="false" customHeight="true" outlineLevel="0" collapsed="false">
      <c r="A755" s="24" t="n">
        <v>46681</v>
      </c>
      <c r="B755" s="26" t="n">
        <f aca="false">SUMIFS(Report!$U$10:$U$604,Report!$T$10:$T$604,"&lt;&gt;"&amp;"MERCADORIAS P/REVENDA",Report!$C$10:$C$604,A755)</f>
        <v>0</v>
      </c>
      <c r="C755" s="26" t="n">
        <f aca="false">SUMIFS(Report!$U$10:$U$604,Report!$T$10:$T$604,"MERCADORIAS P/REVENDA",Report!$C$10:$C$604,A755)</f>
        <v>0</v>
      </c>
      <c r="F755" s="26" t="n">
        <f aca="false">B755+C755</f>
        <v>0</v>
      </c>
    </row>
    <row r="756" customFormat="false" ht="15" hidden="false" customHeight="true" outlineLevel="0" collapsed="false">
      <c r="A756" s="24" t="n">
        <v>46682</v>
      </c>
      <c r="B756" s="26" t="n">
        <f aca="false">SUMIFS(Report!$U$10:$U$604,Report!$T$10:$T$604,"&lt;&gt;"&amp;"MERCADORIAS P/REVENDA",Report!$C$10:$C$604,A756)</f>
        <v>0</v>
      </c>
      <c r="C756" s="26" t="n">
        <f aca="false">SUMIFS(Report!$U$10:$U$604,Report!$T$10:$T$604,"MERCADORIAS P/REVENDA",Report!$C$10:$C$604,A756)</f>
        <v>0</v>
      </c>
      <c r="F756" s="26" t="n">
        <f aca="false">B756+C756</f>
        <v>0</v>
      </c>
    </row>
    <row r="757" customFormat="false" ht="15" hidden="false" customHeight="true" outlineLevel="0" collapsed="false">
      <c r="A757" s="30" t="n">
        <v>46683</v>
      </c>
      <c r="B757" s="31" t="n">
        <f aca="false">SUMIFS(Report!$U$10:$U$604,Report!$T$10:$T$604,"&lt;&gt;"&amp;"MERCADORIAS P/REVENDA",Report!$C$10:$C$604,A757)</f>
        <v>0</v>
      </c>
      <c r="C757" s="31" t="n">
        <f aca="false">SUMIFS(Report!$U$10:$U$604,Report!$T$10:$T$604,"MERCADORIAS P/REVENDA",Report!$C$10:$C$604,A757)</f>
        <v>0</v>
      </c>
      <c r="F757" s="31" t="n">
        <f aca="false">B757+C757</f>
        <v>0</v>
      </c>
    </row>
    <row r="758" customFormat="false" ht="15" hidden="false" customHeight="true" outlineLevel="0" collapsed="false">
      <c r="A758" s="30" t="n">
        <v>46684</v>
      </c>
      <c r="B758" s="31" t="n">
        <f aca="false">SUMIFS(Report!$U$10:$U$604,Report!$T$10:$T$604,"&lt;&gt;"&amp;"MERCADORIAS P/REVENDA",Report!$C$10:$C$604,A758)</f>
        <v>0</v>
      </c>
      <c r="C758" s="31" t="n">
        <f aca="false">SUMIFS(Report!$U$10:$U$604,Report!$T$10:$T$604,"MERCADORIAS P/REVENDA",Report!$C$10:$C$604,A758)</f>
        <v>0</v>
      </c>
      <c r="F758" s="31" t="n">
        <f aca="false">B758+C758</f>
        <v>0</v>
      </c>
    </row>
    <row r="759" customFormat="false" ht="15" hidden="false" customHeight="true" outlineLevel="0" collapsed="false">
      <c r="A759" s="30" t="n">
        <v>46685</v>
      </c>
      <c r="B759" s="31" t="n">
        <f aca="false">SUMIFS(Report!$U$10:$U$604,Report!$T$10:$T$604,"&lt;&gt;"&amp;"MERCADORIAS P/REVENDA",Report!$C$10:$C$604,A759)</f>
        <v>0</v>
      </c>
      <c r="C759" s="31" t="n">
        <f aca="false">SUMIFS(Report!$U$10:$U$604,Report!$T$10:$T$604,"MERCADORIAS P/REVENDA",Report!$C$10:$C$604,A759)</f>
        <v>0</v>
      </c>
      <c r="F759" s="31" t="n">
        <f aca="false">B759+C759</f>
        <v>0</v>
      </c>
    </row>
    <row r="760" customFormat="false" ht="15" hidden="false" customHeight="true" outlineLevel="0" collapsed="false">
      <c r="A760" s="32" t="s">
        <v>764</v>
      </c>
      <c r="B760" s="33" t="n">
        <f aca="false">SUM(B753:B759)</f>
        <v>0</v>
      </c>
      <c r="C760" s="33" t="n">
        <f aca="false">SUM(C753:C759)</f>
        <v>0</v>
      </c>
      <c r="F760" s="33" t="n">
        <f aca="false">B760+C760</f>
        <v>0</v>
      </c>
    </row>
    <row r="761" customFormat="false" ht="15" hidden="false" customHeight="true" outlineLevel="0" collapsed="false">
      <c r="A761" s="24" t="n">
        <v>46686</v>
      </c>
      <c r="B761" s="26" t="n">
        <f aca="false">SUMIFS(Report!$U$10:$U$604,Report!$T$10:$T$604,"&lt;&gt;"&amp;"MERCADORIAS P/REVENDA",Report!$C$10:$C$604,A761)</f>
        <v>0</v>
      </c>
      <c r="C761" s="26" t="n">
        <f aca="false">SUMIFS(Report!$U$10:$U$604,Report!$T$10:$T$604,"MERCADORIAS P/REVENDA",Report!$C$10:$C$604,A761)</f>
        <v>0</v>
      </c>
      <c r="F761" s="26" t="n">
        <f aca="false">B761+C761</f>
        <v>0</v>
      </c>
    </row>
    <row r="762" customFormat="false" ht="15" hidden="false" customHeight="true" outlineLevel="0" collapsed="false">
      <c r="A762" s="24" t="n">
        <v>46687</v>
      </c>
      <c r="B762" s="26" t="n">
        <f aca="false">SUMIFS(Report!$U$10:$U$604,Report!$T$10:$T$604,"&lt;&gt;"&amp;"MERCADORIAS P/REVENDA",Report!$C$10:$C$604,A762)</f>
        <v>0</v>
      </c>
      <c r="C762" s="26" t="n">
        <f aca="false">SUMIFS(Report!$U$10:$U$604,Report!$T$10:$T$604,"MERCADORIAS P/REVENDA",Report!$C$10:$C$604,A762)</f>
        <v>0</v>
      </c>
      <c r="F762" s="26" t="n">
        <f aca="false">B762+C762</f>
        <v>0</v>
      </c>
    </row>
    <row r="763" customFormat="false" ht="15" hidden="false" customHeight="true" outlineLevel="0" collapsed="false">
      <c r="A763" s="24" t="n">
        <v>46688</v>
      </c>
      <c r="B763" s="26" t="n">
        <f aca="false">SUMIFS(Report!$U$10:$U$604,Report!$T$10:$T$604,"&lt;&gt;"&amp;"MERCADORIAS P/REVENDA",Report!$C$10:$C$604,A763)</f>
        <v>0</v>
      </c>
      <c r="C763" s="26" t="n">
        <f aca="false">SUMIFS(Report!$U$10:$U$604,Report!$T$10:$T$604,"MERCADORIAS P/REVENDA",Report!$C$10:$C$604,A763)</f>
        <v>0</v>
      </c>
      <c r="F763" s="26" t="n">
        <f aca="false">B763+C763</f>
        <v>0</v>
      </c>
    </row>
    <row r="764" customFormat="false" ht="15" hidden="false" customHeight="true" outlineLevel="0" collapsed="false">
      <c r="A764" s="24" t="n">
        <v>46689</v>
      </c>
      <c r="B764" s="26" t="n">
        <f aca="false">SUMIFS(Report!$U$10:$U$604,Report!$T$10:$T$604,"&lt;&gt;"&amp;"MERCADORIAS P/REVENDA",Report!$C$10:$C$604,A764)</f>
        <v>0</v>
      </c>
      <c r="C764" s="26" t="n">
        <f aca="false">SUMIFS(Report!$U$10:$U$604,Report!$T$10:$T$604,"MERCADORIAS P/REVENDA",Report!$C$10:$C$604,A764)</f>
        <v>0</v>
      </c>
      <c r="F764" s="26" t="n">
        <f aca="false">B764+C764</f>
        <v>0</v>
      </c>
    </row>
    <row r="765" customFormat="false" ht="15" hidden="false" customHeight="true" outlineLevel="0" collapsed="false">
      <c r="A765" s="30" t="n">
        <v>46690</v>
      </c>
      <c r="B765" s="31" t="n">
        <f aca="false">SUMIFS(Report!$U$10:$U$604,Report!$T$10:$T$604,"&lt;&gt;"&amp;"MERCADORIAS P/REVENDA",Report!$C$10:$C$604,A765)</f>
        <v>0</v>
      </c>
      <c r="C765" s="31" t="n">
        <f aca="false">SUMIFS(Report!$U$10:$U$604,Report!$T$10:$T$604,"MERCADORIAS P/REVENDA",Report!$C$10:$C$604,A765)</f>
        <v>0</v>
      </c>
      <c r="F765" s="31" t="n">
        <f aca="false">B765+C765</f>
        <v>0</v>
      </c>
    </row>
    <row r="766" customFormat="false" ht="15" hidden="false" customHeight="true" outlineLevel="0" collapsed="false">
      <c r="A766" s="30" t="n">
        <v>46691</v>
      </c>
      <c r="B766" s="31" t="n">
        <f aca="false">SUMIFS(Report!$U$10:$U$604,Report!$T$10:$T$604,"&lt;&gt;"&amp;"MERCADORIAS P/REVENDA",Report!$C$10:$C$604,A766)</f>
        <v>0</v>
      </c>
      <c r="C766" s="31" t="n">
        <f aca="false">SUMIFS(Report!$U$10:$U$604,Report!$T$10:$T$604,"MERCADORIAS P/REVENDA",Report!$C$10:$C$604,A766)</f>
        <v>0</v>
      </c>
      <c r="F766" s="31" t="n">
        <f aca="false">B766+C766</f>
        <v>0</v>
      </c>
    </row>
    <row r="767" customFormat="false" ht="15" hidden="false" customHeight="true" outlineLevel="0" collapsed="false">
      <c r="A767" s="30" t="n">
        <v>46692</v>
      </c>
      <c r="B767" s="31" t="n">
        <f aca="false">SUMIFS(Report!$U$10:$U$604,Report!$T$10:$T$604,"&lt;&gt;"&amp;"MERCADORIAS P/REVENDA",Report!$C$10:$C$604,A767)</f>
        <v>0</v>
      </c>
      <c r="C767" s="31" t="n">
        <f aca="false">SUMIFS(Report!$U$10:$U$604,Report!$T$10:$T$604,"MERCADORIAS P/REVENDA",Report!$C$10:$C$604,A767)</f>
        <v>0</v>
      </c>
      <c r="F767" s="31" t="n">
        <f aca="false">B767+C767</f>
        <v>0</v>
      </c>
    </row>
    <row r="768" customFormat="false" ht="15" hidden="false" customHeight="true" outlineLevel="0" collapsed="false">
      <c r="A768" s="32" t="s">
        <v>765</v>
      </c>
      <c r="B768" s="33" t="n">
        <f aca="false">SUM(B761:B767)</f>
        <v>0</v>
      </c>
      <c r="C768" s="33" t="n">
        <f aca="false">SUM(C761:C767)</f>
        <v>0</v>
      </c>
      <c r="F768" s="33" t="n">
        <f aca="false">B768+C768</f>
        <v>0</v>
      </c>
    </row>
    <row r="769" customFormat="false" ht="15" hidden="false" customHeight="true" outlineLevel="0" collapsed="false">
      <c r="A769" s="24" t="n">
        <v>46693</v>
      </c>
      <c r="B769" s="26" t="n">
        <f aca="false">SUMIFS(Report!$U$10:$U$604,Report!$T$10:$T$604,"&lt;&gt;"&amp;"MERCADORIAS P/REVENDA",Report!$C$10:$C$604,A769)</f>
        <v>0</v>
      </c>
      <c r="C769" s="26" t="n">
        <f aca="false">SUMIFS(Report!$U$10:$U$604,Report!$T$10:$T$604,"MERCADORIAS P/REVENDA",Report!$C$10:$C$604,A769)</f>
        <v>0</v>
      </c>
      <c r="F769" s="26" t="n">
        <f aca="false">B769+C769</f>
        <v>0</v>
      </c>
    </row>
    <row r="770" customFormat="false" ht="15" hidden="false" customHeight="true" outlineLevel="0" collapsed="false">
      <c r="A770" s="24" t="n">
        <v>46694</v>
      </c>
      <c r="B770" s="26" t="n">
        <f aca="false">SUMIFS(Report!$U$10:$U$604,Report!$T$10:$T$604,"&lt;&gt;"&amp;"MERCADORIAS P/REVENDA",Report!$C$10:$C$604,A770)</f>
        <v>0</v>
      </c>
      <c r="C770" s="26" t="n">
        <f aca="false">SUMIFS(Report!$U$10:$U$604,Report!$T$10:$T$604,"MERCADORIAS P/REVENDA",Report!$C$10:$C$604,A770)</f>
        <v>0</v>
      </c>
      <c r="F770" s="26" t="n">
        <f aca="false">B770+C770</f>
        <v>0</v>
      </c>
    </row>
    <row r="771" customFormat="false" ht="15" hidden="false" customHeight="true" outlineLevel="0" collapsed="false">
      <c r="A771" s="24" t="n">
        <v>46695</v>
      </c>
      <c r="B771" s="26" t="n">
        <f aca="false">SUMIFS(Report!$U$10:$U$604,Report!$T$10:$T$604,"&lt;&gt;"&amp;"MERCADORIAS P/REVENDA",Report!$C$10:$C$604,A771)</f>
        <v>0</v>
      </c>
      <c r="C771" s="26" t="n">
        <f aca="false">SUMIFS(Report!$U$10:$U$604,Report!$T$10:$T$604,"MERCADORIAS P/REVENDA",Report!$C$10:$C$604,A771)</f>
        <v>0</v>
      </c>
      <c r="F771" s="26" t="n">
        <f aca="false">B771+C771</f>
        <v>0</v>
      </c>
    </row>
    <row r="772" customFormat="false" ht="15" hidden="false" customHeight="true" outlineLevel="0" collapsed="false">
      <c r="A772" s="24" t="n">
        <v>46696</v>
      </c>
      <c r="B772" s="26" t="n">
        <f aca="false">SUMIFS(Report!$U$10:$U$604,Report!$T$10:$T$604,"&lt;&gt;"&amp;"MERCADORIAS P/REVENDA",Report!$C$10:$C$604,A772)</f>
        <v>0</v>
      </c>
      <c r="C772" s="26" t="n">
        <f aca="false">SUMIFS(Report!$U$10:$U$604,Report!$T$10:$T$604,"MERCADORIAS P/REVENDA",Report!$C$10:$C$604,A772)</f>
        <v>0</v>
      </c>
      <c r="F772" s="26" t="n">
        <f aca="false">B772+C772</f>
        <v>0</v>
      </c>
    </row>
    <row r="773" customFormat="false" ht="15" hidden="false" customHeight="true" outlineLevel="0" collapsed="false">
      <c r="A773" s="30" t="n">
        <v>46697</v>
      </c>
      <c r="B773" s="31" t="n">
        <f aca="false">SUMIFS(Report!$U$10:$U$604,Report!$T$10:$T$604,"&lt;&gt;"&amp;"MERCADORIAS P/REVENDA",Report!$C$10:$C$604,A773)</f>
        <v>0</v>
      </c>
      <c r="C773" s="31" t="n">
        <f aca="false">SUMIFS(Report!$U$10:$U$604,Report!$T$10:$T$604,"MERCADORIAS P/REVENDA",Report!$C$10:$C$604,A773)</f>
        <v>0</v>
      </c>
      <c r="F773" s="31" t="n">
        <f aca="false">B773+C773</f>
        <v>0</v>
      </c>
    </row>
    <row r="774" customFormat="false" ht="15" hidden="false" customHeight="true" outlineLevel="0" collapsed="false">
      <c r="A774" s="30" t="n">
        <v>46698</v>
      </c>
      <c r="B774" s="31" t="n">
        <f aca="false">SUMIFS(Report!$U$10:$U$604,Report!$T$10:$T$604,"&lt;&gt;"&amp;"MERCADORIAS P/REVENDA",Report!$C$10:$C$604,A774)</f>
        <v>0</v>
      </c>
      <c r="C774" s="31" t="n">
        <f aca="false">SUMIFS(Report!$U$10:$U$604,Report!$T$10:$T$604,"MERCADORIAS P/REVENDA",Report!$C$10:$C$604,A774)</f>
        <v>0</v>
      </c>
      <c r="F774" s="31" t="n">
        <f aca="false">B774+C774</f>
        <v>0</v>
      </c>
    </row>
    <row r="775" customFormat="false" ht="15" hidden="false" customHeight="true" outlineLevel="0" collapsed="false">
      <c r="A775" s="30" t="n">
        <v>46699</v>
      </c>
      <c r="B775" s="31" t="n">
        <f aca="false">SUMIFS(Report!$U$10:$U$604,Report!$T$10:$T$604,"&lt;&gt;"&amp;"MERCADORIAS P/REVENDA",Report!$C$10:$C$604,A775)</f>
        <v>0</v>
      </c>
      <c r="C775" s="31" t="n">
        <f aca="false">SUMIFS(Report!$U$10:$U$604,Report!$T$10:$T$604,"MERCADORIAS P/REVENDA",Report!$C$10:$C$604,A775)</f>
        <v>0</v>
      </c>
      <c r="F775" s="31" t="n">
        <f aca="false">B775+C775</f>
        <v>0</v>
      </c>
    </row>
    <row r="776" customFormat="false" ht="15" hidden="false" customHeight="true" outlineLevel="0" collapsed="false">
      <c r="A776" s="32" t="s">
        <v>766</v>
      </c>
      <c r="B776" s="33" t="n">
        <f aca="false">SUM(B769:B775)</f>
        <v>0</v>
      </c>
      <c r="C776" s="33" t="n">
        <f aca="false">SUM(C769:C775)</f>
        <v>0</v>
      </c>
      <c r="F776" s="33" t="n">
        <f aca="false">B776+C776</f>
        <v>0</v>
      </c>
    </row>
    <row r="777" customFormat="false" ht="15" hidden="false" customHeight="true" outlineLevel="0" collapsed="false">
      <c r="A777" s="24" t="n">
        <v>46700</v>
      </c>
      <c r="B777" s="26" t="n">
        <f aca="false">SUMIFS(Report!$U$10:$U$604,Report!$T$10:$T$604,"&lt;&gt;"&amp;"MERCADORIAS P/REVENDA",Report!$C$10:$C$604,A777)</f>
        <v>0</v>
      </c>
      <c r="C777" s="26" t="n">
        <f aca="false">SUMIFS(Report!$U$10:$U$604,Report!$T$10:$T$604,"MERCADORIAS P/REVENDA",Report!$C$10:$C$604,A777)</f>
        <v>0</v>
      </c>
      <c r="F777" s="26" t="n">
        <f aca="false">B777+C777</f>
        <v>0</v>
      </c>
    </row>
    <row r="778" customFormat="false" ht="15" hidden="false" customHeight="true" outlineLevel="0" collapsed="false">
      <c r="A778" s="24" t="n">
        <v>46701</v>
      </c>
      <c r="B778" s="26" t="n">
        <f aca="false">SUMIFS(Report!$U$10:$U$604,Report!$T$10:$T$604,"&lt;&gt;"&amp;"MERCADORIAS P/REVENDA",Report!$C$10:$C$604,A778)</f>
        <v>0</v>
      </c>
      <c r="C778" s="26" t="n">
        <f aca="false">SUMIFS(Report!$U$10:$U$604,Report!$T$10:$T$604,"MERCADORIAS P/REVENDA",Report!$C$10:$C$604,A778)</f>
        <v>0</v>
      </c>
      <c r="F778" s="26" t="n">
        <f aca="false">B778+C778</f>
        <v>0</v>
      </c>
    </row>
    <row r="779" customFormat="false" ht="15" hidden="false" customHeight="true" outlineLevel="0" collapsed="false">
      <c r="A779" s="24" t="n">
        <v>46702</v>
      </c>
      <c r="B779" s="26" t="n">
        <f aca="false">SUMIFS(Report!$U$10:$U$604,Report!$T$10:$T$604,"&lt;&gt;"&amp;"MERCADORIAS P/REVENDA",Report!$C$10:$C$604,A779)</f>
        <v>0</v>
      </c>
      <c r="C779" s="26" t="n">
        <f aca="false">SUMIFS(Report!$U$10:$U$604,Report!$T$10:$T$604,"MERCADORIAS P/REVENDA",Report!$C$10:$C$604,A779)</f>
        <v>0</v>
      </c>
      <c r="F779" s="26" t="n">
        <f aca="false">B779+C779</f>
        <v>0</v>
      </c>
    </row>
    <row r="780" customFormat="false" ht="15" hidden="false" customHeight="true" outlineLevel="0" collapsed="false">
      <c r="A780" s="24" t="n">
        <v>46703</v>
      </c>
      <c r="B780" s="26" t="n">
        <f aca="false">SUMIFS(Report!$U$10:$U$604,Report!$T$10:$T$604,"&lt;&gt;"&amp;"MERCADORIAS P/REVENDA",Report!$C$10:$C$604,A780)</f>
        <v>0</v>
      </c>
      <c r="C780" s="26" t="n">
        <f aca="false">SUMIFS(Report!$U$10:$U$604,Report!$T$10:$T$604,"MERCADORIAS P/REVENDA",Report!$C$10:$C$604,A780)</f>
        <v>0</v>
      </c>
      <c r="F780" s="26" t="n">
        <f aca="false">B780+C780</f>
        <v>0</v>
      </c>
    </row>
    <row r="781" customFormat="false" ht="15" hidden="false" customHeight="true" outlineLevel="0" collapsed="false">
      <c r="A781" s="30" t="n">
        <v>46704</v>
      </c>
      <c r="B781" s="31" t="n">
        <f aca="false">SUMIFS(Report!$U$10:$U$604,Report!$T$10:$T$604,"&lt;&gt;"&amp;"MERCADORIAS P/REVENDA",Report!$C$10:$C$604,A781)</f>
        <v>0</v>
      </c>
      <c r="C781" s="31" t="n">
        <f aca="false">SUMIFS(Report!$U$10:$U$604,Report!$T$10:$T$604,"MERCADORIAS P/REVENDA",Report!$C$10:$C$604,A781)</f>
        <v>0</v>
      </c>
      <c r="F781" s="31" t="n">
        <f aca="false">B781+C781</f>
        <v>0</v>
      </c>
    </row>
    <row r="782" customFormat="false" ht="15" hidden="false" customHeight="true" outlineLevel="0" collapsed="false">
      <c r="A782" s="30" t="n">
        <v>46705</v>
      </c>
      <c r="B782" s="31" t="n">
        <f aca="false">SUMIFS(Report!$U$10:$U$604,Report!$T$10:$T$604,"&lt;&gt;"&amp;"MERCADORIAS P/REVENDA",Report!$C$10:$C$604,A782)</f>
        <v>0</v>
      </c>
      <c r="C782" s="31" t="n">
        <f aca="false">SUMIFS(Report!$U$10:$U$604,Report!$T$10:$T$604,"MERCADORIAS P/REVENDA",Report!$C$10:$C$604,A782)</f>
        <v>0</v>
      </c>
      <c r="F782" s="31" t="n">
        <f aca="false">B782+C782</f>
        <v>0</v>
      </c>
    </row>
    <row r="783" customFormat="false" ht="15" hidden="false" customHeight="true" outlineLevel="0" collapsed="false">
      <c r="A783" s="30" t="n">
        <v>46706</v>
      </c>
      <c r="B783" s="31" t="n">
        <f aca="false">SUMIFS(Report!$U$10:$U$604,Report!$T$10:$T$604,"&lt;&gt;"&amp;"MERCADORIAS P/REVENDA",Report!$C$10:$C$604,A783)</f>
        <v>0</v>
      </c>
      <c r="C783" s="31" t="n">
        <f aca="false">SUMIFS(Report!$U$10:$U$604,Report!$T$10:$T$604,"MERCADORIAS P/REVENDA",Report!$C$10:$C$604,A783)</f>
        <v>0</v>
      </c>
      <c r="F783" s="31" t="n">
        <f aca="false">B783+C783</f>
        <v>0</v>
      </c>
    </row>
    <row r="784" customFormat="false" ht="15" hidden="false" customHeight="true" outlineLevel="0" collapsed="false">
      <c r="A784" s="32" t="s">
        <v>767</v>
      </c>
      <c r="B784" s="33" t="n">
        <f aca="false">SUM(B777:B783)</f>
        <v>0</v>
      </c>
      <c r="C784" s="33" t="n">
        <f aca="false">SUM(C777:C783)</f>
        <v>0</v>
      </c>
      <c r="F784" s="33" t="n">
        <f aca="false">B784+C784</f>
        <v>0</v>
      </c>
    </row>
    <row r="785" customFormat="false" ht="15" hidden="false" customHeight="true" outlineLevel="0" collapsed="false">
      <c r="A785" s="24" t="n">
        <v>46707</v>
      </c>
      <c r="B785" s="26" t="n">
        <f aca="false">SUMIFS(Report!$U$10:$U$604,Report!$T$10:$T$604,"&lt;&gt;"&amp;"MERCADORIAS P/REVENDA",Report!$C$10:$C$604,A785)</f>
        <v>0</v>
      </c>
      <c r="C785" s="26" t="n">
        <f aca="false">SUMIFS(Report!$U$10:$U$604,Report!$T$10:$T$604,"MERCADORIAS P/REVENDA",Report!$C$10:$C$604,A785)</f>
        <v>0</v>
      </c>
      <c r="F785" s="26" t="n">
        <f aca="false">B785+C785</f>
        <v>0</v>
      </c>
    </row>
    <row r="786" customFormat="false" ht="15" hidden="false" customHeight="true" outlineLevel="0" collapsed="false">
      <c r="A786" s="24" t="n">
        <v>46708</v>
      </c>
      <c r="B786" s="26" t="n">
        <f aca="false">SUMIFS(Report!$U$10:$U$604,Report!$T$10:$T$604,"&lt;&gt;"&amp;"MERCADORIAS P/REVENDA",Report!$C$10:$C$604,A786)</f>
        <v>0</v>
      </c>
      <c r="C786" s="26" t="n">
        <f aca="false">SUMIFS(Report!$U$10:$U$604,Report!$T$10:$T$604,"MERCADORIAS P/REVENDA",Report!$C$10:$C$604,A786)</f>
        <v>0</v>
      </c>
      <c r="F786" s="26" t="n">
        <f aca="false">B786+C786</f>
        <v>0</v>
      </c>
    </row>
    <row r="787" customFormat="false" ht="15" hidden="false" customHeight="true" outlineLevel="0" collapsed="false">
      <c r="A787" s="24" t="n">
        <v>46709</v>
      </c>
      <c r="B787" s="26" t="n">
        <f aca="false">SUMIFS(Report!$U$10:$U$604,Report!$T$10:$T$604,"&lt;&gt;"&amp;"MERCADORIAS P/REVENDA",Report!$C$10:$C$604,A787)</f>
        <v>0</v>
      </c>
      <c r="C787" s="26" t="n">
        <f aca="false">SUMIFS(Report!$U$10:$U$604,Report!$T$10:$T$604,"MERCADORIAS P/REVENDA",Report!$C$10:$C$604,A787)</f>
        <v>0</v>
      </c>
      <c r="F787" s="26" t="n">
        <f aca="false">B787+C787</f>
        <v>0</v>
      </c>
    </row>
    <row r="788" customFormat="false" ht="15" hidden="false" customHeight="true" outlineLevel="0" collapsed="false">
      <c r="A788" s="24" t="n">
        <v>46710</v>
      </c>
      <c r="B788" s="26" t="n">
        <f aca="false">SUMIFS(Report!$U$10:$U$604,Report!$T$10:$T$604,"&lt;&gt;"&amp;"MERCADORIAS P/REVENDA",Report!$C$10:$C$604,A788)</f>
        <v>0</v>
      </c>
      <c r="C788" s="26" t="n">
        <f aca="false">SUMIFS(Report!$U$10:$U$604,Report!$T$10:$T$604,"MERCADORIAS P/REVENDA",Report!$C$10:$C$604,A788)</f>
        <v>0</v>
      </c>
      <c r="F788" s="26" t="n">
        <f aca="false">B788+C788</f>
        <v>0</v>
      </c>
    </row>
    <row r="789" customFormat="false" ht="15" hidden="false" customHeight="true" outlineLevel="0" collapsed="false">
      <c r="A789" s="30" t="n">
        <v>46711</v>
      </c>
      <c r="B789" s="31" t="n">
        <f aca="false">SUMIFS(Report!$U$10:$U$604,Report!$T$10:$T$604,"&lt;&gt;"&amp;"MERCADORIAS P/REVENDA",Report!$C$10:$C$604,A789)</f>
        <v>0</v>
      </c>
      <c r="C789" s="31" t="n">
        <f aca="false">SUMIFS(Report!$U$10:$U$604,Report!$T$10:$T$604,"MERCADORIAS P/REVENDA",Report!$C$10:$C$604,A789)</f>
        <v>0</v>
      </c>
      <c r="F789" s="31" t="n">
        <f aca="false">B789+C789</f>
        <v>0</v>
      </c>
    </row>
    <row r="790" customFormat="false" ht="15" hidden="false" customHeight="true" outlineLevel="0" collapsed="false">
      <c r="A790" s="30" t="n">
        <v>46712</v>
      </c>
      <c r="B790" s="31" t="n">
        <f aca="false">SUMIFS(Report!$U$10:$U$604,Report!$T$10:$T$604,"&lt;&gt;"&amp;"MERCADORIAS P/REVENDA",Report!$C$10:$C$604,A790)</f>
        <v>0</v>
      </c>
      <c r="C790" s="31" t="n">
        <f aca="false">SUMIFS(Report!$U$10:$U$604,Report!$T$10:$T$604,"MERCADORIAS P/REVENDA",Report!$C$10:$C$604,A790)</f>
        <v>0</v>
      </c>
      <c r="F790" s="31" t="n">
        <f aca="false">B790+C790</f>
        <v>0</v>
      </c>
    </row>
    <row r="791" customFormat="false" ht="15" hidden="false" customHeight="true" outlineLevel="0" collapsed="false">
      <c r="A791" s="30" t="n">
        <v>46713</v>
      </c>
      <c r="B791" s="31" t="n">
        <f aca="false">SUMIFS(Report!$U$10:$U$604,Report!$T$10:$T$604,"&lt;&gt;"&amp;"MERCADORIAS P/REVENDA",Report!$C$10:$C$604,A791)</f>
        <v>0</v>
      </c>
      <c r="C791" s="31" t="n">
        <f aca="false">SUMIFS(Report!$U$10:$U$604,Report!$T$10:$T$604,"MERCADORIAS P/REVENDA",Report!$C$10:$C$604,A791)</f>
        <v>0</v>
      </c>
      <c r="F791" s="31" t="n">
        <f aca="false">B791+C791</f>
        <v>0</v>
      </c>
    </row>
    <row r="792" customFormat="false" ht="15" hidden="false" customHeight="true" outlineLevel="0" collapsed="false">
      <c r="A792" s="32" t="s">
        <v>768</v>
      </c>
      <c r="B792" s="33" t="n">
        <f aca="false">SUM(B785:B791)</f>
        <v>0</v>
      </c>
      <c r="C792" s="33" t="n">
        <f aca="false">SUM(C785:C791)</f>
        <v>0</v>
      </c>
      <c r="F792" s="33" t="n">
        <f aca="false">B792+C792</f>
        <v>0</v>
      </c>
    </row>
    <row r="793" customFormat="false" ht="15" hidden="false" customHeight="true" outlineLevel="0" collapsed="false">
      <c r="A793" s="24" t="n">
        <v>46714</v>
      </c>
      <c r="B793" s="26" t="n">
        <f aca="false">SUMIFS(Report!$U$10:$U$604,Report!$T$10:$T$604,"&lt;&gt;"&amp;"MERCADORIAS P/REVENDA",Report!$C$10:$C$604,A793)</f>
        <v>0</v>
      </c>
      <c r="C793" s="26" t="n">
        <f aca="false">SUMIFS(Report!$U$10:$U$604,Report!$T$10:$T$604,"MERCADORIAS P/REVENDA",Report!$C$10:$C$604,A793)</f>
        <v>0</v>
      </c>
      <c r="F793" s="26" t="n">
        <f aca="false">B793+C793</f>
        <v>0</v>
      </c>
    </row>
    <row r="794" customFormat="false" ht="15" hidden="false" customHeight="true" outlineLevel="0" collapsed="false">
      <c r="A794" s="24" t="n">
        <v>46715</v>
      </c>
      <c r="B794" s="26" t="n">
        <f aca="false">SUMIFS(Report!$U$10:$U$604,Report!$T$10:$T$604,"&lt;&gt;"&amp;"MERCADORIAS P/REVENDA",Report!$C$10:$C$604,A794)</f>
        <v>0</v>
      </c>
      <c r="C794" s="26" t="n">
        <f aca="false">SUMIFS(Report!$U$10:$U$604,Report!$T$10:$T$604,"MERCADORIAS P/REVENDA",Report!$C$10:$C$604,A794)</f>
        <v>0</v>
      </c>
      <c r="F794" s="26" t="n">
        <f aca="false">B794+C794</f>
        <v>0</v>
      </c>
    </row>
    <row r="795" customFormat="false" ht="15" hidden="false" customHeight="true" outlineLevel="0" collapsed="false">
      <c r="A795" s="24" t="n">
        <v>46716</v>
      </c>
      <c r="B795" s="26" t="n">
        <f aca="false">SUMIFS(Report!$U$10:$U$604,Report!$T$10:$T$604,"&lt;&gt;"&amp;"MERCADORIAS P/REVENDA",Report!$C$10:$C$604,A795)</f>
        <v>0</v>
      </c>
      <c r="C795" s="26" t="n">
        <f aca="false">SUMIFS(Report!$U$10:$U$604,Report!$T$10:$T$604,"MERCADORIAS P/REVENDA",Report!$C$10:$C$604,A795)</f>
        <v>0</v>
      </c>
      <c r="F795" s="26" t="n">
        <f aca="false">B795+C795</f>
        <v>0</v>
      </c>
    </row>
    <row r="796" customFormat="false" ht="15" hidden="false" customHeight="true" outlineLevel="0" collapsed="false">
      <c r="A796" s="24" t="n">
        <v>46717</v>
      </c>
      <c r="B796" s="26" t="n">
        <f aca="false">SUMIFS(Report!$U$10:$U$604,Report!$T$10:$T$604,"&lt;&gt;"&amp;"MERCADORIAS P/REVENDA",Report!$C$10:$C$604,A796)</f>
        <v>0</v>
      </c>
      <c r="C796" s="26" t="n">
        <f aca="false">SUMIFS(Report!$U$10:$U$604,Report!$T$10:$T$604,"MERCADORIAS P/REVENDA",Report!$C$10:$C$604,A796)</f>
        <v>0</v>
      </c>
      <c r="F796" s="26" t="n">
        <f aca="false">B796+C796</f>
        <v>0</v>
      </c>
    </row>
    <row r="797" customFormat="false" ht="15" hidden="false" customHeight="true" outlineLevel="0" collapsed="false">
      <c r="A797" s="30" t="n">
        <v>46718</v>
      </c>
      <c r="B797" s="31" t="n">
        <f aca="false">SUMIFS(Report!$U$10:$U$604,Report!$T$10:$T$604,"&lt;&gt;"&amp;"MERCADORIAS P/REVENDA",Report!$C$10:$C$604,A797)</f>
        <v>0</v>
      </c>
      <c r="C797" s="31" t="n">
        <f aca="false">SUMIFS(Report!$U$10:$U$604,Report!$T$10:$T$604,"MERCADORIAS P/REVENDA",Report!$C$10:$C$604,A797)</f>
        <v>0</v>
      </c>
      <c r="F797" s="31" t="n">
        <f aca="false">B797+C797</f>
        <v>0</v>
      </c>
    </row>
    <row r="798" customFormat="false" ht="15" hidden="false" customHeight="true" outlineLevel="0" collapsed="false">
      <c r="A798" s="30" t="n">
        <v>46719</v>
      </c>
      <c r="B798" s="31" t="n">
        <f aca="false">SUMIFS(Report!$U$10:$U$604,Report!$T$10:$T$604,"&lt;&gt;"&amp;"MERCADORIAS P/REVENDA",Report!$C$10:$C$604,A798)</f>
        <v>0</v>
      </c>
      <c r="C798" s="31" t="n">
        <f aca="false">SUMIFS(Report!$U$10:$U$604,Report!$T$10:$T$604,"MERCADORIAS P/REVENDA",Report!$C$10:$C$604,A798)</f>
        <v>0</v>
      </c>
      <c r="F798" s="31" t="n">
        <f aca="false">B798+C798</f>
        <v>0</v>
      </c>
    </row>
    <row r="799" customFormat="false" ht="15" hidden="false" customHeight="true" outlineLevel="0" collapsed="false">
      <c r="A799" s="30" t="n">
        <v>46720</v>
      </c>
      <c r="B799" s="31" t="n">
        <f aca="false">SUMIFS(Report!$U$10:$U$604,Report!$T$10:$T$604,"&lt;&gt;"&amp;"MERCADORIAS P/REVENDA",Report!$C$10:$C$604,A799)</f>
        <v>0</v>
      </c>
      <c r="C799" s="31" t="n">
        <f aca="false">SUMIFS(Report!$U$10:$U$604,Report!$T$10:$T$604,"MERCADORIAS P/REVENDA",Report!$C$10:$C$604,A799)</f>
        <v>0</v>
      </c>
      <c r="F799" s="31" t="n">
        <f aca="false">B799+C799</f>
        <v>0</v>
      </c>
    </row>
    <row r="800" customFormat="false" ht="15" hidden="false" customHeight="true" outlineLevel="0" collapsed="false">
      <c r="A800" s="32" t="s">
        <v>769</v>
      </c>
      <c r="B800" s="33" t="n">
        <f aca="false">SUM(B793:B799)</f>
        <v>0</v>
      </c>
      <c r="C800" s="33" t="n">
        <f aca="false">SUM(C793:C799)</f>
        <v>0</v>
      </c>
      <c r="F800" s="33" t="n">
        <f aca="false">B800+C800</f>
        <v>0</v>
      </c>
    </row>
    <row r="801" customFormat="false" ht="15" hidden="false" customHeight="true" outlineLevel="0" collapsed="false">
      <c r="A801" s="24" t="n">
        <v>46721</v>
      </c>
      <c r="B801" s="26" t="n">
        <f aca="false">SUMIFS(Report!$U$10:$U$604,Report!$T$10:$T$604,"&lt;&gt;"&amp;"MERCADORIAS P/REVENDA",Report!$C$10:$C$604,A801)</f>
        <v>0</v>
      </c>
      <c r="C801" s="26" t="n">
        <f aca="false">SUMIFS(Report!$U$10:$U$604,Report!$T$10:$T$604,"MERCADORIAS P/REVENDA",Report!$C$10:$C$604,A801)</f>
        <v>0</v>
      </c>
      <c r="F801" s="26" t="n">
        <f aca="false">B801+C801</f>
        <v>0</v>
      </c>
    </row>
    <row r="802" customFormat="false" ht="15" hidden="false" customHeight="true" outlineLevel="0" collapsed="false">
      <c r="A802" s="24" t="n">
        <v>46722</v>
      </c>
      <c r="B802" s="26" t="n">
        <f aca="false">SUMIFS(Report!$U$10:$U$604,Report!$T$10:$T$604,"&lt;&gt;"&amp;"MERCADORIAS P/REVENDA",Report!$C$10:$C$604,A802)</f>
        <v>0</v>
      </c>
      <c r="C802" s="26" t="n">
        <f aca="false">SUMIFS(Report!$U$10:$U$604,Report!$T$10:$T$604,"MERCADORIAS P/REVENDA",Report!$C$10:$C$604,A802)</f>
        <v>0</v>
      </c>
      <c r="F802" s="26" t="n">
        <f aca="false">B802+C802</f>
        <v>0</v>
      </c>
    </row>
    <row r="803" customFormat="false" ht="15" hidden="false" customHeight="true" outlineLevel="0" collapsed="false">
      <c r="A803" s="24" t="n">
        <v>46723</v>
      </c>
      <c r="B803" s="26" t="n">
        <f aca="false">SUMIFS(Report!$U$10:$U$604,Report!$T$10:$T$604,"&lt;&gt;"&amp;"MERCADORIAS P/REVENDA",Report!$C$10:$C$604,A803)</f>
        <v>0</v>
      </c>
      <c r="C803" s="26" t="n">
        <f aca="false">SUMIFS(Report!$U$10:$U$604,Report!$T$10:$T$604,"MERCADORIAS P/REVENDA",Report!$C$10:$C$604,A803)</f>
        <v>0</v>
      </c>
      <c r="F803" s="26" t="n">
        <f aca="false">B803+C803</f>
        <v>0</v>
      </c>
    </row>
    <row r="804" customFormat="false" ht="15" hidden="false" customHeight="true" outlineLevel="0" collapsed="false">
      <c r="A804" s="24" t="n">
        <v>46724</v>
      </c>
      <c r="B804" s="26" t="n">
        <f aca="false">SUMIFS(Report!$U$10:$U$604,Report!$T$10:$T$604,"&lt;&gt;"&amp;"MERCADORIAS P/REVENDA",Report!$C$10:$C$604,A804)</f>
        <v>0</v>
      </c>
      <c r="C804" s="26" t="n">
        <f aca="false">SUMIFS(Report!$U$10:$U$604,Report!$T$10:$T$604,"MERCADORIAS P/REVENDA",Report!$C$10:$C$604,A804)</f>
        <v>0</v>
      </c>
      <c r="F804" s="26" t="n">
        <f aca="false">B804+C804</f>
        <v>0</v>
      </c>
    </row>
    <row r="805" customFormat="false" ht="15" hidden="false" customHeight="true" outlineLevel="0" collapsed="false">
      <c r="A805" s="30" t="n">
        <v>46725</v>
      </c>
      <c r="B805" s="31" t="n">
        <f aca="false">SUMIFS(Report!$U$10:$U$604,Report!$T$10:$T$604,"&lt;&gt;"&amp;"MERCADORIAS P/REVENDA",Report!$C$10:$C$604,A805)</f>
        <v>0</v>
      </c>
      <c r="C805" s="31" t="n">
        <f aca="false">SUMIFS(Report!$U$10:$U$604,Report!$T$10:$T$604,"MERCADORIAS P/REVENDA",Report!$C$10:$C$604,A805)</f>
        <v>0</v>
      </c>
      <c r="F805" s="31" t="n">
        <f aca="false">B805+C805</f>
        <v>0</v>
      </c>
    </row>
    <row r="806" customFormat="false" ht="15" hidden="false" customHeight="true" outlineLevel="0" collapsed="false">
      <c r="A806" s="30" t="n">
        <v>46726</v>
      </c>
      <c r="B806" s="31" t="n">
        <f aca="false">SUMIFS(Report!$U$10:$U$604,Report!$T$10:$T$604,"&lt;&gt;"&amp;"MERCADORIAS P/REVENDA",Report!$C$10:$C$604,A806)</f>
        <v>0</v>
      </c>
      <c r="C806" s="31" t="n">
        <f aca="false">SUMIFS(Report!$U$10:$U$604,Report!$T$10:$T$604,"MERCADORIAS P/REVENDA",Report!$C$10:$C$604,A806)</f>
        <v>0</v>
      </c>
      <c r="F806" s="31" t="n">
        <f aca="false">B806+C806</f>
        <v>0</v>
      </c>
    </row>
    <row r="807" customFormat="false" ht="15" hidden="false" customHeight="true" outlineLevel="0" collapsed="false">
      <c r="A807" s="30" t="n">
        <v>46727</v>
      </c>
      <c r="B807" s="31" t="n">
        <f aca="false">SUMIFS(Report!$U$10:$U$604,Report!$T$10:$T$604,"&lt;&gt;"&amp;"MERCADORIAS P/REVENDA",Report!$C$10:$C$604,A807)</f>
        <v>0</v>
      </c>
      <c r="C807" s="31" t="n">
        <f aca="false">SUMIFS(Report!$U$10:$U$604,Report!$T$10:$T$604,"MERCADORIAS P/REVENDA",Report!$C$10:$C$604,A807)</f>
        <v>0</v>
      </c>
      <c r="F807" s="31" t="n">
        <f aca="false">B807+C807</f>
        <v>0</v>
      </c>
    </row>
    <row r="808" customFormat="false" ht="15" hidden="false" customHeight="true" outlineLevel="0" collapsed="false">
      <c r="A808" s="32" t="s">
        <v>770</v>
      </c>
      <c r="B808" s="33" t="n">
        <f aca="false">SUM(B801:B807)</f>
        <v>0</v>
      </c>
      <c r="C808" s="33" t="n">
        <f aca="false">SUM(C801:C807)</f>
        <v>0</v>
      </c>
      <c r="F808" s="33" t="n">
        <f aca="false">B808+C808</f>
        <v>0</v>
      </c>
    </row>
    <row r="809" customFormat="false" ht="15" hidden="false" customHeight="true" outlineLevel="0" collapsed="false">
      <c r="A809" s="24" t="n">
        <v>46728</v>
      </c>
      <c r="B809" s="26" t="n">
        <f aca="false">SUMIFS(Report!$U$10:$U$604,Report!$T$10:$T$604,"&lt;&gt;"&amp;"MERCADORIAS P/REVENDA",Report!$C$10:$C$604,A809)</f>
        <v>0</v>
      </c>
      <c r="C809" s="26" t="n">
        <f aca="false">SUMIFS(Report!$U$10:$U$604,Report!$T$10:$T$604,"MERCADORIAS P/REVENDA",Report!$C$10:$C$604,A809)</f>
        <v>0</v>
      </c>
      <c r="F809" s="26" t="n">
        <f aca="false">B809+C809</f>
        <v>0</v>
      </c>
    </row>
    <row r="810" customFormat="false" ht="15" hidden="false" customHeight="true" outlineLevel="0" collapsed="false">
      <c r="A810" s="24" t="n">
        <v>46729</v>
      </c>
      <c r="B810" s="26" t="n">
        <f aca="false">SUMIFS(Report!$U$10:$U$604,Report!$T$10:$T$604,"&lt;&gt;"&amp;"MERCADORIAS P/REVENDA",Report!$C$10:$C$604,A810)</f>
        <v>0</v>
      </c>
      <c r="C810" s="26" t="n">
        <f aca="false">SUMIFS(Report!$U$10:$U$604,Report!$T$10:$T$604,"MERCADORIAS P/REVENDA",Report!$C$10:$C$604,A810)</f>
        <v>0</v>
      </c>
      <c r="F810" s="26" t="n">
        <f aca="false">B810+C810</f>
        <v>0</v>
      </c>
    </row>
    <row r="811" customFormat="false" ht="15" hidden="false" customHeight="true" outlineLevel="0" collapsed="false">
      <c r="A811" s="24" t="n">
        <v>46730</v>
      </c>
      <c r="B811" s="26" t="n">
        <f aca="false">SUMIFS(Report!$U$10:$U$604,Report!$T$10:$T$604,"&lt;&gt;"&amp;"MERCADORIAS P/REVENDA",Report!$C$10:$C$604,A811)</f>
        <v>0</v>
      </c>
      <c r="C811" s="26" t="n">
        <f aca="false">SUMIFS(Report!$U$10:$U$604,Report!$T$10:$T$604,"MERCADORIAS P/REVENDA",Report!$C$10:$C$604,A811)</f>
        <v>0</v>
      </c>
      <c r="F811" s="26" t="n">
        <f aca="false">B811+C811</f>
        <v>0</v>
      </c>
    </row>
    <row r="812" customFormat="false" ht="15" hidden="false" customHeight="true" outlineLevel="0" collapsed="false">
      <c r="A812" s="24" t="n">
        <v>46731</v>
      </c>
      <c r="B812" s="26" t="n">
        <f aca="false">SUMIFS(Report!$U$10:$U$604,Report!$T$10:$T$604,"&lt;&gt;"&amp;"MERCADORIAS P/REVENDA",Report!$C$10:$C$604,A812)</f>
        <v>0</v>
      </c>
      <c r="C812" s="26" t="n">
        <f aca="false">SUMIFS(Report!$U$10:$U$604,Report!$T$10:$T$604,"MERCADORIAS P/REVENDA",Report!$C$10:$C$604,A812)</f>
        <v>0</v>
      </c>
      <c r="F812" s="26" t="n">
        <f aca="false">B812+C812</f>
        <v>0</v>
      </c>
    </row>
    <row r="813" customFormat="false" ht="15" hidden="false" customHeight="true" outlineLevel="0" collapsed="false">
      <c r="A813" s="30" t="n">
        <v>46732</v>
      </c>
      <c r="B813" s="31" t="n">
        <f aca="false">SUMIFS(Report!$U$10:$U$604,Report!$T$10:$T$604,"&lt;&gt;"&amp;"MERCADORIAS P/REVENDA",Report!$C$10:$C$604,A813)</f>
        <v>0</v>
      </c>
      <c r="C813" s="31" t="n">
        <f aca="false">SUMIFS(Report!$U$10:$U$604,Report!$T$10:$T$604,"MERCADORIAS P/REVENDA",Report!$C$10:$C$604,A813)</f>
        <v>0</v>
      </c>
      <c r="F813" s="31" t="n">
        <f aca="false">B813+C813</f>
        <v>0</v>
      </c>
    </row>
    <row r="814" customFormat="false" ht="15" hidden="false" customHeight="true" outlineLevel="0" collapsed="false">
      <c r="A814" s="30" t="n">
        <v>46733</v>
      </c>
      <c r="B814" s="31" t="n">
        <f aca="false">SUMIFS(Report!$U$10:$U$604,Report!$T$10:$T$604,"&lt;&gt;"&amp;"MERCADORIAS P/REVENDA",Report!$C$10:$C$604,A814)</f>
        <v>0</v>
      </c>
      <c r="C814" s="31" t="n">
        <f aca="false">SUMIFS(Report!$U$10:$U$604,Report!$T$10:$T$604,"MERCADORIAS P/REVENDA",Report!$C$10:$C$604,A814)</f>
        <v>0</v>
      </c>
      <c r="F814" s="31" t="n">
        <f aca="false">B814+C814</f>
        <v>0</v>
      </c>
    </row>
    <row r="815" customFormat="false" ht="15" hidden="false" customHeight="true" outlineLevel="0" collapsed="false">
      <c r="A815" s="30" t="n">
        <v>46734</v>
      </c>
      <c r="B815" s="31" t="n">
        <f aca="false">SUMIFS(Report!$U$10:$U$604,Report!$T$10:$T$604,"&lt;&gt;"&amp;"MERCADORIAS P/REVENDA",Report!$C$10:$C$604,A815)</f>
        <v>0</v>
      </c>
      <c r="C815" s="31" t="n">
        <f aca="false">SUMIFS(Report!$U$10:$U$604,Report!$T$10:$T$604,"MERCADORIAS P/REVENDA",Report!$C$10:$C$604,A815)</f>
        <v>0</v>
      </c>
      <c r="F815" s="31" t="n">
        <f aca="false">B815+C815</f>
        <v>0</v>
      </c>
    </row>
    <row r="816" customFormat="false" ht="15" hidden="false" customHeight="true" outlineLevel="0" collapsed="false">
      <c r="A816" s="32" t="s">
        <v>771</v>
      </c>
      <c r="B816" s="33" t="n">
        <f aca="false">SUM(B809:B815)</f>
        <v>0</v>
      </c>
      <c r="C816" s="33" t="n">
        <f aca="false">SUM(C809:C815)</f>
        <v>0</v>
      </c>
      <c r="F816" s="33" t="n">
        <f aca="false">B816+C816</f>
        <v>0</v>
      </c>
    </row>
    <row r="817" customFormat="false" ht="15" hidden="false" customHeight="true" outlineLevel="0" collapsed="false">
      <c r="A817" s="24" t="n">
        <v>46735</v>
      </c>
      <c r="B817" s="26" t="n">
        <f aca="false">SUMIFS(Report!$U$10:$U$604,Report!$T$10:$T$604,"&lt;&gt;"&amp;"MERCADORIAS P/REVENDA",Report!$C$10:$C$604,A817)</f>
        <v>0</v>
      </c>
      <c r="C817" s="26" t="n">
        <f aca="false">SUMIFS(Report!$U$10:$U$604,Report!$T$10:$T$604,"MERCADORIAS P/REVENDA",Report!$C$10:$C$604,A817)</f>
        <v>0</v>
      </c>
      <c r="F817" s="26" t="n">
        <f aca="false">B817+C817</f>
        <v>0</v>
      </c>
    </row>
    <row r="818" customFormat="false" ht="15" hidden="false" customHeight="true" outlineLevel="0" collapsed="false">
      <c r="A818" s="24" t="n">
        <v>46736</v>
      </c>
      <c r="B818" s="26" t="n">
        <f aca="false">SUMIFS(Report!$U$10:$U$604,Report!$T$10:$T$604,"&lt;&gt;"&amp;"MERCADORIAS P/REVENDA",Report!$C$10:$C$604,A818)</f>
        <v>0</v>
      </c>
      <c r="C818" s="26" t="n">
        <f aca="false">SUMIFS(Report!$U$10:$U$604,Report!$T$10:$T$604,"MERCADORIAS P/REVENDA",Report!$C$10:$C$604,A818)</f>
        <v>0</v>
      </c>
      <c r="F818" s="26" t="n">
        <f aca="false">B818+C818</f>
        <v>0</v>
      </c>
    </row>
    <row r="819" customFormat="false" ht="15" hidden="false" customHeight="true" outlineLevel="0" collapsed="false">
      <c r="A819" s="24" t="n">
        <v>46737</v>
      </c>
      <c r="B819" s="26" t="n">
        <f aca="false">SUMIFS(Report!$U$10:$U$604,Report!$T$10:$T$604,"&lt;&gt;"&amp;"MERCADORIAS P/REVENDA",Report!$C$10:$C$604,A819)</f>
        <v>0</v>
      </c>
      <c r="C819" s="26" t="n">
        <f aca="false">SUMIFS(Report!$U$10:$U$604,Report!$T$10:$T$604,"MERCADORIAS P/REVENDA",Report!$C$10:$C$604,A819)</f>
        <v>0</v>
      </c>
      <c r="F819" s="26" t="n">
        <f aca="false">B819+C819</f>
        <v>0</v>
      </c>
    </row>
    <row r="820" customFormat="false" ht="15" hidden="false" customHeight="true" outlineLevel="0" collapsed="false">
      <c r="A820" s="24" t="n">
        <v>46738</v>
      </c>
      <c r="B820" s="26" t="n">
        <f aca="false">SUMIFS(Report!$U$10:$U$604,Report!$T$10:$T$604,"&lt;&gt;"&amp;"MERCADORIAS P/REVENDA",Report!$C$10:$C$604,A820)</f>
        <v>0</v>
      </c>
      <c r="C820" s="26" t="n">
        <f aca="false">SUMIFS(Report!$U$10:$U$604,Report!$T$10:$T$604,"MERCADORIAS P/REVENDA",Report!$C$10:$C$604,A820)</f>
        <v>0</v>
      </c>
      <c r="F820" s="26" t="n">
        <f aca="false">B820+C820</f>
        <v>0</v>
      </c>
    </row>
    <row r="821" customFormat="false" ht="15" hidden="false" customHeight="true" outlineLevel="0" collapsed="false">
      <c r="A821" s="30" t="n">
        <v>46739</v>
      </c>
      <c r="B821" s="31" t="n">
        <f aca="false">SUMIFS(Report!$U$10:$U$604,Report!$T$10:$T$604,"&lt;&gt;"&amp;"MERCADORIAS P/REVENDA",Report!$C$10:$C$604,A821)</f>
        <v>0</v>
      </c>
      <c r="C821" s="31" t="n">
        <f aca="false">SUMIFS(Report!$U$10:$U$604,Report!$T$10:$T$604,"MERCADORIAS P/REVENDA",Report!$C$10:$C$604,A821)</f>
        <v>0</v>
      </c>
      <c r="F821" s="31" t="n">
        <f aca="false">B821+C821</f>
        <v>0</v>
      </c>
    </row>
    <row r="822" customFormat="false" ht="15" hidden="false" customHeight="true" outlineLevel="0" collapsed="false">
      <c r="A822" s="30" t="n">
        <v>46740</v>
      </c>
      <c r="B822" s="31" t="n">
        <f aca="false">SUMIFS(Report!$U$10:$U$604,Report!$T$10:$T$604,"&lt;&gt;"&amp;"MERCADORIAS P/REVENDA",Report!$C$10:$C$604,A822)</f>
        <v>0</v>
      </c>
      <c r="C822" s="31" t="n">
        <f aca="false">SUMIFS(Report!$U$10:$U$604,Report!$T$10:$T$604,"MERCADORIAS P/REVENDA",Report!$C$10:$C$604,A822)</f>
        <v>0</v>
      </c>
      <c r="F822" s="31" t="n">
        <f aca="false">B822+C822</f>
        <v>0</v>
      </c>
    </row>
    <row r="823" customFormat="false" ht="15" hidden="false" customHeight="true" outlineLevel="0" collapsed="false">
      <c r="A823" s="30" t="n">
        <v>46741</v>
      </c>
      <c r="B823" s="31" t="n">
        <f aca="false">SUMIFS(Report!$U$10:$U$604,Report!$T$10:$T$604,"&lt;&gt;"&amp;"MERCADORIAS P/REVENDA",Report!$C$10:$C$604,A823)</f>
        <v>0</v>
      </c>
      <c r="C823" s="31" t="n">
        <f aca="false">SUMIFS(Report!$U$10:$U$604,Report!$T$10:$T$604,"MERCADORIAS P/REVENDA",Report!$C$10:$C$604,A823)</f>
        <v>0</v>
      </c>
      <c r="F823" s="31" t="n">
        <f aca="false">B823+C823</f>
        <v>0</v>
      </c>
    </row>
    <row r="824" customFormat="false" ht="15" hidden="false" customHeight="true" outlineLevel="0" collapsed="false">
      <c r="A824" s="32" t="s">
        <v>772</v>
      </c>
      <c r="B824" s="33" t="n">
        <f aca="false">SUM(B817:B823)</f>
        <v>0</v>
      </c>
      <c r="C824" s="33" t="n">
        <f aca="false">SUM(C817:C823)</f>
        <v>0</v>
      </c>
      <c r="F824" s="33" t="n">
        <f aca="false">B824+C824</f>
        <v>0</v>
      </c>
    </row>
    <row r="825" customFormat="false" ht="15" hidden="false" customHeight="true" outlineLevel="0" collapsed="false">
      <c r="A825" s="24" t="n">
        <v>46742</v>
      </c>
      <c r="B825" s="26" t="n">
        <f aca="false">SUMIFS(Report!$U$10:$U$604,Report!$T$10:$T$604,"&lt;&gt;"&amp;"MERCADORIAS P/REVENDA",Report!$C$10:$C$604,A825)</f>
        <v>0</v>
      </c>
      <c r="C825" s="26" t="n">
        <f aca="false">SUMIFS(Report!$U$10:$U$604,Report!$T$10:$T$604,"MERCADORIAS P/REVENDA",Report!$C$10:$C$604,A825)</f>
        <v>0</v>
      </c>
      <c r="F825" s="26" t="n">
        <f aca="false">B825+C825</f>
        <v>0</v>
      </c>
    </row>
    <row r="826" customFormat="false" ht="15" hidden="false" customHeight="true" outlineLevel="0" collapsed="false">
      <c r="A826" s="24" t="n">
        <v>46743</v>
      </c>
      <c r="B826" s="26" t="n">
        <f aca="false">SUMIFS(Report!$U$10:$U$604,Report!$T$10:$T$604,"&lt;&gt;"&amp;"MERCADORIAS P/REVENDA",Report!$C$10:$C$604,A826)</f>
        <v>0</v>
      </c>
      <c r="C826" s="26" t="n">
        <f aca="false">SUMIFS(Report!$U$10:$U$604,Report!$T$10:$T$604,"MERCADORIAS P/REVENDA",Report!$C$10:$C$604,A826)</f>
        <v>0</v>
      </c>
      <c r="F826" s="26" t="n">
        <f aca="false">B826+C826</f>
        <v>0</v>
      </c>
    </row>
    <row r="827" customFormat="false" ht="15" hidden="false" customHeight="true" outlineLevel="0" collapsed="false">
      <c r="A827" s="24" t="n">
        <v>46744</v>
      </c>
      <c r="B827" s="26" t="n">
        <f aca="false">SUMIFS(Report!$U$10:$U$604,Report!$T$10:$T$604,"&lt;&gt;"&amp;"MERCADORIAS P/REVENDA",Report!$C$10:$C$604,A827)</f>
        <v>0</v>
      </c>
      <c r="C827" s="26" t="n">
        <f aca="false">SUMIFS(Report!$U$10:$U$604,Report!$T$10:$T$604,"MERCADORIAS P/REVENDA",Report!$C$10:$C$604,A827)</f>
        <v>0</v>
      </c>
      <c r="F827" s="26" t="n">
        <f aca="false">B827+C827</f>
        <v>0</v>
      </c>
    </row>
    <row r="828" customFormat="false" ht="15" hidden="false" customHeight="true" outlineLevel="0" collapsed="false">
      <c r="A828" s="24" t="n">
        <v>46745</v>
      </c>
      <c r="B828" s="26" t="n">
        <f aca="false">SUMIFS(Report!$U$10:$U$604,Report!$T$10:$T$604,"&lt;&gt;"&amp;"MERCADORIAS P/REVENDA",Report!$C$10:$C$604,A828)</f>
        <v>0</v>
      </c>
      <c r="C828" s="26" t="n">
        <f aca="false">SUMIFS(Report!$U$10:$U$604,Report!$T$10:$T$604,"MERCADORIAS P/REVENDA",Report!$C$10:$C$604,A828)</f>
        <v>0</v>
      </c>
      <c r="F828" s="26" t="n">
        <f aca="false">B828+C828</f>
        <v>0</v>
      </c>
    </row>
    <row r="829" customFormat="false" ht="15" hidden="false" customHeight="true" outlineLevel="0" collapsed="false">
      <c r="A829" s="30" t="n">
        <v>46746</v>
      </c>
      <c r="B829" s="31" t="n">
        <f aca="false">SUMIFS(Report!$U$10:$U$604,Report!$T$10:$T$604,"&lt;&gt;"&amp;"MERCADORIAS P/REVENDA",Report!$C$10:$C$604,A829)</f>
        <v>0</v>
      </c>
      <c r="C829" s="31" t="n">
        <f aca="false">SUMIFS(Report!$U$10:$U$604,Report!$T$10:$T$604,"MERCADORIAS P/REVENDA",Report!$C$10:$C$604,A829)</f>
        <v>0</v>
      </c>
      <c r="F829" s="31" t="n">
        <f aca="false">B829+C829</f>
        <v>0</v>
      </c>
    </row>
    <row r="830" customFormat="false" ht="15" hidden="false" customHeight="true" outlineLevel="0" collapsed="false">
      <c r="A830" s="30" t="n">
        <v>46747</v>
      </c>
      <c r="B830" s="31" t="n">
        <f aca="false">SUMIFS(Report!$U$10:$U$604,Report!$T$10:$T$604,"&lt;&gt;"&amp;"MERCADORIAS P/REVENDA",Report!$C$10:$C$604,A830)</f>
        <v>0</v>
      </c>
      <c r="C830" s="31" t="n">
        <f aca="false">SUMIFS(Report!$U$10:$U$604,Report!$T$10:$T$604,"MERCADORIAS P/REVENDA",Report!$C$10:$C$604,A830)</f>
        <v>0</v>
      </c>
      <c r="F830" s="31" t="n">
        <f aca="false">B830+C830</f>
        <v>0</v>
      </c>
    </row>
    <row r="831" customFormat="false" ht="15" hidden="false" customHeight="true" outlineLevel="0" collapsed="false">
      <c r="A831" s="30" t="n">
        <v>46748</v>
      </c>
      <c r="B831" s="31" t="n">
        <f aca="false">SUMIFS(Report!$U$10:$U$604,Report!$T$10:$T$604,"&lt;&gt;"&amp;"MERCADORIAS P/REVENDA",Report!$C$10:$C$604,A831)</f>
        <v>0</v>
      </c>
      <c r="C831" s="31" t="n">
        <f aca="false">SUMIFS(Report!$U$10:$U$604,Report!$T$10:$T$604,"MERCADORIAS P/REVENDA",Report!$C$10:$C$604,A831)</f>
        <v>0</v>
      </c>
      <c r="F831" s="31" t="n">
        <f aca="false">B831+C831</f>
        <v>0</v>
      </c>
    </row>
    <row r="832" customFormat="false" ht="15" hidden="false" customHeight="true" outlineLevel="0" collapsed="false">
      <c r="A832" s="32" t="s">
        <v>773</v>
      </c>
      <c r="B832" s="33" t="n">
        <f aca="false">SUM(B825:B831)</f>
        <v>0</v>
      </c>
      <c r="C832" s="33" t="n">
        <f aca="false">SUM(C825:C831)</f>
        <v>0</v>
      </c>
      <c r="F832" s="33" t="n">
        <f aca="false">B832+C832</f>
        <v>0</v>
      </c>
    </row>
    <row r="833" customFormat="false" ht="15" hidden="false" customHeight="true" outlineLevel="0" collapsed="false">
      <c r="A833" s="24" t="n">
        <v>46749</v>
      </c>
      <c r="B833" s="26" t="n">
        <f aca="false">SUMIFS(Report!$U$10:$U$604,Report!$T$10:$T$604,"&lt;&gt;"&amp;"MERCADORIAS P/REVENDA",Report!$C$10:$C$604,A833)</f>
        <v>0</v>
      </c>
      <c r="C833" s="26" t="n">
        <f aca="false">SUMIFS(Report!$U$10:$U$604,Report!$T$10:$T$604,"MERCADORIAS P/REVENDA",Report!$C$10:$C$604,A833)</f>
        <v>0</v>
      </c>
      <c r="F833" s="26" t="n">
        <f aca="false">B833+C833</f>
        <v>0</v>
      </c>
    </row>
    <row r="834" customFormat="false" ht="15" hidden="false" customHeight="true" outlineLevel="0" collapsed="false">
      <c r="A834" s="24" t="n">
        <v>46750</v>
      </c>
      <c r="B834" s="26" t="n">
        <f aca="false">SUMIFS(Report!$U$10:$U$604,Report!$T$10:$T$604,"&lt;&gt;"&amp;"MERCADORIAS P/REVENDA",Report!$C$10:$C$604,A834)</f>
        <v>0</v>
      </c>
      <c r="C834" s="26" t="n">
        <f aca="false">SUMIFS(Report!$U$10:$U$604,Report!$T$10:$T$604,"MERCADORIAS P/REVENDA",Report!$C$10:$C$604,A834)</f>
        <v>0</v>
      </c>
      <c r="F834" s="26" t="n">
        <f aca="false">B834+C834</f>
        <v>0</v>
      </c>
    </row>
    <row r="835" customFormat="false" ht="15" hidden="false" customHeight="true" outlineLevel="0" collapsed="false">
      <c r="A835" s="24" t="n">
        <v>46751</v>
      </c>
      <c r="B835" s="26" t="n">
        <f aca="false">SUMIFS(Report!$U$10:$U$604,Report!$T$10:$T$604,"&lt;&gt;"&amp;"MERCADORIAS P/REVENDA",Report!$C$10:$C$604,A835)</f>
        <v>0</v>
      </c>
      <c r="C835" s="26" t="n">
        <f aca="false">SUMIFS(Report!$U$10:$U$604,Report!$T$10:$T$604,"MERCADORIAS P/REVENDA",Report!$C$10:$C$604,A835)</f>
        <v>0</v>
      </c>
      <c r="F835" s="26" t="n">
        <f aca="false">B835+C835</f>
        <v>0</v>
      </c>
    </row>
    <row r="836" customFormat="false" ht="15" hidden="false" customHeight="true" outlineLevel="0" collapsed="false">
      <c r="A836" s="24" t="n">
        <v>46752</v>
      </c>
      <c r="B836" s="26" t="n">
        <f aca="false">SUMIFS(Report!$U$10:$U$604,Report!$T$10:$T$604,"&lt;&gt;"&amp;"MERCADORIAS P/REVENDA",Report!$C$10:$C$604,A836)</f>
        <v>0</v>
      </c>
      <c r="C836" s="26" t="n">
        <f aca="false">SUMIFS(Report!$U$10:$U$604,Report!$T$10:$T$604,"MERCADORIAS P/REVENDA",Report!$C$10:$C$604,A836)</f>
        <v>0</v>
      </c>
      <c r="F836" s="26" t="n">
        <f aca="false">B836+C836</f>
        <v>0</v>
      </c>
    </row>
    <row r="837" customFormat="false" ht="15" hidden="false" customHeight="true" outlineLevel="0" collapsed="false">
      <c r="A837" s="32" t="s">
        <v>774</v>
      </c>
      <c r="B837" s="33" t="n">
        <f aca="false">SUM(B833:B836)</f>
        <v>0</v>
      </c>
      <c r="C837" s="33" t="n">
        <f aca="false">SUM(C833:C836)</f>
        <v>0</v>
      </c>
      <c r="F837" s="33" t="n">
        <f aca="false">B837+C837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4" min="2" style="1" width="20"/>
  </cols>
  <sheetData>
    <row r="1" customFormat="false" ht="15" hidden="false" customHeight="true" outlineLevel="0" collapsed="false">
      <c r="A1" s="23" t="s">
        <v>775</v>
      </c>
      <c r="B1" s="23" t="s">
        <v>667</v>
      </c>
      <c r="C1" s="23" t="s">
        <v>668</v>
      </c>
      <c r="D1" s="23" t="s">
        <v>776</v>
      </c>
    </row>
    <row r="2" customFormat="false" ht="15" hidden="false" customHeight="true" outlineLevel="0" collapsed="false">
      <c r="A2" s="25" t="s">
        <v>777</v>
      </c>
      <c r="B2" s="26" t="n">
        <f aca="false">SUMIFS(Report!$U$10:$U$604,Report!$T$10:$T$604,"&lt;&gt;"&amp;"MERCADORIAS P/REVENDA",Report!$C$10:$C$604,"&gt;="&amp;DATE(2026,1,1),Report!$C$10:$C$604,"&lt;="&amp;DATE(2026,1,31))</f>
        <v>0</v>
      </c>
      <c r="C2" s="26" t="n">
        <f aca="false">SUMIFS(Report!$U$10:$U$604,Report!$T$10:$T$604,"MERCADORIAS P/REVENDA",Report!$C$10:$C$604,"&gt;="&amp;DATE(2026,1,1),Report!$C$10:$C$604,"&lt;="&amp;DATE(2026,1,31))</f>
        <v>0</v>
      </c>
      <c r="D2" s="26" t="n">
        <f aca="false">B2+C2</f>
        <v>0</v>
      </c>
    </row>
    <row r="3" customFormat="false" ht="15" hidden="false" customHeight="true" outlineLevel="0" collapsed="false">
      <c r="A3" s="25" t="s">
        <v>778</v>
      </c>
      <c r="B3" s="26" t="n">
        <f aca="false">SUMIFS(Report!$U$10:$U$604,Report!$T$10:$T$604,"&lt;&gt;"&amp;"MERCADORIAS P/REVENDA",Report!$C$10:$C$604,"&gt;="&amp;DATE(2026,2,1),Report!$C$10:$C$604,"&lt;="&amp;DATE(2026,2,28))</f>
        <v>0</v>
      </c>
      <c r="C3" s="26" t="n">
        <f aca="false">SUMIFS(Report!$U$10:$U$604,Report!$T$10:$T$604,"MERCADORIAS P/REVENDA",Report!$C$10:$C$604,"&gt;="&amp;DATE(2026,2,1),Report!$C$10:$C$604,"&lt;="&amp;DATE(2026,2,28))</f>
        <v>0</v>
      </c>
      <c r="D3" s="26" t="n">
        <f aca="false">B3+C3</f>
        <v>0</v>
      </c>
    </row>
    <row r="4" customFormat="false" ht="15" hidden="false" customHeight="true" outlineLevel="0" collapsed="false">
      <c r="A4" s="25" t="s">
        <v>779</v>
      </c>
      <c r="B4" s="26" t="n">
        <f aca="false">SUMIFS(Report!$U$10:$U$604,Report!$T$10:$T$604,"&lt;&gt;"&amp;"MERCADORIAS P/REVENDA",Report!$C$10:$C$604,"&gt;="&amp;DATE(2026,3,1),Report!$C$10:$C$604,"&lt;="&amp;DATE(2026,3,31))</f>
        <v>0</v>
      </c>
      <c r="C4" s="26" t="n">
        <f aca="false">SUMIFS(Report!$U$10:$U$604,Report!$T$10:$T$604,"MERCADORIAS P/REVENDA",Report!$C$10:$C$604,"&gt;="&amp;DATE(2026,3,1),Report!$C$10:$C$604,"&lt;="&amp;DATE(2026,3,31))</f>
        <v>0</v>
      </c>
      <c r="D4" s="26" t="n">
        <f aca="false">B4+C4</f>
        <v>0</v>
      </c>
    </row>
    <row r="5" customFormat="false" ht="15" hidden="false" customHeight="true" outlineLevel="0" collapsed="false">
      <c r="A5" s="25" t="s">
        <v>780</v>
      </c>
      <c r="B5" s="26" t="n">
        <f aca="false">SUMIFS(Report!$U$10:$U$604,Report!$T$10:$T$604,"&lt;&gt;"&amp;"MERCADORIAS P/REVENDA",Report!$C$10:$C$604,"&gt;="&amp;DATE(2026,4,1),Report!$C$10:$C$604,"&lt;="&amp;DATE(2026,4,30))</f>
        <v>0</v>
      </c>
      <c r="C5" s="26" t="n">
        <f aca="false">SUMIFS(Report!$U$10:$U$604,Report!$T$10:$T$604,"MERCADORIAS P/REVENDA",Report!$C$10:$C$604,"&gt;="&amp;DATE(2026,4,1),Report!$C$10:$C$604,"&lt;="&amp;DATE(2026,4,30))</f>
        <v>0</v>
      </c>
      <c r="D5" s="26" t="n">
        <f aca="false">B5+C5</f>
        <v>0</v>
      </c>
    </row>
    <row r="6" customFormat="false" ht="15" hidden="false" customHeight="true" outlineLevel="0" collapsed="false">
      <c r="A6" s="25" t="s">
        <v>781</v>
      </c>
      <c r="B6" s="26" t="n">
        <f aca="false">SUMIFS(Report!$U$10:$U$604,Report!$T$10:$T$604,"&lt;&gt;"&amp;"MERCADORIAS P/REVENDA",Report!$C$10:$C$604,"&gt;="&amp;DATE(2026,5,1),Report!$C$10:$C$604,"&lt;="&amp;DATE(2026,5,31))</f>
        <v>0</v>
      </c>
      <c r="C6" s="26" t="n">
        <f aca="false">SUMIFS(Report!$U$10:$U$604,Report!$T$10:$T$604,"MERCADORIAS P/REVENDA",Report!$C$10:$C$604,"&gt;="&amp;DATE(2026,5,1),Report!$C$10:$C$604,"&lt;="&amp;DATE(2026,5,31))</f>
        <v>0</v>
      </c>
      <c r="D6" s="26" t="n">
        <f aca="false">B6+C6</f>
        <v>0</v>
      </c>
    </row>
    <row r="7" customFormat="false" ht="15" hidden="false" customHeight="true" outlineLevel="0" collapsed="false">
      <c r="A7" s="25" t="s">
        <v>782</v>
      </c>
      <c r="B7" s="26" t="n">
        <f aca="false">SUMIFS(Report!$U$10:$U$604,Report!$T$10:$T$604,"&lt;&gt;"&amp;"MERCADORIAS P/REVENDA",Report!$C$10:$C$604,"&gt;="&amp;DATE(2026,6,1),Report!$C$10:$C$604,"&lt;="&amp;DATE(2026,6,30))</f>
        <v>0</v>
      </c>
      <c r="C7" s="26" t="n">
        <f aca="false">SUMIFS(Report!$U$10:$U$604,Report!$T$10:$T$604,"MERCADORIAS P/REVENDA",Report!$C$10:$C$604,"&gt;="&amp;DATE(2026,6,1),Report!$C$10:$C$604,"&lt;="&amp;DATE(2026,6,30))</f>
        <v>0</v>
      </c>
      <c r="D7" s="26" t="n">
        <f aca="false">B7+C7</f>
        <v>0</v>
      </c>
    </row>
    <row r="8" customFormat="false" ht="15" hidden="false" customHeight="true" outlineLevel="0" collapsed="false">
      <c r="A8" s="25" t="s">
        <v>783</v>
      </c>
      <c r="B8" s="26" t="n">
        <f aca="false">SUMIFS(Report!$U$10:$U$604,Report!$T$10:$T$604,"&lt;&gt;"&amp;"MERCADORIAS P/REVENDA",Report!$C$10:$C$604,"&gt;="&amp;DATE(2026,7,1),Report!$C$10:$C$604,"&lt;="&amp;DATE(2026,7,31))</f>
        <v>79229.26</v>
      </c>
      <c r="C8" s="26" t="n">
        <f aca="false">SUMIFS(Report!$U$10:$U$604,Report!$T$10:$T$604,"MERCADORIAS P/REVENDA",Report!$C$10:$C$604,"&gt;="&amp;DATE(2026,7,1),Report!$C$10:$C$604,"&lt;="&amp;DATE(2026,7,31))</f>
        <v>294951.22</v>
      </c>
      <c r="D8" s="26" t="n">
        <f aca="false">B8+C8</f>
        <v>374180.48</v>
      </c>
    </row>
    <row r="9" customFormat="false" ht="15" hidden="false" customHeight="true" outlineLevel="0" collapsed="false">
      <c r="A9" s="25" t="s">
        <v>784</v>
      </c>
      <c r="B9" s="26" t="n">
        <f aca="false">SUMIFS(Report!$U$10:$U$604,Report!$T$10:$T$604,"&lt;&gt;"&amp;"MERCADORIAS P/REVENDA",Report!$C$10:$C$604,"&gt;="&amp;DATE(2026,8,1),Report!$C$10:$C$604,"&lt;="&amp;DATE(2026,8,31))</f>
        <v>23585</v>
      </c>
      <c r="C9" s="26" t="n">
        <f aca="false">SUMIFS(Report!$U$10:$U$604,Report!$T$10:$T$604,"MERCADORIAS P/REVENDA",Report!$C$10:$C$604,"&gt;="&amp;DATE(2026,8,1),Report!$C$10:$C$604,"&lt;="&amp;DATE(2026,8,31))</f>
        <v>94242.68</v>
      </c>
      <c r="D9" s="26" t="n">
        <f aca="false">B9+C9</f>
        <v>117827.68</v>
      </c>
    </row>
    <row r="10" customFormat="false" ht="15" hidden="false" customHeight="true" outlineLevel="0" collapsed="false">
      <c r="A10" s="25" t="s">
        <v>785</v>
      </c>
      <c r="B10" s="26" t="n">
        <f aca="false">SUMIFS(Report!$U$10:$U$604,Report!$T$10:$T$604,"&lt;&gt;"&amp;"MERCADORIAS P/REVENDA",Report!$C$10:$C$604,"&gt;="&amp;DATE(2026,9,1),Report!$C$10:$C$604,"&lt;="&amp;DATE(2026,9,30))</f>
        <v>16864.02</v>
      </c>
      <c r="C10" s="26" t="n">
        <f aca="false">SUMIFS(Report!$U$10:$U$604,Report!$T$10:$T$604,"MERCADORIAS P/REVENDA",Report!$C$10:$C$604,"&gt;="&amp;DATE(2026,9,1),Report!$C$10:$C$604,"&lt;="&amp;DATE(2026,9,30))</f>
        <v>5012.84</v>
      </c>
      <c r="D10" s="26" t="n">
        <f aca="false">B10+C10</f>
        <v>21876.86</v>
      </c>
    </row>
    <row r="11" customFormat="false" ht="15" hidden="false" customHeight="true" outlineLevel="0" collapsed="false">
      <c r="A11" s="25" t="s">
        <v>786</v>
      </c>
      <c r="B11" s="26" t="n">
        <f aca="false">SUMIFS(Report!$U$10:$U$604,Report!$T$10:$T$604,"&lt;&gt;"&amp;"MERCADORIAS P/REVENDA",Report!$C$10:$C$604,"&gt;="&amp;DATE(2026,10,1),Report!$C$10:$C$604,"&lt;="&amp;DATE(2026,10,31))</f>
        <v>0</v>
      </c>
      <c r="C11" s="26" t="n">
        <f aca="false">SUMIFS(Report!$U$10:$U$604,Report!$T$10:$T$604,"MERCADORIAS P/REVENDA",Report!$C$10:$C$604,"&gt;="&amp;DATE(2026,10,1),Report!$C$10:$C$604,"&lt;="&amp;DATE(2026,10,31))</f>
        <v>0</v>
      </c>
      <c r="D11" s="26" t="n">
        <f aca="false">B11+C11</f>
        <v>0</v>
      </c>
    </row>
    <row r="12" customFormat="false" ht="15" hidden="false" customHeight="true" outlineLevel="0" collapsed="false">
      <c r="A12" s="25" t="s">
        <v>787</v>
      </c>
      <c r="B12" s="26" t="n">
        <f aca="false">SUMIFS(Report!$U$10:$U$604,Report!$T$10:$T$604,"&lt;&gt;"&amp;"MERCADORIAS P/REVENDA",Report!$C$10:$C$604,"&gt;="&amp;DATE(2026,11,1),Report!$C$10:$C$604,"&lt;="&amp;DATE(2026,11,30))</f>
        <v>0</v>
      </c>
      <c r="C12" s="26" t="n">
        <f aca="false">SUMIFS(Report!$U$10:$U$604,Report!$T$10:$T$604,"MERCADORIAS P/REVENDA",Report!$C$10:$C$604,"&gt;="&amp;DATE(2026,11,1),Report!$C$10:$C$604,"&lt;="&amp;DATE(2026,11,30))</f>
        <v>0</v>
      </c>
      <c r="D12" s="26" t="n">
        <f aca="false">B12+C12</f>
        <v>0</v>
      </c>
    </row>
    <row r="13" customFormat="false" ht="15" hidden="false" customHeight="true" outlineLevel="0" collapsed="false">
      <c r="A13" s="25" t="s">
        <v>788</v>
      </c>
      <c r="B13" s="26" t="n">
        <f aca="false">SUMIFS(Report!$U$10:$U$604,Report!$T$10:$T$604,"&lt;&gt;"&amp;"MERCADORIAS P/REVENDA",Report!$C$10:$C$604,"&gt;="&amp;DATE(2026,12,1),Report!$C$10:$C$604,"&lt;="&amp;DATE(2026,12,31))</f>
        <v>0</v>
      </c>
      <c r="C13" s="26" t="n">
        <f aca="false">SUMIFS(Report!$U$10:$U$604,Report!$T$10:$T$604,"MERCADORIAS P/REVENDA",Report!$C$10:$C$604,"&gt;="&amp;DATE(2026,12,1),Report!$C$10:$C$604,"&lt;="&amp;DATE(2026,12,31))</f>
        <v>0</v>
      </c>
      <c r="D13" s="26" t="n">
        <f aca="false">B13+C13</f>
        <v>0</v>
      </c>
    </row>
    <row r="14" customFormat="false" ht="15" hidden="false" customHeight="true" outlineLevel="0" collapsed="false">
      <c r="A14" s="25" t="s">
        <v>789</v>
      </c>
      <c r="B14" s="26" t="n">
        <f aca="false">SUMIFS(Report!$U$10:$U$604,Report!$T$10:$T$604,"&lt;&gt;"&amp;"MERCADORIAS P/REVENDA",Report!$C$10:$C$604,"&gt;="&amp;DATE(2027,1,1),Report!$C$10:$C$604,"&lt;="&amp;DATE(2027,1,31))</f>
        <v>0</v>
      </c>
      <c r="C14" s="26" t="n">
        <f aca="false">SUMIFS(Report!$U$10:$U$604,Report!$T$10:$T$604,"MERCADORIAS P/REVENDA",Report!$C$10:$C$604,"&gt;="&amp;DATE(2027,1,1),Report!$C$10:$C$604,"&lt;="&amp;DATE(2027,1,31))</f>
        <v>0</v>
      </c>
      <c r="D14" s="26" t="n">
        <f aca="false">B14+C14</f>
        <v>0</v>
      </c>
    </row>
    <row r="15" customFormat="false" ht="15" hidden="false" customHeight="true" outlineLevel="0" collapsed="false">
      <c r="A15" s="25" t="s">
        <v>790</v>
      </c>
      <c r="B15" s="26" t="n">
        <f aca="false">SUMIFS(Report!$U$10:$U$604,Report!$T$10:$T$604,"&lt;&gt;"&amp;"MERCADORIAS P/REVENDA",Report!$C$10:$C$604,"&gt;="&amp;DATE(2027,2,1),Report!$C$10:$C$604,"&lt;="&amp;DATE(2027,2,28))</f>
        <v>0</v>
      </c>
      <c r="C15" s="26" t="n">
        <f aca="false">SUMIFS(Report!$U$10:$U$604,Report!$T$10:$T$604,"MERCADORIAS P/REVENDA",Report!$C$10:$C$604,"&gt;="&amp;DATE(2027,2,1),Report!$C$10:$C$604,"&lt;="&amp;DATE(2027,2,28))</f>
        <v>0</v>
      </c>
      <c r="D15" s="26" t="n">
        <f aca="false">B15+C15</f>
        <v>0</v>
      </c>
    </row>
    <row r="16" customFormat="false" ht="15" hidden="false" customHeight="true" outlineLevel="0" collapsed="false">
      <c r="A16" s="25" t="s">
        <v>791</v>
      </c>
      <c r="B16" s="26" t="n">
        <f aca="false">SUMIFS(Report!$U$10:$U$604,Report!$T$10:$T$604,"&lt;&gt;"&amp;"MERCADORIAS P/REVENDA",Report!$C$10:$C$604,"&gt;="&amp;DATE(2027,3,1),Report!$C$10:$C$604,"&lt;="&amp;DATE(2027,3,31))</f>
        <v>0</v>
      </c>
      <c r="C16" s="26" t="n">
        <f aca="false">SUMIFS(Report!$U$10:$U$604,Report!$T$10:$T$604,"MERCADORIAS P/REVENDA",Report!$C$10:$C$604,"&gt;="&amp;DATE(2027,3,1),Report!$C$10:$C$604,"&lt;="&amp;DATE(2027,3,31))</f>
        <v>0</v>
      </c>
      <c r="D16" s="26" t="n">
        <f aca="false">B16+C16</f>
        <v>0</v>
      </c>
    </row>
    <row r="17" customFormat="false" ht="15" hidden="false" customHeight="true" outlineLevel="0" collapsed="false">
      <c r="A17" s="25" t="s">
        <v>792</v>
      </c>
      <c r="B17" s="26" t="n">
        <f aca="false">SUMIFS(Report!$U$10:$U$604,Report!$T$10:$T$604,"&lt;&gt;"&amp;"MERCADORIAS P/REVENDA",Report!$C$10:$C$604,"&gt;="&amp;DATE(2027,4,1),Report!$C$10:$C$604,"&lt;="&amp;DATE(2027,4,30))</f>
        <v>0</v>
      </c>
      <c r="C17" s="26" t="n">
        <f aca="false">SUMIFS(Report!$U$10:$U$604,Report!$T$10:$T$604,"MERCADORIAS P/REVENDA",Report!$C$10:$C$604,"&gt;="&amp;DATE(2027,4,1),Report!$C$10:$C$604,"&lt;="&amp;DATE(2027,4,30))</f>
        <v>0</v>
      </c>
      <c r="D17" s="26" t="n">
        <f aca="false">B17+C17</f>
        <v>0</v>
      </c>
    </row>
    <row r="18" customFormat="false" ht="15" hidden="false" customHeight="true" outlineLevel="0" collapsed="false">
      <c r="A18" s="25" t="s">
        <v>793</v>
      </c>
      <c r="B18" s="26" t="n">
        <f aca="false">SUMIFS(Report!$U$10:$U$604,Report!$T$10:$T$604,"&lt;&gt;"&amp;"MERCADORIAS P/REVENDA",Report!$C$10:$C$604,"&gt;="&amp;DATE(2027,5,1),Report!$C$10:$C$604,"&lt;="&amp;DATE(2027,5,31))</f>
        <v>0</v>
      </c>
      <c r="C18" s="26" t="n">
        <f aca="false">SUMIFS(Report!$U$10:$U$604,Report!$T$10:$T$604,"MERCADORIAS P/REVENDA",Report!$C$10:$C$604,"&gt;="&amp;DATE(2027,5,1),Report!$C$10:$C$604,"&lt;="&amp;DATE(2027,5,31))</f>
        <v>0</v>
      </c>
      <c r="D18" s="26" t="n">
        <f aca="false">B18+C18</f>
        <v>0</v>
      </c>
    </row>
    <row r="19" customFormat="false" ht="15" hidden="false" customHeight="true" outlineLevel="0" collapsed="false">
      <c r="A19" s="25" t="s">
        <v>794</v>
      </c>
      <c r="B19" s="26" t="n">
        <f aca="false">SUMIFS(Report!$U$10:$U$604,Report!$T$10:$T$604,"&lt;&gt;"&amp;"MERCADORIAS P/REVENDA",Report!$C$10:$C$604,"&gt;="&amp;DATE(2027,6,1),Report!$C$10:$C$604,"&lt;="&amp;DATE(2027,6,30))</f>
        <v>0</v>
      </c>
      <c r="C19" s="26" t="n">
        <f aca="false">SUMIFS(Report!$U$10:$U$604,Report!$T$10:$T$604,"MERCADORIAS P/REVENDA",Report!$C$10:$C$604,"&gt;="&amp;DATE(2027,6,1),Report!$C$10:$C$604,"&lt;="&amp;DATE(2027,6,30))</f>
        <v>0</v>
      </c>
      <c r="D19" s="26" t="n">
        <f aca="false">B19+C19</f>
        <v>0</v>
      </c>
    </row>
    <row r="20" customFormat="false" ht="15" hidden="false" customHeight="true" outlineLevel="0" collapsed="false">
      <c r="A20" s="25" t="s">
        <v>795</v>
      </c>
      <c r="B20" s="26" t="n">
        <f aca="false">SUMIFS(Report!$U$10:$U$604,Report!$T$10:$T$604,"&lt;&gt;"&amp;"MERCADORIAS P/REVENDA",Report!$C$10:$C$604,"&gt;="&amp;DATE(2027,7,1),Report!$C$10:$C$604,"&lt;="&amp;DATE(2027,7,31))</f>
        <v>0</v>
      </c>
      <c r="C20" s="26" t="n">
        <f aca="false">SUMIFS(Report!$U$10:$U$604,Report!$T$10:$T$604,"MERCADORIAS P/REVENDA",Report!$C$10:$C$604,"&gt;="&amp;DATE(2027,7,1),Report!$C$10:$C$604,"&lt;="&amp;DATE(2027,7,31))</f>
        <v>0</v>
      </c>
      <c r="D20" s="26" t="n">
        <f aca="false">B20+C20</f>
        <v>0</v>
      </c>
    </row>
    <row r="21" customFormat="false" ht="15" hidden="false" customHeight="true" outlineLevel="0" collapsed="false">
      <c r="A21" s="25" t="s">
        <v>796</v>
      </c>
      <c r="B21" s="26" t="n">
        <f aca="false">SUMIFS(Report!$U$10:$U$604,Report!$T$10:$T$604,"&lt;&gt;"&amp;"MERCADORIAS P/REVENDA",Report!$C$10:$C$604,"&gt;="&amp;DATE(2027,8,1),Report!$C$10:$C$604,"&lt;="&amp;DATE(2027,8,31))</f>
        <v>0</v>
      </c>
      <c r="C21" s="26" t="n">
        <f aca="false">SUMIFS(Report!$U$10:$U$604,Report!$T$10:$T$604,"MERCADORIAS P/REVENDA",Report!$C$10:$C$604,"&gt;="&amp;DATE(2027,8,1),Report!$C$10:$C$604,"&lt;="&amp;DATE(2027,8,31))</f>
        <v>0</v>
      </c>
      <c r="D21" s="26" t="n">
        <f aca="false">B21+C21</f>
        <v>0</v>
      </c>
    </row>
    <row r="22" customFormat="false" ht="15" hidden="false" customHeight="true" outlineLevel="0" collapsed="false">
      <c r="A22" s="25" t="s">
        <v>797</v>
      </c>
      <c r="B22" s="26" t="n">
        <f aca="false">SUMIFS(Report!$U$10:$U$604,Report!$T$10:$T$604,"&lt;&gt;"&amp;"MERCADORIAS P/REVENDA",Report!$C$10:$C$604,"&gt;="&amp;DATE(2027,9,1),Report!$C$10:$C$604,"&lt;="&amp;DATE(2027,9,30))</f>
        <v>0</v>
      </c>
      <c r="C22" s="26" t="n">
        <f aca="false">SUMIFS(Report!$U$10:$U$604,Report!$T$10:$T$604,"MERCADORIAS P/REVENDA",Report!$C$10:$C$604,"&gt;="&amp;DATE(2027,9,1),Report!$C$10:$C$604,"&lt;="&amp;DATE(2027,9,30))</f>
        <v>0</v>
      </c>
      <c r="D22" s="26" t="n">
        <f aca="false">B22+C22</f>
        <v>0</v>
      </c>
    </row>
    <row r="23" customFormat="false" ht="15" hidden="false" customHeight="true" outlineLevel="0" collapsed="false">
      <c r="A23" s="25" t="s">
        <v>798</v>
      </c>
      <c r="B23" s="26" t="n">
        <f aca="false">SUMIFS(Report!$U$10:$U$604,Report!$T$10:$T$604,"&lt;&gt;"&amp;"MERCADORIAS P/REVENDA",Report!$C$10:$C$604,"&gt;="&amp;DATE(2027,10,1),Report!$C$10:$C$604,"&lt;="&amp;DATE(2027,10,31))</f>
        <v>0</v>
      </c>
      <c r="C23" s="26" t="n">
        <f aca="false">SUMIFS(Report!$U$10:$U$604,Report!$T$10:$T$604,"MERCADORIAS P/REVENDA",Report!$C$10:$C$604,"&gt;="&amp;DATE(2027,10,1),Report!$C$10:$C$604,"&lt;="&amp;DATE(2027,10,31))</f>
        <v>0</v>
      </c>
      <c r="D23" s="26" t="n">
        <f aca="false">B23+C23</f>
        <v>0</v>
      </c>
    </row>
    <row r="24" customFormat="false" ht="15" hidden="false" customHeight="true" outlineLevel="0" collapsed="false">
      <c r="A24" s="25" t="s">
        <v>799</v>
      </c>
      <c r="B24" s="26" t="n">
        <f aca="false">SUMIFS(Report!$U$10:$U$604,Report!$T$10:$T$604,"&lt;&gt;"&amp;"MERCADORIAS P/REVENDA",Report!$C$10:$C$604,"&gt;="&amp;DATE(2027,11,1),Report!$C$10:$C$604,"&lt;="&amp;DATE(2027,11,30))</f>
        <v>0</v>
      </c>
      <c r="C24" s="26" t="n">
        <f aca="false">SUMIFS(Report!$U$10:$U$604,Report!$T$10:$T$604,"MERCADORIAS P/REVENDA",Report!$C$10:$C$604,"&gt;="&amp;DATE(2027,11,1),Report!$C$10:$C$604,"&lt;="&amp;DATE(2027,11,30))</f>
        <v>0</v>
      </c>
      <c r="D24" s="26" t="n">
        <f aca="false">B24+C24</f>
        <v>0</v>
      </c>
    </row>
    <row r="25" customFormat="false" ht="15" hidden="false" customHeight="true" outlineLevel="0" collapsed="false">
      <c r="A25" s="25" t="s">
        <v>800</v>
      </c>
      <c r="B25" s="26" t="n">
        <f aca="false">SUMIFS(Report!$U$10:$U$604,Report!$T$10:$T$604,"&lt;&gt;"&amp;"MERCADORIAS P/REVENDA",Report!$C$10:$C$604,"&gt;="&amp;DATE(2027,12,1),Report!$C$10:$C$604,"&lt;="&amp;DATE(2027,12,31))</f>
        <v>0</v>
      </c>
      <c r="C25" s="26" t="n">
        <f aca="false">SUMIFS(Report!$U$10:$U$604,Report!$T$10:$T$604,"MERCADORIAS P/REVENDA",Report!$C$10:$C$604,"&gt;="&amp;DATE(2027,12,1),Report!$C$10:$C$604,"&lt;="&amp;DATE(2027,12,31))</f>
        <v>0</v>
      </c>
      <c r="D25" s="26" t="n">
        <f aca="false">B25+C25</f>
        <v>0</v>
      </c>
    </row>
    <row r="26" customFormat="false" ht="15" hidden="false" customHeight="true" outlineLevel="0" collapsed="false">
      <c r="A26" s="27" t="s">
        <v>801</v>
      </c>
      <c r="B26" s="28" t="n">
        <f aca="false">SUM(B2:B25)</f>
        <v>119678.28</v>
      </c>
      <c r="C26" s="28" t="n">
        <f aca="false">SUM(C2:C25)</f>
        <v>394206.74</v>
      </c>
      <c r="D26" s="28" t="n">
        <f aca="false">SUM(D2:D25)</f>
        <v>513885.02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27" min="3" style="1" width="14"/>
  </cols>
  <sheetData>
    <row r="1" customFormat="false" ht="15" hidden="false" customHeight="true" outlineLevel="0" collapsed="false">
      <c r="A1" s="34" t="s">
        <v>802</v>
      </c>
      <c r="B1" s="34" t="s">
        <v>803</v>
      </c>
      <c r="C1" s="23" t="s">
        <v>777</v>
      </c>
      <c r="D1" s="23" t="s">
        <v>778</v>
      </c>
      <c r="E1" s="23" t="s">
        <v>779</v>
      </c>
      <c r="F1" s="23" t="s">
        <v>780</v>
      </c>
      <c r="G1" s="23" t="s">
        <v>781</v>
      </c>
      <c r="H1" s="23" t="s">
        <v>782</v>
      </c>
      <c r="I1" s="23" t="s">
        <v>783</v>
      </c>
      <c r="J1" s="23" t="s">
        <v>784</v>
      </c>
      <c r="K1" s="23" t="s">
        <v>785</v>
      </c>
      <c r="L1" s="23" t="s">
        <v>786</v>
      </c>
      <c r="M1" s="23" t="s">
        <v>787</v>
      </c>
      <c r="N1" s="23" t="s">
        <v>788</v>
      </c>
      <c r="O1" s="23" t="s">
        <v>789</v>
      </c>
      <c r="P1" s="23" t="s">
        <v>790</v>
      </c>
      <c r="Q1" s="23" t="s">
        <v>791</v>
      </c>
      <c r="R1" s="23" t="s">
        <v>792</v>
      </c>
      <c r="S1" s="23" t="s">
        <v>793</v>
      </c>
      <c r="T1" s="23" t="s">
        <v>794</v>
      </c>
      <c r="U1" s="23" t="s">
        <v>795</v>
      </c>
      <c r="V1" s="23" t="s">
        <v>796</v>
      </c>
      <c r="W1" s="23" t="s">
        <v>797</v>
      </c>
      <c r="X1" s="23" t="s">
        <v>798</v>
      </c>
      <c r="Y1" s="23" t="s">
        <v>799</v>
      </c>
      <c r="Z1" s="23" t="s">
        <v>800</v>
      </c>
      <c r="AA1" s="34" t="s">
        <v>776</v>
      </c>
    </row>
    <row r="2" customFormat="false" ht="15" hidden="false" customHeight="true" outlineLevel="0" collapsed="false">
      <c r="A2" s="25" t="s">
        <v>89</v>
      </c>
      <c r="B2" s="25" t="str">
        <f aca="false">IFERROR(INDEX('Resumo Grupos'!$AC$3:$AC$38,MATCH($A2,'Resumo Grupos'!$AB$3:$AB$38,0)),"n/d")</f>
        <v>Despesa</v>
      </c>
      <c r="C2" s="26" t="n">
        <f aca="false">SUMIFS(Report!$U$10:$U$604,Report!$T$10:$T$604,$A2,Report!$C$10:$C$604,"&gt;="&amp;DATE(2026,1,1),Report!$C$10:$C$604,"&lt;="&amp;DATE(2026,1,31))</f>
        <v>0</v>
      </c>
      <c r="D2" s="26" t="n">
        <f aca="false">SUMIFS(Report!$U$10:$U$604,Report!$T$10:$T$604,$A2,Report!$C$10:$C$604,"&gt;="&amp;DATE(2026,2,1),Report!$C$10:$C$604,"&lt;="&amp;DATE(2026,2,28))</f>
        <v>0</v>
      </c>
      <c r="E2" s="26" t="n">
        <f aca="false">SUMIFS(Report!$U$10:$U$604,Report!$T$10:$T$604,$A2,Report!$C$10:$C$604,"&gt;="&amp;DATE(2026,3,1),Report!$C$10:$C$604,"&lt;="&amp;DATE(2026,3,31))</f>
        <v>0</v>
      </c>
      <c r="F2" s="26" t="n">
        <f aca="false">SUMIFS(Report!$U$10:$U$604,Report!$T$10:$T$604,$A2,Report!$C$10:$C$604,"&gt;="&amp;DATE(2026,4,1),Report!$C$10:$C$604,"&lt;="&amp;DATE(2026,4,30))</f>
        <v>0</v>
      </c>
      <c r="G2" s="26" t="n">
        <f aca="false">SUMIFS(Report!$U$10:$U$604,Report!$T$10:$T$604,$A2,Report!$C$10:$C$604,"&gt;="&amp;DATE(2026,5,1),Report!$C$10:$C$604,"&lt;="&amp;DATE(2026,5,31))</f>
        <v>0</v>
      </c>
      <c r="H2" s="26" t="n">
        <f aca="false">SUMIFS(Report!$U$10:$U$604,Report!$T$10:$T$604,$A2,Report!$C$10:$C$604,"&gt;="&amp;DATE(2026,6,1),Report!$C$10:$C$604,"&lt;="&amp;DATE(2026,6,30))</f>
        <v>0</v>
      </c>
      <c r="I2" s="26" t="n">
        <f aca="false">SUMIFS(Report!$U$10:$U$604,Report!$T$10:$T$604,$A2,Report!$C$10:$C$604,"&gt;="&amp;DATE(2026,7,1),Report!$C$10:$C$604,"&lt;="&amp;DATE(2026,7,31))</f>
        <v>5700</v>
      </c>
      <c r="J2" s="26" t="n">
        <f aca="false">SUMIFS(Report!$U$10:$U$604,Report!$T$10:$T$604,$A2,Report!$C$10:$C$604,"&gt;="&amp;DATE(2026,8,1),Report!$C$10:$C$604,"&lt;="&amp;DATE(2026,8,31))</f>
        <v>5700</v>
      </c>
      <c r="K2" s="26" t="n">
        <f aca="false">SUMIFS(Report!$U$10:$U$604,Report!$T$10:$T$604,$A2,Report!$C$10:$C$604,"&gt;="&amp;DATE(2026,9,1),Report!$C$10:$C$604,"&lt;="&amp;DATE(2026,9,30))</f>
        <v>5700</v>
      </c>
      <c r="L2" s="26" t="n">
        <f aca="false">SUMIFS(Report!$U$10:$U$604,Report!$T$10:$T$604,$A2,Report!$C$10:$C$604,"&gt;="&amp;DATE(2026,10,1),Report!$C$10:$C$604,"&lt;="&amp;DATE(2026,10,31))</f>
        <v>0</v>
      </c>
      <c r="M2" s="26" t="n">
        <f aca="false">SUMIFS(Report!$U$10:$U$604,Report!$T$10:$T$604,$A2,Report!$C$10:$C$604,"&gt;="&amp;DATE(2026,11,1),Report!$C$10:$C$604,"&lt;="&amp;DATE(2026,11,30))</f>
        <v>0</v>
      </c>
      <c r="N2" s="26" t="n">
        <f aca="false">SUMIFS(Report!$U$10:$U$604,Report!$T$10:$T$604,$A2,Report!$C$10:$C$604,"&gt;="&amp;DATE(2026,12,1),Report!$C$10:$C$604,"&lt;="&amp;DATE(2026,12,31))</f>
        <v>0</v>
      </c>
      <c r="O2" s="26" t="n">
        <f aca="false">SUMIFS(Report!$U$10:$U$604,Report!$T$10:$T$604,$A2,Report!$C$10:$C$604,"&gt;="&amp;DATE(2027,1,1),Report!$C$10:$C$604,"&lt;="&amp;DATE(2027,1,31))</f>
        <v>0</v>
      </c>
      <c r="P2" s="26" t="n">
        <f aca="false">SUMIFS(Report!$U$10:$U$604,Report!$T$10:$T$604,$A2,Report!$C$10:$C$604,"&gt;="&amp;DATE(2027,2,1),Report!$C$10:$C$604,"&lt;="&amp;DATE(2027,2,28))</f>
        <v>0</v>
      </c>
      <c r="Q2" s="26" t="n">
        <f aca="false">SUMIFS(Report!$U$10:$U$604,Report!$T$10:$T$604,$A2,Report!$C$10:$C$604,"&gt;="&amp;DATE(2027,3,1),Report!$C$10:$C$604,"&lt;="&amp;DATE(2027,3,31))</f>
        <v>0</v>
      </c>
      <c r="R2" s="26" t="n">
        <f aca="false">SUMIFS(Report!$U$10:$U$604,Report!$T$10:$T$604,$A2,Report!$C$10:$C$604,"&gt;="&amp;DATE(2027,4,1),Report!$C$10:$C$604,"&lt;="&amp;DATE(2027,4,30))</f>
        <v>0</v>
      </c>
      <c r="S2" s="26" t="n">
        <f aca="false">SUMIFS(Report!$U$10:$U$604,Report!$T$10:$T$604,$A2,Report!$C$10:$C$604,"&gt;="&amp;DATE(2027,5,1),Report!$C$10:$C$604,"&lt;="&amp;DATE(2027,5,31))</f>
        <v>0</v>
      </c>
      <c r="T2" s="26" t="n">
        <f aca="false">SUMIFS(Report!$U$10:$U$604,Report!$T$10:$T$604,$A2,Report!$C$10:$C$604,"&gt;="&amp;DATE(2027,6,1),Report!$C$10:$C$604,"&lt;="&amp;DATE(2027,6,30))</f>
        <v>0</v>
      </c>
      <c r="U2" s="26" t="n">
        <f aca="false">SUMIFS(Report!$U$10:$U$604,Report!$T$10:$T$604,$A2,Report!$C$10:$C$604,"&gt;="&amp;DATE(2027,7,1),Report!$C$10:$C$604,"&lt;="&amp;DATE(2027,7,31))</f>
        <v>0</v>
      </c>
      <c r="V2" s="26" t="n">
        <f aca="false">SUMIFS(Report!$U$10:$U$604,Report!$T$10:$T$604,$A2,Report!$C$10:$C$604,"&gt;="&amp;DATE(2027,8,1),Report!$C$10:$C$604,"&lt;="&amp;DATE(2027,8,31))</f>
        <v>0</v>
      </c>
      <c r="W2" s="26" t="n">
        <f aca="false">SUMIFS(Report!$U$10:$U$604,Report!$T$10:$T$604,$A2,Report!$C$10:$C$604,"&gt;="&amp;DATE(2027,9,1),Report!$C$10:$C$604,"&lt;="&amp;DATE(2027,9,30))</f>
        <v>0</v>
      </c>
      <c r="X2" s="26" t="n">
        <f aca="false">SUMIFS(Report!$U$10:$U$604,Report!$T$10:$T$604,$A2,Report!$C$10:$C$604,"&gt;="&amp;DATE(2027,10,1),Report!$C$10:$C$604,"&lt;="&amp;DATE(2027,10,31))</f>
        <v>0</v>
      </c>
      <c r="Y2" s="26" t="n">
        <f aca="false">SUMIFS(Report!$U$10:$U$604,Report!$T$10:$T$604,$A2,Report!$C$10:$C$604,"&gt;="&amp;DATE(2027,11,1),Report!$C$10:$C$604,"&lt;="&amp;DATE(2027,11,30))</f>
        <v>0</v>
      </c>
      <c r="Z2" s="26" t="n">
        <f aca="false">SUMIFS(Report!$U$10:$U$604,Report!$T$10:$T$604,$A2,Report!$C$10:$C$604,"&gt;="&amp;DATE(2027,12,1),Report!$C$10:$C$604,"&lt;="&amp;DATE(2027,12,31))</f>
        <v>0</v>
      </c>
      <c r="AA2" s="26" t="n">
        <f aca="false">SUM(C2:Z2)</f>
        <v>17100</v>
      </c>
    </row>
    <row r="3" customFormat="false" ht="15" hidden="false" customHeight="true" outlineLevel="0" collapsed="false">
      <c r="A3" s="25" t="s">
        <v>574</v>
      </c>
      <c r="B3" s="25" t="str">
        <f aca="false">IFERROR(INDEX('Resumo Grupos'!$AC$3:$AC$38,MATCH($A3,'Resumo Grupos'!$AB$3:$AB$38,0)),"n/d")</f>
        <v>Salários</v>
      </c>
      <c r="C3" s="26" t="n">
        <f aca="false">SUMIFS(Report!$U$10:$U$604,Report!$T$10:$T$604,$A3,Report!$C$10:$C$604,"&gt;="&amp;DATE(2026,1,1),Report!$C$10:$C$604,"&lt;="&amp;DATE(2026,1,31))</f>
        <v>0</v>
      </c>
      <c r="D3" s="26" t="n">
        <f aca="false">SUMIFS(Report!$U$10:$U$604,Report!$T$10:$T$604,$A3,Report!$C$10:$C$604,"&gt;="&amp;DATE(2026,2,1),Report!$C$10:$C$604,"&lt;="&amp;DATE(2026,2,28))</f>
        <v>0</v>
      </c>
      <c r="E3" s="26" t="n">
        <f aca="false">SUMIFS(Report!$U$10:$U$604,Report!$T$10:$T$604,$A3,Report!$C$10:$C$604,"&gt;="&amp;DATE(2026,3,1),Report!$C$10:$C$604,"&lt;="&amp;DATE(2026,3,31))</f>
        <v>0</v>
      </c>
      <c r="F3" s="26" t="n">
        <f aca="false">SUMIFS(Report!$U$10:$U$604,Report!$T$10:$T$604,$A3,Report!$C$10:$C$604,"&gt;="&amp;DATE(2026,4,1),Report!$C$10:$C$604,"&lt;="&amp;DATE(2026,4,30))</f>
        <v>0</v>
      </c>
      <c r="G3" s="26" t="n">
        <f aca="false">SUMIFS(Report!$U$10:$U$604,Report!$T$10:$T$604,$A3,Report!$C$10:$C$604,"&gt;="&amp;DATE(2026,5,1),Report!$C$10:$C$604,"&lt;="&amp;DATE(2026,5,31))</f>
        <v>0</v>
      </c>
      <c r="H3" s="26" t="n">
        <f aca="false">SUMIFS(Report!$U$10:$U$604,Report!$T$10:$T$604,$A3,Report!$C$10:$C$604,"&gt;="&amp;DATE(2026,6,1),Report!$C$10:$C$604,"&lt;="&amp;DATE(2026,6,30))</f>
        <v>0</v>
      </c>
      <c r="I3" s="26" t="n">
        <f aca="false">SUMIFS(Report!$U$10:$U$604,Report!$T$10:$T$604,$A3,Report!$C$10:$C$604,"&gt;="&amp;DATE(2026,7,1),Report!$C$10:$C$604,"&lt;="&amp;DATE(2026,7,31))</f>
        <v>0</v>
      </c>
      <c r="J3" s="26" t="n">
        <f aca="false">SUMIFS(Report!$U$10:$U$604,Report!$T$10:$T$604,$A3,Report!$C$10:$C$604,"&gt;="&amp;DATE(2026,8,1),Report!$C$10:$C$604,"&lt;="&amp;DATE(2026,8,31))</f>
        <v>55</v>
      </c>
      <c r="K3" s="26" t="n">
        <f aca="false">SUMIFS(Report!$U$10:$U$604,Report!$T$10:$T$604,$A3,Report!$C$10:$C$604,"&gt;="&amp;DATE(2026,9,1),Report!$C$10:$C$604,"&lt;="&amp;DATE(2026,9,30))</f>
        <v>0</v>
      </c>
      <c r="L3" s="26" t="n">
        <f aca="false">SUMIFS(Report!$U$10:$U$604,Report!$T$10:$T$604,$A3,Report!$C$10:$C$604,"&gt;="&amp;DATE(2026,10,1),Report!$C$10:$C$604,"&lt;="&amp;DATE(2026,10,31))</f>
        <v>0</v>
      </c>
      <c r="M3" s="26" t="n">
        <f aca="false">SUMIFS(Report!$U$10:$U$604,Report!$T$10:$T$604,$A3,Report!$C$10:$C$604,"&gt;="&amp;DATE(2026,11,1),Report!$C$10:$C$604,"&lt;="&amp;DATE(2026,11,30))</f>
        <v>0</v>
      </c>
      <c r="N3" s="26" t="n">
        <f aca="false">SUMIFS(Report!$U$10:$U$604,Report!$T$10:$T$604,$A3,Report!$C$10:$C$604,"&gt;="&amp;DATE(2026,12,1),Report!$C$10:$C$604,"&lt;="&amp;DATE(2026,12,31))</f>
        <v>0</v>
      </c>
      <c r="O3" s="26" t="n">
        <f aca="false">SUMIFS(Report!$U$10:$U$604,Report!$T$10:$T$604,$A3,Report!$C$10:$C$604,"&gt;="&amp;DATE(2027,1,1),Report!$C$10:$C$604,"&lt;="&amp;DATE(2027,1,31))</f>
        <v>0</v>
      </c>
      <c r="P3" s="26" t="n">
        <f aca="false">SUMIFS(Report!$U$10:$U$604,Report!$T$10:$T$604,$A3,Report!$C$10:$C$604,"&gt;="&amp;DATE(2027,2,1),Report!$C$10:$C$604,"&lt;="&amp;DATE(2027,2,28))</f>
        <v>0</v>
      </c>
      <c r="Q3" s="26" t="n">
        <f aca="false">SUMIFS(Report!$U$10:$U$604,Report!$T$10:$T$604,$A3,Report!$C$10:$C$604,"&gt;="&amp;DATE(2027,3,1),Report!$C$10:$C$604,"&lt;="&amp;DATE(2027,3,31))</f>
        <v>0</v>
      </c>
      <c r="R3" s="26" t="n">
        <f aca="false">SUMIFS(Report!$U$10:$U$604,Report!$T$10:$T$604,$A3,Report!$C$10:$C$604,"&gt;="&amp;DATE(2027,4,1),Report!$C$10:$C$604,"&lt;="&amp;DATE(2027,4,30))</f>
        <v>0</v>
      </c>
      <c r="S3" s="26" t="n">
        <f aca="false">SUMIFS(Report!$U$10:$U$604,Report!$T$10:$T$604,$A3,Report!$C$10:$C$604,"&gt;="&amp;DATE(2027,5,1),Report!$C$10:$C$604,"&lt;="&amp;DATE(2027,5,31))</f>
        <v>0</v>
      </c>
      <c r="T3" s="26" t="n">
        <f aca="false">SUMIFS(Report!$U$10:$U$604,Report!$T$10:$T$604,$A3,Report!$C$10:$C$604,"&gt;="&amp;DATE(2027,6,1),Report!$C$10:$C$604,"&lt;="&amp;DATE(2027,6,30))</f>
        <v>0</v>
      </c>
      <c r="U3" s="26" t="n">
        <f aca="false">SUMIFS(Report!$U$10:$U$604,Report!$T$10:$T$604,$A3,Report!$C$10:$C$604,"&gt;="&amp;DATE(2027,7,1),Report!$C$10:$C$604,"&lt;="&amp;DATE(2027,7,31))</f>
        <v>0</v>
      </c>
      <c r="V3" s="26" t="n">
        <f aca="false">SUMIFS(Report!$U$10:$U$604,Report!$T$10:$T$604,$A3,Report!$C$10:$C$604,"&gt;="&amp;DATE(2027,8,1),Report!$C$10:$C$604,"&lt;="&amp;DATE(2027,8,31))</f>
        <v>0</v>
      </c>
      <c r="W3" s="26" t="n">
        <f aca="false">SUMIFS(Report!$U$10:$U$604,Report!$T$10:$T$604,$A3,Report!$C$10:$C$604,"&gt;="&amp;DATE(2027,9,1),Report!$C$10:$C$604,"&lt;="&amp;DATE(2027,9,30))</f>
        <v>0</v>
      </c>
      <c r="X3" s="26" t="n">
        <f aca="false">SUMIFS(Report!$U$10:$U$604,Report!$T$10:$T$604,$A3,Report!$C$10:$C$604,"&gt;="&amp;DATE(2027,10,1),Report!$C$10:$C$604,"&lt;="&amp;DATE(2027,10,31))</f>
        <v>0</v>
      </c>
      <c r="Y3" s="26" t="n">
        <f aca="false">SUMIFS(Report!$U$10:$U$604,Report!$T$10:$T$604,$A3,Report!$C$10:$C$604,"&gt;="&amp;DATE(2027,11,1),Report!$C$10:$C$604,"&lt;="&amp;DATE(2027,11,30))</f>
        <v>0</v>
      </c>
      <c r="Z3" s="26" t="n">
        <f aca="false">SUMIFS(Report!$U$10:$U$604,Report!$T$10:$T$604,$A3,Report!$C$10:$C$604,"&gt;="&amp;DATE(2027,12,1),Report!$C$10:$C$604,"&lt;="&amp;DATE(2027,12,31))</f>
        <v>0</v>
      </c>
      <c r="AA3" s="26" t="n">
        <f aca="false">SUM(C3:Z3)</f>
        <v>55</v>
      </c>
    </row>
    <row r="4" customFormat="false" ht="15" hidden="false" customHeight="true" outlineLevel="0" collapsed="false">
      <c r="A4" s="25" t="s">
        <v>610</v>
      </c>
      <c r="B4" s="25" t="str">
        <f aca="false">IFERROR(INDEX('Resumo Grupos'!$AC$3:$AC$38,MATCH($A4,'Resumo Grupos'!$AB$3:$AB$38,0)),"n/d")</f>
        <v>Despesa</v>
      </c>
      <c r="C4" s="26" t="n">
        <f aca="false">SUMIFS(Report!$U$10:$U$604,Report!$T$10:$T$604,$A4,Report!$C$10:$C$604,"&gt;="&amp;DATE(2026,1,1),Report!$C$10:$C$604,"&lt;="&amp;DATE(2026,1,31))</f>
        <v>0</v>
      </c>
      <c r="D4" s="26" t="n">
        <f aca="false">SUMIFS(Report!$U$10:$U$604,Report!$T$10:$T$604,$A4,Report!$C$10:$C$604,"&gt;="&amp;DATE(2026,2,1),Report!$C$10:$C$604,"&lt;="&amp;DATE(2026,2,28))</f>
        <v>0</v>
      </c>
      <c r="E4" s="26" t="n">
        <f aca="false">SUMIFS(Report!$U$10:$U$604,Report!$T$10:$T$604,$A4,Report!$C$10:$C$604,"&gt;="&amp;DATE(2026,3,1),Report!$C$10:$C$604,"&lt;="&amp;DATE(2026,3,31))</f>
        <v>0</v>
      </c>
      <c r="F4" s="26" t="n">
        <f aca="false">SUMIFS(Report!$U$10:$U$604,Report!$T$10:$T$604,$A4,Report!$C$10:$C$604,"&gt;="&amp;DATE(2026,4,1),Report!$C$10:$C$604,"&lt;="&amp;DATE(2026,4,30))</f>
        <v>0</v>
      </c>
      <c r="G4" s="26" t="n">
        <f aca="false">SUMIFS(Report!$U$10:$U$604,Report!$T$10:$T$604,$A4,Report!$C$10:$C$604,"&gt;="&amp;DATE(2026,5,1),Report!$C$10:$C$604,"&lt;="&amp;DATE(2026,5,31))</f>
        <v>0</v>
      </c>
      <c r="H4" s="26" t="n">
        <f aca="false">SUMIFS(Report!$U$10:$U$604,Report!$T$10:$T$604,$A4,Report!$C$10:$C$604,"&gt;="&amp;DATE(2026,6,1),Report!$C$10:$C$604,"&lt;="&amp;DATE(2026,6,30))</f>
        <v>0</v>
      </c>
      <c r="I4" s="26" t="n">
        <f aca="false">SUMIFS(Report!$U$10:$U$604,Report!$T$10:$T$604,$A4,Report!$C$10:$C$604,"&gt;="&amp;DATE(2026,7,1),Report!$C$10:$C$604,"&lt;="&amp;DATE(2026,7,31))</f>
        <v>301.61</v>
      </c>
      <c r="J4" s="26" t="n">
        <f aca="false">SUMIFS(Report!$U$10:$U$604,Report!$T$10:$T$604,$A4,Report!$C$10:$C$604,"&gt;="&amp;DATE(2026,8,1),Report!$C$10:$C$604,"&lt;="&amp;DATE(2026,8,31))</f>
        <v>0</v>
      </c>
      <c r="K4" s="26" t="n">
        <f aca="false">SUMIFS(Report!$U$10:$U$604,Report!$T$10:$T$604,$A4,Report!$C$10:$C$604,"&gt;="&amp;DATE(2026,9,1),Report!$C$10:$C$604,"&lt;="&amp;DATE(2026,9,30))</f>
        <v>0</v>
      </c>
      <c r="L4" s="26" t="n">
        <f aca="false">SUMIFS(Report!$U$10:$U$604,Report!$T$10:$T$604,$A4,Report!$C$10:$C$604,"&gt;="&amp;DATE(2026,10,1),Report!$C$10:$C$604,"&lt;="&amp;DATE(2026,10,31))</f>
        <v>0</v>
      </c>
      <c r="M4" s="26" t="n">
        <f aca="false">SUMIFS(Report!$U$10:$U$604,Report!$T$10:$T$604,$A4,Report!$C$10:$C$604,"&gt;="&amp;DATE(2026,11,1),Report!$C$10:$C$604,"&lt;="&amp;DATE(2026,11,30))</f>
        <v>0</v>
      </c>
      <c r="N4" s="26" t="n">
        <f aca="false">SUMIFS(Report!$U$10:$U$604,Report!$T$10:$T$604,$A4,Report!$C$10:$C$604,"&gt;="&amp;DATE(2026,12,1),Report!$C$10:$C$604,"&lt;="&amp;DATE(2026,12,31))</f>
        <v>0</v>
      </c>
      <c r="O4" s="26" t="n">
        <f aca="false">SUMIFS(Report!$U$10:$U$604,Report!$T$10:$T$604,$A4,Report!$C$10:$C$604,"&gt;="&amp;DATE(2027,1,1),Report!$C$10:$C$604,"&lt;="&amp;DATE(2027,1,31))</f>
        <v>0</v>
      </c>
      <c r="P4" s="26" t="n">
        <f aca="false">SUMIFS(Report!$U$10:$U$604,Report!$T$10:$T$604,$A4,Report!$C$10:$C$604,"&gt;="&amp;DATE(2027,2,1),Report!$C$10:$C$604,"&lt;="&amp;DATE(2027,2,28))</f>
        <v>0</v>
      </c>
      <c r="Q4" s="26" t="n">
        <f aca="false">SUMIFS(Report!$U$10:$U$604,Report!$T$10:$T$604,$A4,Report!$C$10:$C$604,"&gt;="&amp;DATE(2027,3,1),Report!$C$10:$C$604,"&lt;="&amp;DATE(2027,3,31))</f>
        <v>0</v>
      </c>
      <c r="R4" s="26" t="n">
        <f aca="false">SUMIFS(Report!$U$10:$U$604,Report!$T$10:$T$604,$A4,Report!$C$10:$C$604,"&gt;="&amp;DATE(2027,4,1),Report!$C$10:$C$604,"&lt;="&amp;DATE(2027,4,30))</f>
        <v>0</v>
      </c>
      <c r="S4" s="26" t="n">
        <f aca="false">SUMIFS(Report!$U$10:$U$604,Report!$T$10:$T$604,$A4,Report!$C$10:$C$604,"&gt;="&amp;DATE(2027,5,1),Report!$C$10:$C$604,"&lt;="&amp;DATE(2027,5,31))</f>
        <v>0</v>
      </c>
      <c r="T4" s="26" t="n">
        <f aca="false">SUMIFS(Report!$U$10:$U$604,Report!$T$10:$T$604,$A4,Report!$C$10:$C$604,"&gt;="&amp;DATE(2027,6,1),Report!$C$10:$C$604,"&lt;="&amp;DATE(2027,6,30))</f>
        <v>0</v>
      </c>
      <c r="U4" s="26" t="n">
        <f aca="false">SUMIFS(Report!$U$10:$U$604,Report!$T$10:$T$604,$A4,Report!$C$10:$C$604,"&gt;="&amp;DATE(2027,7,1),Report!$C$10:$C$604,"&lt;="&amp;DATE(2027,7,31))</f>
        <v>0</v>
      </c>
      <c r="V4" s="26" t="n">
        <f aca="false">SUMIFS(Report!$U$10:$U$604,Report!$T$10:$T$604,$A4,Report!$C$10:$C$604,"&gt;="&amp;DATE(2027,8,1),Report!$C$10:$C$604,"&lt;="&amp;DATE(2027,8,31))</f>
        <v>0</v>
      </c>
      <c r="W4" s="26" t="n">
        <f aca="false">SUMIFS(Report!$U$10:$U$604,Report!$T$10:$T$604,$A4,Report!$C$10:$C$604,"&gt;="&amp;DATE(2027,9,1),Report!$C$10:$C$604,"&lt;="&amp;DATE(2027,9,30))</f>
        <v>0</v>
      </c>
      <c r="X4" s="26" t="n">
        <f aca="false">SUMIFS(Report!$U$10:$U$604,Report!$T$10:$T$604,$A4,Report!$C$10:$C$604,"&gt;="&amp;DATE(2027,10,1),Report!$C$10:$C$604,"&lt;="&amp;DATE(2027,10,31))</f>
        <v>0</v>
      </c>
      <c r="Y4" s="26" t="n">
        <f aca="false">SUMIFS(Report!$U$10:$U$604,Report!$T$10:$T$604,$A4,Report!$C$10:$C$604,"&gt;="&amp;DATE(2027,11,1),Report!$C$10:$C$604,"&lt;="&amp;DATE(2027,11,30))</f>
        <v>0</v>
      </c>
      <c r="Z4" s="26" t="n">
        <f aca="false">SUMIFS(Report!$U$10:$U$604,Report!$T$10:$T$604,$A4,Report!$C$10:$C$604,"&gt;="&amp;DATE(2027,12,1),Report!$C$10:$C$604,"&lt;="&amp;DATE(2027,12,31))</f>
        <v>0</v>
      </c>
      <c r="AA4" s="26" t="n">
        <f aca="false">SUM(C4:Z4)</f>
        <v>301.61</v>
      </c>
    </row>
    <row r="5" customFormat="false" ht="15" hidden="false" customHeight="true" outlineLevel="0" collapsed="false">
      <c r="A5" s="25" t="s">
        <v>195</v>
      </c>
      <c r="B5" s="25" t="str">
        <f aca="false">IFERROR(INDEX('Resumo Grupos'!$AC$3:$AC$38,MATCH($A5,'Resumo Grupos'!$AB$3:$AB$38,0)),"n/d")</f>
        <v>Despesa</v>
      </c>
      <c r="C5" s="26" t="n">
        <f aca="false">SUMIFS(Report!$U$10:$U$604,Report!$T$10:$T$604,$A5,Report!$C$10:$C$604,"&gt;="&amp;DATE(2026,1,1),Report!$C$10:$C$604,"&lt;="&amp;DATE(2026,1,31))</f>
        <v>0</v>
      </c>
      <c r="D5" s="26" t="n">
        <f aca="false">SUMIFS(Report!$U$10:$U$604,Report!$T$10:$T$604,$A5,Report!$C$10:$C$604,"&gt;="&amp;DATE(2026,2,1),Report!$C$10:$C$604,"&lt;="&amp;DATE(2026,2,28))</f>
        <v>0</v>
      </c>
      <c r="E5" s="26" t="n">
        <f aca="false">SUMIFS(Report!$U$10:$U$604,Report!$T$10:$T$604,$A5,Report!$C$10:$C$604,"&gt;="&amp;DATE(2026,3,1),Report!$C$10:$C$604,"&lt;="&amp;DATE(2026,3,31))</f>
        <v>0</v>
      </c>
      <c r="F5" s="26" t="n">
        <f aca="false">SUMIFS(Report!$U$10:$U$604,Report!$T$10:$T$604,$A5,Report!$C$10:$C$604,"&gt;="&amp;DATE(2026,4,1),Report!$C$10:$C$604,"&lt;="&amp;DATE(2026,4,30))</f>
        <v>0</v>
      </c>
      <c r="G5" s="26" t="n">
        <f aca="false">SUMIFS(Report!$U$10:$U$604,Report!$T$10:$T$604,$A5,Report!$C$10:$C$604,"&gt;="&amp;DATE(2026,5,1),Report!$C$10:$C$604,"&lt;="&amp;DATE(2026,5,31))</f>
        <v>0</v>
      </c>
      <c r="H5" s="26" t="n">
        <f aca="false">SUMIFS(Report!$U$10:$U$604,Report!$T$10:$T$604,$A5,Report!$C$10:$C$604,"&gt;="&amp;DATE(2026,6,1),Report!$C$10:$C$604,"&lt;="&amp;DATE(2026,6,30))</f>
        <v>0</v>
      </c>
      <c r="I5" s="26" t="n">
        <f aca="false">SUMIFS(Report!$U$10:$U$604,Report!$T$10:$T$604,$A5,Report!$C$10:$C$604,"&gt;="&amp;DATE(2026,7,1),Report!$C$10:$C$604,"&lt;="&amp;DATE(2026,7,31))</f>
        <v>727.8</v>
      </c>
      <c r="J5" s="26" t="n">
        <f aca="false">SUMIFS(Report!$U$10:$U$604,Report!$T$10:$T$604,$A5,Report!$C$10:$C$604,"&gt;="&amp;DATE(2026,8,1),Report!$C$10:$C$604,"&lt;="&amp;DATE(2026,8,31))</f>
        <v>0</v>
      </c>
      <c r="K5" s="26" t="n">
        <f aca="false">SUMIFS(Report!$U$10:$U$604,Report!$T$10:$T$604,$A5,Report!$C$10:$C$604,"&gt;="&amp;DATE(2026,9,1),Report!$C$10:$C$604,"&lt;="&amp;DATE(2026,9,30))</f>
        <v>0</v>
      </c>
      <c r="L5" s="26" t="n">
        <f aca="false">SUMIFS(Report!$U$10:$U$604,Report!$T$10:$T$604,$A5,Report!$C$10:$C$604,"&gt;="&amp;DATE(2026,10,1),Report!$C$10:$C$604,"&lt;="&amp;DATE(2026,10,31))</f>
        <v>0</v>
      </c>
      <c r="M5" s="26" t="n">
        <f aca="false">SUMIFS(Report!$U$10:$U$604,Report!$T$10:$T$604,$A5,Report!$C$10:$C$604,"&gt;="&amp;DATE(2026,11,1),Report!$C$10:$C$604,"&lt;="&amp;DATE(2026,11,30))</f>
        <v>0</v>
      </c>
      <c r="N5" s="26" t="n">
        <f aca="false">SUMIFS(Report!$U$10:$U$604,Report!$T$10:$T$604,$A5,Report!$C$10:$C$604,"&gt;="&amp;DATE(2026,12,1),Report!$C$10:$C$604,"&lt;="&amp;DATE(2026,12,31))</f>
        <v>0</v>
      </c>
      <c r="O5" s="26" t="n">
        <f aca="false">SUMIFS(Report!$U$10:$U$604,Report!$T$10:$T$604,$A5,Report!$C$10:$C$604,"&gt;="&amp;DATE(2027,1,1),Report!$C$10:$C$604,"&lt;="&amp;DATE(2027,1,31))</f>
        <v>0</v>
      </c>
      <c r="P5" s="26" t="n">
        <f aca="false">SUMIFS(Report!$U$10:$U$604,Report!$T$10:$T$604,$A5,Report!$C$10:$C$604,"&gt;="&amp;DATE(2027,2,1),Report!$C$10:$C$604,"&lt;="&amp;DATE(2027,2,28))</f>
        <v>0</v>
      </c>
      <c r="Q5" s="26" t="n">
        <f aca="false">SUMIFS(Report!$U$10:$U$604,Report!$T$10:$T$604,$A5,Report!$C$10:$C$604,"&gt;="&amp;DATE(2027,3,1),Report!$C$10:$C$604,"&lt;="&amp;DATE(2027,3,31))</f>
        <v>0</v>
      </c>
      <c r="R5" s="26" t="n">
        <f aca="false">SUMIFS(Report!$U$10:$U$604,Report!$T$10:$T$604,$A5,Report!$C$10:$C$604,"&gt;="&amp;DATE(2027,4,1),Report!$C$10:$C$604,"&lt;="&amp;DATE(2027,4,30))</f>
        <v>0</v>
      </c>
      <c r="S5" s="26" t="n">
        <f aca="false">SUMIFS(Report!$U$10:$U$604,Report!$T$10:$T$604,$A5,Report!$C$10:$C$604,"&gt;="&amp;DATE(2027,5,1),Report!$C$10:$C$604,"&lt;="&amp;DATE(2027,5,31))</f>
        <v>0</v>
      </c>
      <c r="T5" s="26" t="n">
        <f aca="false">SUMIFS(Report!$U$10:$U$604,Report!$T$10:$T$604,$A5,Report!$C$10:$C$604,"&gt;="&amp;DATE(2027,6,1),Report!$C$10:$C$604,"&lt;="&amp;DATE(2027,6,30))</f>
        <v>0</v>
      </c>
      <c r="U5" s="26" t="n">
        <f aca="false">SUMIFS(Report!$U$10:$U$604,Report!$T$10:$T$604,$A5,Report!$C$10:$C$604,"&gt;="&amp;DATE(2027,7,1),Report!$C$10:$C$604,"&lt;="&amp;DATE(2027,7,31))</f>
        <v>0</v>
      </c>
      <c r="V5" s="26" t="n">
        <f aca="false">SUMIFS(Report!$U$10:$U$604,Report!$T$10:$T$604,$A5,Report!$C$10:$C$604,"&gt;="&amp;DATE(2027,8,1),Report!$C$10:$C$604,"&lt;="&amp;DATE(2027,8,31))</f>
        <v>0</v>
      </c>
      <c r="W5" s="26" t="n">
        <f aca="false">SUMIFS(Report!$U$10:$U$604,Report!$T$10:$T$604,$A5,Report!$C$10:$C$604,"&gt;="&amp;DATE(2027,9,1),Report!$C$10:$C$604,"&lt;="&amp;DATE(2027,9,30))</f>
        <v>0</v>
      </c>
      <c r="X5" s="26" t="n">
        <f aca="false">SUMIFS(Report!$U$10:$U$604,Report!$T$10:$T$604,$A5,Report!$C$10:$C$604,"&gt;="&amp;DATE(2027,10,1),Report!$C$10:$C$604,"&lt;="&amp;DATE(2027,10,31))</f>
        <v>0</v>
      </c>
      <c r="Y5" s="26" t="n">
        <f aca="false">SUMIFS(Report!$U$10:$U$604,Report!$T$10:$T$604,$A5,Report!$C$10:$C$604,"&gt;="&amp;DATE(2027,11,1),Report!$C$10:$C$604,"&lt;="&amp;DATE(2027,11,30))</f>
        <v>0</v>
      </c>
      <c r="Z5" s="26" t="n">
        <f aca="false">SUMIFS(Report!$U$10:$U$604,Report!$T$10:$T$604,$A5,Report!$C$10:$C$604,"&gt;="&amp;DATE(2027,12,1),Report!$C$10:$C$604,"&lt;="&amp;DATE(2027,12,31))</f>
        <v>0</v>
      </c>
      <c r="AA5" s="26" t="n">
        <f aca="false">SUM(C5:Z5)</f>
        <v>727.8</v>
      </c>
    </row>
    <row r="6" customFormat="false" ht="15" hidden="false" customHeight="true" outlineLevel="0" collapsed="false">
      <c r="A6" s="25" t="s">
        <v>106</v>
      </c>
      <c r="B6" s="25" t="str">
        <f aca="false">IFERROR(INDEX('Resumo Grupos'!$AC$3:$AC$38,MATCH($A6,'Resumo Grupos'!$AB$3:$AB$38,0)),"n/d")</f>
        <v>Despesa</v>
      </c>
      <c r="C6" s="26" t="n">
        <f aca="false">SUMIFS(Report!$U$10:$U$604,Report!$T$10:$T$604,$A6,Report!$C$10:$C$604,"&gt;="&amp;DATE(2026,1,1),Report!$C$10:$C$604,"&lt;="&amp;DATE(2026,1,31))</f>
        <v>0</v>
      </c>
      <c r="D6" s="26" t="n">
        <f aca="false">SUMIFS(Report!$U$10:$U$604,Report!$T$10:$T$604,$A6,Report!$C$10:$C$604,"&gt;="&amp;DATE(2026,2,1),Report!$C$10:$C$604,"&lt;="&amp;DATE(2026,2,28))</f>
        <v>0</v>
      </c>
      <c r="E6" s="26" t="n">
        <f aca="false">SUMIFS(Report!$U$10:$U$604,Report!$T$10:$T$604,$A6,Report!$C$10:$C$604,"&gt;="&amp;DATE(2026,3,1),Report!$C$10:$C$604,"&lt;="&amp;DATE(2026,3,31))</f>
        <v>0</v>
      </c>
      <c r="F6" s="26" t="n">
        <f aca="false">SUMIFS(Report!$U$10:$U$604,Report!$T$10:$T$604,$A6,Report!$C$10:$C$604,"&gt;="&amp;DATE(2026,4,1),Report!$C$10:$C$604,"&lt;="&amp;DATE(2026,4,30))</f>
        <v>0</v>
      </c>
      <c r="G6" s="26" t="n">
        <f aca="false">SUMIFS(Report!$U$10:$U$604,Report!$T$10:$T$604,$A6,Report!$C$10:$C$604,"&gt;="&amp;DATE(2026,5,1),Report!$C$10:$C$604,"&lt;="&amp;DATE(2026,5,31))</f>
        <v>0</v>
      </c>
      <c r="H6" s="26" t="n">
        <f aca="false">SUMIFS(Report!$U$10:$U$604,Report!$T$10:$T$604,$A6,Report!$C$10:$C$604,"&gt;="&amp;DATE(2026,6,1),Report!$C$10:$C$604,"&lt;="&amp;DATE(2026,6,30))</f>
        <v>0</v>
      </c>
      <c r="I6" s="26" t="n">
        <f aca="false">SUMIFS(Report!$U$10:$U$604,Report!$T$10:$T$604,$A6,Report!$C$10:$C$604,"&gt;="&amp;DATE(2026,7,1),Report!$C$10:$C$604,"&lt;="&amp;DATE(2026,7,31))</f>
        <v>396.64</v>
      </c>
      <c r="J6" s="26" t="n">
        <f aca="false">SUMIFS(Report!$U$10:$U$604,Report!$T$10:$T$604,$A6,Report!$C$10:$C$604,"&gt;="&amp;DATE(2026,8,1),Report!$C$10:$C$604,"&lt;="&amp;DATE(2026,8,31))</f>
        <v>396.67</v>
      </c>
      <c r="K6" s="26" t="n">
        <f aca="false">SUMIFS(Report!$U$10:$U$604,Report!$T$10:$T$604,$A6,Report!$C$10:$C$604,"&gt;="&amp;DATE(2026,9,1),Report!$C$10:$C$604,"&lt;="&amp;DATE(2026,9,30))</f>
        <v>0</v>
      </c>
      <c r="L6" s="26" t="n">
        <f aca="false">SUMIFS(Report!$U$10:$U$604,Report!$T$10:$T$604,$A6,Report!$C$10:$C$604,"&gt;="&amp;DATE(2026,10,1),Report!$C$10:$C$604,"&lt;="&amp;DATE(2026,10,31))</f>
        <v>0</v>
      </c>
      <c r="M6" s="26" t="n">
        <f aca="false">SUMIFS(Report!$U$10:$U$604,Report!$T$10:$T$604,$A6,Report!$C$10:$C$604,"&gt;="&amp;DATE(2026,11,1),Report!$C$10:$C$604,"&lt;="&amp;DATE(2026,11,30))</f>
        <v>0</v>
      </c>
      <c r="N6" s="26" t="n">
        <f aca="false">SUMIFS(Report!$U$10:$U$604,Report!$T$10:$T$604,$A6,Report!$C$10:$C$604,"&gt;="&amp;DATE(2026,12,1),Report!$C$10:$C$604,"&lt;="&amp;DATE(2026,12,31))</f>
        <v>0</v>
      </c>
      <c r="O6" s="26" t="n">
        <f aca="false">SUMIFS(Report!$U$10:$U$604,Report!$T$10:$T$604,$A6,Report!$C$10:$C$604,"&gt;="&amp;DATE(2027,1,1),Report!$C$10:$C$604,"&lt;="&amp;DATE(2027,1,31))</f>
        <v>0</v>
      </c>
      <c r="P6" s="26" t="n">
        <f aca="false">SUMIFS(Report!$U$10:$U$604,Report!$T$10:$T$604,$A6,Report!$C$10:$C$604,"&gt;="&amp;DATE(2027,2,1),Report!$C$10:$C$604,"&lt;="&amp;DATE(2027,2,28))</f>
        <v>0</v>
      </c>
      <c r="Q6" s="26" t="n">
        <f aca="false">SUMIFS(Report!$U$10:$U$604,Report!$T$10:$T$604,$A6,Report!$C$10:$C$604,"&gt;="&amp;DATE(2027,3,1),Report!$C$10:$C$604,"&lt;="&amp;DATE(2027,3,31))</f>
        <v>0</v>
      </c>
      <c r="R6" s="26" t="n">
        <f aca="false">SUMIFS(Report!$U$10:$U$604,Report!$T$10:$T$604,$A6,Report!$C$10:$C$604,"&gt;="&amp;DATE(2027,4,1),Report!$C$10:$C$604,"&lt;="&amp;DATE(2027,4,30))</f>
        <v>0</v>
      </c>
      <c r="S6" s="26" t="n">
        <f aca="false">SUMIFS(Report!$U$10:$U$604,Report!$T$10:$T$604,$A6,Report!$C$10:$C$604,"&gt;="&amp;DATE(2027,5,1),Report!$C$10:$C$604,"&lt;="&amp;DATE(2027,5,31))</f>
        <v>0</v>
      </c>
      <c r="T6" s="26" t="n">
        <f aca="false">SUMIFS(Report!$U$10:$U$604,Report!$T$10:$T$604,$A6,Report!$C$10:$C$604,"&gt;="&amp;DATE(2027,6,1),Report!$C$10:$C$604,"&lt;="&amp;DATE(2027,6,30))</f>
        <v>0</v>
      </c>
      <c r="U6" s="26" t="n">
        <f aca="false">SUMIFS(Report!$U$10:$U$604,Report!$T$10:$T$604,$A6,Report!$C$10:$C$604,"&gt;="&amp;DATE(2027,7,1),Report!$C$10:$C$604,"&lt;="&amp;DATE(2027,7,31))</f>
        <v>0</v>
      </c>
      <c r="V6" s="26" t="n">
        <f aca="false">SUMIFS(Report!$U$10:$U$604,Report!$T$10:$T$604,$A6,Report!$C$10:$C$604,"&gt;="&amp;DATE(2027,8,1),Report!$C$10:$C$604,"&lt;="&amp;DATE(2027,8,31))</f>
        <v>0</v>
      </c>
      <c r="W6" s="26" t="n">
        <f aca="false">SUMIFS(Report!$U$10:$U$604,Report!$T$10:$T$604,$A6,Report!$C$10:$C$604,"&gt;="&amp;DATE(2027,9,1),Report!$C$10:$C$604,"&lt;="&amp;DATE(2027,9,30))</f>
        <v>0</v>
      </c>
      <c r="X6" s="26" t="n">
        <f aca="false">SUMIFS(Report!$U$10:$U$604,Report!$T$10:$T$604,$A6,Report!$C$10:$C$604,"&gt;="&amp;DATE(2027,10,1),Report!$C$10:$C$604,"&lt;="&amp;DATE(2027,10,31))</f>
        <v>0</v>
      </c>
      <c r="Y6" s="26" t="n">
        <f aca="false">SUMIFS(Report!$U$10:$U$604,Report!$T$10:$T$604,$A6,Report!$C$10:$C$604,"&gt;="&amp;DATE(2027,11,1),Report!$C$10:$C$604,"&lt;="&amp;DATE(2027,11,30))</f>
        <v>0</v>
      </c>
      <c r="Z6" s="26" t="n">
        <f aca="false">SUMIFS(Report!$U$10:$U$604,Report!$T$10:$T$604,$A6,Report!$C$10:$C$604,"&gt;="&amp;DATE(2027,12,1),Report!$C$10:$C$604,"&lt;="&amp;DATE(2027,12,31))</f>
        <v>0</v>
      </c>
      <c r="AA6" s="26" t="n">
        <f aca="false">SUM(C6:Z6)</f>
        <v>793.31</v>
      </c>
    </row>
    <row r="7" customFormat="false" ht="15" hidden="false" customHeight="true" outlineLevel="0" collapsed="false">
      <c r="A7" s="25" t="s">
        <v>233</v>
      </c>
      <c r="B7" s="25" t="str">
        <f aca="false">IFERROR(INDEX('Resumo Grupos'!$AC$3:$AC$38,MATCH($A7,'Resumo Grupos'!$AB$3:$AB$38,0)),"n/d")</f>
        <v>Despesa</v>
      </c>
      <c r="C7" s="26" t="n">
        <f aca="false">SUMIFS(Report!$U$10:$U$604,Report!$T$10:$T$604,$A7,Report!$C$10:$C$604,"&gt;="&amp;DATE(2026,1,1),Report!$C$10:$C$604,"&lt;="&amp;DATE(2026,1,31))</f>
        <v>0</v>
      </c>
      <c r="D7" s="26" t="n">
        <f aca="false">SUMIFS(Report!$U$10:$U$604,Report!$T$10:$T$604,$A7,Report!$C$10:$C$604,"&gt;="&amp;DATE(2026,2,1),Report!$C$10:$C$604,"&lt;="&amp;DATE(2026,2,28))</f>
        <v>0</v>
      </c>
      <c r="E7" s="26" t="n">
        <f aca="false">SUMIFS(Report!$U$10:$U$604,Report!$T$10:$T$604,$A7,Report!$C$10:$C$604,"&gt;="&amp;DATE(2026,3,1),Report!$C$10:$C$604,"&lt;="&amp;DATE(2026,3,31))</f>
        <v>0</v>
      </c>
      <c r="F7" s="26" t="n">
        <f aca="false">SUMIFS(Report!$U$10:$U$604,Report!$T$10:$T$604,$A7,Report!$C$10:$C$604,"&gt;="&amp;DATE(2026,4,1),Report!$C$10:$C$604,"&lt;="&amp;DATE(2026,4,30))</f>
        <v>0</v>
      </c>
      <c r="G7" s="26" t="n">
        <f aca="false">SUMIFS(Report!$U$10:$U$604,Report!$T$10:$T$604,$A7,Report!$C$10:$C$604,"&gt;="&amp;DATE(2026,5,1),Report!$C$10:$C$604,"&lt;="&amp;DATE(2026,5,31))</f>
        <v>0</v>
      </c>
      <c r="H7" s="26" t="n">
        <f aca="false">SUMIFS(Report!$U$10:$U$604,Report!$T$10:$T$604,$A7,Report!$C$10:$C$604,"&gt;="&amp;DATE(2026,6,1),Report!$C$10:$C$604,"&lt;="&amp;DATE(2026,6,30))</f>
        <v>0</v>
      </c>
      <c r="I7" s="26" t="n">
        <f aca="false">SUMIFS(Report!$U$10:$U$604,Report!$T$10:$T$604,$A7,Report!$C$10:$C$604,"&gt;="&amp;DATE(2026,7,1),Report!$C$10:$C$604,"&lt;="&amp;DATE(2026,7,31))</f>
        <v>2212.3</v>
      </c>
      <c r="J7" s="26" t="n">
        <f aca="false">SUMIFS(Report!$U$10:$U$604,Report!$T$10:$T$604,$A7,Report!$C$10:$C$604,"&gt;="&amp;DATE(2026,8,1),Report!$C$10:$C$604,"&lt;="&amp;DATE(2026,8,31))</f>
        <v>1500.41</v>
      </c>
      <c r="K7" s="26" t="n">
        <f aca="false">SUMIFS(Report!$U$10:$U$604,Report!$T$10:$T$604,$A7,Report!$C$10:$C$604,"&gt;="&amp;DATE(2026,9,1),Report!$C$10:$C$604,"&lt;="&amp;DATE(2026,9,30))</f>
        <v>0</v>
      </c>
      <c r="L7" s="26" t="n">
        <f aca="false">SUMIFS(Report!$U$10:$U$604,Report!$T$10:$T$604,$A7,Report!$C$10:$C$604,"&gt;="&amp;DATE(2026,10,1),Report!$C$10:$C$604,"&lt;="&amp;DATE(2026,10,31))</f>
        <v>0</v>
      </c>
      <c r="M7" s="26" t="n">
        <f aca="false">SUMIFS(Report!$U$10:$U$604,Report!$T$10:$T$604,$A7,Report!$C$10:$C$604,"&gt;="&amp;DATE(2026,11,1),Report!$C$10:$C$604,"&lt;="&amp;DATE(2026,11,30))</f>
        <v>0</v>
      </c>
      <c r="N7" s="26" t="n">
        <f aca="false">SUMIFS(Report!$U$10:$U$604,Report!$T$10:$T$604,$A7,Report!$C$10:$C$604,"&gt;="&amp;DATE(2026,12,1),Report!$C$10:$C$604,"&lt;="&amp;DATE(2026,12,31))</f>
        <v>0</v>
      </c>
      <c r="O7" s="26" t="n">
        <f aca="false">SUMIFS(Report!$U$10:$U$604,Report!$T$10:$T$604,$A7,Report!$C$10:$C$604,"&gt;="&amp;DATE(2027,1,1),Report!$C$10:$C$604,"&lt;="&amp;DATE(2027,1,31))</f>
        <v>0</v>
      </c>
      <c r="P7" s="26" t="n">
        <f aca="false">SUMIFS(Report!$U$10:$U$604,Report!$T$10:$T$604,$A7,Report!$C$10:$C$604,"&gt;="&amp;DATE(2027,2,1),Report!$C$10:$C$604,"&lt;="&amp;DATE(2027,2,28))</f>
        <v>0</v>
      </c>
      <c r="Q7" s="26" t="n">
        <f aca="false">SUMIFS(Report!$U$10:$U$604,Report!$T$10:$T$604,$A7,Report!$C$10:$C$604,"&gt;="&amp;DATE(2027,3,1),Report!$C$10:$C$604,"&lt;="&amp;DATE(2027,3,31))</f>
        <v>0</v>
      </c>
      <c r="R7" s="26" t="n">
        <f aca="false">SUMIFS(Report!$U$10:$U$604,Report!$T$10:$T$604,$A7,Report!$C$10:$C$604,"&gt;="&amp;DATE(2027,4,1),Report!$C$10:$C$604,"&lt;="&amp;DATE(2027,4,30))</f>
        <v>0</v>
      </c>
      <c r="S7" s="26" t="n">
        <f aca="false">SUMIFS(Report!$U$10:$U$604,Report!$T$10:$T$604,$A7,Report!$C$10:$C$604,"&gt;="&amp;DATE(2027,5,1),Report!$C$10:$C$604,"&lt;="&amp;DATE(2027,5,31))</f>
        <v>0</v>
      </c>
      <c r="T7" s="26" t="n">
        <f aca="false">SUMIFS(Report!$U$10:$U$604,Report!$T$10:$T$604,$A7,Report!$C$10:$C$604,"&gt;="&amp;DATE(2027,6,1),Report!$C$10:$C$604,"&lt;="&amp;DATE(2027,6,30))</f>
        <v>0</v>
      </c>
      <c r="U7" s="26" t="n">
        <f aca="false">SUMIFS(Report!$U$10:$U$604,Report!$T$10:$T$604,$A7,Report!$C$10:$C$604,"&gt;="&amp;DATE(2027,7,1),Report!$C$10:$C$604,"&lt;="&amp;DATE(2027,7,31))</f>
        <v>0</v>
      </c>
      <c r="V7" s="26" t="n">
        <f aca="false">SUMIFS(Report!$U$10:$U$604,Report!$T$10:$T$604,$A7,Report!$C$10:$C$604,"&gt;="&amp;DATE(2027,8,1),Report!$C$10:$C$604,"&lt;="&amp;DATE(2027,8,31))</f>
        <v>0</v>
      </c>
      <c r="W7" s="26" t="n">
        <f aca="false">SUMIFS(Report!$U$10:$U$604,Report!$T$10:$T$604,$A7,Report!$C$10:$C$604,"&gt;="&amp;DATE(2027,9,1),Report!$C$10:$C$604,"&lt;="&amp;DATE(2027,9,30))</f>
        <v>0</v>
      </c>
      <c r="X7" s="26" t="n">
        <f aca="false">SUMIFS(Report!$U$10:$U$604,Report!$T$10:$T$604,$A7,Report!$C$10:$C$604,"&gt;="&amp;DATE(2027,10,1),Report!$C$10:$C$604,"&lt;="&amp;DATE(2027,10,31))</f>
        <v>0</v>
      </c>
      <c r="Y7" s="26" t="n">
        <f aca="false">SUMIFS(Report!$U$10:$U$604,Report!$T$10:$T$604,$A7,Report!$C$10:$C$604,"&gt;="&amp;DATE(2027,11,1),Report!$C$10:$C$604,"&lt;="&amp;DATE(2027,11,30))</f>
        <v>0</v>
      </c>
      <c r="Z7" s="26" t="n">
        <f aca="false">SUMIFS(Report!$U$10:$U$604,Report!$T$10:$T$604,$A7,Report!$C$10:$C$604,"&gt;="&amp;DATE(2027,12,1),Report!$C$10:$C$604,"&lt;="&amp;DATE(2027,12,31))</f>
        <v>0</v>
      </c>
      <c r="AA7" s="26" t="n">
        <f aca="false">SUM(C7:Z7)</f>
        <v>3712.71</v>
      </c>
    </row>
    <row r="8" customFormat="false" ht="15" hidden="false" customHeight="true" outlineLevel="0" collapsed="false">
      <c r="A8" s="25" t="s">
        <v>491</v>
      </c>
      <c r="B8" s="25" t="str">
        <f aca="false">IFERROR(INDEX('Resumo Grupos'!$AC$3:$AC$38,MATCH($A8,'Resumo Grupos'!$AB$3:$AB$38,0)),"n/d")</f>
        <v>Despesa</v>
      </c>
      <c r="C8" s="26" t="n">
        <f aca="false">SUMIFS(Report!$U$10:$U$604,Report!$T$10:$T$604,$A8,Report!$C$10:$C$604,"&gt;="&amp;DATE(2026,1,1),Report!$C$10:$C$604,"&lt;="&amp;DATE(2026,1,31))</f>
        <v>0</v>
      </c>
      <c r="D8" s="26" t="n">
        <f aca="false">SUMIFS(Report!$U$10:$U$604,Report!$T$10:$T$604,$A8,Report!$C$10:$C$604,"&gt;="&amp;DATE(2026,2,1),Report!$C$10:$C$604,"&lt;="&amp;DATE(2026,2,28))</f>
        <v>0</v>
      </c>
      <c r="E8" s="26" t="n">
        <f aca="false">SUMIFS(Report!$U$10:$U$604,Report!$T$10:$T$604,$A8,Report!$C$10:$C$604,"&gt;="&amp;DATE(2026,3,1),Report!$C$10:$C$604,"&lt;="&amp;DATE(2026,3,31))</f>
        <v>0</v>
      </c>
      <c r="F8" s="26" t="n">
        <f aca="false">SUMIFS(Report!$U$10:$U$604,Report!$T$10:$T$604,$A8,Report!$C$10:$C$604,"&gt;="&amp;DATE(2026,4,1),Report!$C$10:$C$604,"&lt;="&amp;DATE(2026,4,30))</f>
        <v>0</v>
      </c>
      <c r="G8" s="26" t="n">
        <f aca="false">SUMIFS(Report!$U$10:$U$604,Report!$T$10:$T$604,$A8,Report!$C$10:$C$604,"&gt;="&amp;DATE(2026,5,1),Report!$C$10:$C$604,"&lt;="&amp;DATE(2026,5,31))</f>
        <v>0</v>
      </c>
      <c r="H8" s="26" t="n">
        <f aca="false">SUMIFS(Report!$U$10:$U$604,Report!$T$10:$T$604,$A8,Report!$C$10:$C$604,"&gt;="&amp;DATE(2026,6,1),Report!$C$10:$C$604,"&lt;="&amp;DATE(2026,6,30))</f>
        <v>0</v>
      </c>
      <c r="I8" s="26" t="n">
        <f aca="false">SUMIFS(Report!$U$10:$U$604,Report!$T$10:$T$604,$A8,Report!$C$10:$C$604,"&gt;="&amp;DATE(2026,7,1),Report!$C$10:$C$604,"&lt;="&amp;DATE(2026,7,31))</f>
        <v>215</v>
      </c>
      <c r="J8" s="26" t="n">
        <f aca="false">SUMIFS(Report!$U$10:$U$604,Report!$T$10:$T$604,$A8,Report!$C$10:$C$604,"&gt;="&amp;DATE(2026,8,1),Report!$C$10:$C$604,"&lt;="&amp;DATE(2026,8,31))</f>
        <v>325</v>
      </c>
      <c r="K8" s="26" t="n">
        <f aca="false">SUMIFS(Report!$U$10:$U$604,Report!$T$10:$T$604,$A8,Report!$C$10:$C$604,"&gt;="&amp;DATE(2026,9,1),Report!$C$10:$C$604,"&lt;="&amp;DATE(2026,9,30))</f>
        <v>0</v>
      </c>
      <c r="L8" s="26" t="n">
        <f aca="false">SUMIFS(Report!$U$10:$U$604,Report!$T$10:$T$604,$A8,Report!$C$10:$C$604,"&gt;="&amp;DATE(2026,10,1),Report!$C$10:$C$604,"&lt;="&amp;DATE(2026,10,31))</f>
        <v>0</v>
      </c>
      <c r="M8" s="26" t="n">
        <f aca="false">SUMIFS(Report!$U$10:$U$604,Report!$T$10:$T$604,$A8,Report!$C$10:$C$604,"&gt;="&amp;DATE(2026,11,1),Report!$C$10:$C$604,"&lt;="&amp;DATE(2026,11,30))</f>
        <v>0</v>
      </c>
      <c r="N8" s="26" t="n">
        <f aca="false">SUMIFS(Report!$U$10:$U$604,Report!$T$10:$T$604,$A8,Report!$C$10:$C$604,"&gt;="&amp;DATE(2026,12,1),Report!$C$10:$C$604,"&lt;="&amp;DATE(2026,12,31))</f>
        <v>0</v>
      </c>
      <c r="O8" s="26" t="n">
        <f aca="false">SUMIFS(Report!$U$10:$U$604,Report!$T$10:$T$604,$A8,Report!$C$10:$C$604,"&gt;="&amp;DATE(2027,1,1),Report!$C$10:$C$604,"&lt;="&amp;DATE(2027,1,31))</f>
        <v>0</v>
      </c>
      <c r="P8" s="26" t="n">
        <f aca="false">SUMIFS(Report!$U$10:$U$604,Report!$T$10:$T$604,$A8,Report!$C$10:$C$604,"&gt;="&amp;DATE(2027,2,1),Report!$C$10:$C$604,"&lt;="&amp;DATE(2027,2,28))</f>
        <v>0</v>
      </c>
      <c r="Q8" s="26" t="n">
        <f aca="false">SUMIFS(Report!$U$10:$U$604,Report!$T$10:$T$604,$A8,Report!$C$10:$C$604,"&gt;="&amp;DATE(2027,3,1),Report!$C$10:$C$604,"&lt;="&amp;DATE(2027,3,31))</f>
        <v>0</v>
      </c>
      <c r="R8" s="26" t="n">
        <f aca="false">SUMIFS(Report!$U$10:$U$604,Report!$T$10:$T$604,$A8,Report!$C$10:$C$604,"&gt;="&amp;DATE(2027,4,1),Report!$C$10:$C$604,"&lt;="&amp;DATE(2027,4,30))</f>
        <v>0</v>
      </c>
      <c r="S8" s="26" t="n">
        <f aca="false">SUMIFS(Report!$U$10:$U$604,Report!$T$10:$T$604,$A8,Report!$C$10:$C$604,"&gt;="&amp;DATE(2027,5,1),Report!$C$10:$C$604,"&lt;="&amp;DATE(2027,5,31))</f>
        <v>0</v>
      </c>
      <c r="T8" s="26" t="n">
        <f aca="false">SUMIFS(Report!$U$10:$U$604,Report!$T$10:$T$604,$A8,Report!$C$10:$C$604,"&gt;="&amp;DATE(2027,6,1),Report!$C$10:$C$604,"&lt;="&amp;DATE(2027,6,30))</f>
        <v>0</v>
      </c>
      <c r="U8" s="26" t="n">
        <f aca="false">SUMIFS(Report!$U$10:$U$604,Report!$T$10:$T$604,$A8,Report!$C$10:$C$604,"&gt;="&amp;DATE(2027,7,1),Report!$C$10:$C$604,"&lt;="&amp;DATE(2027,7,31))</f>
        <v>0</v>
      </c>
      <c r="V8" s="26" t="n">
        <f aca="false">SUMIFS(Report!$U$10:$U$604,Report!$T$10:$T$604,$A8,Report!$C$10:$C$604,"&gt;="&amp;DATE(2027,8,1),Report!$C$10:$C$604,"&lt;="&amp;DATE(2027,8,31))</f>
        <v>0</v>
      </c>
      <c r="W8" s="26" t="n">
        <f aca="false">SUMIFS(Report!$U$10:$U$604,Report!$T$10:$T$604,$A8,Report!$C$10:$C$604,"&gt;="&amp;DATE(2027,9,1),Report!$C$10:$C$604,"&lt;="&amp;DATE(2027,9,30))</f>
        <v>0</v>
      </c>
      <c r="X8" s="26" t="n">
        <f aca="false">SUMIFS(Report!$U$10:$U$604,Report!$T$10:$T$604,$A8,Report!$C$10:$C$604,"&gt;="&amp;DATE(2027,10,1),Report!$C$10:$C$604,"&lt;="&amp;DATE(2027,10,31))</f>
        <v>0</v>
      </c>
      <c r="Y8" s="26" t="n">
        <f aca="false">SUMIFS(Report!$U$10:$U$604,Report!$T$10:$T$604,$A8,Report!$C$10:$C$604,"&gt;="&amp;DATE(2027,11,1),Report!$C$10:$C$604,"&lt;="&amp;DATE(2027,11,30))</f>
        <v>0</v>
      </c>
      <c r="Z8" s="26" t="n">
        <f aca="false">SUMIFS(Report!$U$10:$U$604,Report!$T$10:$T$604,$A8,Report!$C$10:$C$604,"&gt;="&amp;DATE(2027,12,1),Report!$C$10:$C$604,"&lt;="&amp;DATE(2027,12,31))</f>
        <v>0</v>
      </c>
      <c r="AA8" s="26" t="n">
        <f aca="false">SUM(C8:Z8)</f>
        <v>540</v>
      </c>
    </row>
    <row r="9" customFormat="false" ht="15" hidden="false" customHeight="true" outlineLevel="0" collapsed="false">
      <c r="A9" s="25" t="s">
        <v>360</v>
      </c>
      <c r="B9" s="25" t="str">
        <f aca="false">IFERROR(INDEX('Resumo Grupos'!$AC$3:$AC$38,MATCH($A9,'Resumo Grupos'!$AB$3:$AB$38,0)),"n/d")</f>
        <v>Despesa</v>
      </c>
      <c r="C9" s="26" t="n">
        <f aca="false">SUMIFS(Report!$U$10:$U$604,Report!$T$10:$T$604,$A9,Report!$C$10:$C$604,"&gt;="&amp;DATE(2026,1,1),Report!$C$10:$C$604,"&lt;="&amp;DATE(2026,1,31))</f>
        <v>0</v>
      </c>
      <c r="D9" s="26" t="n">
        <f aca="false">SUMIFS(Report!$U$10:$U$604,Report!$T$10:$T$604,$A9,Report!$C$10:$C$604,"&gt;="&amp;DATE(2026,2,1),Report!$C$10:$C$604,"&lt;="&amp;DATE(2026,2,28))</f>
        <v>0</v>
      </c>
      <c r="E9" s="26" t="n">
        <f aca="false">SUMIFS(Report!$U$10:$U$604,Report!$T$10:$T$604,$A9,Report!$C$10:$C$604,"&gt;="&amp;DATE(2026,3,1),Report!$C$10:$C$604,"&lt;="&amp;DATE(2026,3,31))</f>
        <v>0</v>
      </c>
      <c r="F9" s="26" t="n">
        <f aca="false">SUMIFS(Report!$U$10:$U$604,Report!$T$10:$T$604,$A9,Report!$C$10:$C$604,"&gt;="&amp;DATE(2026,4,1),Report!$C$10:$C$604,"&lt;="&amp;DATE(2026,4,30))</f>
        <v>0</v>
      </c>
      <c r="G9" s="26" t="n">
        <f aca="false">SUMIFS(Report!$U$10:$U$604,Report!$T$10:$T$604,$A9,Report!$C$10:$C$604,"&gt;="&amp;DATE(2026,5,1),Report!$C$10:$C$604,"&lt;="&amp;DATE(2026,5,31))</f>
        <v>0</v>
      </c>
      <c r="H9" s="26" t="n">
        <f aca="false">SUMIFS(Report!$U$10:$U$604,Report!$T$10:$T$604,$A9,Report!$C$10:$C$604,"&gt;="&amp;DATE(2026,6,1),Report!$C$10:$C$604,"&lt;="&amp;DATE(2026,6,30))</f>
        <v>0</v>
      </c>
      <c r="I9" s="26" t="n">
        <f aca="false">SUMIFS(Report!$U$10:$U$604,Report!$T$10:$T$604,$A9,Report!$C$10:$C$604,"&gt;="&amp;DATE(2026,7,1),Report!$C$10:$C$604,"&lt;="&amp;DATE(2026,7,31))</f>
        <v>1854.91</v>
      </c>
      <c r="J9" s="26" t="n">
        <f aca="false">SUMIFS(Report!$U$10:$U$604,Report!$T$10:$T$604,$A9,Report!$C$10:$C$604,"&gt;="&amp;DATE(2026,8,1),Report!$C$10:$C$604,"&lt;="&amp;DATE(2026,8,31))</f>
        <v>0</v>
      </c>
      <c r="K9" s="26" t="n">
        <f aca="false">SUMIFS(Report!$U$10:$U$604,Report!$T$10:$T$604,$A9,Report!$C$10:$C$604,"&gt;="&amp;DATE(2026,9,1),Report!$C$10:$C$604,"&lt;="&amp;DATE(2026,9,30))</f>
        <v>0</v>
      </c>
      <c r="L9" s="26" t="n">
        <f aca="false">SUMIFS(Report!$U$10:$U$604,Report!$T$10:$T$604,$A9,Report!$C$10:$C$604,"&gt;="&amp;DATE(2026,10,1),Report!$C$10:$C$604,"&lt;="&amp;DATE(2026,10,31))</f>
        <v>0</v>
      </c>
      <c r="M9" s="26" t="n">
        <f aca="false">SUMIFS(Report!$U$10:$U$604,Report!$T$10:$T$604,$A9,Report!$C$10:$C$604,"&gt;="&amp;DATE(2026,11,1),Report!$C$10:$C$604,"&lt;="&amp;DATE(2026,11,30))</f>
        <v>0</v>
      </c>
      <c r="N9" s="26" t="n">
        <f aca="false">SUMIFS(Report!$U$10:$U$604,Report!$T$10:$T$604,$A9,Report!$C$10:$C$604,"&gt;="&amp;DATE(2026,12,1),Report!$C$10:$C$604,"&lt;="&amp;DATE(2026,12,31))</f>
        <v>0</v>
      </c>
      <c r="O9" s="26" t="n">
        <f aca="false">SUMIFS(Report!$U$10:$U$604,Report!$T$10:$T$604,$A9,Report!$C$10:$C$604,"&gt;="&amp;DATE(2027,1,1),Report!$C$10:$C$604,"&lt;="&amp;DATE(2027,1,31))</f>
        <v>0</v>
      </c>
      <c r="P9" s="26" t="n">
        <f aca="false">SUMIFS(Report!$U$10:$U$604,Report!$T$10:$T$604,$A9,Report!$C$10:$C$604,"&gt;="&amp;DATE(2027,2,1),Report!$C$10:$C$604,"&lt;="&amp;DATE(2027,2,28))</f>
        <v>0</v>
      </c>
      <c r="Q9" s="26" t="n">
        <f aca="false">SUMIFS(Report!$U$10:$U$604,Report!$T$10:$T$604,$A9,Report!$C$10:$C$604,"&gt;="&amp;DATE(2027,3,1),Report!$C$10:$C$604,"&lt;="&amp;DATE(2027,3,31))</f>
        <v>0</v>
      </c>
      <c r="R9" s="26" t="n">
        <f aca="false">SUMIFS(Report!$U$10:$U$604,Report!$T$10:$T$604,$A9,Report!$C$10:$C$604,"&gt;="&amp;DATE(2027,4,1),Report!$C$10:$C$604,"&lt;="&amp;DATE(2027,4,30))</f>
        <v>0</v>
      </c>
      <c r="S9" s="26" t="n">
        <f aca="false">SUMIFS(Report!$U$10:$U$604,Report!$T$10:$T$604,$A9,Report!$C$10:$C$604,"&gt;="&amp;DATE(2027,5,1),Report!$C$10:$C$604,"&lt;="&amp;DATE(2027,5,31))</f>
        <v>0</v>
      </c>
      <c r="T9" s="26" t="n">
        <f aca="false">SUMIFS(Report!$U$10:$U$604,Report!$T$10:$T$604,$A9,Report!$C$10:$C$604,"&gt;="&amp;DATE(2027,6,1),Report!$C$10:$C$604,"&lt;="&amp;DATE(2027,6,30))</f>
        <v>0</v>
      </c>
      <c r="U9" s="26" t="n">
        <f aca="false">SUMIFS(Report!$U$10:$U$604,Report!$T$10:$T$604,$A9,Report!$C$10:$C$604,"&gt;="&amp;DATE(2027,7,1),Report!$C$10:$C$604,"&lt;="&amp;DATE(2027,7,31))</f>
        <v>0</v>
      </c>
      <c r="V9" s="26" t="n">
        <f aca="false">SUMIFS(Report!$U$10:$U$604,Report!$T$10:$T$604,$A9,Report!$C$10:$C$604,"&gt;="&amp;DATE(2027,8,1),Report!$C$10:$C$604,"&lt;="&amp;DATE(2027,8,31))</f>
        <v>0</v>
      </c>
      <c r="W9" s="26" t="n">
        <f aca="false">SUMIFS(Report!$U$10:$U$604,Report!$T$10:$T$604,$A9,Report!$C$10:$C$604,"&gt;="&amp;DATE(2027,9,1),Report!$C$10:$C$604,"&lt;="&amp;DATE(2027,9,30))</f>
        <v>0</v>
      </c>
      <c r="X9" s="26" t="n">
        <f aca="false">SUMIFS(Report!$U$10:$U$604,Report!$T$10:$T$604,$A9,Report!$C$10:$C$604,"&gt;="&amp;DATE(2027,10,1),Report!$C$10:$C$604,"&lt;="&amp;DATE(2027,10,31))</f>
        <v>0</v>
      </c>
      <c r="Y9" s="26" t="n">
        <f aca="false">SUMIFS(Report!$U$10:$U$604,Report!$T$10:$T$604,$A9,Report!$C$10:$C$604,"&gt;="&amp;DATE(2027,11,1),Report!$C$10:$C$604,"&lt;="&amp;DATE(2027,11,30))</f>
        <v>0</v>
      </c>
      <c r="Z9" s="26" t="n">
        <f aca="false">SUMIFS(Report!$U$10:$U$604,Report!$T$10:$T$604,$A9,Report!$C$10:$C$604,"&gt;="&amp;DATE(2027,12,1),Report!$C$10:$C$604,"&lt;="&amp;DATE(2027,12,31))</f>
        <v>0</v>
      </c>
      <c r="AA9" s="26" t="n">
        <f aca="false">SUM(C9:Z9)</f>
        <v>1854.91</v>
      </c>
    </row>
    <row r="10" customFormat="false" ht="15" hidden="false" customHeight="true" outlineLevel="0" collapsed="false">
      <c r="A10" s="25" t="s">
        <v>70</v>
      </c>
      <c r="B10" s="25" t="str">
        <f aca="false">IFERROR(INDEX('Resumo Grupos'!$AC$3:$AC$38,MATCH($A10,'Resumo Grupos'!$AB$3:$AB$38,0)),"n/d")</f>
        <v>Despesa</v>
      </c>
      <c r="C10" s="26" t="n">
        <f aca="false">SUMIFS(Report!$U$10:$U$604,Report!$T$10:$T$604,$A10,Report!$C$10:$C$604,"&gt;="&amp;DATE(2026,1,1),Report!$C$10:$C$604,"&lt;="&amp;DATE(2026,1,31))</f>
        <v>0</v>
      </c>
      <c r="D10" s="26" t="n">
        <f aca="false">SUMIFS(Report!$U$10:$U$604,Report!$T$10:$T$604,$A10,Report!$C$10:$C$604,"&gt;="&amp;DATE(2026,2,1),Report!$C$10:$C$604,"&lt;="&amp;DATE(2026,2,28))</f>
        <v>0</v>
      </c>
      <c r="E10" s="26" t="n">
        <f aca="false">SUMIFS(Report!$U$10:$U$604,Report!$T$10:$T$604,$A10,Report!$C$10:$C$604,"&gt;="&amp;DATE(2026,3,1),Report!$C$10:$C$604,"&lt;="&amp;DATE(2026,3,31))</f>
        <v>0</v>
      </c>
      <c r="F10" s="26" t="n">
        <f aca="false">SUMIFS(Report!$U$10:$U$604,Report!$T$10:$T$604,$A10,Report!$C$10:$C$604,"&gt;="&amp;DATE(2026,4,1),Report!$C$10:$C$604,"&lt;="&amp;DATE(2026,4,30))</f>
        <v>0</v>
      </c>
      <c r="G10" s="26" t="n">
        <f aca="false">SUMIFS(Report!$U$10:$U$604,Report!$T$10:$T$604,$A10,Report!$C$10:$C$604,"&gt;="&amp;DATE(2026,5,1),Report!$C$10:$C$604,"&lt;="&amp;DATE(2026,5,31))</f>
        <v>0</v>
      </c>
      <c r="H10" s="26" t="n">
        <f aca="false">SUMIFS(Report!$U$10:$U$604,Report!$T$10:$T$604,$A10,Report!$C$10:$C$604,"&gt;="&amp;DATE(2026,6,1),Report!$C$10:$C$604,"&lt;="&amp;DATE(2026,6,30))</f>
        <v>0</v>
      </c>
      <c r="I10" s="26" t="n">
        <f aca="false">SUMIFS(Report!$U$10:$U$604,Report!$T$10:$T$604,$A10,Report!$C$10:$C$604,"&gt;="&amp;DATE(2026,7,1),Report!$C$10:$C$604,"&lt;="&amp;DATE(2026,7,31))</f>
        <v>5204.78</v>
      </c>
      <c r="J10" s="26" t="n">
        <f aca="false">SUMIFS(Report!$U$10:$U$604,Report!$T$10:$T$604,$A10,Report!$C$10:$C$604,"&gt;="&amp;DATE(2026,8,1),Report!$C$10:$C$604,"&lt;="&amp;DATE(2026,8,31))</f>
        <v>1354.87</v>
      </c>
      <c r="K10" s="26" t="n">
        <f aca="false">SUMIFS(Report!$U$10:$U$604,Report!$T$10:$T$604,$A10,Report!$C$10:$C$604,"&gt;="&amp;DATE(2026,9,1),Report!$C$10:$C$604,"&lt;="&amp;DATE(2026,9,30))</f>
        <v>778.82</v>
      </c>
      <c r="L10" s="26" t="n">
        <f aca="false">SUMIFS(Report!$U$10:$U$604,Report!$T$10:$T$604,$A10,Report!$C$10:$C$604,"&gt;="&amp;DATE(2026,10,1),Report!$C$10:$C$604,"&lt;="&amp;DATE(2026,10,31))</f>
        <v>0</v>
      </c>
      <c r="M10" s="26" t="n">
        <f aca="false">SUMIFS(Report!$U$10:$U$604,Report!$T$10:$T$604,$A10,Report!$C$10:$C$604,"&gt;="&amp;DATE(2026,11,1),Report!$C$10:$C$604,"&lt;="&amp;DATE(2026,11,30))</f>
        <v>0</v>
      </c>
      <c r="N10" s="26" t="n">
        <f aca="false">SUMIFS(Report!$U$10:$U$604,Report!$T$10:$T$604,$A10,Report!$C$10:$C$604,"&gt;="&amp;DATE(2026,12,1),Report!$C$10:$C$604,"&lt;="&amp;DATE(2026,12,31))</f>
        <v>0</v>
      </c>
      <c r="O10" s="26" t="n">
        <f aca="false">SUMIFS(Report!$U$10:$U$604,Report!$T$10:$T$604,$A10,Report!$C$10:$C$604,"&gt;="&amp;DATE(2027,1,1),Report!$C$10:$C$604,"&lt;="&amp;DATE(2027,1,31))</f>
        <v>0</v>
      </c>
      <c r="P10" s="26" t="n">
        <f aca="false">SUMIFS(Report!$U$10:$U$604,Report!$T$10:$T$604,$A10,Report!$C$10:$C$604,"&gt;="&amp;DATE(2027,2,1),Report!$C$10:$C$604,"&lt;="&amp;DATE(2027,2,28))</f>
        <v>0</v>
      </c>
      <c r="Q10" s="26" t="n">
        <f aca="false">SUMIFS(Report!$U$10:$U$604,Report!$T$10:$T$604,$A10,Report!$C$10:$C$604,"&gt;="&amp;DATE(2027,3,1),Report!$C$10:$C$604,"&lt;="&amp;DATE(2027,3,31))</f>
        <v>0</v>
      </c>
      <c r="R10" s="26" t="n">
        <f aca="false">SUMIFS(Report!$U$10:$U$604,Report!$T$10:$T$604,$A10,Report!$C$10:$C$604,"&gt;="&amp;DATE(2027,4,1),Report!$C$10:$C$604,"&lt;="&amp;DATE(2027,4,30))</f>
        <v>0</v>
      </c>
      <c r="S10" s="26" t="n">
        <f aca="false">SUMIFS(Report!$U$10:$U$604,Report!$T$10:$T$604,$A10,Report!$C$10:$C$604,"&gt;="&amp;DATE(2027,5,1),Report!$C$10:$C$604,"&lt;="&amp;DATE(2027,5,31))</f>
        <v>0</v>
      </c>
      <c r="T10" s="26" t="n">
        <f aca="false">SUMIFS(Report!$U$10:$U$604,Report!$T$10:$T$604,$A10,Report!$C$10:$C$604,"&gt;="&amp;DATE(2027,6,1),Report!$C$10:$C$604,"&lt;="&amp;DATE(2027,6,30))</f>
        <v>0</v>
      </c>
      <c r="U10" s="26" t="n">
        <f aca="false">SUMIFS(Report!$U$10:$U$604,Report!$T$10:$T$604,$A10,Report!$C$10:$C$604,"&gt;="&amp;DATE(2027,7,1),Report!$C$10:$C$604,"&lt;="&amp;DATE(2027,7,31))</f>
        <v>0</v>
      </c>
      <c r="V10" s="26" t="n">
        <f aca="false">SUMIFS(Report!$U$10:$U$604,Report!$T$10:$T$604,$A10,Report!$C$10:$C$604,"&gt;="&amp;DATE(2027,8,1),Report!$C$10:$C$604,"&lt;="&amp;DATE(2027,8,31))</f>
        <v>0</v>
      </c>
      <c r="W10" s="26" t="n">
        <f aca="false">SUMIFS(Report!$U$10:$U$604,Report!$T$10:$T$604,$A10,Report!$C$10:$C$604,"&gt;="&amp;DATE(2027,9,1),Report!$C$10:$C$604,"&lt;="&amp;DATE(2027,9,30))</f>
        <v>0</v>
      </c>
      <c r="X10" s="26" t="n">
        <f aca="false">SUMIFS(Report!$U$10:$U$604,Report!$T$10:$T$604,$A10,Report!$C$10:$C$604,"&gt;="&amp;DATE(2027,10,1),Report!$C$10:$C$604,"&lt;="&amp;DATE(2027,10,31))</f>
        <v>0</v>
      </c>
      <c r="Y10" s="26" t="n">
        <f aca="false">SUMIFS(Report!$U$10:$U$604,Report!$T$10:$T$604,$A10,Report!$C$10:$C$604,"&gt;="&amp;DATE(2027,11,1),Report!$C$10:$C$604,"&lt;="&amp;DATE(2027,11,30))</f>
        <v>0</v>
      </c>
      <c r="Z10" s="26" t="n">
        <f aca="false">SUMIFS(Report!$U$10:$U$604,Report!$T$10:$T$604,$A10,Report!$C$10:$C$604,"&gt;="&amp;DATE(2027,12,1),Report!$C$10:$C$604,"&lt;="&amp;DATE(2027,12,31))</f>
        <v>0</v>
      </c>
      <c r="AA10" s="26" t="n">
        <f aca="false">SUM(C10:Z10)</f>
        <v>7338.47</v>
      </c>
    </row>
    <row r="11" customFormat="false" ht="15" hidden="false" customHeight="true" outlineLevel="0" collapsed="false">
      <c r="A11" s="25" t="s">
        <v>93</v>
      </c>
      <c r="B11" s="25" t="str">
        <f aca="false">IFERROR(INDEX('Resumo Grupos'!$AC$3:$AC$38,MATCH($A11,'Resumo Grupos'!$AB$3:$AB$38,0)),"n/d")</f>
        <v>Empréstimo</v>
      </c>
      <c r="C11" s="26" t="n">
        <f aca="false">SUMIFS(Report!$U$10:$U$604,Report!$T$10:$T$604,$A11,Report!$C$10:$C$604,"&gt;="&amp;DATE(2026,1,1),Report!$C$10:$C$604,"&lt;="&amp;DATE(2026,1,31))</f>
        <v>0</v>
      </c>
      <c r="D11" s="26" t="n">
        <f aca="false">SUMIFS(Report!$U$10:$U$604,Report!$T$10:$T$604,$A11,Report!$C$10:$C$604,"&gt;="&amp;DATE(2026,2,1),Report!$C$10:$C$604,"&lt;="&amp;DATE(2026,2,28))</f>
        <v>0</v>
      </c>
      <c r="E11" s="26" t="n">
        <f aca="false">SUMIFS(Report!$U$10:$U$604,Report!$T$10:$T$604,$A11,Report!$C$10:$C$604,"&gt;="&amp;DATE(2026,3,1),Report!$C$10:$C$604,"&lt;="&amp;DATE(2026,3,31))</f>
        <v>0</v>
      </c>
      <c r="F11" s="26" t="n">
        <f aca="false">SUMIFS(Report!$U$10:$U$604,Report!$T$10:$T$604,$A11,Report!$C$10:$C$604,"&gt;="&amp;DATE(2026,4,1),Report!$C$10:$C$604,"&lt;="&amp;DATE(2026,4,30))</f>
        <v>0</v>
      </c>
      <c r="G11" s="26" t="n">
        <f aca="false">SUMIFS(Report!$U$10:$U$604,Report!$T$10:$T$604,$A11,Report!$C$10:$C$604,"&gt;="&amp;DATE(2026,5,1),Report!$C$10:$C$604,"&lt;="&amp;DATE(2026,5,31))</f>
        <v>0</v>
      </c>
      <c r="H11" s="26" t="n">
        <f aca="false">SUMIFS(Report!$U$10:$U$604,Report!$T$10:$T$604,$A11,Report!$C$10:$C$604,"&gt;="&amp;DATE(2026,6,1),Report!$C$10:$C$604,"&lt;="&amp;DATE(2026,6,30))</f>
        <v>0</v>
      </c>
      <c r="I11" s="26" t="n">
        <f aca="false">SUMIFS(Report!$U$10:$U$604,Report!$T$10:$T$604,$A11,Report!$C$10:$C$604,"&gt;="&amp;DATE(2026,7,1),Report!$C$10:$C$604,"&lt;="&amp;DATE(2026,7,31))</f>
        <v>6504.77</v>
      </c>
      <c r="J11" s="26" t="n">
        <f aca="false">SUMIFS(Report!$U$10:$U$604,Report!$T$10:$T$604,$A11,Report!$C$10:$C$604,"&gt;="&amp;DATE(2026,8,1),Report!$C$10:$C$604,"&lt;="&amp;DATE(2026,8,31))</f>
        <v>6504.77</v>
      </c>
      <c r="K11" s="26" t="n">
        <f aca="false">SUMIFS(Report!$U$10:$U$604,Report!$T$10:$T$604,$A11,Report!$C$10:$C$604,"&gt;="&amp;DATE(2026,9,1),Report!$C$10:$C$604,"&lt;="&amp;DATE(2026,9,30))</f>
        <v>4168.41</v>
      </c>
      <c r="L11" s="26" t="n">
        <f aca="false">SUMIFS(Report!$U$10:$U$604,Report!$T$10:$T$604,$A11,Report!$C$10:$C$604,"&gt;="&amp;DATE(2026,10,1),Report!$C$10:$C$604,"&lt;="&amp;DATE(2026,10,31))</f>
        <v>0</v>
      </c>
      <c r="M11" s="26" t="n">
        <f aca="false">SUMIFS(Report!$U$10:$U$604,Report!$T$10:$T$604,$A11,Report!$C$10:$C$604,"&gt;="&amp;DATE(2026,11,1),Report!$C$10:$C$604,"&lt;="&amp;DATE(2026,11,30))</f>
        <v>0</v>
      </c>
      <c r="N11" s="26" t="n">
        <f aca="false">SUMIFS(Report!$U$10:$U$604,Report!$T$10:$T$604,$A11,Report!$C$10:$C$604,"&gt;="&amp;DATE(2026,12,1),Report!$C$10:$C$604,"&lt;="&amp;DATE(2026,12,31))</f>
        <v>0</v>
      </c>
      <c r="O11" s="26" t="n">
        <f aca="false">SUMIFS(Report!$U$10:$U$604,Report!$T$10:$T$604,$A11,Report!$C$10:$C$604,"&gt;="&amp;DATE(2027,1,1),Report!$C$10:$C$604,"&lt;="&amp;DATE(2027,1,31))</f>
        <v>0</v>
      </c>
      <c r="P11" s="26" t="n">
        <f aca="false">SUMIFS(Report!$U$10:$U$604,Report!$T$10:$T$604,$A11,Report!$C$10:$C$604,"&gt;="&amp;DATE(2027,2,1),Report!$C$10:$C$604,"&lt;="&amp;DATE(2027,2,28))</f>
        <v>0</v>
      </c>
      <c r="Q11" s="26" t="n">
        <f aca="false">SUMIFS(Report!$U$10:$U$604,Report!$T$10:$T$604,$A11,Report!$C$10:$C$604,"&gt;="&amp;DATE(2027,3,1),Report!$C$10:$C$604,"&lt;="&amp;DATE(2027,3,31))</f>
        <v>0</v>
      </c>
      <c r="R11" s="26" t="n">
        <f aca="false">SUMIFS(Report!$U$10:$U$604,Report!$T$10:$T$604,$A11,Report!$C$10:$C$604,"&gt;="&amp;DATE(2027,4,1),Report!$C$10:$C$604,"&lt;="&amp;DATE(2027,4,30))</f>
        <v>0</v>
      </c>
      <c r="S11" s="26" t="n">
        <f aca="false">SUMIFS(Report!$U$10:$U$604,Report!$T$10:$T$604,$A11,Report!$C$10:$C$604,"&gt;="&amp;DATE(2027,5,1),Report!$C$10:$C$604,"&lt;="&amp;DATE(2027,5,31))</f>
        <v>0</v>
      </c>
      <c r="T11" s="26" t="n">
        <f aca="false">SUMIFS(Report!$U$10:$U$604,Report!$T$10:$T$604,$A11,Report!$C$10:$C$604,"&gt;="&amp;DATE(2027,6,1),Report!$C$10:$C$604,"&lt;="&amp;DATE(2027,6,30))</f>
        <v>0</v>
      </c>
      <c r="U11" s="26" t="n">
        <f aca="false">SUMIFS(Report!$U$10:$U$604,Report!$T$10:$T$604,$A11,Report!$C$10:$C$604,"&gt;="&amp;DATE(2027,7,1),Report!$C$10:$C$604,"&lt;="&amp;DATE(2027,7,31))</f>
        <v>0</v>
      </c>
      <c r="V11" s="26" t="n">
        <f aca="false">SUMIFS(Report!$U$10:$U$604,Report!$T$10:$T$604,$A11,Report!$C$10:$C$604,"&gt;="&amp;DATE(2027,8,1),Report!$C$10:$C$604,"&lt;="&amp;DATE(2027,8,31))</f>
        <v>0</v>
      </c>
      <c r="W11" s="26" t="n">
        <f aca="false">SUMIFS(Report!$U$10:$U$604,Report!$T$10:$T$604,$A11,Report!$C$10:$C$604,"&gt;="&amp;DATE(2027,9,1),Report!$C$10:$C$604,"&lt;="&amp;DATE(2027,9,30))</f>
        <v>0</v>
      </c>
      <c r="X11" s="26" t="n">
        <f aca="false">SUMIFS(Report!$U$10:$U$604,Report!$T$10:$T$604,$A11,Report!$C$10:$C$604,"&gt;="&amp;DATE(2027,10,1),Report!$C$10:$C$604,"&lt;="&amp;DATE(2027,10,31))</f>
        <v>0</v>
      </c>
      <c r="Y11" s="26" t="n">
        <f aca="false">SUMIFS(Report!$U$10:$U$604,Report!$T$10:$T$604,$A11,Report!$C$10:$C$604,"&gt;="&amp;DATE(2027,11,1),Report!$C$10:$C$604,"&lt;="&amp;DATE(2027,11,30))</f>
        <v>0</v>
      </c>
      <c r="Z11" s="26" t="n">
        <f aca="false">SUMIFS(Report!$U$10:$U$604,Report!$T$10:$T$604,$A11,Report!$C$10:$C$604,"&gt;="&amp;DATE(2027,12,1),Report!$C$10:$C$604,"&lt;="&amp;DATE(2027,12,31))</f>
        <v>0</v>
      </c>
      <c r="AA11" s="26" t="n">
        <f aca="false">SUM(C11:Z11)</f>
        <v>17177.95</v>
      </c>
    </row>
    <row r="12" customFormat="false" ht="15" hidden="false" customHeight="true" outlineLevel="0" collapsed="false">
      <c r="A12" s="25" t="s">
        <v>475</v>
      </c>
      <c r="B12" s="25" t="str">
        <f aca="false">IFERROR(INDEX('Resumo Grupos'!$AC$3:$AC$38,MATCH($A12,'Resumo Grupos'!$AB$3:$AB$38,0)),"n/d")</f>
        <v>Despesa</v>
      </c>
      <c r="C12" s="26" t="n">
        <f aca="false">SUMIFS(Report!$U$10:$U$604,Report!$T$10:$T$604,$A12,Report!$C$10:$C$604,"&gt;="&amp;DATE(2026,1,1),Report!$C$10:$C$604,"&lt;="&amp;DATE(2026,1,31))</f>
        <v>0</v>
      </c>
      <c r="D12" s="26" t="n">
        <f aca="false">SUMIFS(Report!$U$10:$U$604,Report!$T$10:$T$604,$A12,Report!$C$10:$C$604,"&gt;="&amp;DATE(2026,2,1),Report!$C$10:$C$604,"&lt;="&amp;DATE(2026,2,28))</f>
        <v>0</v>
      </c>
      <c r="E12" s="26" t="n">
        <f aca="false">SUMIFS(Report!$U$10:$U$604,Report!$T$10:$T$604,$A12,Report!$C$10:$C$604,"&gt;="&amp;DATE(2026,3,1),Report!$C$10:$C$604,"&lt;="&amp;DATE(2026,3,31))</f>
        <v>0</v>
      </c>
      <c r="F12" s="26" t="n">
        <f aca="false">SUMIFS(Report!$U$10:$U$604,Report!$T$10:$T$604,$A12,Report!$C$10:$C$604,"&gt;="&amp;DATE(2026,4,1),Report!$C$10:$C$604,"&lt;="&amp;DATE(2026,4,30))</f>
        <v>0</v>
      </c>
      <c r="G12" s="26" t="n">
        <f aca="false">SUMIFS(Report!$U$10:$U$604,Report!$T$10:$T$604,$A12,Report!$C$10:$C$604,"&gt;="&amp;DATE(2026,5,1),Report!$C$10:$C$604,"&lt;="&amp;DATE(2026,5,31))</f>
        <v>0</v>
      </c>
      <c r="H12" s="26" t="n">
        <f aca="false">SUMIFS(Report!$U$10:$U$604,Report!$T$10:$T$604,$A12,Report!$C$10:$C$604,"&gt;="&amp;DATE(2026,6,1),Report!$C$10:$C$604,"&lt;="&amp;DATE(2026,6,30))</f>
        <v>0</v>
      </c>
      <c r="I12" s="26" t="n">
        <f aca="false">SUMIFS(Report!$U$10:$U$604,Report!$T$10:$T$604,$A12,Report!$C$10:$C$604,"&gt;="&amp;DATE(2026,7,1),Report!$C$10:$C$604,"&lt;="&amp;DATE(2026,7,31))</f>
        <v>8621.9</v>
      </c>
      <c r="J12" s="26" t="n">
        <f aca="false">SUMIFS(Report!$U$10:$U$604,Report!$T$10:$T$604,$A12,Report!$C$10:$C$604,"&gt;="&amp;DATE(2026,8,1),Report!$C$10:$C$604,"&lt;="&amp;DATE(2026,8,31))</f>
        <v>0</v>
      </c>
      <c r="K12" s="26" t="n">
        <f aca="false">SUMIFS(Report!$U$10:$U$604,Report!$T$10:$T$604,$A12,Report!$C$10:$C$604,"&gt;="&amp;DATE(2026,9,1),Report!$C$10:$C$604,"&lt;="&amp;DATE(2026,9,30))</f>
        <v>0</v>
      </c>
      <c r="L12" s="26" t="n">
        <f aca="false">SUMIFS(Report!$U$10:$U$604,Report!$T$10:$T$604,$A12,Report!$C$10:$C$604,"&gt;="&amp;DATE(2026,10,1),Report!$C$10:$C$604,"&lt;="&amp;DATE(2026,10,31))</f>
        <v>0</v>
      </c>
      <c r="M12" s="26" t="n">
        <f aca="false">SUMIFS(Report!$U$10:$U$604,Report!$T$10:$T$604,$A12,Report!$C$10:$C$604,"&gt;="&amp;DATE(2026,11,1),Report!$C$10:$C$604,"&lt;="&amp;DATE(2026,11,30))</f>
        <v>0</v>
      </c>
      <c r="N12" s="26" t="n">
        <f aca="false">SUMIFS(Report!$U$10:$U$604,Report!$T$10:$T$604,$A12,Report!$C$10:$C$604,"&gt;="&amp;DATE(2026,12,1),Report!$C$10:$C$604,"&lt;="&amp;DATE(2026,12,31))</f>
        <v>0</v>
      </c>
      <c r="O12" s="26" t="n">
        <f aca="false">SUMIFS(Report!$U$10:$U$604,Report!$T$10:$T$604,$A12,Report!$C$10:$C$604,"&gt;="&amp;DATE(2027,1,1),Report!$C$10:$C$604,"&lt;="&amp;DATE(2027,1,31))</f>
        <v>0</v>
      </c>
      <c r="P12" s="26" t="n">
        <f aca="false">SUMIFS(Report!$U$10:$U$604,Report!$T$10:$T$604,$A12,Report!$C$10:$C$604,"&gt;="&amp;DATE(2027,2,1),Report!$C$10:$C$604,"&lt;="&amp;DATE(2027,2,28))</f>
        <v>0</v>
      </c>
      <c r="Q12" s="26" t="n">
        <f aca="false">SUMIFS(Report!$U$10:$U$604,Report!$T$10:$T$604,$A12,Report!$C$10:$C$604,"&gt;="&amp;DATE(2027,3,1),Report!$C$10:$C$604,"&lt;="&amp;DATE(2027,3,31))</f>
        <v>0</v>
      </c>
      <c r="R12" s="26" t="n">
        <f aca="false">SUMIFS(Report!$U$10:$U$604,Report!$T$10:$T$604,$A12,Report!$C$10:$C$604,"&gt;="&amp;DATE(2027,4,1),Report!$C$10:$C$604,"&lt;="&amp;DATE(2027,4,30))</f>
        <v>0</v>
      </c>
      <c r="S12" s="26" t="n">
        <f aca="false">SUMIFS(Report!$U$10:$U$604,Report!$T$10:$T$604,$A12,Report!$C$10:$C$604,"&gt;="&amp;DATE(2027,5,1),Report!$C$10:$C$604,"&lt;="&amp;DATE(2027,5,31))</f>
        <v>0</v>
      </c>
      <c r="T12" s="26" t="n">
        <f aca="false">SUMIFS(Report!$U$10:$U$604,Report!$T$10:$T$604,$A12,Report!$C$10:$C$604,"&gt;="&amp;DATE(2027,6,1),Report!$C$10:$C$604,"&lt;="&amp;DATE(2027,6,30))</f>
        <v>0</v>
      </c>
      <c r="U12" s="26" t="n">
        <f aca="false">SUMIFS(Report!$U$10:$U$604,Report!$T$10:$T$604,$A12,Report!$C$10:$C$604,"&gt;="&amp;DATE(2027,7,1),Report!$C$10:$C$604,"&lt;="&amp;DATE(2027,7,31))</f>
        <v>0</v>
      </c>
      <c r="V12" s="26" t="n">
        <f aca="false">SUMIFS(Report!$U$10:$U$604,Report!$T$10:$T$604,$A12,Report!$C$10:$C$604,"&gt;="&amp;DATE(2027,8,1),Report!$C$10:$C$604,"&lt;="&amp;DATE(2027,8,31))</f>
        <v>0</v>
      </c>
      <c r="W12" s="26" t="n">
        <f aca="false">SUMIFS(Report!$U$10:$U$604,Report!$T$10:$T$604,$A12,Report!$C$10:$C$604,"&gt;="&amp;DATE(2027,9,1),Report!$C$10:$C$604,"&lt;="&amp;DATE(2027,9,30))</f>
        <v>0</v>
      </c>
      <c r="X12" s="26" t="n">
        <f aca="false">SUMIFS(Report!$U$10:$U$604,Report!$T$10:$T$604,$A12,Report!$C$10:$C$604,"&gt;="&amp;DATE(2027,10,1),Report!$C$10:$C$604,"&lt;="&amp;DATE(2027,10,31))</f>
        <v>0</v>
      </c>
      <c r="Y12" s="26" t="n">
        <f aca="false">SUMIFS(Report!$U$10:$U$604,Report!$T$10:$T$604,$A12,Report!$C$10:$C$604,"&gt;="&amp;DATE(2027,11,1),Report!$C$10:$C$604,"&lt;="&amp;DATE(2027,11,30))</f>
        <v>0</v>
      </c>
      <c r="Z12" s="26" t="n">
        <f aca="false">SUMIFS(Report!$U$10:$U$604,Report!$T$10:$T$604,$A12,Report!$C$10:$C$604,"&gt;="&amp;DATE(2027,12,1),Report!$C$10:$C$604,"&lt;="&amp;DATE(2027,12,31))</f>
        <v>0</v>
      </c>
      <c r="AA12" s="26" t="n">
        <f aca="false">SUM(C12:Z12)</f>
        <v>8621.9</v>
      </c>
    </row>
    <row r="13" customFormat="false" ht="15" hidden="false" customHeight="true" outlineLevel="0" collapsed="false">
      <c r="A13" s="25" t="s">
        <v>284</v>
      </c>
      <c r="B13" s="25" t="str">
        <f aca="false">IFERROR(INDEX('Resumo Grupos'!$AC$3:$AC$38,MATCH($A13,'Resumo Grupos'!$AB$3:$AB$38,0)),"n/d")</f>
        <v>Salários</v>
      </c>
      <c r="C13" s="26" t="n">
        <f aca="false">SUMIFS(Report!$U$10:$U$604,Report!$T$10:$T$604,$A13,Report!$C$10:$C$604,"&gt;="&amp;DATE(2026,1,1),Report!$C$10:$C$604,"&lt;="&amp;DATE(2026,1,31))</f>
        <v>0</v>
      </c>
      <c r="D13" s="26" t="n">
        <f aca="false">SUMIFS(Report!$U$10:$U$604,Report!$T$10:$T$604,$A13,Report!$C$10:$C$604,"&gt;="&amp;DATE(2026,2,1),Report!$C$10:$C$604,"&lt;="&amp;DATE(2026,2,28))</f>
        <v>0</v>
      </c>
      <c r="E13" s="26" t="n">
        <f aca="false">SUMIFS(Report!$U$10:$U$604,Report!$T$10:$T$604,$A13,Report!$C$10:$C$604,"&gt;="&amp;DATE(2026,3,1),Report!$C$10:$C$604,"&lt;="&amp;DATE(2026,3,31))</f>
        <v>0</v>
      </c>
      <c r="F13" s="26" t="n">
        <f aca="false">SUMIFS(Report!$U$10:$U$604,Report!$T$10:$T$604,$A13,Report!$C$10:$C$604,"&gt;="&amp;DATE(2026,4,1),Report!$C$10:$C$604,"&lt;="&amp;DATE(2026,4,30))</f>
        <v>0</v>
      </c>
      <c r="G13" s="26" t="n">
        <f aca="false">SUMIFS(Report!$U$10:$U$604,Report!$T$10:$T$604,$A13,Report!$C$10:$C$604,"&gt;="&amp;DATE(2026,5,1),Report!$C$10:$C$604,"&lt;="&amp;DATE(2026,5,31))</f>
        <v>0</v>
      </c>
      <c r="H13" s="26" t="n">
        <f aca="false">SUMIFS(Report!$U$10:$U$604,Report!$T$10:$T$604,$A13,Report!$C$10:$C$604,"&gt;="&amp;DATE(2026,6,1),Report!$C$10:$C$604,"&lt;="&amp;DATE(2026,6,30))</f>
        <v>0</v>
      </c>
      <c r="I13" s="26" t="n">
        <f aca="false">SUMIFS(Report!$U$10:$U$604,Report!$T$10:$T$604,$A13,Report!$C$10:$C$604,"&gt;="&amp;DATE(2026,7,1),Report!$C$10:$C$604,"&lt;="&amp;DATE(2026,7,31))</f>
        <v>160</v>
      </c>
      <c r="J13" s="26" t="n">
        <f aca="false">SUMIFS(Report!$U$10:$U$604,Report!$T$10:$T$604,$A13,Report!$C$10:$C$604,"&gt;="&amp;DATE(2026,8,1),Report!$C$10:$C$604,"&lt;="&amp;DATE(2026,8,31))</f>
        <v>0</v>
      </c>
      <c r="K13" s="26" t="n">
        <f aca="false">SUMIFS(Report!$U$10:$U$604,Report!$T$10:$T$604,$A13,Report!$C$10:$C$604,"&gt;="&amp;DATE(2026,9,1),Report!$C$10:$C$604,"&lt;="&amp;DATE(2026,9,30))</f>
        <v>0</v>
      </c>
      <c r="L13" s="26" t="n">
        <f aca="false">SUMIFS(Report!$U$10:$U$604,Report!$T$10:$T$604,$A13,Report!$C$10:$C$604,"&gt;="&amp;DATE(2026,10,1),Report!$C$10:$C$604,"&lt;="&amp;DATE(2026,10,31))</f>
        <v>0</v>
      </c>
      <c r="M13" s="26" t="n">
        <f aca="false">SUMIFS(Report!$U$10:$U$604,Report!$T$10:$T$604,$A13,Report!$C$10:$C$604,"&gt;="&amp;DATE(2026,11,1),Report!$C$10:$C$604,"&lt;="&amp;DATE(2026,11,30))</f>
        <v>0</v>
      </c>
      <c r="N13" s="26" t="n">
        <f aca="false">SUMIFS(Report!$U$10:$U$604,Report!$T$10:$T$604,$A13,Report!$C$10:$C$604,"&gt;="&amp;DATE(2026,12,1),Report!$C$10:$C$604,"&lt;="&amp;DATE(2026,12,31))</f>
        <v>0</v>
      </c>
      <c r="O13" s="26" t="n">
        <f aca="false">SUMIFS(Report!$U$10:$U$604,Report!$T$10:$T$604,$A13,Report!$C$10:$C$604,"&gt;="&amp;DATE(2027,1,1),Report!$C$10:$C$604,"&lt;="&amp;DATE(2027,1,31))</f>
        <v>0</v>
      </c>
      <c r="P13" s="26" t="n">
        <f aca="false">SUMIFS(Report!$U$10:$U$604,Report!$T$10:$T$604,$A13,Report!$C$10:$C$604,"&gt;="&amp;DATE(2027,2,1),Report!$C$10:$C$604,"&lt;="&amp;DATE(2027,2,28))</f>
        <v>0</v>
      </c>
      <c r="Q13" s="26" t="n">
        <f aca="false">SUMIFS(Report!$U$10:$U$604,Report!$T$10:$T$604,$A13,Report!$C$10:$C$604,"&gt;="&amp;DATE(2027,3,1),Report!$C$10:$C$604,"&lt;="&amp;DATE(2027,3,31))</f>
        <v>0</v>
      </c>
      <c r="R13" s="26" t="n">
        <f aca="false">SUMIFS(Report!$U$10:$U$604,Report!$T$10:$T$604,$A13,Report!$C$10:$C$604,"&gt;="&amp;DATE(2027,4,1),Report!$C$10:$C$604,"&lt;="&amp;DATE(2027,4,30))</f>
        <v>0</v>
      </c>
      <c r="S13" s="26" t="n">
        <f aca="false">SUMIFS(Report!$U$10:$U$604,Report!$T$10:$T$604,$A13,Report!$C$10:$C$604,"&gt;="&amp;DATE(2027,5,1),Report!$C$10:$C$604,"&lt;="&amp;DATE(2027,5,31))</f>
        <v>0</v>
      </c>
      <c r="T13" s="26" t="n">
        <f aca="false">SUMIFS(Report!$U$10:$U$604,Report!$T$10:$T$604,$A13,Report!$C$10:$C$604,"&gt;="&amp;DATE(2027,6,1),Report!$C$10:$C$604,"&lt;="&amp;DATE(2027,6,30))</f>
        <v>0</v>
      </c>
      <c r="U13" s="26" t="n">
        <f aca="false">SUMIFS(Report!$U$10:$U$604,Report!$T$10:$T$604,$A13,Report!$C$10:$C$604,"&gt;="&amp;DATE(2027,7,1),Report!$C$10:$C$604,"&lt;="&amp;DATE(2027,7,31))</f>
        <v>0</v>
      </c>
      <c r="V13" s="26" t="n">
        <f aca="false">SUMIFS(Report!$U$10:$U$604,Report!$T$10:$T$604,$A13,Report!$C$10:$C$604,"&gt;="&amp;DATE(2027,8,1),Report!$C$10:$C$604,"&lt;="&amp;DATE(2027,8,31))</f>
        <v>0</v>
      </c>
      <c r="W13" s="26" t="n">
        <f aca="false">SUMIFS(Report!$U$10:$U$604,Report!$T$10:$T$604,$A13,Report!$C$10:$C$604,"&gt;="&amp;DATE(2027,9,1),Report!$C$10:$C$604,"&lt;="&amp;DATE(2027,9,30))</f>
        <v>0</v>
      </c>
      <c r="X13" s="26" t="n">
        <f aca="false">SUMIFS(Report!$U$10:$U$604,Report!$T$10:$T$604,$A13,Report!$C$10:$C$604,"&gt;="&amp;DATE(2027,10,1),Report!$C$10:$C$604,"&lt;="&amp;DATE(2027,10,31))</f>
        <v>0</v>
      </c>
      <c r="Y13" s="26" t="n">
        <f aca="false">SUMIFS(Report!$U$10:$U$604,Report!$T$10:$T$604,$A13,Report!$C$10:$C$604,"&gt;="&amp;DATE(2027,11,1),Report!$C$10:$C$604,"&lt;="&amp;DATE(2027,11,30))</f>
        <v>0</v>
      </c>
      <c r="Z13" s="26" t="n">
        <f aca="false">SUMIFS(Report!$U$10:$U$604,Report!$T$10:$T$604,$A13,Report!$C$10:$C$604,"&gt;="&amp;DATE(2027,12,1),Report!$C$10:$C$604,"&lt;="&amp;DATE(2027,12,31))</f>
        <v>0</v>
      </c>
      <c r="AA13" s="26" t="n">
        <f aca="false">SUM(C13:Z13)</f>
        <v>160</v>
      </c>
    </row>
    <row r="14" customFormat="false" ht="15" hidden="false" customHeight="true" outlineLevel="0" collapsed="false">
      <c r="A14" s="25" t="s">
        <v>646</v>
      </c>
      <c r="B14" s="25" t="str">
        <f aca="false">IFERROR(INDEX('Resumo Grupos'!$AC$3:$AC$38,MATCH($A14,'Resumo Grupos'!$AB$3:$AB$38,0)),"n/d")</f>
        <v>Salários</v>
      </c>
      <c r="C14" s="26" t="n">
        <f aca="false">SUMIFS(Report!$U$10:$U$604,Report!$T$10:$T$604,$A14,Report!$C$10:$C$604,"&gt;="&amp;DATE(2026,1,1),Report!$C$10:$C$604,"&lt;="&amp;DATE(2026,1,31))</f>
        <v>0</v>
      </c>
      <c r="D14" s="26" t="n">
        <f aca="false">SUMIFS(Report!$U$10:$U$604,Report!$T$10:$T$604,$A14,Report!$C$10:$C$604,"&gt;="&amp;DATE(2026,2,1),Report!$C$10:$C$604,"&lt;="&amp;DATE(2026,2,28))</f>
        <v>0</v>
      </c>
      <c r="E14" s="26" t="n">
        <f aca="false">SUMIFS(Report!$U$10:$U$604,Report!$T$10:$T$604,$A14,Report!$C$10:$C$604,"&gt;="&amp;DATE(2026,3,1),Report!$C$10:$C$604,"&lt;="&amp;DATE(2026,3,31))</f>
        <v>0</v>
      </c>
      <c r="F14" s="26" t="n">
        <f aca="false">SUMIFS(Report!$U$10:$U$604,Report!$T$10:$T$604,$A14,Report!$C$10:$C$604,"&gt;="&amp;DATE(2026,4,1),Report!$C$10:$C$604,"&lt;="&amp;DATE(2026,4,30))</f>
        <v>0</v>
      </c>
      <c r="G14" s="26" t="n">
        <f aca="false">SUMIFS(Report!$U$10:$U$604,Report!$T$10:$T$604,$A14,Report!$C$10:$C$604,"&gt;="&amp;DATE(2026,5,1),Report!$C$10:$C$604,"&lt;="&amp;DATE(2026,5,31))</f>
        <v>0</v>
      </c>
      <c r="H14" s="26" t="n">
        <f aca="false">SUMIFS(Report!$U$10:$U$604,Report!$T$10:$T$604,$A14,Report!$C$10:$C$604,"&gt;="&amp;DATE(2026,6,1),Report!$C$10:$C$604,"&lt;="&amp;DATE(2026,6,30))</f>
        <v>0</v>
      </c>
      <c r="I14" s="26" t="n">
        <f aca="false">SUMIFS(Report!$U$10:$U$604,Report!$T$10:$T$604,$A14,Report!$C$10:$C$604,"&gt;="&amp;DATE(2026,7,1),Report!$C$10:$C$604,"&lt;="&amp;DATE(2026,7,31))</f>
        <v>2355.82</v>
      </c>
      <c r="J14" s="26" t="n">
        <f aca="false">SUMIFS(Report!$U$10:$U$604,Report!$T$10:$T$604,$A14,Report!$C$10:$C$604,"&gt;="&amp;DATE(2026,8,1),Report!$C$10:$C$604,"&lt;="&amp;DATE(2026,8,31))</f>
        <v>0</v>
      </c>
      <c r="K14" s="26" t="n">
        <f aca="false">SUMIFS(Report!$U$10:$U$604,Report!$T$10:$T$604,$A14,Report!$C$10:$C$604,"&gt;="&amp;DATE(2026,9,1),Report!$C$10:$C$604,"&lt;="&amp;DATE(2026,9,30))</f>
        <v>0</v>
      </c>
      <c r="L14" s="26" t="n">
        <f aca="false">SUMIFS(Report!$U$10:$U$604,Report!$T$10:$T$604,$A14,Report!$C$10:$C$604,"&gt;="&amp;DATE(2026,10,1),Report!$C$10:$C$604,"&lt;="&amp;DATE(2026,10,31))</f>
        <v>0</v>
      </c>
      <c r="M14" s="26" t="n">
        <f aca="false">SUMIFS(Report!$U$10:$U$604,Report!$T$10:$T$604,$A14,Report!$C$10:$C$604,"&gt;="&amp;DATE(2026,11,1),Report!$C$10:$C$604,"&lt;="&amp;DATE(2026,11,30))</f>
        <v>0</v>
      </c>
      <c r="N14" s="26" t="n">
        <f aca="false">SUMIFS(Report!$U$10:$U$604,Report!$T$10:$T$604,$A14,Report!$C$10:$C$604,"&gt;="&amp;DATE(2026,12,1),Report!$C$10:$C$604,"&lt;="&amp;DATE(2026,12,31))</f>
        <v>0</v>
      </c>
      <c r="O14" s="26" t="n">
        <f aca="false">SUMIFS(Report!$U$10:$U$604,Report!$T$10:$T$604,$A14,Report!$C$10:$C$604,"&gt;="&amp;DATE(2027,1,1),Report!$C$10:$C$604,"&lt;="&amp;DATE(2027,1,31))</f>
        <v>0</v>
      </c>
      <c r="P14" s="26" t="n">
        <f aca="false">SUMIFS(Report!$U$10:$U$604,Report!$T$10:$T$604,$A14,Report!$C$10:$C$604,"&gt;="&amp;DATE(2027,2,1),Report!$C$10:$C$604,"&lt;="&amp;DATE(2027,2,28))</f>
        <v>0</v>
      </c>
      <c r="Q14" s="26" t="n">
        <f aca="false">SUMIFS(Report!$U$10:$U$604,Report!$T$10:$T$604,$A14,Report!$C$10:$C$604,"&gt;="&amp;DATE(2027,3,1),Report!$C$10:$C$604,"&lt;="&amp;DATE(2027,3,31))</f>
        <v>0</v>
      </c>
      <c r="R14" s="26" t="n">
        <f aca="false">SUMIFS(Report!$U$10:$U$604,Report!$T$10:$T$604,$A14,Report!$C$10:$C$604,"&gt;="&amp;DATE(2027,4,1),Report!$C$10:$C$604,"&lt;="&amp;DATE(2027,4,30))</f>
        <v>0</v>
      </c>
      <c r="S14" s="26" t="n">
        <f aca="false">SUMIFS(Report!$U$10:$U$604,Report!$T$10:$T$604,$A14,Report!$C$10:$C$604,"&gt;="&amp;DATE(2027,5,1),Report!$C$10:$C$604,"&lt;="&amp;DATE(2027,5,31))</f>
        <v>0</v>
      </c>
      <c r="T14" s="26" t="n">
        <f aca="false">SUMIFS(Report!$U$10:$U$604,Report!$T$10:$T$604,$A14,Report!$C$10:$C$604,"&gt;="&amp;DATE(2027,6,1),Report!$C$10:$C$604,"&lt;="&amp;DATE(2027,6,30))</f>
        <v>0</v>
      </c>
      <c r="U14" s="26" t="n">
        <f aca="false">SUMIFS(Report!$U$10:$U$604,Report!$T$10:$T$604,$A14,Report!$C$10:$C$604,"&gt;="&amp;DATE(2027,7,1),Report!$C$10:$C$604,"&lt;="&amp;DATE(2027,7,31))</f>
        <v>0</v>
      </c>
      <c r="V14" s="26" t="n">
        <f aca="false">SUMIFS(Report!$U$10:$U$604,Report!$T$10:$T$604,$A14,Report!$C$10:$C$604,"&gt;="&amp;DATE(2027,8,1),Report!$C$10:$C$604,"&lt;="&amp;DATE(2027,8,31))</f>
        <v>0</v>
      </c>
      <c r="W14" s="26" t="n">
        <f aca="false">SUMIFS(Report!$U$10:$U$604,Report!$T$10:$T$604,$A14,Report!$C$10:$C$604,"&gt;="&amp;DATE(2027,9,1),Report!$C$10:$C$604,"&lt;="&amp;DATE(2027,9,30))</f>
        <v>0</v>
      </c>
      <c r="X14" s="26" t="n">
        <f aca="false">SUMIFS(Report!$U$10:$U$604,Report!$T$10:$T$604,$A14,Report!$C$10:$C$604,"&gt;="&amp;DATE(2027,10,1),Report!$C$10:$C$604,"&lt;="&amp;DATE(2027,10,31))</f>
        <v>0</v>
      </c>
      <c r="Y14" s="26" t="n">
        <f aca="false">SUMIFS(Report!$U$10:$U$604,Report!$T$10:$T$604,$A14,Report!$C$10:$C$604,"&gt;="&amp;DATE(2027,11,1),Report!$C$10:$C$604,"&lt;="&amp;DATE(2027,11,30))</f>
        <v>0</v>
      </c>
      <c r="Z14" s="26" t="n">
        <f aca="false">SUMIFS(Report!$U$10:$U$604,Report!$T$10:$T$604,$A14,Report!$C$10:$C$604,"&gt;="&amp;DATE(2027,12,1),Report!$C$10:$C$604,"&lt;="&amp;DATE(2027,12,31))</f>
        <v>0</v>
      </c>
      <c r="AA14" s="26" t="n">
        <f aca="false">SUM(C14:Z14)</f>
        <v>2355.82</v>
      </c>
    </row>
    <row r="15" customFormat="false" ht="15" hidden="false" customHeight="true" outlineLevel="0" collapsed="false">
      <c r="A15" s="25" t="s">
        <v>519</v>
      </c>
      <c r="B15" s="25" t="str">
        <f aca="false">IFERROR(INDEX('Resumo Grupos'!$AC$3:$AC$38,MATCH($A15,'Resumo Grupos'!$AB$3:$AB$38,0)),"n/d")</f>
        <v>Impostos</v>
      </c>
      <c r="C15" s="26" t="n">
        <f aca="false">SUMIFS(Report!$U$10:$U$604,Report!$T$10:$T$604,$A15,Report!$C$10:$C$604,"&gt;="&amp;DATE(2026,1,1),Report!$C$10:$C$604,"&lt;="&amp;DATE(2026,1,31))</f>
        <v>0</v>
      </c>
      <c r="D15" s="26" t="n">
        <f aca="false">SUMIFS(Report!$U$10:$U$604,Report!$T$10:$T$604,$A15,Report!$C$10:$C$604,"&gt;="&amp;DATE(2026,2,1),Report!$C$10:$C$604,"&lt;="&amp;DATE(2026,2,28))</f>
        <v>0</v>
      </c>
      <c r="E15" s="26" t="n">
        <f aca="false">SUMIFS(Report!$U$10:$U$604,Report!$T$10:$T$604,$A15,Report!$C$10:$C$604,"&gt;="&amp;DATE(2026,3,1),Report!$C$10:$C$604,"&lt;="&amp;DATE(2026,3,31))</f>
        <v>0</v>
      </c>
      <c r="F15" s="26" t="n">
        <f aca="false">SUMIFS(Report!$U$10:$U$604,Report!$T$10:$T$604,$A15,Report!$C$10:$C$604,"&gt;="&amp;DATE(2026,4,1),Report!$C$10:$C$604,"&lt;="&amp;DATE(2026,4,30))</f>
        <v>0</v>
      </c>
      <c r="G15" s="26" t="n">
        <f aca="false">SUMIFS(Report!$U$10:$U$604,Report!$T$10:$T$604,$A15,Report!$C$10:$C$604,"&gt;="&amp;DATE(2026,5,1),Report!$C$10:$C$604,"&lt;="&amp;DATE(2026,5,31))</f>
        <v>0</v>
      </c>
      <c r="H15" s="26" t="n">
        <f aca="false">SUMIFS(Report!$U$10:$U$604,Report!$T$10:$T$604,$A15,Report!$C$10:$C$604,"&gt;="&amp;DATE(2026,6,1),Report!$C$10:$C$604,"&lt;="&amp;DATE(2026,6,30))</f>
        <v>0</v>
      </c>
      <c r="I15" s="26" t="n">
        <f aca="false">SUMIFS(Report!$U$10:$U$604,Report!$T$10:$T$604,$A15,Report!$C$10:$C$604,"&gt;="&amp;DATE(2026,7,1),Report!$C$10:$C$604,"&lt;="&amp;DATE(2026,7,31))</f>
        <v>2788.06</v>
      </c>
      <c r="J15" s="26" t="n">
        <f aca="false">SUMIFS(Report!$U$10:$U$604,Report!$T$10:$T$604,$A15,Report!$C$10:$C$604,"&gt;="&amp;DATE(2026,8,1),Report!$C$10:$C$604,"&lt;="&amp;DATE(2026,8,31))</f>
        <v>0</v>
      </c>
      <c r="K15" s="26" t="n">
        <f aca="false">SUMIFS(Report!$U$10:$U$604,Report!$T$10:$T$604,$A15,Report!$C$10:$C$604,"&gt;="&amp;DATE(2026,9,1),Report!$C$10:$C$604,"&lt;="&amp;DATE(2026,9,30))</f>
        <v>0</v>
      </c>
      <c r="L15" s="26" t="n">
        <f aca="false">SUMIFS(Report!$U$10:$U$604,Report!$T$10:$T$604,$A15,Report!$C$10:$C$604,"&gt;="&amp;DATE(2026,10,1),Report!$C$10:$C$604,"&lt;="&amp;DATE(2026,10,31))</f>
        <v>0</v>
      </c>
      <c r="M15" s="26" t="n">
        <f aca="false">SUMIFS(Report!$U$10:$U$604,Report!$T$10:$T$604,$A15,Report!$C$10:$C$604,"&gt;="&amp;DATE(2026,11,1),Report!$C$10:$C$604,"&lt;="&amp;DATE(2026,11,30))</f>
        <v>0</v>
      </c>
      <c r="N15" s="26" t="n">
        <f aca="false">SUMIFS(Report!$U$10:$U$604,Report!$T$10:$T$604,$A15,Report!$C$10:$C$604,"&gt;="&amp;DATE(2026,12,1),Report!$C$10:$C$604,"&lt;="&amp;DATE(2026,12,31))</f>
        <v>0</v>
      </c>
      <c r="O15" s="26" t="n">
        <f aca="false">SUMIFS(Report!$U$10:$U$604,Report!$T$10:$T$604,$A15,Report!$C$10:$C$604,"&gt;="&amp;DATE(2027,1,1),Report!$C$10:$C$604,"&lt;="&amp;DATE(2027,1,31))</f>
        <v>0</v>
      </c>
      <c r="P15" s="26" t="n">
        <f aca="false">SUMIFS(Report!$U$10:$U$604,Report!$T$10:$T$604,$A15,Report!$C$10:$C$604,"&gt;="&amp;DATE(2027,2,1),Report!$C$10:$C$604,"&lt;="&amp;DATE(2027,2,28))</f>
        <v>0</v>
      </c>
      <c r="Q15" s="26" t="n">
        <f aca="false">SUMIFS(Report!$U$10:$U$604,Report!$T$10:$T$604,$A15,Report!$C$10:$C$604,"&gt;="&amp;DATE(2027,3,1),Report!$C$10:$C$604,"&lt;="&amp;DATE(2027,3,31))</f>
        <v>0</v>
      </c>
      <c r="R15" s="26" t="n">
        <f aca="false">SUMIFS(Report!$U$10:$U$604,Report!$T$10:$T$604,$A15,Report!$C$10:$C$604,"&gt;="&amp;DATE(2027,4,1),Report!$C$10:$C$604,"&lt;="&amp;DATE(2027,4,30))</f>
        <v>0</v>
      </c>
      <c r="S15" s="26" t="n">
        <f aca="false">SUMIFS(Report!$U$10:$U$604,Report!$T$10:$T$604,$A15,Report!$C$10:$C$604,"&gt;="&amp;DATE(2027,5,1),Report!$C$10:$C$604,"&lt;="&amp;DATE(2027,5,31))</f>
        <v>0</v>
      </c>
      <c r="T15" s="26" t="n">
        <f aca="false">SUMIFS(Report!$U$10:$U$604,Report!$T$10:$T$604,$A15,Report!$C$10:$C$604,"&gt;="&amp;DATE(2027,6,1),Report!$C$10:$C$604,"&lt;="&amp;DATE(2027,6,30))</f>
        <v>0</v>
      </c>
      <c r="U15" s="26" t="n">
        <f aca="false">SUMIFS(Report!$U$10:$U$604,Report!$T$10:$T$604,$A15,Report!$C$10:$C$604,"&gt;="&amp;DATE(2027,7,1),Report!$C$10:$C$604,"&lt;="&amp;DATE(2027,7,31))</f>
        <v>0</v>
      </c>
      <c r="V15" s="26" t="n">
        <f aca="false">SUMIFS(Report!$U$10:$U$604,Report!$T$10:$T$604,$A15,Report!$C$10:$C$604,"&gt;="&amp;DATE(2027,8,1),Report!$C$10:$C$604,"&lt;="&amp;DATE(2027,8,31))</f>
        <v>0</v>
      </c>
      <c r="W15" s="26" t="n">
        <f aca="false">SUMIFS(Report!$U$10:$U$604,Report!$T$10:$T$604,$A15,Report!$C$10:$C$604,"&gt;="&amp;DATE(2027,9,1),Report!$C$10:$C$604,"&lt;="&amp;DATE(2027,9,30))</f>
        <v>0</v>
      </c>
      <c r="X15" s="26" t="n">
        <f aca="false">SUMIFS(Report!$U$10:$U$604,Report!$T$10:$T$604,$A15,Report!$C$10:$C$604,"&gt;="&amp;DATE(2027,10,1),Report!$C$10:$C$604,"&lt;="&amp;DATE(2027,10,31))</f>
        <v>0</v>
      </c>
      <c r="Y15" s="26" t="n">
        <f aca="false">SUMIFS(Report!$U$10:$U$604,Report!$T$10:$T$604,$A15,Report!$C$10:$C$604,"&gt;="&amp;DATE(2027,11,1),Report!$C$10:$C$604,"&lt;="&amp;DATE(2027,11,30))</f>
        <v>0</v>
      </c>
      <c r="Z15" s="26" t="n">
        <f aca="false">SUMIFS(Report!$U$10:$U$604,Report!$T$10:$T$604,$A15,Report!$C$10:$C$604,"&gt;="&amp;DATE(2027,12,1),Report!$C$10:$C$604,"&lt;="&amp;DATE(2027,12,31))</f>
        <v>0</v>
      </c>
      <c r="AA15" s="26" t="n">
        <f aca="false">SUM(C15:Z15)</f>
        <v>2788.06</v>
      </c>
    </row>
    <row r="16" customFormat="false" ht="15" hidden="false" customHeight="true" outlineLevel="0" collapsed="false">
      <c r="A16" s="25" t="s">
        <v>31</v>
      </c>
      <c r="B16" s="25" t="str">
        <f aca="false">IFERROR(INDEX('Resumo Grupos'!$AC$3:$AC$38,MATCH($A16,'Resumo Grupos'!$AB$3:$AB$38,0)),"n/d")</f>
        <v>Despesa</v>
      </c>
      <c r="C16" s="26" t="n">
        <f aca="false">SUMIFS(Report!$U$10:$U$604,Report!$T$10:$T$604,$A16,Report!$C$10:$C$604,"&gt;="&amp;DATE(2026,1,1),Report!$C$10:$C$604,"&lt;="&amp;DATE(2026,1,31))</f>
        <v>0</v>
      </c>
      <c r="D16" s="26" t="n">
        <f aca="false">SUMIFS(Report!$U$10:$U$604,Report!$T$10:$T$604,$A16,Report!$C$10:$C$604,"&gt;="&amp;DATE(2026,2,1),Report!$C$10:$C$604,"&lt;="&amp;DATE(2026,2,28))</f>
        <v>0</v>
      </c>
      <c r="E16" s="26" t="n">
        <f aca="false">SUMIFS(Report!$U$10:$U$604,Report!$T$10:$T$604,$A16,Report!$C$10:$C$604,"&gt;="&amp;DATE(2026,3,1),Report!$C$10:$C$604,"&lt;="&amp;DATE(2026,3,31))</f>
        <v>0</v>
      </c>
      <c r="F16" s="26" t="n">
        <f aca="false">SUMIFS(Report!$U$10:$U$604,Report!$T$10:$T$604,$A16,Report!$C$10:$C$604,"&gt;="&amp;DATE(2026,4,1),Report!$C$10:$C$604,"&lt;="&amp;DATE(2026,4,30))</f>
        <v>0</v>
      </c>
      <c r="G16" s="26" t="n">
        <f aca="false">SUMIFS(Report!$U$10:$U$604,Report!$T$10:$T$604,$A16,Report!$C$10:$C$604,"&gt;="&amp;DATE(2026,5,1),Report!$C$10:$C$604,"&lt;="&amp;DATE(2026,5,31))</f>
        <v>0</v>
      </c>
      <c r="H16" s="26" t="n">
        <f aca="false">SUMIFS(Report!$U$10:$U$604,Report!$T$10:$T$604,$A16,Report!$C$10:$C$604,"&gt;="&amp;DATE(2026,6,1),Report!$C$10:$C$604,"&lt;="&amp;DATE(2026,6,30))</f>
        <v>0</v>
      </c>
      <c r="I16" s="26" t="n">
        <f aca="false">SUMIFS(Report!$U$10:$U$604,Report!$T$10:$T$604,$A16,Report!$C$10:$C$604,"&gt;="&amp;DATE(2026,7,1),Report!$C$10:$C$604,"&lt;="&amp;DATE(2026,7,31))</f>
        <v>226.67</v>
      </c>
      <c r="J16" s="26" t="n">
        <f aca="false">SUMIFS(Report!$U$10:$U$604,Report!$T$10:$T$604,$A16,Report!$C$10:$C$604,"&gt;="&amp;DATE(2026,8,1),Report!$C$10:$C$604,"&lt;="&amp;DATE(2026,8,31))</f>
        <v>226.66</v>
      </c>
      <c r="K16" s="26" t="n">
        <f aca="false">SUMIFS(Report!$U$10:$U$604,Report!$T$10:$T$604,$A16,Report!$C$10:$C$604,"&gt;="&amp;DATE(2026,9,1),Report!$C$10:$C$604,"&lt;="&amp;DATE(2026,9,30))</f>
        <v>0</v>
      </c>
      <c r="L16" s="26" t="n">
        <f aca="false">SUMIFS(Report!$U$10:$U$604,Report!$T$10:$T$604,$A16,Report!$C$10:$C$604,"&gt;="&amp;DATE(2026,10,1),Report!$C$10:$C$604,"&lt;="&amp;DATE(2026,10,31))</f>
        <v>0</v>
      </c>
      <c r="M16" s="26" t="n">
        <f aca="false">SUMIFS(Report!$U$10:$U$604,Report!$T$10:$T$604,$A16,Report!$C$10:$C$604,"&gt;="&amp;DATE(2026,11,1),Report!$C$10:$C$604,"&lt;="&amp;DATE(2026,11,30))</f>
        <v>0</v>
      </c>
      <c r="N16" s="26" t="n">
        <f aca="false">SUMIFS(Report!$U$10:$U$604,Report!$T$10:$T$604,$A16,Report!$C$10:$C$604,"&gt;="&amp;DATE(2026,12,1),Report!$C$10:$C$604,"&lt;="&amp;DATE(2026,12,31))</f>
        <v>0</v>
      </c>
      <c r="O16" s="26" t="n">
        <f aca="false">SUMIFS(Report!$U$10:$U$604,Report!$T$10:$T$604,$A16,Report!$C$10:$C$604,"&gt;="&amp;DATE(2027,1,1),Report!$C$10:$C$604,"&lt;="&amp;DATE(2027,1,31))</f>
        <v>0</v>
      </c>
      <c r="P16" s="26" t="n">
        <f aca="false">SUMIFS(Report!$U$10:$U$604,Report!$T$10:$T$604,$A16,Report!$C$10:$C$604,"&gt;="&amp;DATE(2027,2,1),Report!$C$10:$C$604,"&lt;="&amp;DATE(2027,2,28))</f>
        <v>0</v>
      </c>
      <c r="Q16" s="26" t="n">
        <f aca="false">SUMIFS(Report!$U$10:$U$604,Report!$T$10:$T$604,$A16,Report!$C$10:$C$604,"&gt;="&amp;DATE(2027,3,1),Report!$C$10:$C$604,"&lt;="&amp;DATE(2027,3,31))</f>
        <v>0</v>
      </c>
      <c r="R16" s="26" t="n">
        <f aca="false">SUMIFS(Report!$U$10:$U$604,Report!$T$10:$T$604,$A16,Report!$C$10:$C$604,"&gt;="&amp;DATE(2027,4,1),Report!$C$10:$C$604,"&lt;="&amp;DATE(2027,4,30))</f>
        <v>0</v>
      </c>
      <c r="S16" s="26" t="n">
        <f aca="false">SUMIFS(Report!$U$10:$U$604,Report!$T$10:$T$604,$A16,Report!$C$10:$C$604,"&gt;="&amp;DATE(2027,5,1),Report!$C$10:$C$604,"&lt;="&amp;DATE(2027,5,31))</f>
        <v>0</v>
      </c>
      <c r="T16" s="26" t="n">
        <f aca="false">SUMIFS(Report!$U$10:$U$604,Report!$T$10:$T$604,$A16,Report!$C$10:$C$604,"&gt;="&amp;DATE(2027,6,1),Report!$C$10:$C$604,"&lt;="&amp;DATE(2027,6,30))</f>
        <v>0</v>
      </c>
      <c r="U16" s="26" t="n">
        <f aca="false">SUMIFS(Report!$U$10:$U$604,Report!$T$10:$T$604,$A16,Report!$C$10:$C$604,"&gt;="&amp;DATE(2027,7,1),Report!$C$10:$C$604,"&lt;="&amp;DATE(2027,7,31))</f>
        <v>0</v>
      </c>
      <c r="V16" s="26" t="n">
        <f aca="false">SUMIFS(Report!$U$10:$U$604,Report!$T$10:$T$604,$A16,Report!$C$10:$C$604,"&gt;="&amp;DATE(2027,8,1),Report!$C$10:$C$604,"&lt;="&amp;DATE(2027,8,31))</f>
        <v>0</v>
      </c>
      <c r="W16" s="26" t="n">
        <f aca="false">SUMIFS(Report!$U$10:$U$604,Report!$T$10:$T$604,$A16,Report!$C$10:$C$604,"&gt;="&amp;DATE(2027,9,1),Report!$C$10:$C$604,"&lt;="&amp;DATE(2027,9,30))</f>
        <v>0</v>
      </c>
      <c r="X16" s="26" t="n">
        <f aca="false">SUMIFS(Report!$U$10:$U$604,Report!$T$10:$T$604,$A16,Report!$C$10:$C$604,"&gt;="&amp;DATE(2027,10,1),Report!$C$10:$C$604,"&lt;="&amp;DATE(2027,10,31))</f>
        <v>0</v>
      </c>
      <c r="Y16" s="26" t="n">
        <f aca="false">SUMIFS(Report!$U$10:$U$604,Report!$T$10:$T$604,$A16,Report!$C$10:$C$604,"&gt;="&amp;DATE(2027,11,1),Report!$C$10:$C$604,"&lt;="&amp;DATE(2027,11,30))</f>
        <v>0</v>
      </c>
      <c r="Z16" s="26" t="n">
        <f aca="false">SUMIFS(Report!$U$10:$U$604,Report!$T$10:$T$604,$A16,Report!$C$10:$C$604,"&gt;="&amp;DATE(2027,12,1),Report!$C$10:$C$604,"&lt;="&amp;DATE(2027,12,31))</f>
        <v>0</v>
      </c>
      <c r="AA16" s="26" t="n">
        <f aca="false">SUM(C16:Z16)</f>
        <v>453.33</v>
      </c>
    </row>
    <row r="17" customFormat="false" ht="15" hidden="false" customHeight="true" outlineLevel="0" collapsed="false">
      <c r="A17" s="25" t="s">
        <v>390</v>
      </c>
      <c r="B17" s="25" t="str">
        <f aca="false">IFERROR(INDEX('Resumo Grupos'!$AC$3:$AC$38,MATCH($A17,'Resumo Grupos'!$AB$3:$AB$38,0)),"n/d")</f>
        <v>Despesa</v>
      </c>
      <c r="C17" s="26" t="n">
        <f aca="false">SUMIFS(Report!$U$10:$U$604,Report!$T$10:$T$604,$A17,Report!$C$10:$C$604,"&gt;="&amp;DATE(2026,1,1),Report!$C$10:$C$604,"&lt;="&amp;DATE(2026,1,31))</f>
        <v>0</v>
      </c>
      <c r="D17" s="26" t="n">
        <f aca="false">SUMIFS(Report!$U$10:$U$604,Report!$T$10:$T$604,$A17,Report!$C$10:$C$604,"&gt;="&amp;DATE(2026,2,1),Report!$C$10:$C$604,"&lt;="&amp;DATE(2026,2,28))</f>
        <v>0</v>
      </c>
      <c r="E17" s="26" t="n">
        <f aca="false">SUMIFS(Report!$U$10:$U$604,Report!$T$10:$T$604,$A17,Report!$C$10:$C$604,"&gt;="&amp;DATE(2026,3,1),Report!$C$10:$C$604,"&lt;="&amp;DATE(2026,3,31))</f>
        <v>0</v>
      </c>
      <c r="F17" s="26" t="n">
        <f aca="false">SUMIFS(Report!$U$10:$U$604,Report!$T$10:$T$604,$A17,Report!$C$10:$C$604,"&gt;="&amp;DATE(2026,4,1),Report!$C$10:$C$604,"&lt;="&amp;DATE(2026,4,30))</f>
        <v>0</v>
      </c>
      <c r="G17" s="26" t="n">
        <f aca="false">SUMIFS(Report!$U$10:$U$604,Report!$T$10:$T$604,$A17,Report!$C$10:$C$604,"&gt;="&amp;DATE(2026,5,1),Report!$C$10:$C$604,"&lt;="&amp;DATE(2026,5,31))</f>
        <v>0</v>
      </c>
      <c r="H17" s="26" t="n">
        <f aca="false">SUMIFS(Report!$U$10:$U$604,Report!$T$10:$T$604,$A17,Report!$C$10:$C$604,"&gt;="&amp;DATE(2026,6,1),Report!$C$10:$C$604,"&lt;="&amp;DATE(2026,6,30))</f>
        <v>0</v>
      </c>
      <c r="I17" s="26" t="n">
        <f aca="false">SUMIFS(Report!$U$10:$U$604,Report!$T$10:$T$604,$A17,Report!$C$10:$C$604,"&gt;="&amp;DATE(2026,7,1),Report!$C$10:$C$604,"&lt;="&amp;DATE(2026,7,31))</f>
        <v>2431.5</v>
      </c>
      <c r="J17" s="26" t="n">
        <f aca="false">SUMIFS(Report!$U$10:$U$604,Report!$T$10:$T$604,$A17,Report!$C$10:$C$604,"&gt;="&amp;DATE(2026,8,1),Report!$C$10:$C$604,"&lt;="&amp;DATE(2026,8,31))</f>
        <v>2431.5</v>
      </c>
      <c r="K17" s="26" t="n">
        <f aca="false">SUMIFS(Report!$U$10:$U$604,Report!$T$10:$T$604,$A17,Report!$C$10:$C$604,"&gt;="&amp;DATE(2026,9,1),Report!$C$10:$C$604,"&lt;="&amp;DATE(2026,9,30))</f>
        <v>2431.5</v>
      </c>
      <c r="L17" s="26" t="n">
        <f aca="false">SUMIFS(Report!$U$10:$U$604,Report!$T$10:$T$604,$A17,Report!$C$10:$C$604,"&gt;="&amp;DATE(2026,10,1),Report!$C$10:$C$604,"&lt;="&amp;DATE(2026,10,31))</f>
        <v>0</v>
      </c>
      <c r="M17" s="26" t="n">
        <f aca="false">SUMIFS(Report!$U$10:$U$604,Report!$T$10:$T$604,$A17,Report!$C$10:$C$604,"&gt;="&amp;DATE(2026,11,1),Report!$C$10:$C$604,"&lt;="&amp;DATE(2026,11,30))</f>
        <v>0</v>
      </c>
      <c r="N17" s="26" t="n">
        <f aca="false">SUMIFS(Report!$U$10:$U$604,Report!$T$10:$T$604,$A17,Report!$C$10:$C$604,"&gt;="&amp;DATE(2026,12,1),Report!$C$10:$C$604,"&lt;="&amp;DATE(2026,12,31))</f>
        <v>0</v>
      </c>
      <c r="O17" s="26" t="n">
        <f aca="false">SUMIFS(Report!$U$10:$U$604,Report!$T$10:$T$604,$A17,Report!$C$10:$C$604,"&gt;="&amp;DATE(2027,1,1),Report!$C$10:$C$604,"&lt;="&amp;DATE(2027,1,31))</f>
        <v>0</v>
      </c>
      <c r="P17" s="26" t="n">
        <f aca="false">SUMIFS(Report!$U$10:$U$604,Report!$T$10:$T$604,$A17,Report!$C$10:$C$604,"&gt;="&amp;DATE(2027,2,1),Report!$C$10:$C$604,"&lt;="&amp;DATE(2027,2,28))</f>
        <v>0</v>
      </c>
      <c r="Q17" s="26" t="n">
        <f aca="false">SUMIFS(Report!$U$10:$U$604,Report!$T$10:$T$604,$A17,Report!$C$10:$C$604,"&gt;="&amp;DATE(2027,3,1),Report!$C$10:$C$604,"&lt;="&amp;DATE(2027,3,31))</f>
        <v>0</v>
      </c>
      <c r="R17" s="26" t="n">
        <f aca="false">SUMIFS(Report!$U$10:$U$604,Report!$T$10:$T$604,$A17,Report!$C$10:$C$604,"&gt;="&amp;DATE(2027,4,1),Report!$C$10:$C$604,"&lt;="&amp;DATE(2027,4,30))</f>
        <v>0</v>
      </c>
      <c r="S17" s="26" t="n">
        <f aca="false">SUMIFS(Report!$U$10:$U$604,Report!$T$10:$T$604,$A17,Report!$C$10:$C$604,"&gt;="&amp;DATE(2027,5,1),Report!$C$10:$C$604,"&lt;="&amp;DATE(2027,5,31))</f>
        <v>0</v>
      </c>
      <c r="T17" s="26" t="n">
        <f aca="false">SUMIFS(Report!$U$10:$U$604,Report!$T$10:$T$604,$A17,Report!$C$10:$C$604,"&gt;="&amp;DATE(2027,6,1),Report!$C$10:$C$604,"&lt;="&amp;DATE(2027,6,30))</f>
        <v>0</v>
      </c>
      <c r="U17" s="26" t="n">
        <f aca="false">SUMIFS(Report!$U$10:$U$604,Report!$T$10:$T$604,$A17,Report!$C$10:$C$604,"&gt;="&amp;DATE(2027,7,1),Report!$C$10:$C$604,"&lt;="&amp;DATE(2027,7,31))</f>
        <v>0</v>
      </c>
      <c r="V17" s="26" t="n">
        <f aca="false">SUMIFS(Report!$U$10:$U$604,Report!$T$10:$T$604,$A17,Report!$C$10:$C$604,"&gt;="&amp;DATE(2027,8,1),Report!$C$10:$C$604,"&lt;="&amp;DATE(2027,8,31))</f>
        <v>0</v>
      </c>
      <c r="W17" s="26" t="n">
        <f aca="false">SUMIFS(Report!$U$10:$U$604,Report!$T$10:$T$604,$A17,Report!$C$10:$C$604,"&gt;="&amp;DATE(2027,9,1),Report!$C$10:$C$604,"&lt;="&amp;DATE(2027,9,30))</f>
        <v>0</v>
      </c>
      <c r="X17" s="26" t="n">
        <f aca="false">SUMIFS(Report!$U$10:$U$604,Report!$T$10:$T$604,$A17,Report!$C$10:$C$604,"&gt;="&amp;DATE(2027,10,1),Report!$C$10:$C$604,"&lt;="&amp;DATE(2027,10,31))</f>
        <v>0</v>
      </c>
      <c r="Y17" s="26" t="n">
        <f aca="false">SUMIFS(Report!$U$10:$U$604,Report!$T$10:$T$604,$A17,Report!$C$10:$C$604,"&gt;="&amp;DATE(2027,11,1),Report!$C$10:$C$604,"&lt;="&amp;DATE(2027,11,30))</f>
        <v>0</v>
      </c>
      <c r="Z17" s="26" t="n">
        <f aca="false">SUMIFS(Report!$U$10:$U$604,Report!$T$10:$T$604,$A17,Report!$C$10:$C$604,"&gt;="&amp;DATE(2027,12,1),Report!$C$10:$C$604,"&lt;="&amp;DATE(2027,12,31))</f>
        <v>0</v>
      </c>
      <c r="AA17" s="26" t="n">
        <f aca="false">SUM(C17:Z17)</f>
        <v>7294.5</v>
      </c>
    </row>
    <row r="18" customFormat="false" ht="15" hidden="false" customHeight="true" outlineLevel="0" collapsed="false">
      <c r="A18" s="25" t="s">
        <v>370</v>
      </c>
      <c r="B18" s="25" t="str">
        <f aca="false">IFERROR(INDEX('Resumo Grupos'!$AC$3:$AC$38,MATCH($A18,'Resumo Grupos'!$AB$3:$AB$38,0)),"n/d")</f>
        <v>Despesa</v>
      </c>
      <c r="C18" s="26" t="n">
        <f aca="false">SUMIFS(Report!$U$10:$U$604,Report!$T$10:$T$604,$A18,Report!$C$10:$C$604,"&gt;="&amp;DATE(2026,1,1),Report!$C$10:$C$604,"&lt;="&amp;DATE(2026,1,31))</f>
        <v>0</v>
      </c>
      <c r="D18" s="26" t="n">
        <f aca="false">SUMIFS(Report!$U$10:$U$604,Report!$T$10:$T$604,$A18,Report!$C$10:$C$604,"&gt;="&amp;DATE(2026,2,1),Report!$C$10:$C$604,"&lt;="&amp;DATE(2026,2,28))</f>
        <v>0</v>
      </c>
      <c r="E18" s="26" t="n">
        <f aca="false">SUMIFS(Report!$U$10:$U$604,Report!$T$10:$T$604,$A18,Report!$C$10:$C$604,"&gt;="&amp;DATE(2026,3,1),Report!$C$10:$C$604,"&lt;="&amp;DATE(2026,3,31))</f>
        <v>0</v>
      </c>
      <c r="F18" s="26" t="n">
        <f aca="false">SUMIFS(Report!$U$10:$U$604,Report!$T$10:$T$604,$A18,Report!$C$10:$C$604,"&gt;="&amp;DATE(2026,4,1),Report!$C$10:$C$604,"&lt;="&amp;DATE(2026,4,30))</f>
        <v>0</v>
      </c>
      <c r="G18" s="26" t="n">
        <f aca="false">SUMIFS(Report!$U$10:$U$604,Report!$T$10:$T$604,$A18,Report!$C$10:$C$604,"&gt;="&amp;DATE(2026,5,1),Report!$C$10:$C$604,"&lt;="&amp;DATE(2026,5,31))</f>
        <v>0</v>
      </c>
      <c r="H18" s="26" t="n">
        <f aca="false">SUMIFS(Report!$U$10:$U$604,Report!$T$10:$T$604,$A18,Report!$C$10:$C$604,"&gt;="&amp;DATE(2026,6,1),Report!$C$10:$C$604,"&lt;="&amp;DATE(2026,6,30))</f>
        <v>0</v>
      </c>
      <c r="I18" s="26" t="n">
        <f aca="false">SUMIFS(Report!$U$10:$U$604,Report!$T$10:$T$604,$A18,Report!$C$10:$C$604,"&gt;="&amp;DATE(2026,7,1),Report!$C$10:$C$604,"&lt;="&amp;DATE(2026,7,31))</f>
        <v>989.08</v>
      </c>
      <c r="J18" s="26" t="n">
        <f aca="false">SUMIFS(Report!$U$10:$U$604,Report!$T$10:$T$604,$A18,Report!$C$10:$C$604,"&gt;="&amp;DATE(2026,8,1),Report!$C$10:$C$604,"&lt;="&amp;DATE(2026,8,31))</f>
        <v>247.27</v>
      </c>
      <c r="K18" s="26" t="n">
        <f aca="false">SUMIFS(Report!$U$10:$U$604,Report!$T$10:$T$604,$A18,Report!$C$10:$C$604,"&gt;="&amp;DATE(2026,9,1),Report!$C$10:$C$604,"&lt;="&amp;DATE(2026,9,30))</f>
        <v>247.27</v>
      </c>
      <c r="L18" s="26" t="n">
        <f aca="false">SUMIFS(Report!$U$10:$U$604,Report!$T$10:$T$604,$A18,Report!$C$10:$C$604,"&gt;="&amp;DATE(2026,10,1),Report!$C$10:$C$604,"&lt;="&amp;DATE(2026,10,31))</f>
        <v>0</v>
      </c>
      <c r="M18" s="26" t="n">
        <f aca="false">SUMIFS(Report!$U$10:$U$604,Report!$T$10:$T$604,$A18,Report!$C$10:$C$604,"&gt;="&amp;DATE(2026,11,1),Report!$C$10:$C$604,"&lt;="&amp;DATE(2026,11,30))</f>
        <v>0</v>
      </c>
      <c r="N18" s="26" t="n">
        <f aca="false">SUMIFS(Report!$U$10:$U$604,Report!$T$10:$T$604,$A18,Report!$C$10:$C$604,"&gt;="&amp;DATE(2026,12,1),Report!$C$10:$C$604,"&lt;="&amp;DATE(2026,12,31))</f>
        <v>0</v>
      </c>
      <c r="O18" s="26" t="n">
        <f aca="false">SUMIFS(Report!$U$10:$U$604,Report!$T$10:$T$604,$A18,Report!$C$10:$C$604,"&gt;="&amp;DATE(2027,1,1),Report!$C$10:$C$604,"&lt;="&amp;DATE(2027,1,31))</f>
        <v>0</v>
      </c>
      <c r="P18" s="26" t="n">
        <f aca="false">SUMIFS(Report!$U$10:$U$604,Report!$T$10:$T$604,$A18,Report!$C$10:$C$604,"&gt;="&amp;DATE(2027,2,1),Report!$C$10:$C$604,"&lt;="&amp;DATE(2027,2,28))</f>
        <v>0</v>
      </c>
      <c r="Q18" s="26" t="n">
        <f aca="false">SUMIFS(Report!$U$10:$U$604,Report!$T$10:$T$604,$A18,Report!$C$10:$C$604,"&gt;="&amp;DATE(2027,3,1),Report!$C$10:$C$604,"&lt;="&amp;DATE(2027,3,31))</f>
        <v>0</v>
      </c>
      <c r="R18" s="26" t="n">
        <f aca="false">SUMIFS(Report!$U$10:$U$604,Report!$T$10:$T$604,$A18,Report!$C$10:$C$604,"&gt;="&amp;DATE(2027,4,1),Report!$C$10:$C$604,"&lt;="&amp;DATE(2027,4,30))</f>
        <v>0</v>
      </c>
      <c r="S18" s="26" t="n">
        <f aca="false">SUMIFS(Report!$U$10:$U$604,Report!$T$10:$T$604,$A18,Report!$C$10:$C$604,"&gt;="&amp;DATE(2027,5,1),Report!$C$10:$C$604,"&lt;="&amp;DATE(2027,5,31))</f>
        <v>0</v>
      </c>
      <c r="T18" s="26" t="n">
        <f aca="false">SUMIFS(Report!$U$10:$U$604,Report!$T$10:$T$604,$A18,Report!$C$10:$C$604,"&gt;="&amp;DATE(2027,6,1),Report!$C$10:$C$604,"&lt;="&amp;DATE(2027,6,30))</f>
        <v>0</v>
      </c>
      <c r="U18" s="26" t="n">
        <f aca="false">SUMIFS(Report!$U$10:$U$604,Report!$T$10:$T$604,$A18,Report!$C$10:$C$604,"&gt;="&amp;DATE(2027,7,1),Report!$C$10:$C$604,"&lt;="&amp;DATE(2027,7,31))</f>
        <v>0</v>
      </c>
      <c r="V18" s="26" t="n">
        <f aca="false">SUMIFS(Report!$U$10:$U$604,Report!$T$10:$T$604,$A18,Report!$C$10:$C$604,"&gt;="&amp;DATE(2027,8,1),Report!$C$10:$C$604,"&lt;="&amp;DATE(2027,8,31))</f>
        <v>0</v>
      </c>
      <c r="W18" s="26" t="n">
        <f aca="false">SUMIFS(Report!$U$10:$U$604,Report!$T$10:$T$604,$A18,Report!$C$10:$C$604,"&gt;="&amp;DATE(2027,9,1),Report!$C$10:$C$604,"&lt;="&amp;DATE(2027,9,30))</f>
        <v>0</v>
      </c>
      <c r="X18" s="26" t="n">
        <f aca="false">SUMIFS(Report!$U$10:$U$604,Report!$T$10:$T$604,$A18,Report!$C$10:$C$604,"&gt;="&amp;DATE(2027,10,1),Report!$C$10:$C$604,"&lt;="&amp;DATE(2027,10,31))</f>
        <v>0</v>
      </c>
      <c r="Y18" s="26" t="n">
        <f aca="false">SUMIFS(Report!$U$10:$U$604,Report!$T$10:$T$604,$A18,Report!$C$10:$C$604,"&gt;="&amp;DATE(2027,11,1),Report!$C$10:$C$604,"&lt;="&amp;DATE(2027,11,30))</f>
        <v>0</v>
      </c>
      <c r="Z18" s="26" t="n">
        <f aca="false">SUMIFS(Report!$U$10:$U$604,Report!$T$10:$T$604,$A18,Report!$C$10:$C$604,"&gt;="&amp;DATE(2027,12,1),Report!$C$10:$C$604,"&lt;="&amp;DATE(2027,12,31))</f>
        <v>0</v>
      </c>
      <c r="AA18" s="26" t="n">
        <f aca="false">SUM(C18:Z18)</f>
        <v>1483.62</v>
      </c>
    </row>
    <row r="19" customFormat="false" ht="15" hidden="false" customHeight="true" outlineLevel="0" collapsed="false">
      <c r="A19" s="25" t="s">
        <v>152</v>
      </c>
      <c r="B19" s="25" t="str">
        <f aca="false">IFERROR(INDEX('Resumo Grupos'!$AC$3:$AC$38,MATCH($A19,'Resumo Grupos'!$AB$3:$AB$38,0)),"n/d")</f>
        <v>Despesa</v>
      </c>
      <c r="C19" s="26" t="n">
        <f aca="false">SUMIFS(Report!$U$10:$U$604,Report!$T$10:$T$604,$A19,Report!$C$10:$C$604,"&gt;="&amp;DATE(2026,1,1),Report!$C$10:$C$604,"&lt;="&amp;DATE(2026,1,31))</f>
        <v>0</v>
      </c>
      <c r="D19" s="26" t="n">
        <f aca="false">SUMIFS(Report!$U$10:$U$604,Report!$T$10:$T$604,$A19,Report!$C$10:$C$604,"&gt;="&amp;DATE(2026,2,1),Report!$C$10:$C$604,"&lt;="&amp;DATE(2026,2,28))</f>
        <v>0</v>
      </c>
      <c r="E19" s="26" t="n">
        <f aca="false">SUMIFS(Report!$U$10:$U$604,Report!$T$10:$T$604,$A19,Report!$C$10:$C$604,"&gt;="&amp;DATE(2026,3,1),Report!$C$10:$C$604,"&lt;="&amp;DATE(2026,3,31))</f>
        <v>0</v>
      </c>
      <c r="F19" s="26" t="n">
        <f aca="false">SUMIFS(Report!$U$10:$U$604,Report!$T$10:$T$604,$A19,Report!$C$10:$C$604,"&gt;="&amp;DATE(2026,4,1),Report!$C$10:$C$604,"&lt;="&amp;DATE(2026,4,30))</f>
        <v>0</v>
      </c>
      <c r="G19" s="26" t="n">
        <f aca="false">SUMIFS(Report!$U$10:$U$604,Report!$T$10:$T$604,$A19,Report!$C$10:$C$604,"&gt;="&amp;DATE(2026,5,1),Report!$C$10:$C$604,"&lt;="&amp;DATE(2026,5,31))</f>
        <v>0</v>
      </c>
      <c r="H19" s="26" t="n">
        <f aca="false">SUMIFS(Report!$U$10:$U$604,Report!$T$10:$T$604,$A19,Report!$C$10:$C$604,"&gt;="&amp;DATE(2026,6,1),Report!$C$10:$C$604,"&lt;="&amp;DATE(2026,6,30))</f>
        <v>0</v>
      </c>
      <c r="I19" s="26" t="n">
        <f aca="false">SUMIFS(Report!$U$10:$U$604,Report!$T$10:$T$604,$A19,Report!$C$10:$C$604,"&gt;="&amp;DATE(2026,7,1),Report!$C$10:$C$604,"&lt;="&amp;DATE(2026,7,31))</f>
        <v>573.02</v>
      </c>
      <c r="J19" s="26" t="n">
        <f aca="false">SUMIFS(Report!$U$10:$U$604,Report!$T$10:$T$604,$A19,Report!$C$10:$C$604,"&gt;="&amp;DATE(2026,8,1),Report!$C$10:$C$604,"&lt;="&amp;DATE(2026,8,31))</f>
        <v>0</v>
      </c>
      <c r="K19" s="26" t="n">
        <f aca="false">SUMIFS(Report!$U$10:$U$604,Report!$T$10:$T$604,$A19,Report!$C$10:$C$604,"&gt;="&amp;DATE(2026,9,1),Report!$C$10:$C$604,"&lt;="&amp;DATE(2026,9,30))</f>
        <v>0</v>
      </c>
      <c r="L19" s="26" t="n">
        <f aca="false">SUMIFS(Report!$U$10:$U$604,Report!$T$10:$T$604,$A19,Report!$C$10:$C$604,"&gt;="&amp;DATE(2026,10,1),Report!$C$10:$C$604,"&lt;="&amp;DATE(2026,10,31))</f>
        <v>0</v>
      </c>
      <c r="M19" s="26" t="n">
        <f aca="false">SUMIFS(Report!$U$10:$U$604,Report!$T$10:$T$604,$A19,Report!$C$10:$C$604,"&gt;="&amp;DATE(2026,11,1),Report!$C$10:$C$604,"&lt;="&amp;DATE(2026,11,30))</f>
        <v>0</v>
      </c>
      <c r="N19" s="26" t="n">
        <f aca="false">SUMIFS(Report!$U$10:$U$604,Report!$T$10:$T$604,$A19,Report!$C$10:$C$604,"&gt;="&amp;DATE(2026,12,1),Report!$C$10:$C$604,"&lt;="&amp;DATE(2026,12,31))</f>
        <v>0</v>
      </c>
      <c r="O19" s="26" t="n">
        <f aca="false">SUMIFS(Report!$U$10:$U$604,Report!$T$10:$T$604,$A19,Report!$C$10:$C$604,"&gt;="&amp;DATE(2027,1,1),Report!$C$10:$C$604,"&lt;="&amp;DATE(2027,1,31))</f>
        <v>0</v>
      </c>
      <c r="P19" s="26" t="n">
        <f aca="false">SUMIFS(Report!$U$10:$U$604,Report!$T$10:$T$604,$A19,Report!$C$10:$C$604,"&gt;="&amp;DATE(2027,2,1),Report!$C$10:$C$604,"&lt;="&amp;DATE(2027,2,28))</f>
        <v>0</v>
      </c>
      <c r="Q19" s="26" t="n">
        <f aca="false">SUMIFS(Report!$U$10:$U$604,Report!$T$10:$T$604,$A19,Report!$C$10:$C$604,"&gt;="&amp;DATE(2027,3,1),Report!$C$10:$C$604,"&lt;="&amp;DATE(2027,3,31))</f>
        <v>0</v>
      </c>
      <c r="R19" s="26" t="n">
        <f aca="false">SUMIFS(Report!$U$10:$U$604,Report!$T$10:$T$604,$A19,Report!$C$10:$C$604,"&gt;="&amp;DATE(2027,4,1),Report!$C$10:$C$604,"&lt;="&amp;DATE(2027,4,30))</f>
        <v>0</v>
      </c>
      <c r="S19" s="26" t="n">
        <f aca="false">SUMIFS(Report!$U$10:$U$604,Report!$T$10:$T$604,$A19,Report!$C$10:$C$604,"&gt;="&amp;DATE(2027,5,1),Report!$C$10:$C$604,"&lt;="&amp;DATE(2027,5,31))</f>
        <v>0</v>
      </c>
      <c r="T19" s="26" t="n">
        <f aca="false">SUMIFS(Report!$U$10:$U$604,Report!$T$10:$T$604,$A19,Report!$C$10:$C$604,"&gt;="&amp;DATE(2027,6,1),Report!$C$10:$C$604,"&lt;="&amp;DATE(2027,6,30))</f>
        <v>0</v>
      </c>
      <c r="U19" s="26" t="n">
        <f aca="false">SUMIFS(Report!$U$10:$U$604,Report!$T$10:$T$604,$A19,Report!$C$10:$C$604,"&gt;="&amp;DATE(2027,7,1),Report!$C$10:$C$604,"&lt;="&amp;DATE(2027,7,31))</f>
        <v>0</v>
      </c>
      <c r="V19" s="26" t="n">
        <f aca="false">SUMIFS(Report!$U$10:$U$604,Report!$T$10:$T$604,$A19,Report!$C$10:$C$604,"&gt;="&amp;DATE(2027,8,1),Report!$C$10:$C$604,"&lt;="&amp;DATE(2027,8,31))</f>
        <v>0</v>
      </c>
      <c r="W19" s="26" t="n">
        <f aca="false">SUMIFS(Report!$U$10:$U$604,Report!$T$10:$T$604,$A19,Report!$C$10:$C$604,"&gt;="&amp;DATE(2027,9,1),Report!$C$10:$C$604,"&lt;="&amp;DATE(2027,9,30))</f>
        <v>0</v>
      </c>
      <c r="X19" s="26" t="n">
        <f aca="false">SUMIFS(Report!$U$10:$U$604,Report!$T$10:$T$604,$A19,Report!$C$10:$C$604,"&gt;="&amp;DATE(2027,10,1),Report!$C$10:$C$604,"&lt;="&amp;DATE(2027,10,31))</f>
        <v>0</v>
      </c>
      <c r="Y19" s="26" t="n">
        <f aca="false">SUMIFS(Report!$U$10:$U$604,Report!$T$10:$T$604,$A19,Report!$C$10:$C$604,"&gt;="&amp;DATE(2027,11,1),Report!$C$10:$C$604,"&lt;="&amp;DATE(2027,11,30))</f>
        <v>0</v>
      </c>
      <c r="Z19" s="26" t="n">
        <f aca="false">SUMIFS(Report!$U$10:$U$604,Report!$T$10:$T$604,$A19,Report!$C$10:$C$604,"&gt;="&amp;DATE(2027,12,1),Report!$C$10:$C$604,"&lt;="&amp;DATE(2027,12,31))</f>
        <v>0</v>
      </c>
      <c r="AA19" s="26" t="n">
        <f aca="false">SUM(C19:Z19)</f>
        <v>573.02</v>
      </c>
    </row>
    <row r="20" customFormat="false" ht="15" hidden="false" customHeight="true" outlineLevel="0" collapsed="false">
      <c r="A20" s="25" t="s">
        <v>517</v>
      </c>
      <c r="B20" s="25" t="str">
        <f aca="false">IFERROR(INDEX('Resumo Grupos'!$AC$3:$AC$38,MATCH($A20,'Resumo Grupos'!$AB$3:$AB$38,0)),"n/d")</f>
        <v>Impostos</v>
      </c>
      <c r="C20" s="26" t="n">
        <f aca="false">SUMIFS(Report!$U$10:$U$604,Report!$T$10:$T$604,$A20,Report!$C$10:$C$604,"&gt;="&amp;DATE(2026,1,1),Report!$C$10:$C$604,"&lt;="&amp;DATE(2026,1,31))</f>
        <v>0</v>
      </c>
      <c r="D20" s="26" t="n">
        <f aca="false">SUMIFS(Report!$U$10:$U$604,Report!$T$10:$T$604,$A20,Report!$C$10:$C$604,"&gt;="&amp;DATE(2026,2,1),Report!$C$10:$C$604,"&lt;="&amp;DATE(2026,2,28))</f>
        <v>0</v>
      </c>
      <c r="E20" s="26" t="n">
        <f aca="false">SUMIFS(Report!$U$10:$U$604,Report!$T$10:$T$604,$A20,Report!$C$10:$C$604,"&gt;="&amp;DATE(2026,3,1),Report!$C$10:$C$604,"&lt;="&amp;DATE(2026,3,31))</f>
        <v>0</v>
      </c>
      <c r="F20" s="26" t="n">
        <f aca="false">SUMIFS(Report!$U$10:$U$604,Report!$T$10:$T$604,$A20,Report!$C$10:$C$604,"&gt;="&amp;DATE(2026,4,1),Report!$C$10:$C$604,"&lt;="&amp;DATE(2026,4,30))</f>
        <v>0</v>
      </c>
      <c r="G20" s="26" t="n">
        <f aca="false">SUMIFS(Report!$U$10:$U$604,Report!$T$10:$T$604,$A20,Report!$C$10:$C$604,"&gt;="&amp;DATE(2026,5,1),Report!$C$10:$C$604,"&lt;="&amp;DATE(2026,5,31))</f>
        <v>0</v>
      </c>
      <c r="H20" s="26" t="n">
        <f aca="false">SUMIFS(Report!$U$10:$U$604,Report!$T$10:$T$604,$A20,Report!$C$10:$C$604,"&gt;="&amp;DATE(2026,6,1),Report!$C$10:$C$604,"&lt;="&amp;DATE(2026,6,30))</f>
        <v>0</v>
      </c>
      <c r="I20" s="26" t="n">
        <f aca="false">SUMIFS(Report!$U$10:$U$604,Report!$T$10:$T$604,$A20,Report!$C$10:$C$604,"&gt;="&amp;DATE(2026,7,1),Report!$C$10:$C$604,"&lt;="&amp;DATE(2026,7,31))</f>
        <v>1128.04</v>
      </c>
      <c r="J20" s="26" t="n">
        <f aca="false">SUMIFS(Report!$U$10:$U$604,Report!$T$10:$T$604,$A20,Report!$C$10:$C$604,"&gt;="&amp;DATE(2026,8,1),Report!$C$10:$C$604,"&lt;="&amp;DATE(2026,8,31))</f>
        <v>0</v>
      </c>
      <c r="K20" s="26" t="n">
        <f aca="false">SUMIFS(Report!$U$10:$U$604,Report!$T$10:$T$604,$A20,Report!$C$10:$C$604,"&gt;="&amp;DATE(2026,9,1),Report!$C$10:$C$604,"&lt;="&amp;DATE(2026,9,30))</f>
        <v>0</v>
      </c>
      <c r="L20" s="26" t="n">
        <f aca="false">SUMIFS(Report!$U$10:$U$604,Report!$T$10:$T$604,$A20,Report!$C$10:$C$604,"&gt;="&amp;DATE(2026,10,1),Report!$C$10:$C$604,"&lt;="&amp;DATE(2026,10,31))</f>
        <v>0</v>
      </c>
      <c r="M20" s="26" t="n">
        <f aca="false">SUMIFS(Report!$U$10:$U$604,Report!$T$10:$T$604,$A20,Report!$C$10:$C$604,"&gt;="&amp;DATE(2026,11,1),Report!$C$10:$C$604,"&lt;="&amp;DATE(2026,11,30))</f>
        <v>0</v>
      </c>
      <c r="N20" s="26" t="n">
        <f aca="false">SUMIFS(Report!$U$10:$U$604,Report!$T$10:$T$604,$A20,Report!$C$10:$C$604,"&gt;="&amp;DATE(2026,12,1),Report!$C$10:$C$604,"&lt;="&amp;DATE(2026,12,31))</f>
        <v>0</v>
      </c>
      <c r="O20" s="26" t="n">
        <f aca="false">SUMIFS(Report!$U$10:$U$604,Report!$T$10:$T$604,$A20,Report!$C$10:$C$604,"&gt;="&amp;DATE(2027,1,1),Report!$C$10:$C$604,"&lt;="&amp;DATE(2027,1,31))</f>
        <v>0</v>
      </c>
      <c r="P20" s="26" t="n">
        <f aca="false">SUMIFS(Report!$U$10:$U$604,Report!$T$10:$T$604,$A20,Report!$C$10:$C$604,"&gt;="&amp;DATE(2027,2,1),Report!$C$10:$C$604,"&lt;="&amp;DATE(2027,2,28))</f>
        <v>0</v>
      </c>
      <c r="Q20" s="26" t="n">
        <f aca="false">SUMIFS(Report!$U$10:$U$604,Report!$T$10:$T$604,$A20,Report!$C$10:$C$604,"&gt;="&amp;DATE(2027,3,1),Report!$C$10:$C$604,"&lt;="&amp;DATE(2027,3,31))</f>
        <v>0</v>
      </c>
      <c r="R20" s="26" t="n">
        <f aca="false">SUMIFS(Report!$U$10:$U$604,Report!$T$10:$T$604,$A20,Report!$C$10:$C$604,"&gt;="&amp;DATE(2027,4,1),Report!$C$10:$C$604,"&lt;="&amp;DATE(2027,4,30))</f>
        <v>0</v>
      </c>
      <c r="S20" s="26" t="n">
        <f aca="false">SUMIFS(Report!$U$10:$U$604,Report!$T$10:$T$604,$A20,Report!$C$10:$C$604,"&gt;="&amp;DATE(2027,5,1),Report!$C$10:$C$604,"&lt;="&amp;DATE(2027,5,31))</f>
        <v>0</v>
      </c>
      <c r="T20" s="26" t="n">
        <f aca="false">SUMIFS(Report!$U$10:$U$604,Report!$T$10:$T$604,$A20,Report!$C$10:$C$604,"&gt;="&amp;DATE(2027,6,1),Report!$C$10:$C$604,"&lt;="&amp;DATE(2027,6,30))</f>
        <v>0</v>
      </c>
      <c r="U20" s="26" t="n">
        <f aca="false">SUMIFS(Report!$U$10:$U$604,Report!$T$10:$T$604,$A20,Report!$C$10:$C$604,"&gt;="&amp;DATE(2027,7,1),Report!$C$10:$C$604,"&lt;="&amp;DATE(2027,7,31))</f>
        <v>0</v>
      </c>
      <c r="V20" s="26" t="n">
        <f aca="false">SUMIFS(Report!$U$10:$U$604,Report!$T$10:$T$604,$A20,Report!$C$10:$C$604,"&gt;="&amp;DATE(2027,8,1),Report!$C$10:$C$604,"&lt;="&amp;DATE(2027,8,31))</f>
        <v>0</v>
      </c>
      <c r="W20" s="26" t="n">
        <f aca="false">SUMIFS(Report!$U$10:$U$604,Report!$T$10:$T$604,$A20,Report!$C$10:$C$604,"&gt;="&amp;DATE(2027,9,1),Report!$C$10:$C$604,"&lt;="&amp;DATE(2027,9,30))</f>
        <v>0</v>
      </c>
      <c r="X20" s="26" t="n">
        <f aca="false">SUMIFS(Report!$U$10:$U$604,Report!$T$10:$T$604,$A20,Report!$C$10:$C$604,"&gt;="&amp;DATE(2027,10,1),Report!$C$10:$C$604,"&lt;="&amp;DATE(2027,10,31))</f>
        <v>0</v>
      </c>
      <c r="Y20" s="26" t="n">
        <f aca="false">SUMIFS(Report!$U$10:$U$604,Report!$T$10:$T$604,$A20,Report!$C$10:$C$604,"&gt;="&amp;DATE(2027,11,1),Report!$C$10:$C$604,"&lt;="&amp;DATE(2027,11,30))</f>
        <v>0</v>
      </c>
      <c r="Z20" s="26" t="n">
        <f aca="false">SUMIFS(Report!$U$10:$U$604,Report!$T$10:$T$604,$A20,Report!$C$10:$C$604,"&gt;="&amp;DATE(2027,12,1),Report!$C$10:$C$604,"&lt;="&amp;DATE(2027,12,31))</f>
        <v>0</v>
      </c>
      <c r="AA20" s="26" t="n">
        <f aca="false">SUM(C20:Z20)</f>
        <v>1128.04</v>
      </c>
    </row>
    <row r="21" customFormat="false" ht="15" hidden="false" customHeight="true" outlineLevel="0" collapsed="false">
      <c r="A21" s="25" t="s">
        <v>192</v>
      </c>
      <c r="B21" s="25" t="str">
        <f aca="false">IFERROR(INDEX('Resumo Grupos'!$AC$3:$AC$38,MATCH($A21,'Resumo Grupos'!$AB$3:$AB$38,0)),"n/d")</f>
        <v>Despesa</v>
      </c>
      <c r="C21" s="26" t="n">
        <f aca="false">SUMIFS(Report!$U$10:$U$604,Report!$T$10:$T$604,$A21,Report!$C$10:$C$604,"&gt;="&amp;DATE(2026,1,1),Report!$C$10:$C$604,"&lt;="&amp;DATE(2026,1,31))</f>
        <v>0</v>
      </c>
      <c r="D21" s="26" t="n">
        <f aca="false">SUMIFS(Report!$U$10:$U$604,Report!$T$10:$T$604,$A21,Report!$C$10:$C$604,"&gt;="&amp;DATE(2026,2,1),Report!$C$10:$C$604,"&lt;="&amp;DATE(2026,2,28))</f>
        <v>0</v>
      </c>
      <c r="E21" s="26" t="n">
        <f aca="false">SUMIFS(Report!$U$10:$U$604,Report!$T$10:$T$604,$A21,Report!$C$10:$C$604,"&gt;="&amp;DATE(2026,3,1),Report!$C$10:$C$604,"&lt;="&amp;DATE(2026,3,31))</f>
        <v>0</v>
      </c>
      <c r="F21" s="26" t="n">
        <f aca="false">SUMIFS(Report!$U$10:$U$604,Report!$T$10:$T$604,$A21,Report!$C$10:$C$604,"&gt;="&amp;DATE(2026,4,1),Report!$C$10:$C$604,"&lt;="&amp;DATE(2026,4,30))</f>
        <v>0</v>
      </c>
      <c r="G21" s="26" t="n">
        <f aca="false">SUMIFS(Report!$U$10:$U$604,Report!$T$10:$T$604,$A21,Report!$C$10:$C$604,"&gt;="&amp;DATE(2026,5,1),Report!$C$10:$C$604,"&lt;="&amp;DATE(2026,5,31))</f>
        <v>0</v>
      </c>
      <c r="H21" s="26" t="n">
        <f aca="false">SUMIFS(Report!$U$10:$U$604,Report!$T$10:$T$604,$A21,Report!$C$10:$C$604,"&gt;="&amp;DATE(2026,6,1),Report!$C$10:$C$604,"&lt;="&amp;DATE(2026,6,30))</f>
        <v>0</v>
      </c>
      <c r="I21" s="26" t="n">
        <f aca="false">SUMIFS(Report!$U$10:$U$604,Report!$T$10:$T$604,$A21,Report!$C$10:$C$604,"&gt;="&amp;DATE(2026,7,1),Report!$C$10:$C$604,"&lt;="&amp;DATE(2026,7,31))</f>
        <v>875.87</v>
      </c>
      <c r="J21" s="26" t="n">
        <f aca="false">SUMIFS(Report!$U$10:$U$604,Report!$T$10:$T$604,$A21,Report!$C$10:$C$604,"&gt;="&amp;DATE(2026,8,1),Report!$C$10:$C$604,"&lt;="&amp;DATE(2026,8,31))</f>
        <v>160</v>
      </c>
      <c r="K21" s="26" t="n">
        <f aca="false">SUMIFS(Report!$U$10:$U$604,Report!$T$10:$T$604,$A21,Report!$C$10:$C$604,"&gt;="&amp;DATE(2026,9,1),Report!$C$10:$C$604,"&lt;="&amp;DATE(2026,9,30))</f>
        <v>160</v>
      </c>
      <c r="L21" s="26" t="n">
        <f aca="false">SUMIFS(Report!$U$10:$U$604,Report!$T$10:$T$604,$A21,Report!$C$10:$C$604,"&gt;="&amp;DATE(2026,10,1),Report!$C$10:$C$604,"&lt;="&amp;DATE(2026,10,31))</f>
        <v>0</v>
      </c>
      <c r="M21" s="26" t="n">
        <f aca="false">SUMIFS(Report!$U$10:$U$604,Report!$T$10:$T$604,$A21,Report!$C$10:$C$604,"&gt;="&amp;DATE(2026,11,1),Report!$C$10:$C$604,"&lt;="&amp;DATE(2026,11,30))</f>
        <v>0</v>
      </c>
      <c r="N21" s="26" t="n">
        <f aca="false">SUMIFS(Report!$U$10:$U$604,Report!$T$10:$T$604,$A21,Report!$C$10:$C$604,"&gt;="&amp;DATE(2026,12,1),Report!$C$10:$C$604,"&lt;="&amp;DATE(2026,12,31))</f>
        <v>0</v>
      </c>
      <c r="O21" s="26" t="n">
        <f aca="false">SUMIFS(Report!$U$10:$U$604,Report!$T$10:$T$604,$A21,Report!$C$10:$C$604,"&gt;="&amp;DATE(2027,1,1),Report!$C$10:$C$604,"&lt;="&amp;DATE(2027,1,31))</f>
        <v>0</v>
      </c>
      <c r="P21" s="26" t="n">
        <f aca="false">SUMIFS(Report!$U$10:$U$604,Report!$T$10:$T$604,$A21,Report!$C$10:$C$604,"&gt;="&amp;DATE(2027,2,1),Report!$C$10:$C$604,"&lt;="&amp;DATE(2027,2,28))</f>
        <v>0</v>
      </c>
      <c r="Q21" s="26" t="n">
        <f aca="false">SUMIFS(Report!$U$10:$U$604,Report!$T$10:$T$604,$A21,Report!$C$10:$C$604,"&gt;="&amp;DATE(2027,3,1),Report!$C$10:$C$604,"&lt;="&amp;DATE(2027,3,31))</f>
        <v>0</v>
      </c>
      <c r="R21" s="26" t="n">
        <f aca="false">SUMIFS(Report!$U$10:$U$604,Report!$T$10:$T$604,$A21,Report!$C$10:$C$604,"&gt;="&amp;DATE(2027,4,1),Report!$C$10:$C$604,"&lt;="&amp;DATE(2027,4,30))</f>
        <v>0</v>
      </c>
      <c r="S21" s="26" t="n">
        <f aca="false">SUMIFS(Report!$U$10:$U$604,Report!$T$10:$T$604,$A21,Report!$C$10:$C$604,"&gt;="&amp;DATE(2027,5,1),Report!$C$10:$C$604,"&lt;="&amp;DATE(2027,5,31))</f>
        <v>0</v>
      </c>
      <c r="T21" s="26" t="n">
        <f aca="false">SUMIFS(Report!$U$10:$U$604,Report!$T$10:$T$604,$A21,Report!$C$10:$C$604,"&gt;="&amp;DATE(2027,6,1),Report!$C$10:$C$604,"&lt;="&amp;DATE(2027,6,30))</f>
        <v>0</v>
      </c>
      <c r="U21" s="26" t="n">
        <f aca="false">SUMIFS(Report!$U$10:$U$604,Report!$T$10:$T$604,$A21,Report!$C$10:$C$604,"&gt;="&amp;DATE(2027,7,1),Report!$C$10:$C$604,"&lt;="&amp;DATE(2027,7,31))</f>
        <v>0</v>
      </c>
      <c r="V21" s="26" t="n">
        <f aca="false">SUMIFS(Report!$U$10:$U$604,Report!$T$10:$T$604,$A21,Report!$C$10:$C$604,"&gt;="&amp;DATE(2027,8,1),Report!$C$10:$C$604,"&lt;="&amp;DATE(2027,8,31))</f>
        <v>0</v>
      </c>
      <c r="W21" s="26" t="n">
        <f aca="false">SUMIFS(Report!$U$10:$U$604,Report!$T$10:$T$604,$A21,Report!$C$10:$C$604,"&gt;="&amp;DATE(2027,9,1),Report!$C$10:$C$604,"&lt;="&amp;DATE(2027,9,30))</f>
        <v>0</v>
      </c>
      <c r="X21" s="26" t="n">
        <f aca="false">SUMIFS(Report!$U$10:$U$604,Report!$T$10:$T$604,$A21,Report!$C$10:$C$604,"&gt;="&amp;DATE(2027,10,1),Report!$C$10:$C$604,"&lt;="&amp;DATE(2027,10,31))</f>
        <v>0</v>
      </c>
      <c r="Y21" s="26" t="n">
        <f aca="false">SUMIFS(Report!$U$10:$U$604,Report!$T$10:$T$604,$A21,Report!$C$10:$C$604,"&gt;="&amp;DATE(2027,11,1),Report!$C$10:$C$604,"&lt;="&amp;DATE(2027,11,30))</f>
        <v>0</v>
      </c>
      <c r="Z21" s="26" t="n">
        <f aca="false">SUMIFS(Report!$U$10:$U$604,Report!$T$10:$T$604,$A21,Report!$C$10:$C$604,"&gt;="&amp;DATE(2027,12,1),Report!$C$10:$C$604,"&lt;="&amp;DATE(2027,12,31))</f>
        <v>0</v>
      </c>
      <c r="AA21" s="26" t="n">
        <f aca="false">SUM(C21:Z21)</f>
        <v>1195.87</v>
      </c>
    </row>
    <row r="22" customFormat="false" ht="15" hidden="false" customHeight="true" outlineLevel="0" collapsed="false">
      <c r="A22" s="25" t="s">
        <v>362</v>
      </c>
      <c r="B22" s="25" t="str">
        <f aca="false">IFERROR(INDEX('Resumo Grupos'!$AC$3:$AC$38,MATCH($A22,'Resumo Grupos'!$AB$3:$AB$38,0)),"n/d")</f>
        <v>Despesa</v>
      </c>
      <c r="C22" s="26" t="n">
        <f aca="false">SUMIFS(Report!$U$10:$U$604,Report!$T$10:$T$604,$A22,Report!$C$10:$C$604,"&gt;="&amp;DATE(2026,1,1),Report!$C$10:$C$604,"&lt;="&amp;DATE(2026,1,31))</f>
        <v>0</v>
      </c>
      <c r="D22" s="26" t="n">
        <f aca="false">SUMIFS(Report!$U$10:$U$604,Report!$T$10:$T$604,$A22,Report!$C$10:$C$604,"&gt;="&amp;DATE(2026,2,1),Report!$C$10:$C$604,"&lt;="&amp;DATE(2026,2,28))</f>
        <v>0</v>
      </c>
      <c r="E22" s="26" t="n">
        <f aca="false">SUMIFS(Report!$U$10:$U$604,Report!$T$10:$T$604,$A22,Report!$C$10:$C$604,"&gt;="&amp;DATE(2026,3,1),Report!$C$10:$C$604,"&lt;="&amp;DATE(2026,3,31))</f>
        <v>0</v>
      </c>
      <c r="F22" s="26" t="n">
        <f aca="false">SUMIFS(Report!$U$10:$U$604,Report!$T$10:$T$604,$A22,Report!$C$10:$C$604,"&gt;="&amp;DATE(2026,4,1),Report!$C$10:$C$604,"&lt;="&amp;DATE(2026,4,30))</f>
        <v>0</v>
      </c>
      <c r="G22" s="26" t="n">
        <f aca="false">SUMIFS(Report!$U$10:$U$604,Report!$T$10:$T$604,$A22,Report!$C$10:$C$604,"&gt;="&amp;DATE(2026,5,1),Report!$C$10:$C$604,"&lt;="&amp;DATE(2026,5,31))</f>
        <v>0</v>
      </c>
      <c r="H22" s="26" t="n">
        <f aca="false">SUMIFS(Report!$U$10:$U$604,Report!$T$10:$T$604,$A22,Report!$C$10:$C$604,"&gt;="&amp;DATE(2026,6,1),Report!$C$10:$C$604,"&lt;="&amp;DATE(2026,6,30))</f>
        <v>0</v>
      </c>
      <c r="I22" s="26" t="n">
        <f aca="false">SUMIFS(Report!$U$10:$U$604,Report!$T$10:$T$604,$A22,Report!$C$10:$C$604,"&gt;="&amp;DATE(2026,7,1),Report!$C$10:$C$604,"&lt;="&amp;DATE(2026,7,31))</f>
        <v>239.24</v>
      </c>
      <c r="J22" s="26" t="n">
        <f aca="false">SUMIFS(Report!$U$10:$U$604,Report!$T$10:$T$604,$A22,Report!$C$10:$C$604,"&gt;="&amp;DATE(2026,8,1),Report!$C$10:$C$604,"&lt;="&amp;DATE(2026,8,31))</f>
        <v>0</v>
      </c>
      <c r="K22" s="26" t="n">
        <f aca="false">SUMIFS(Report!$U$10:$U$604,Report!$T$10:$T$604,$A22,Report!$C$10:$C$604,"&gt;="&amp;DATE(2026,9,1),Report!$C$10:$C$604,"&lt;="&amp;DATE(2026,9,30))</f>
        <v>0</v>
      </c>
      <c r="L22" s="26" t="n">
        <f aca="false">SUMIFS(Report!$U$10:$U$604,Report!$T$10:$T$604,$A22,Report!$C$10:$C$604,"&gt;="&amp;DATE(2026,10,1),Report!$C$10:$C$604,"&lt;="&amp;DATE(2026,10,31))</f>
        <v>0</v>
      </c>
      <c r="M22" s="26" t="n">
        <f aca="false">SUMIFS(Report!$U$10:$U$604,Report!$T$10:$T$604,$A22,Report!$C$10:$C$604,"&gt;="&amp;DATE(2026,11,1),Report!$C$10:$C$604,"&lt;="&amp;DATE(2026,11,30))</f>
        <v>0</v>
      </c>
      <c r="N22" s="26" t="n">
        <f aca="false">SUMIFS(Report!$U$10:$U$604,Report!$T$10:$T$604,$A22,Report!$C$10:$C$604,"&gt;="&amp;DATE(2026,12,1),Report!$C$10:$C$604,"&lt;="&amp;DATE(2026,12,31))</f>
        <v>0</v>
      </c>
      <c r="O22" s="26" t="n">
        <f aca="false">SUMIFS(Report!$U$10:$U$604,Report!$T$10:$T$604,$A22,Report!$C$10:$C$604,"&gt;="&amp;DATE(2027,1,1),Report!$C$10:$C$604,"&lt;="&amp;DATE(2027,1,31))</f>
        <v>0</v>
      </c>
      <c r="P22" s="26" t="n">
        <f aca="false">SUMIFS(Report!$U$10:$U$604,Report!$T$10:$T$604,$A22,Report!$C$10:$C$604,"&gt;="&amp;DATE(2027,2,1),Report!$C$10:$C$604,"&lt;="&amp;DATE(2027,2,28))</f>
        <v>0</v>
      </c>
      <c r="Q22" s="26" t="n">
        <f aca="false">SUMIFS(Report!$U$10:$U$604,Report!$T$10:$T$604,$A22,Report!$C$10:$C$604,"&gt;="&amp;DATE(2027,3,1),Report!$C$10:$C$604,"&lt;="&amp;DATE(2027,3,31))</f>
        <v>0</v>
      </c>
      <c r="R22" s="26" t="n">
        <f aca="false">SUMIFS(Report!$U$10:$U$604,Report!$T$10:$T$604,$A22,Report!$C$10:$C$604,"&gt;="&amp;DATE(2027,4,1),Report!$C$10:$C$604,"&lt;="&amp;DATE(2027,4,30))</f>
        <v>0</v>
      </c>
      <c r="S22" s="26" t="n">
        <f aca="false">SUMIFS(Report!$U$10:$U$604,Report!$T$10:$T$604,$A22,Report!$C$10:$C$604,"&gt;="&amp;DATE(2027,5,1),Report!$C$10:$C$604,"&lt;="&amp;DATE(2027,5,31))</f>
        <v>0</v>
      </c>
      <c r="T22" s="26" t="n">
        <f aca="false">SUMIFS(Report!$U$10:$U$604,Report!$T$10:$T$604,$A22,Report!$C$10:$C$604,"&gt;="&amp;DATE(2027,6,1),Report!$C$10:$C$604,"&lt;="&amp;DATE(2027,6,30))</f>
        <v>0</v>
      </c>
      <c r="U22" s="26" t="n">
        <f aca="false">SUMIFS(Report!$U$10:$U$604,Report!$T$10:$T$604,$A22,Report!$C$10:$C$604,"&gt;="&amp;DATE(2027,7,1),Report!$C$10:$C$604,"&lt;="&amp;DATE(2027,7,31))</f>
        <v>0</v>
      </c>
      <c r="V22" s="26" t="n">
        <f aca="false">SUMIFS(Report!$U$10:$U$604,Report!$T$10:$T$604,$A22,Report!$C$10:$C$604,"&gt;="&amp;DATE(2027,8,1),Report!$C$10:$C$604,"&lt;="&amp;DATE(2027,8,31))</f>
        <v>0</v>
      </c>
      <c r="W22" s="26" t="n">
        <f aca="false">SUMIFS(Report!$U$10:$U$604,Report!$T$10:$T$604,$A22,Report!$C$10:$C$604,"&gt;="&amp;DATE(2027,9,1),Report!$C$10:$C$604,"&lt;="&amp;DATE(2027,9,30))</f>
        <v>0</v>
      </c>
      <c r="X22" s="26" t="n">
        <f aca="false">SUMIFS(Report!$U$10:$U$604,Report!$T$10:$T$604,$A22,Report!$C$10:$C$604,"&gt;="&amp;DATE(2027,10,1),Report!$C$10:$C$604,"&lt;="&amp;DATE(2027,10,31))</f>
        <v>0</v>
      </c>
      <c r="Y22" s="26" t="n">
        <f aca="false">SUMIFS(Report!$U$10:$U$604,Report!$T$10:$T$604,$A22,Report!$C$10:$C$604,"&gt;="&amp;DATE(2027,11,1),Report!$C$10:$C$604,"&lt;="&amp;DATE(2027,11,30))</f>
        <v>0</v>
      </c>
      <c r="Z22" s="26" t="n">
        <f aca="false">SUMIFS(Report!$U$10:$U$604,Report!$T$10:$T$604,$A22,Report!$C$10:$C$604,"&gt;="&amp;DATE(2027,12,1),Report!$C$10:$C$604,"&lt;="&amp;DATE(2027,12,31))</f>
        <v>0</v>
      </c>
      <c r="AA22" s="26" t="n">
        <f aca="false">SUM(C22:Z22)</f>
        <v>239.24</v>
      </c>
    </row>
    <row r="23" customFormat="false" ht="15" hidden="false" customHeight="true" outlineLevel="0" collapsed="false">
      <c r="A23" s="25" t="s">
        <v>75</v>
      </c>
      <c r="B23" s="25" t="str">
        <f aca="false">IFERROR(INDEX('Resumo Grupos'!$AC$3:$AC$38,MATCH($A23,'Resumo Grupos'!$AB$3:$AB$38,0)),"n/d")</f>
        <v>Impostos</v>
      </c>
      <c r="C23" s="26" t="n">
        <f aca="false">SUMIFS(Report!$U$10:$U$604,Report!$T$10:$T$604,$A23,Report!$C$10:$C$604,"&gt;="&amp;DATE(2026,1,1),Report!$C$10:$C$604,"&lt;="&amp;DATE(2026,1,31))</f>
        <v>0</v>
      </c>
      <c r="D23" s="26" t="n">
        <f aca="false">SUMIFS(Report!$U$10:$U$604,Report!$T$10:$T$604,$A23,Report!$C$10:$C$604,"&gt;="&amp;DATE(2026,2,1),Report!$C$10:$C$604,"&lt;="&amp;DATE(2026,2,28))</f>
        <v>0</v>
      </c>
      <c r="E23" s="26" t="n">
        <f aca="false">SUMIFS(Report!$U$10:$U$604,Report!$T$10:$T$604,$A23,Report!$C$10:$C$604,"&gt;="&amp;DATE(2026,3,1),Report!$C$10:$C$604,"&lt;="&amp;DATE(2026,3,31))</f>
        <v>0</v>
      </c>
      <c r="F23" s="26" t="n">
        <f aca="false">SUMIFS(Report!$U$10:$U$604,Report!$T$10:$T$604,$A23,Report!$C$10:$C$604,"&gt;="&amp;DATE(2026,4,1),Report!$C$10:$C$604,"&lt;="&amp;DATE(2026,4,30))</f>
        <v>0</v>
      </c>
      <c r="G23" s="26" t="n">
        <f aca="false">SUMIFS(Report!$U$10:$U$604,Report!$T$10:$T$604,$A23,Report!$C$10:$C$604,"&gt;="&amp;DATE(2026,5,1),Report!$C$10:$C$604,"&lt;="&amp;DATE(2026,5,31))</f>
        <v>0</v>
      </c>
      <c r="H23" s="26" t="n">
        <f aca="false">SUMIFS(Report!$U$10:$U$604,Report!$T$10:$T$604,$A23,Report!$C$10:$C$604,"&gt;="&amp;DATE(2026,6,1),Report!$C$10:$C$604,"&lt;="&amp;DATE(2026,6,30))</f>
        <v>0</v>
      </c>
      <c r="I23" s="26" t="n">
        <f aca="false">SUMIFS(Report!$U$10:$U$604,Report!$T$10:$T$604,$A23,Report!$C$10:$C$604,"&gt;="&amp;DATE(2026,7,1),Report!$C$10:$C$604,"&lt;="&amp;DATE(2026,7,31))</f>
        <v>228.88</v>
      </c>
      <c r="J23" s="26" t="n">
        <f aca="false">SUMIFS(Report!$U$10:$U$604,Report!$T$10:$T$604,$A23,Report!$C$10:$C$604,"&gt;="&amp;DATE(2026,8,1),Report!$C$10:$C$604,"&lt;="&amp;DATE(2026,8,31))</f>
        <v>228.88</v>
      </c>
      <c r="K23" s="26" t="n">
        <f aca="false">SUMIFS(Report!$U$10:$U$604,Report!$T$10:$T$604,$A23,Report!$C$10:$C$604,"&gt;="&amp;DATE(2026,9,1),Report!$C$10:$C$604,"&lt;="&amp;DATE(2026,9,30))</f>
        <v>228.88</v>
      </c>
      <c r="L23" s="26" t="n">
        <f aca="false">SUMIFS(Report!$U$10:$U$604,Report!$T$10:$T$604,$A23,Report!$C$10:$C$604,"&gt;="&amp;DATE(2026,10,1),Report!$C$10:$C$604,"&lt;="&amp;DATE(2026,10,31))</f>
        <v>0</v>
      </c>
      <c r="M23" s="26" t="n">
        <f aca="false">SUMIFS(Report!$U$10:$U$604,Report!$T$10:$T$604,$A23,Report!$C$10:$C$604,"&gt;="&amp;DATE(2026,11,1),Report!$C$10:$C$604,"&lt;="&amp;DATE(2026,11,30))</f>
        <v>0</v>
      </c>
      <c r="N23" s="26" t="n">
        <f aca="false">SUMIFS(Report!$U$10:$U$604,Report!$T$10:$T$604,$A23,Report!$C$10:$C$604,"&gt;="&amp;DATE(2026,12,1),Report!$C$10:$C$604,"&lt;="&amp;DATE(2026,12,31))</f>
        <v>0</v>
      </c>
      <c r="O23" s="26" t="n">
        <f aca="false">SUMIFS(Report!$U$10:$U$604,Report!$T$10:$T$604,$A23,Report!$C$10:$C$604,"&gt;="&amp;DATE(2027,1,1),Report!$C$10:$C$604,"&lt;="&amp;DATE(2027,1,31))</f>
        <v>0</v>
      </c>
      <c r="P23" s="26" t="n">
        <f aca="false">SUMIFS(Report!$U$10:$U$604,Report!$T$10:$T$604,$A23,Report!$C$10:$C$604,"&gt;="&amp;DATE(2027,2,1),Report!$C$10:$C$604,"&lt;="&amp;DATE(2027,2,28))</f>
        <v>0</v>
      </c>
      <c r="Q23" s="26" t="n">
        <f aca="false">SUMIFS(Report!$U$10:$U$604,Report!$T$10:$T$604,$A23,Report!$C$10:$C$604,"&gt;="&amp;DATE(2027,3,1),Report!$C$10:$C$604,"&lt;="&amp;DATE(2027,3,31))</f>
        <v>0</v>
      </c>
      <c r="R23" s="26" t="n">
        <f aca="false">SUMIFS(Report!$U$10:$U$604,Report!$T$10:$T$604,$A23,Report!$C$10:$C$604,"&gt;="&amp;DATE(2027,4,1),Report!$C$10:$C$604,"&lt;="&amp;DATE(2027,4,30))</f>
        <v>0</v>
      </c>
      <c r="S23" s="26" t="n">
        <f aca="false">SUMIFS(Report!$U$10:$U$604,Report!$T$10:$T$604,$A23,Report!$C$10:$C$604,"&gt;="&amp;DATE(2027,5,1),Report!$C$10:$C$604,"&lt;="&amp;DATE(2027,5,31))</f>
        <v>0</v>
      </c>
      <c r="T23" s="26" t="n">
        <f aca="false">SUMIFS(Report!$U$10:$U$604,Report!$T$10:$T$604,$A23,Report!$C$10:$C$604,"&gt;="&amp;DATE(2027,6,1),Report!$C$10:$C$604,"&lt;="&amp;DATE(2027,6,30))</f>
        <v>0</v>
      </c>
      <c r="U23" s="26" t="n">
        <f aca="false">SUMIFS(Report!$U$10:$U$604,Report!$T$10:$T$604,$A23,Report!$C$10:$C$604,"&gt;="&amp;DATE(2027,7,1),Report!$C$10:$C$604,"&lt;="&amp;DATE(2027,7,31))</f>
        <v>0</v>
      </c>
      <c r="V23" s="26" t="n">
        <f aca="false">SUMIFS(Report!$U$10:$U$604,Report!$T$10:$T$604,$A23,Report!$C$10:$C$604,"&gt;="&amp;DATE(2027,8,1),Report!$C$10:$C$604,"&lt;="&amp;DATE(2027,8,31))</f>
        <v>0</v>
      </c>
      <c r="W23" s="26" t="n">
        <f aca="false">SUMIFS(Report!$U$10:$U$604,Report!$T$10:$T$604,$A23,Report!$C$10:$C$604,"&gt;="&amp;DATE(2027,9,1),Report!$C$10:$C$604,"&lt;="&amp;DATE(2027,9,30))</f>
        <v>0</v>
      </c>
      <c r="X23" s="26" t="n">
        <f aca="false">SUMIFS(Report!$U$10:$U$604,Report!$T$10:$T$604,$A23,Report!$C$10:$C$604,"&gt;="&amp;DATE(2027,10,1),Report!$C$10:$C$604,"&lt;="&amp;DATE(2027,10,31))</f>
        <v>0</v>
      </c>
      <c r="Y23" s="26" t="n">
        <f aca="false">SUMIFS(Report!$U$10:$U$604,Report!$T$10:$T$604,$A23,Report!$C$10:$C$604,"&gt;="&amp;DATE(2027,11,1),Report!$C$10:$C$604,"&lt;="&amp;DATE(2027,11,30))</f>
        <v>0</v>
      </c>
      <c r="Z23" s="26" t="n">
        <f aca="false">SUMIFS(Report!$U$10:$U$604,Report!$T$10:$T$604,$A23,Report!$C$10:$C$604,"&gt;="&amp;DATE(2027,12,1),Report!$C$10:$C$604,"&lt;="&amp;DATE(2027,12,31))</f>
        <v>0</v>
      </c>
      <c r="AA23" s="26" t="n">
        <f aca="false">SUM(C23:Z23)</f>
        <v>686.64</v>
      </c>
    </row>
    <row r="24" customFormat="false" ht="15" hidden="false" customHeight="true" outlineLevel="0" collapsed="false">
      <c r="A24" s="25" t="s">
        <v>237</v>
      </c>
      <c r="B24" s="25" t="str">
        <f aca="false">IFERROR(INDEX('Resumo Grupos'!$AC$3:$AC$38,MATCH($A24,'Resumo Grupos'!$AB$3:$AB$38,0)),"n/d")</f>
        <v>Despesa</v>
      </c>
      <c r="C24" s="26" t="n">
        <f aca="false">SUMIFS(Report!$U$10:$U$604,Report!$T$10:$T$604,$A24,Report!$C$10:$C$604,"&gt;="&amp;DATE(2026,1,1),Report!$C$10:$C$604,"&lt;="&amp;DATE(2026,1,31))</f>
        <v>0</v>
      </c>
      <c r="D24" s="26" t="n">
        <f aca="false">SUMIFS(Report!$U$10:$U$604,Report!$T$10:$T$604,$A24,Report!$C$10:$C$604,"&gt;="&amp;DATE(2026,2,1),Report!$C$10:$C$604,"&lt;="&amp;DATE(2026,2,28))</f>
        <v>0</v>
      </c>
      <c r="E24" s="26" t="n">
        <f aca="false">SUMIFS(Report!$U$10:$U$604,Report!$T$10:$T$604,$A24,Report!$C$10:$C$604,"&gt;="&amp;DATE(2026,3,1),Report!$C$10:$C$604,"&lt;="&amp;DATE(2026,3,31))</f>
        <v>0</v>
      </c>
      <c r="F24" s="26" t="n">
        <f aca="false">SUMIFS(Report!$U$10:$U$604,Report!$T$10:$T$604,$A24,Report!$C$10:$C$604,"&gt;="&amp;DATE(2026,4,1),Report!$C$10:$C$604,"&lt;="&amp;DATE(2026,4,30))</f>
        <v>0</v>
      </c>
      <c r="G24" s="26" t="n">
        <f aca="false">SUMIFS(Report!$U$10:$U$604,Report!$T$10:$T$604,$A24,Report!$C$10:$C$604,"&gt;="&amp;DATE(2026,5,1),Report!$C$10:$C$604,"&lt;="&amp;DATE(2026,5,31))</f>
        <v>0</v>
      </c>
      <c r="H24" s="26" t="n">
        <f aca="false">SUMIFS(Report!$U$10:$U$604,Report!$T$10:$T$604,$A24,Report!$C$10:$C$604,"&gt;="&amp;DATE(2026,6,1),Report!$C$10:$C$604,"&lt;="&amp;DATE(2026,6,30))</f>
        <v>0</v>
      </c>
      <c r="I24" s="26" t="n">
        <f aca="false">SUMIFS(Report!$U$10:$U$604,Report!$T$10:$T$604,$A24,Report!$C$10:$C$604,"&gt;="&amp;DATE(2026,7,1),Report!$C$10:$C$604,"&lt;="&amp;DATE(2026,7,31))</f>
        <v>1575</v>
      </c>
      <c r="J24" s="26" t="n">
        <f aca="false">SUMIFS(Report!$U$10:$U$604,Report!$T$10:$T$604,$A24,Report!$C$10:$C$604,"&gt;="&amp;DATE(2026,8,1),Report!$C$10:$C$604,"&lt;="&amp;DATE(2026,8,31))</f>
        <v>0</v>
      </c>
      <c r="K24" s="26" t="n">
        <f aca="false">SUMIFS(Report!$U$10:$U$604,Report!$T$10:$T$604,$A24,Report!$C$10:$C$604,"&gt;="&amp;DATE(2026,9,1),Report!$C$10:$C$604,"&lt;="&amp;DATE(2026,9,30))</f>
        <v>0</v>
      </c>
      <c r="L24" s="26" t="n">
        <f aca="false">SUMIFS(Report!$U$10:$U$604,Report!$T$10:$T$604,$A24,Report!$C$10:$C$604,"&gt;="&amp;DATE(2026,10,1),Report!$C$10:$C$604,"&lt;="&amp;DATE(2026,10,31))</f>
        <v>0</v>
      </c>
      <c r="M24" s="26" t="n">
        <f aca="false">SUMIFS(Report!$U$10:$U$604,Report!$T$10:$T$604,$A24,Report!$C$10:$C$604,"&gt;="&amp;DATE(2026,11,1),Report!$C$10:$C$604,"&lt;="&amp;DATE(2026,11,30))</f>
        <v>0</v>
      </c>
      <c r="N24" s="26" t="n">
        <f aca="false">SUMIFS(Report!$U$10:$U$604,Report!$T$10:$T$604,$A24,Report!$C$10:$C$604,"&gt;="&amp;DATE(2026,12,1),Report!$C$10:$C$604,"&lt;="&amp;DATE(2026,12,31))</f>
        <v>0</v>
      </c>
      <c r="O24" s="26" t="n">
        <f aca="false">SUMIFS(Report!$U$10:$U$604,Report!$T$10:$T$604,$A24,Report!$C$10:$C$604,"&gt;="&amp;DATE(2027,1,1),Report!$C$10:$C$604,"&lt;="&amp;DATE(2027,1,31))</f>
        <v>0</v>
      </c>
      <c r="P24" s="26" t="n">
        <f aca="false">SUMIFS(Report!$U$10:$U$604,Report!$T$10:$T$604,$A24,Report!$C$10:$C$604,"&gt;="&amp;DATE(2027,2,1),Report!$C$10:$C$604,"&lt;="&amp;DATE(2027,2,28))</f>
        <v>0</v>
      </c>
      <c r="Q24" s="26" t="n">
        <f aca="false">SUMIFS(Report!$U$10:$U$604,Report!$T$10:$T$604,$A24,Report!$C$10:$C$604,"&gt;="&amp;DATE(2027,3,1),Report!$C$10:$C$604,"&lt;="&amp;DATE(2027,3,31))</f>
        <v>0</v>
      </c>
      <c r="R24" s="26" t="n">
        <f aca="false">SUMIFS(Report!$U$10:$U$604,Report!$T$10:$T$604,$A24,Report!$C$10:$C$604,"&gt;="&amp;DATE(2027,4,1),Report!$C$10:$C$604,"&lt;="&amp;DATE(2027,4,30))</f>
        <v>0</v>
      </c>
      <c r="S24" s="26" t="n">
        <f aca="false">SUMIFS(Report!$U$10:$U$604,Report!$T$10:$T$604,$A24,Report!$C$10:$C$604,"&gt;="&amp;DATE(2027,5,1),Report!$C$10:$C$604,"&lt;="&amp;DATE(2027,5,31))</f>
        <v>0</v>
      </c>
      <c r="T24" s="26" t="n">
        <f aca="false">SUMIFS(Report!$U$10:$U$604,Report!$T$10:$T$604,$A24,Report!$C$10:$C$604,"&gt;="&amp;DATE(2027,6,1),Report!$C$10:$C$604,"&lt;="&amp;DATE(2027,6,30))</f>
        <v>0</v>
      </c>
      <c r="U24" s="26" t="n">
        <f aca="false">SUMIFS(Report!$U$10:$U$604,Report!$T$10:$T$604,$A24,Report!$C$10:$C$604,"&gt;="&amp;DATE(2027,7,1),Report!$C$10:$C$604,"&lt;="&amp;DATE(2027,7,31))</f>
        <v>0</v>
      </c>
      <c r="V24" s="26" t="n">
        <f aca="false">SUMIFS(Report!$U$10:$U$604,Report!$T$10:$T$604,$A24,Report!$C$10:$C$604,"&gt;="&amp;DATE(2027,8,1),Report!$C$10:$C$604,"&lt;="&amp;DATE(2027,8,31))</f>
        <v>0</v>
      </c>
      <c r="W24" s="26" t="n">
        <f aca="false">SUMIFS(Report!$U$10:$U$604,Report!$T$10:$T$604,$A24,Report!$C$10:$C$604,"&gt;="&amp;DATE(2027,9,1),Report!$C$10:$C$604,"&lt;="&amp;DATE(2027,9,30))</f>
        <v>0</v>
      </c>
      <c r="X24" s="26" t="n">
        <f aca="false">SUMIFS(Report!$U$10:$U$604,Report!$T$10:$T$604,$A24,Report!$C$10:$C$604,"&gt;="&amp;DATE(2027,10,1),Report!$C$10:$C$604,"&lt;="&amp;DATE(2027,10,31))</f>
        <v>0</v>
      </c>
      <c r="Y24" s="26" t="n">
        <f aca="false">SUMIFS(Report!$U$10:$U$604,Report!$T$10:$T$604,$A24,Report!$C$10:$C$604,"&gt;="&amp;DATE(2027,11,1),Report!$C$10:$C$604,"&lt;="&amp;DATE(2027,11,30))</f>
        <v>0</v>
      </c>
      <c r="Z24" s="26" t="n">
        <f aca="false">SUMIFS(Report!$U$10:$U$604,Report!$T$10:$T$604,$A24,Report!$C$10:$C$604,"&gt;="&amp;DATE(2027,12,1),Report!$C$10:$C$604,"&lt;="&amp;DATE(2027,12,31))</f>
        <v>0</v>
      </c>
      <c r="AA24" s="26" t="n">
        <f aca="false">SUM(C24:Z24)</f>
        <v>1575</v>
      </c>
    </row>
    <row r="25" customFormat="false" ht="15" hidden="false" customHeight="true" outlineLevel="0" collapsed="false">
      <c r="A25" s="25" t="s">
        <v>347</v>
      </c>
      <c r="B25" s="25" t="str">
        <f aca="false">IFERROR(INDEX('Resumo Grupos'!$AC$3:$AC$38,MATCH($A25,'Resumo Grupos'!$AB$3:$AB$38,0)),"n/d")</f>
        <v>Despesa</v>
      </c>
      <c r="C25" s="26" t="n">
        <f aca="false">SUMIFS(Report!$U$10:$U$604,Report!$T$10:$T$604,$A25,Report!$C$10:$C$604,"&gt;="&amp;DATE(2026,1,1),Report!$C$10:$C$604,"&lt;="&amp;DATE(2026,1,31))</f>
        <v>0</v>
      </c>
      <c r="D25" s="26" t="n">
        <f aca="false">SUMIFS(Report!$U$10:$U$604,Report!$T$10:$T$604,$A25,Report!$C$10:$C$604,"&gt;="&amp;DATE(2026,2,1),Report!$C$10:$C$604,"&lt;="&amp;DATE(2026,2,28))</f>
        <v>0</v>
      </c>
      <c r="E25" s="26" t="n">
        <f aca="false">SUMIFS(Report!$U$10:$U$604,Report!$T$10:$T$604,$A25,Report!$C$10:$C$604,"&gt;="&amp;DATE(2026,3,1),Report!$C$10:$C$604,"&lt;="&amp;DATE(2026,3,31))</f>
        <v>0</v>
      </c>
      <c r="F25" s="26" t="n">
        <f aca="false">SUMIFS(Report!$U$10:$U$604,Report!$T$10:$T$604,$A25,Report!$C$10:$C$604,"&gt;="&amp;DATE(2026,4,1),Report!$C$10:$C$604,"&lt;="&amp;DATE(2026,4,30))</f>
        <v>0</v>
      </c>
      <c r="G25" s="26" t="n">
        <f aca="false">SUMIFS(Report!$U$10:$U$604,Report!$T$10:$T$604,$A25,Report!$C$10:$C$604,"&gt;="&amp;DATE(2026,5,1),Report!$C$10:$C$604,"&lt;="&amp;DATE(2026,5,31))</f>
        <v>0</v>
      </c>
      <c r="H25" s="26" t="n">
        <f aca="false">SUMIFS(Report!$U$10:$U$604,Report!$T$10:$T$604,$A25,Report!$C$10:$C$604,"&gt;="&amp;DATE(2026,6,1),Report!$C$10:$C$604,"&lt;="&amp;DATE(2026,6,30))</f>
        <v>0</v>
      </c>
      <c r="I25" s="26" t="n">
        <f aca="false">SUMIFS(Report!$U$10:$U$604,Report!$T$10:$T$604,$A25,Report!$C$10:$C$604,"&gt;="&amp;DATE(2026,7,1),Report!$C$10:$C$604,"&lt;="&amp;DATE(2026,7,31))</f>
        <v>1217.33</v>
      </c>
      <c r="J25" s="26" t="n">
        <f aca="false">SUMIFS(Report!$U$10:$U$604,Report!$T$10:$T$604,$A25,Report!$C$10:$C$604,"&gt;="&amp;DATE(2026,8,1),Report!$C$10:$C$604,"&lt;="&amp;DATE(2026,8,31))</f>
        <v>0</v>
      </c>
      <c r="K25" s="26" t="n">
        <f aca="false">SUMIFS(Report!$U$10:$U$604,Report!$T$10:$T$604,$A25,Report!$C$10:$C$604,"&gt;="&amp;DATE(2026,9,1),Report!$C$10:$C$604,"&lt;="&amp;DATE(2026,9,30))</f>
        <v>0</v>
      </c>
      <c r="L25" s="26" t="n">
        <f aca="false">SUMIFS(Report!$U$10:$U$604,Report!$T$10:$T$604,$A25,Report!$C$10:$C$604,"&gt;="&amp;DATE(2026,10,1),Report!$C$10:$C$604,"&lt;="&amp;DATE(2026,10,31))</f>
        <v>0</v>
      </c>
      <c r="M25" s="26" t="n">
        <f aca="false">SUMIFS(Report!$U$10:$U$604,Report!$T$10:$T$604,$A25,Report!$C$10:$C$604,"&gt;="&amp;DATE(2026,11,1),Report!$C$10:$C$604,"&lt;="&amp;DATE(2026,11,30))</f>
        <v>0</v>
      </c>
      <c r="N25" s="26" t="n">
        <f aca="false">SUMIFS(Report!$U$10:$U$604,Report!$T$10:$T$604,$A25,Report!$C$10:$C$604,"&gt;="&amp;DATE(2026,12,1),Report!$C$10:$C$604,"&lt;="&amp;DATE(2026,12,31))</f>
        <v>0</v>
      </c>
      <c r="O25" s="26" t="n">
        <f aca="false">SUMIFS(Report!$U$10:$U$604,Report!$T$10:$T$604,$A25,Report!$C$10:$C$604,"&gt;="&amp;DATE(2027,1,1),Report!$C$10:$C$604,"&lt;="&amp;DATE(2027,1,31))</f>
        <v>0</v>
      </c>
      <c r="P25" s="26" t="n">
        <f aca="false">SUMIFS(Report!$U$10:$U$604,Report!$T$10:$T$604,$A25,Report!$C$10:$C$604,"&gt;="&amp;DATE(2027,2,1),Report!$C$10:$C$604,"&lt;="&amp;DATE(2027,2,28))</f>
        <v>0</v>
      </c>
      <c r="Q25" s="26" t="n">
        <f aca="false">SUMIFS(Report!$U$10:$U$604,Report!$T$10:$T$604,$A25,Report!$C$10:$C$604,"&gt;="&amp;DATE(2027,3,1),Report!$C$10:$C$604,"&lt;="&amp;DATE(2027,3,31))</f>
        <v>0</v>
      </c>
      <c r="R25" s="26" t="n">
        <f aca="false">SUMIFS(Report!$U$10:$U$604,Report!$T$10:$T$604,$A25,Report!$C$10:$C$604,"&gt;="&amp;DATE(2027,4,1),Report!$C$10:$C$604,"&lt;="&amp;DATE(2027,4,30))</f>
        <v>0</v>
      </c>
      <c r="S25" s="26" t="n">
        <f aca="false">SUMIFS(Report!$U$10:$U$604,Report!$T$10:$T$604,$A25,Report!$C$10:$C$604,"&gt;="&amp;DATE(2027,5,1),Report!$C$10:$C$604,"&lt;="&amp;DATE(2027,5,31))</f>
        <v>0</v>
      </c>
      <c r="T25" s="26" t="n">
        <f aca="false">SUMIFS(Report!$U$10:$U$604,Report!$T$10:$T$604,$A25,Report!$C$10:$C$604,"&gt;="&amp;DATE(2027,6,1),Report!$C$10:$C$604,"&lt;="&amp;DATE(2027,6,30))</f>
        <v>0</v>
      </c>
      <c r="U25" s="26" t="n">
        <f aca="false">SUMIFS(Report!$U$10:$U$604,Report!$T$10:$T$604,$A25,Report!$C$10:$C$604,"&gt;="&amp;DATE(2027,7,1),Report!$C$10:$C$604,"&lt;="&amp;DATE(2027,7,31))</f>
        <v>0</v>
      </c>
      <c r="V25" s="26" t="n">
        <f aca="false">SUMIFS(Report!$U$10:$U$604,Report!$T$10:$T$604,$A25,Report!$C$10:$C$604,"&gt;="&amp;DATE(2027,8,1),Report!$C$10:$C$604,"&lt;="&amp;DATE(2027,8,31))</f>
        <v>0</v>
      </c>
      <c r="W25" s="26" t="n">
        <f aca="false">SUMIFS(Report!$U$10:$U$604,Report!$T$10:$T$604,$A25,Report!$C$10:$C$604,"&gt;="&amp;DATE(2027,9,1),Report!$C$10:$C$604,"&lt;="&amp;DATE(2027,9,30))</f>
        <v>0</v>
      </c>
      <c r="X25" s="26" t="n">
        <f aca="false">SUMIFS(Report!$U$10:$U$604,Report!$T$10:$T$604,$A25,Report!$C$10:$C$604,"&gt;="&amp;DATE(2027,10,1),Report!$C$10:$C$604,"&lt;="&amp;DATE(2027,10,31))</f>
        <v>0</v>
      </c>
      <c r="Y25" s="26" t="n">
        <f aca="false">SUMIFS(Report!$U$10:$U$604,Report!$T$10:$T$604,$A25,Report!$C$10:$C$604,"&gt;="&amp;DATE(2027,11,1),Report!$C$10:$C$604,"&lt;="&amp;DATE(2027,11,30))</f>
        <v>0</v>
      </c>
      <c r="Z25" s="26" t="n">
        <f aca="false">SUMIFS(Report!$U$10:$U$604,Report!$T$10:$T$604,$A25,Report!$C$10:$C$604,"&gt;="&amp;DATE(2027,12,1),Report!$C$10:$C$604,"&lt;="&amp;DATE(2027,12,31))</f>
        <v>0</v>
      </c>
      <c r="AA25" s="26" t="n">
        <f aca="false">SUM(C25:Z25)</f>
        <v>1217.33</v>
      </c>
    </row>
    <row r="26" customFormat="false" ht="15" hidden="false" customHeight="true" outlineLevel="0" collapsed="false">
      <c r="A26" s="25" t="s">
        <v>116</v>
      </c>
      <c r="B26" s="25" t="str">
        <f aca="false">IFERROR(INDEX('Resumo Grupos'!$AC$3:$AC$38,MATCH($A26,'Resumo Grupos'!$AB$3:$AB$38,0)),"n/d")</f>
        <v>Despesa</v>
      </c>
      <c r="C26" s="26" t="n">
        <f aca="false">SUMIFS(Report!$U$10:$U$604,Report!$T$10:$T$604,$A26,Report!$C$10:$C$604,"&gt;="&amp;DATE(2026,1,1),Report!$C$10:$C$604,"&lt;="&amp;DATE(2026,1,31))</f>
        <v>0</v>
      </c>
      <c r="D26" s="26" t="n">
        <f aca="false">SUMIFS(Report!$U$10:$U$604,Report!$T$10:$T$604,$A26,Report!$C$10:$C$604,"&gt;="&amp;DATE(2026,2,1),Report!$C$10:$C$604,"&lt;="&amp;DATE(2026,2,28))</f>
        <v>0</v>
      </c>
      <c r="E26" s="26" t="n">
        <f aca="false">SUMIFS(Report!$U$10:$U$604,Report!$T$10:$T$604,$A26,Report!$C$10:$C$604,"&gt;="&amp;DATE(2026,3,1),Report!$C$10:$C$604,"&lt;="&amp;DATE(2026,3,31))</f>
        <v>0</v>
      </c>
      <c r="F26" s="26" t="n">
        <f aca="false">SUMIFS(Report!$U$10:$U$604,Report!$T$10:$T$604,$A26,Report!$C$10:$C$604,"&gt;="&amp;DATE(2026,4,1),Report!$C$10:$C$604,"&lt;="&amp;DATE(2026,4,30))</f>
        <v>0</v>
      </c>
      <c r="G26" s="26" t="n">
        <f aca="false">SUMIFS(Report!$U$10:$U$604,Report!$T$10:$T$604,$A26,Report!$C$10:$C$604,"&gt;="&amp;DATE(2026,5,1),Report!$C$10:$C$604,"&lt;="&amp;DATE(2026,5,31))</f>
        <v>0</v>
      </c>
      <c r="H26" s="26" t="n">
        <f aca="false">SUMIFS(Report!$U$10:$U$604,Report!$T$10:$T$604,$A26,Report!$C$10:$C$604,"&gt;="&amp;DATE(2026,6,1),Report!$C$10:$C$604,"&lt;="&amp;DATE(2026,6,30))</f>
        <v>0</v>
      </c>
      <c r="I26" s="26" t="n">
        <f aca="false">SUMIFS(Report!$U$10:$U$604,Report!$T$10:$T$604,$A26,Report!$C$10:$C$604,"&gt;="&amp;DATE(2026,7,1),Report!$C$10:$C$604,"&lt;="&amp;DATE(2026,7,31))</f>
        <v>835.26</v>
      </c>
      <c r="J26" s="26" t="n">
        <f aca="false">SUMIFS(Report!$U$10:$U$604,Report!$T$10:$T$604,$A26,Report!$C$10:$C$604,"&gt;="&amp;DATE(2026,8,1),Report!$C$10:$C$604,"&lt;="&amp;DATE(2026,8,31))</f>
        <v>415.26</v>
      </c>
      <c r="K26" s="26" t="n">
        <f aca="false">SUMIFS(Report!$U$10:$U$604,Report!$T$10:$T$604,$A26,Report!$C$10:$C$604,"&gt;="&amp;DATE(2026,9,1),Report!$C$10:$C$604,"&lt;="&amp;DATE(2026,9,30))</f>
        <v>0</v>
      </c>
      <c r="L26" s="26" t="n">
        <f aca="false">SUMIFS(Report!$U$10:$U$604,Report!$T$10:$T$604,$A26,Report!$C$10:$C$604,"&gt;="&amp;DATE(2026,10,1),Report!$C$10:$C$604,"&lt;="&amp;DATE(2026,10,31))</f>
        <v>0</v>
      </c>
      <c r="M26" s="26" t="n">
        <f aca="false">SUMIFS(Report!$U$10:$U$604,Report!$T$10:$T$604,$A26,Report!$C$10:$C$604,"&gt;="&amp;DATE(2026,11,1),Report!$C$10:$C$604,"&lt;="&amp;DATE(2026,11,30))</f>
        <v>0</v>
      </c>
      <c r="N26" s="26" t="n">
        <f aca="false">SUMIFS(Report!$U$10:$U$604,Report!$T$10:$T$604,$A26,Report!$C$10:$C$604,"&gt;="&amp;DATE(2026,12,1),Report!$C$10:$C$604,"&lt;="&amp;DATE(2026,12,31))</f>
        <v>0</v>
      </c>
      <c r="O26" s="26" t="n">
        <f aca="false">SUMIFS(Report!$U$10:$U$604,Report!$T$10:$T$604,$A26,Report!$C$10:$C$604,"&gt;="&amp;DATE(2027,1,1),Report!$C$10:$C$604,"&lt;="&amp;DATE(2027,1,31))</f>
        <v>0</v>
      </c>
      <c r="P26" s="26" t="n">
        <f aca="false">SUMIFS(Report!$U$10:$U$604,Report!$T$10:$T$604,$A26,Report!$C$10:$C$604,"&gt;="&amp;DATE(2027,2,1),Report!$C$10:$C$604,"&lt;="&amp;DATE(2027,2,28))</f>
        <v>0</v>
      </c>
      <c r="Q26" s="26" t="n">
        <f aca="false">SUMIFS(Report!$U$10:$U$604,Report!$T$10:$T$604,$A26,Report!$C$10:$C$604,"&gt;="&amp;DATE(2027,3,1),Report!$C$10:$C$604,"&lt;="&amp;DATE(2027,3,31))</f>
        <v>0</v>
      </c>
      <c r="R26" s="26" t="n">
        <f aca="false">SUMIFS(Report!$U$10:$U$604,Report!$T$10:$T$604,$A26,Report!$C$10:$C$604,"&gt;="&amp;DATE(2027,4,1),Report!$C$10:$C$604,"&lt;="&amp;DATE(2027,4,30))</f>
        <v>0</v>
      </c>
      <c r="S26" s="26" t="n">
        <f aca="false">SUMIFS(Report!$U$10:$U$604,Report!$T$10:$T$604,$A26,Report!$C$10:$C$604,"&gt;="&amp;DATE(2027,5,1),Report!$C$10:$C$604,"&lt;="&amp;DATE(2027,5,31))</f>
        <v>0</v>
      </c>
      <c r="T26" s="26" t="n">
        <f aca="false">SUMIFS(Report!$U$10:$U$604,Report!$T$10:$T$604,$A26,Report!$C$10:$C$604,"&gt;="&amp;DATE(2027,6,1),Report!$C$10:$C$604,"&lt;="&amp;DATE(2027,6,30))</f>
        <v>0</v>
      </c>
      <c r="U26" s="26" t="n">
        <f aca="false">SUMIFS(Report!$U$10:$U$604,Report!$T$10:$T$604,$A26,Report!$C$10:$C$604,"&gt;="&amp;DATE(2027,7,1),Report!$C$10:$C$604,"&lt;="&amp;DATE(2027,7,31))</f>
        <v>0</v>
      </c>
      <c r="V26" s="26" t="n">
        <f aca="false">SUMIFS(Report!$U$10:$U$604,Report!$T$10:$T$604,$A26,Report!$C$10:$C$604,"&gt;="&amp;DATE(2027,8,1),Report!$C$10:$C$604,"&lt;="&amp;DATE(2027,8,31))</f>
        <v>0</v>
      </c>
      <c r="W26" s="26" t="n">
        <f aca="false">SUMIFS(Report!$U$10:$U$604,Report!$T$10:$T$604,$A26,Report!$C$10:$C$604,"&gt;="&amp;DATE(2027,9,1),Report!$C$10:$C$604,"&lt;="&amp;DATE(2027,9,30))</f>
        <v>0</v>
      </c>
      <c r="X26" s="26" t="n">
        <f aca="false">SUMIFS(Report!$U$10:$U$604,Report!$T$10:$T$604,$A26,Report!$C$10:$C$604,"&gt;="&amp;DATE(2027,10,1),Report!$C$10:$C$604,"&lt;="&amp;DATE(2027,10,31))</f>
        <v>0</v>
      </c>
      <c r="Y26" s="26" t="n">
        <f aca="false">SUMIFS(Report!$U$10:$U$604,Report!$T$10:$T$604,$A26,Report!$C$10:$C$604,"&gt;="&amp;DATE(2027,11,1),Report!$C$10:$C$604,"&lt;="&amp;DATE(2027,11,30))</f>
        <v>0</v>
      </c>
      <c r="Z26" s="26" t="n">
        <f aca="false">SUMIFS(Report!$U$10:$U$604,Report!$T$10:$T$604,$A26,Report!$C$10:$C$604,"&gt;="&amp;DATE(2027,12,1),Report!$C$10:$C$604,"&lt;="&amp;DATE(2027,12,31))</f>
        <v>0</v>
      </c>
      <c r="AA26" s="26" t="n">
        <f aca="false">SUM(C26:Z26)</f>
        <v>1250.52</v>
      </c>
    </row>
    <row r="27" customFormat="false" ht="15" hidden="false" customHeight="true" outlineLevel="0" collapsed="false">
      <c r="A27" s="25" t="s">
        <v>43</v>
      </c>
      <c r="B27" s="25" t="str">
        <f aca="false">IFERROR(INDEX('Resumo Grupos'!$AC$3:$AC$38,MATCH($A27,'Resumo Grupos'!$AB$3:$AB$38,0)),"n/d")</f>
        <v>Despesa</v>
      </c>
      <c r="C27" s="26" t="n">
        <f aca="false">SUMIFS(Report!$U$10:$U$604,Report!$T$10:$T$604,$A27,Report!$C$10:$C$604,"&gt;="&amp;DATE(2026,1,1),Report!$C$10:$C$604,"&lt;="&amp;DATE(2026,1,31))</f>
        <v>0</v>
      </c>
      <c r="D27" s="26" t="n">
        <f aca="false">SUMIFS(Report!$U$10:$U$604,Report!$T$10:$T$604,$A27,Report!$C$10:$C$604,"&gt;="&amp;DATE(2026,2,1),Report!$C$10:$C$604,"&lt;="&amp;DATE(2026,2,28))</f>
        <v>0</v>
      </c>
      <c r="E27" s="26" t="n">
        <f aca="false">SUMIFS(Report!$U$10:$U$604,Report!$T$10:$T$604,$A27,Report!$C$10:$C$604,"&gt;="&amp;DATE(2026,3,1),Report!$C$10:$C$604,"&lt;="&amp;DATE(2026,3,31))</f>
        <v>0</v>
      </c>
      <c r="F27" s="26" t="n">
        <f aca="false">SUMIFS(Report!$U$10:$U$604,Report!$T$10:$T$604,$A27,Report!$C$10:$C$604,"&gt;="&amp;DATE(2026,4,1),Report!$C$10:$C$604,"&lt;="&amp;DATE(2026,4,30))</f>
        <v>0</v>
      </c>
      <c r="G27" s="26" t="n">
        <f aca="false">SUMIFS(Report!$U$10:$U$604,Report!$T$10:$T$604,$A27,Report!$C$10:$C$604,"&gt;="&amp;DATE(2026,5,1),Report!$C$10:$C$604,"&lt;="&amp;DATE(2026,5,31))</f>
        <v>0</v>
      </c>
      <c r="H27" s="26" t="n">
        <f aca="false">SUMIFS(Report!$U$10:$U$604,Report!$T$10:$T$604,$A27,Report!$C$10:$C$604,"&gt;="&amp;DATE(2026,6,1),Report!$C$10:$C$604,"&lt;="&amp;DATE(2026,6,30))</f>
        <v>0</v>
      </c>
      <c r="I27" s="26" t="n">
        <f aca="false">SUMIFS(Report!$U$10:$U$604,Report!$T$10:$T$604,$A27,Report!$C$10:$C$604,"&gt;="&amp;DATE(2026,7,1),Report!$C$10:$C$604,"&lt;="&amp;DATE(2026,7,31))</f>
        <v>1898</v>
      </c>
      <c r="J27" s="26" t="n">
        <f aca="false">SUMIFS(Report!$U$10:$U$604,Report!$T$10:$T$604,$A27,Report!$C$10:$C$604,"&gt;="&amp;DATE(2026,8,1),Report!$C$10:$C$604,"&lt;="&amp;DATE(2026,8,31))</f>
        <v>1898</v>
      </c>
      <c r="K27" s="26" t="n">
        <f aca="false">SUMIFS(Report!$U$10:$U$604,Report!$T$10:$T$604,$A27,Report!$C$10:$C$604,"&gt;="&amp;DATE(2026,9,1),Report!$C$10:$C$604,"&lt;="&amp;DATE(2026,9,30))</f>
        <v>1898</v>
      </c>
      <c r="L27" s="26" t="n">
        <f aca="false">SUMIFS(Report!$U$10:$U$604,Report!$T$10:$T$604,$A27,Report!$C$10:$C$604,"&gt;="&amp;DATE(2026,10,1),Report!$C$10:$C$604,"&lt;="&amp;DATE(2026,10,31))</f>
        <v>0</v>
      </c>
      <c r="M27" s="26" t="n">
        <f aca="false">SUMIFS(Report!$U$10:$U$604,Report!$T$10:$T$604,$A27,Report!$C$10:$C$604,"&gt;="&amp;DATE(2026,11,1),Report!$C$10:$C$604,"&lt;="&amp;DATE(2026,11,30))</f>
        <v>0</v>
      </c>
      <c r="N27" s="26" t="n">
        <f aca="false">SUMIFS(Report!$U$10:$U$604,Report!$T$10:$T$604,$A27,Report!$C$10:$C$604,"&gt;="&amp;DATE(2026,12,1),Report!$C$10:$C$604,"&lt;="&amp;DATE(2026,12,31))</f>
        <v>0</v>
      </c>
      <c r="O27" s="26" t="n">
        <f aca="false">SUMIFS(Report!$U$10:$U$604,Report!$T$10:$T$604,$A27,Report!$C$10:$C$604,"&gt;="&amp;DATE(2027,1,1),Report!$C$10:$C$604,"&lt;="&amp;DATE(2027,1,31))</f>
        <v>0</v>
      </c>
      <c r="P27" s="26" t="n">
        <f aca="false">SUMIFS(Report!$U$10:$U$604,Report!$T$10:$T$604,$A27,Report!$C$10:$C$604,"&gt;="&amp;DATE(2027,2,1),Report!$C$10:$C$604,"&lt;="&amp;DATE(2027,2,28))</f>
        <v>0</v>
      </c>
      <c r="Q27" s="26" t="n">
        <f aca="false">SUMIFS(Report!$U$10:$U$604,Report!$T$10:$T$604,$A27,Report!$C$10:$C$604,"&gt;="&amp;DATE(2027,3,1),Report!$C$10:$C$604,"&lt;="&amp;DATE(2027,3,31))</f>
        <v>0</v>
      </c>
      <c r="R27" s="26" t="n">
        <f aca="false">SUMIFS(Report!$U$10:$U$604,Report!$T$10:$T$604,$A27,Report!$C$10:$C$604,"&gt;="&amp;DATE(2027,4,1),Report!$C$10:$C$604,"&lt;="&amp;DATE(2027,4,30))</f>
        <v>0</v>
      </c>
      <c r="S27" s="26" t="n">
        <f aca="false">SUMIFS(Report!$U$10:$U$604,Report!$T$10:$T$604,$A27,Report!$C$10:$C$604,"&gt;="&amp;DATE(2027,5,1),Report!$C$10:$C$604,"&lt;="&amp;DATE(2027,5,31))</f>
        <v>0</v>
      </c>
      <c r="T27" s="26" t="n">
        <f aca="false">SUMIFS(Report!$U$10:$U$604,Report!$T$10:$T$604,$A27,Report!$C$10:$C$604,"&gt;="&amp;DATE(2027,6,1),Report!$C$10:$C$604,"&lt;="&amp;DATE(2027,6,30))</f>
        <v>0</v>
      </c>
      <c r="U27" s="26" t="n">
        <f aca="false">SUMIFS(Report!$U$10:$U$604,Report!$T$10:$T$604,$A27,Report!$C$10:$C$604,"&gt;="&amp;DATE(2027,7,1),Report!$C$10:$C$604,"&lt;="&amp;DATE(2027,7,31))</f>
        <v>0</v>
      </c>
      <c r="V27" s="26" t="n">
        <f aca="false">SUMIFS(Report!$U$10:$U$604,Report!$T$10:$T$604,$A27,Report!$C$10:$C$604,"&gt;="&amp;DATE(2027,8,1),Report!$C$10:$C$604,"&lt;="&amp;DATE(2027,8,31))</f>
        <v>0</v>
      </c>
      <c r="W27" s="26" t="n">
        <f aca="false">SUMIFS(Report!$U$10:$U$604,Report!$T$10:$T$604,$A27,Report!$C$10:$C$604,"&gt;="&amp;DATE(2027,9,1),Report!$C$10:$C$604,"&lt;="&amp;DATE(2027,9,30))</f>
        <v>0</v>
      </c>
      <c r="X27" s="26" t="n">
        <f aca="false">SUMIFS(Report!$U$10:$U$604,Report!$T$10:$T$604,$A27,Report!$C$10:$C$604,"&gt;="&amp;DATE(2027,10,1),Report!$C$10:$C$604,"&lt;="&amp;DATE(2027,10,31))</f>
        <v>0</v>
      </c>
      <c r="Y27" s="26" t="n">
        <f aca="false">SUMIFS(Report!$U$10:$U$604,Report!$T$10:$T$604,$A27,Report!$C$10:$C$604,"&gt;="&amp;DATE(2027,11,1),Report!$C$10:$C$604,"&lt;="&amp;DATE(2027,11,30))</f>
        <v>0</v>
      </c>
      <c r="Z27" s="26" t="n">
        <f aca="false">SUMIFS(Report!$U$10:$U$604,Report!$T$10:$T$604,$A27,Report!$C$10:$C$604,"&gt;="&amp;DATE(2027,12,1),Report!$C$10:$C$604,"&lt;="&amp;DATE(2027,12,31))</f>
        <v>0</v>
      </c>
      <c r="AA27" s="26" t="n">
        <f aca="false">SUM(C27:Z27)</f>
        <v>5694</v>
      </c>
    </row>
    <row r="28" customFormat="false" ht="15" hidden="false" customHeight="true" outlineLevel="0" collapsed="false">
      <c r="A28" s="25" t="s">
        <v>61</v>
      </c>
      <c r="B28" s="25" t="str">
        <f aca="false">IFERROR(INDEX('Resumo Grupos'!$AC$3:$AC$38,MATCH($A28,'Resumo Grupos'!$AB$3:$AB$38,0)),"n/d")</f>
        <v>Despesa</v>
      </c>
      <c r="C28" s="26" t="n">
        <f aca="false">SUMIFS(Report!$U$10:$U$604,Report!$T$10:$T$604,$A28,Report!$C$10:$C$604,"&gt;="&amp;DATE(2026,1,1),Report!$C$10:$C$604,"&lt;="&amp;DATE(2026,1,31))</f>
        <v>0</v>
      </c>
      <c r="D28" s="26" t="n">
        <f aca="false">SUMIFS(Report!$U$10:$U$604,Report!$T$10:$T$604,$A28,Report!$C$10:$C$604,"&gt;="&amp;DATE(2026,2,1),Report!$C$10:$C$604,"&lt;="&amp;DATE(2026,2,28))</f>
        <v>0</v>
      </c>
      <c r="E28" s="26" t="n">
        <f aca="false">SUMIFS(Report!$U$10:$U$604,Report!$T$10:$T$604,$A28,Report!$C$10:$C$604,"&gt;="&amp;DATE(2026,3,1),Report!$C$10:$C$604,"&lt;="&amp;DATE(2026,3,31))</f>
        <v>0</v>
      </c>
      <c r="F28" s="26" t="n">
        <f aca="false">SUMIFS(Report!$U$10:$U$604,Report!$T$10:$T$604,$A28,Report!$C$10:$C$604,"&gt;="&amp;DATE(2026,4,1),Report!$C$10:$C$604,"&lt;="&amp;DATE(2026,4,30))</f>
        <v>0</v>
      </c>
      <c r="G28" s="26" t="n">
        <f aca="false">SUMIFS(Report!$U$10:$U$604,Report!$T$10:$T$604,$A28,Report!$C$10:$C$604,"&gt;="&amp;DATE(2026,5,1),Report!$C$10:$C$604,"&lt;="&amp;DATE(2026,5,31))</f>
        <v>0</v>
      </c>
      <c r="H28" s="26" t="n">
        <f aca="false">SUMIFS(Report!$U$10:$U$604,Report!$T$10:$T$604,$A28,Report!$C$10:$C$604,"&gt;="&amp;DATE(2026,6,1),Report!$C$10:$C$604,"&lt;="&amp;DATE(2026,6,30))</f>
        <v>0</v>
      </c>
      <c r="I28" s="26" t="n">
        <f aca="false">SUMIFS(Report!$U$10:$U$604,Report!$T$10:$T$604,$A28,Report!$C$10:$C$604,"&gt;="&amp;DATE(2026,7,1),Report!$C$10:$C$604,"&lt;="&amp;DATE(2026,7,31))</f>
        <v>831.65</v>
      </c>
      <c r="J28" s="26" t="n">
        <f aca="false">SUMIFS(Report!$U$10:$U$604,Report!$T$10:$T$604,$A28,Report!$C$10:$C$604,"&gt;="&amp;DATE(2026,8,1),Report!$C$10:$C$604,"&lt;="&amp;DATE(2026,8,31))</f>
        <v>0</v>
      </c>
      <c r="K28" s="26" t="n">
        <f aca="false">SUMIFS(Report!$U$10:$U$604,Report!$T$10:$T$604,$A28,Report!$C$10:$C$604,"&gt;="&amp;DATE(2026,9,1),Report!$C$10:$C$604,"&lt;="&amp;DATE(2026,9,30))</f>
        <v>0</v>
      </c>
      <c r="L28" s="26" t="n">
        <f aca="false">SUMIFS(Report!$U$10:$U$604,Report!$T$10:$T$604,$A28,Report!$C$10:$C$604,"&gt;="&amp;DATE(2026,10,1),Report!$C$10:$C$604,"&lt;="&amp;DATE(2026,10,31))</f>
        <v>0</v>
      </c>
      <c r="M28" s="26" t="n">
        <f aca="false">SUMIFS(Report!$U$10:$U$604,Report!$T$10:$T$604,$A28,Report!$C$10:$C$604,"&gt;="&amp;DATE(2026,11,1),Report!$C$10:$C$604,"&lt;="&amp;DATE(2026,11,30))</f>
        <v>0</v>
      </c>
      <c r="N28" s="26" t="n">
        <f aca="false">SUMIFS(Report!$U$10:$U$604,Report!$T$10:$T$604,$A28,Report!$C$10:$C$604,"&gt;="&amp;DATE(2026,12,1),Report!$C$10:$C$604,"&lt;="&amp;DATE(2026,12,31))</f>
        <v>0</v>
      </c>
      <c r="O28" s="26" t="n">
        <f aca="false">SUMIFS(Report!$U$10:$U$604,Report!$T$10:$T$604,$A28,Report!$C$10:$C$604,"&gt;="&amp;DATE(2027,1,1),Report!$C$10:$C$604,"&lt;="&amp;DATE(2027,1,31))</f>
        <v>0</v>
      </c>
      <c r="P28" s="26" t="n">
        <f aca="false">SUMIFS(Report!$U$10:$U$604,Report!$T$10:$T$604,$A28,Report!$C$10:$C$604,"&gt;="&amp;DATE(2027,2,1),Report!$C$10:$C$604,"&lt;="&amp;DATE(2027,2,28))</f>
        <v>0</v>
      </c>
      <c r="Q28" s="26" t="n">
        <f aca="false">SUMIFS(Report!$U$10:$U$604,Report!$T$10:$T$604,$A28,Report!$C$10:$C$604,"&gt;="&amp;DATE(2027,3,1),Report!$C$10:$C$604,"&lt;="&amp;DATE(2027,3,31))</f>
        <v>0</v>
      </c>
      <c r="R28" s="26" t="n">
        <f aca="false">SUMIFS(Report!$U$10:$U$604,Report!$T$10:$T$604,$A28,Report!$C$10:$C$604,"&gt;="&amp;DATE(2027,4,1),Report!$C$10:$C$604,"&lt;="&amp;DATE(2027,4,30))</f>
        <v>0</v>
      </c>
      <c r="S28" s="26" t="n">
        <f aca="false">SUMIFS(Report!$U$10:$U$604,Report!$T$10:$T$604,$A28,Report!$C$10:$C$604,"&gt;="&amp;DATE(2027,5,1),Report!$C$10:$C$604,"&lt;="&amp;DATE(2027,5,31))</f>
        <v>0</v>
      </c>
      <c r="T28" s="26" t="n">
        <f aca="false">SUMIFS(Report!$U$10:$U$604,Report!$T$10:$T$604,$A28,Report!$C$10:$C$604,"&gt;="&amp;DATE(2027,6,1),Report!$C$10:$C$604,"&lt;="&amp;DATE(2027,6,30))</f>
        <v>0</v>
      </c>
      <c r="U28" s="26" t="n">
        <f aca="false">SUMIFS(Report!$U$10:$U$604,Report!$T$10:$T$604,$A28,Report!$C$10:$C$604,"&gt;="&amp;DATE(2027,7,1),Report!$C$10:$C$604,"&lt;="&amp;DATE(2027,7,31))</f>
        <v>0</v>
      </c>
      <c r="V28" s="26" t="n">
        <f aca="false">SUMIFS(Report!$U$10:$U$604,Report!$T$10:$T$604,$A28,Report!$C$10:$C$604,"&gt;="&amp;DATE(2027,8,1),Report!$C$10:$C$604,"&lt;="&amp;DATE(2027,8,31))</f>
        <v>0</v>
      </c>
      <c r="W28" s="26" t="n">
        <f aca="false">SUMIFS(Report!$U$10:$U$604,Report!$T$10:$T$604,$A28,Report!$C$10:$C$604,"&gt;="&amp;DATE(2027,9,1),Report!$C$10:$C$604,"&lt;="&amp;DATE(2027,9,30))</f>
        <v>0</v>
      </c>
      <c r="X28" s="26" t="n">
        <f aca="false">SUMIFS(Report!$U$10:$U$604,Report!$T$10:$T$604,$A28,Report!$C$10:$C$604,"&gt;="&amp;DATE(2027,10,1),Report!$C$10:$C$604,"&lt;="&amp;DATE(2027,10,31))</f>
        <v>0</v>
      </c>
      <c r="Y28" s="26" t="n">
        <f aca="false">SUMIFS(Report!$U$10:$U$604,Report!$T$10:$T$604,$A28,Report!$C$10:$C$604,"&gt;="&amp;DATE(2027,11,1),Report!$C$10:$C$604,"&lt;="&amp;DATE(2027,11,30))</f>
        <v>0</v>
      </c>
      <c r="Z28" s="26" t="n">
        <f aca="false">SUMIFS(Report!$U$10:$U$604,Report!$T$10:$T$604,$A28,Report!$C$10:$C$604,"&gt;="&amp;DATE(2027,12,1),Report!$C$10:$C$604,"&lt;="&amp;DATE(2027,12,31))</f>
        <v>0</v>
      </c>
      <c r="AA28" s="26" t="n">
        <f aca="false">SUM(C28:Z28)</f>
        <v>831.65</v>
      </c>
    </row>
    <row r="29" customFormat="false" ht="15" hidden="false" customHeight="true" outlineLevel="0" collapsed="false">
      <c r="A29" s="25" t="s">
        <v>300</v>
      </c>
      <c r="B29" s="25" t="str">
        <f aca="false">IFERROR(INDEX('Resumo Grupos'!$AC$3:$AC$38,MATCH($A29,'Resumo Grupos'!$AB$3:$AB$38,0)),"n/d")</f>
        <v>Despesa</v>
      </c>
      <c r="C29" s="26" t="n">
        <f aca="false">SUMIFS(Report!$U$10:$U$604,Report!$T$10:$T$604,$A29,Report!$C$10:$C$604,"&gt;="&amp;DATE(2026,1,1),Report!$C$10:$C$604,"&lt;="&amp;DATE(2026,1,31))</f>
        <v>0</v>
      </c>
      <c r="D29" s="26" t="n">
        <f aca="false">SUMIFS(Report!$U$10:$U$604,Report!$T$10:$T$604,$A29,Report!$C$10:$C$604,"&gt;="&amp;DATE(2026,2,1),Report!$C$10:$C$604,"&lt;="&amp;DATE(2026,2,28))</f>
        <v>0</v>
      </c>
      <c r="E29" s="26" t="n">
        <f aca="false">SUMIFS(Report!$U$10:$U$604,Report!$T$10:$T$604,$A29,Report!$C$10:$C$604,"&gt;="&amp;DATE(2026,3,1),Report!$C$10:$C$604,"&lt;="&amp;DATE(2026,3,31))</f>
        <v>0</v>
      </c>
      <c r="F29" s="26" t="n">
        <f aca="false">SUMIFS(Report!$U$10:$U$604,Report!$T$10:$T$604,$A29,Report!$C$10:$C$604,"&gt;="&amp;DATE(2026,4,1),Report!$C$10:$C$604,"&lt;="&amp;DATE(2026,4,30))</f>
        <v>0</v>
      </c>
      <c r="G29" s="26" t="n">
        <f aca="false">SUMIFS(Report!$U$10:$U$604,Report!$T$10:$T$604,$A29,Report!$C$10:$C$604,"&gt;="&amp;DATE(2026,5,1),Report!$C$10:$C$604,"&lt;="&amp;DATE(2026,5,31))</f>
        <v>0</v>
      </c>
      <c r="H29" s="26" t="n">
        <f aca="false">SUMIFS(Report!$U$10:$U$604,Report!$T$10:$T$604,$A29,Report!$C$10:$C$604,"&gt;="&amp;DATE(2026,6,1),Report!$C$10:$C$604,"&lt;="&amp;DATE(2026,6,30))</f>
        <v>0</v>
      </c>
      <c r="I29" s="26" t="n">
        <f aca="false">SUMIFS(Report!$U$10:$U$604,Report!$T$10:$T$604,$A29,Report!$C$10:$C$604,"&gt;="&amp;DATE(2026,7,1),Report!$C$10:$C$604,"&lt;="&amp;DATE(2026,7,31))</f>
        <v>258</v>
      </c>
      <c r="J29" s="26" t="n">
        <f aca="false">SUMIFS(Report!$U$10:$U$604,Report!$T$10:$T$604,$A29,Report!$C$10:$C$604,"&gt;="&amp;DATE(2026,8,1),Report!$C$10:$C$604,"&lt;="&amp;DATE(2026,8,31))</f>
        <v>0</v>
      </c>
      <c r="K29" s="26" t="n">
        <f aca="false">SUMIFS(Report!$U$10:$U$604,Report!$T$10:$T$604,$A29,Report!$C$10:$C$604,"&gt;="&amp;DATE(2026,9,1),Report!$C$10:$C$604,"&lt;="&amp;DATE(2026,9,30))</f>
        <v>0</v>
      </c>
      <c r="L29" s="26" t="n">
        <f aca="false">SUMIFS(Report!$U$10:$U$604,Report!$T$10:$T$604,$A29,Report!$C$10:$C$604,"&gt;="&amp;DATE(2026,10,1),Report!$C$10:$C$604,"&lt;="&amp;DATE(2026,10,31))</f>
        <v>0</v>
      </c>
      <c r="M29" s="26" t="n">
        <f aca="false">SUMIFS(Report!$U$10:$U$604,Report!$T$10:$T$604,$A29,Report!$C$10:$C$604,"&gt;="&amp;DATE(2026,11,1),Report!$C$10:$C$604,"&lt;="&amp;DATE(2026,11,30))</f>
        <v>0</v>
      </c>
      <c r="N29" s="26" t="n">
        <f aca="false">SUMIFS(Report!$U$10:$U$604,Report!$T$10:$T$604,$A29,Report!$C$10:$C$604,"&gt;="&amp;DATE(2026,12,1),Report!$C$10:$C$604,"&lt;="&amp;DATE(2026,12,31))</f>
        <v>0</v>
      </c>
      <c r="O29" s="26" t="n">
        <f aca="false">SUMIFS(Report!$U$10:$U$604,Report!$T$10:$T$604,$A29,Report!$C$10:$C$604,"&gt;="&amp;DATE(2027,1,1),Report!$C$10:$C$604,"&lt;="&amp;DATE(2027,1,31))</f>
        <v>0</v>
      </c>
      <c r="P29" s="26" t="n">
        <f aca="false">SUMIFS(Report!$U$10:$U$604,Report!$T$10:$T$604,$A29,Report!$C$10:$C$604,"&gt;="&amp;DATE(2027,2,1),Report!$C$10:$C$604,"&lt;="&amp;DATE(2027,2,28))</f>
        <v>0</v>
      </c>
      <c r="Q29" s="26" t="n">
        <f aca="false">SUMIFS(Report!$U$10:$U$604,Report!$T$10:$T$604,$A29,Report!$C$10:$C$604,"&gt;="&amp;DATE(2027,3,1),Report!$C$10:$C$604,"&lt;="&amp;DATE(2027,3,31))</f>
        <v>0</v>
      </c>
      <c r="R29" s="26" t="n">
        <f aca="false">SUMIFS(Report!$U$10:$U$604,Report!$T$10:$T$604,$A29,Report!$C$10:$C$604,"&gt;="&amp;DATE(2027,4,1),Report!$C$10:$C$604,"&lt;="&amp;DATE(2027,4,30))</f>
        <v>0</v>
      </c>
      <c r="S29" s="26" t="n">
        <f aca="false">SUMIFS(Report!$U$10:$U$604,Report!$T$10:$T$604,$A29,Report!$C$10:$C$604,"&gt;="&amp;DATE(2027,5,1),Report!$C$10:$C$604,"&lt;="&amp;DATE(2027,5,31))</f>
        <v>0</v>
      </c>
      <c r="T29" s="26" t="n">
        <f aca="false">SUMIFS(Report!$U$10:$U$604,Report!$T$10:$T$604,$A29,Report!$C$10:$C$604,"&gt;="&amp;DATE(2027,6,1),Report!$C$10:$C$604,"&lt;="&amp;DATE(2027,6,30))</f>
        <v>0</v>
      </c>
      <c r="U29" s="26" t="n">
        <f aca="false">SUMIFS(Report!$U$10:$U$604,Report!$T$10:$T$604,$A29,Report!$C$10:$C$604,"&gt;="&amp;DATE(2027,7,1),Report!$C$10:$C$604,"&lt;="&amp;DATE(2027,7,31))</f>
        <v>0</v>
      </c>
      <c r="V29" s="26" t="n">
        <f aca="false">SUMIFS(Report!$U$10:$U$604,Report!$T$10:$T$604,$A29,Report!$C$10:$C$604,"&gt;="&amp;DATE(2027,8,1),Report!$C$10:$C$604,"&lt;="&amp;DATE(2027,8,31))</f>
        <v>0</v>
      </c>
      <c r="W29" s="26" t="n">
        <f aca="false">SUMIFS(Report!$U$10:$U$604,Report!$T$10:$T$604,$A29,Report!$C$10:$C$604,"&gt;="&amp;DATE(2027,9,1),Report!$C$10:$C$604,"&lt;="&amp;DATE(2027,9,30))</f>
        <v>0</v>
      </c>
      <c r="X29" s="26" t="n">
        <f aca="false">SUMIFS(Report!$U$10:$U$604,Report!$T$10:$T$604,$A29,Report!$C$10:$C$604,"&gt;="&amp;DATE(2027,10,1),Report!$C$10:$C$604,"&lt;="&amp;DATE(2027,10,31))</f>
        <v>0</v>
      </c>
      <c r="Y29" s="26" t="n">
        <f aca="false">SUMIFS(Report!$U$10:$U$604,Report!$T$10:$T$604,$A29,Report!$C$10:$C$604,"&gt;="&amp;DATE(2027,11,1),Report!$C$10:$C$604,"&lt;="&amp;DATE(2027,11,30))</f>
        <v>0</v>
      </c>
      <c r="Z29" s="26" t="n">
        <f aca="false">SUMIFS(Report!$U$10:$U$604,Report!$T$10:$T$604,$A29,Report!$C$10:$C$604,"&gt;="&amp;DATE(2027,12,1),Report!$C$10:$C$604,"&lt;="&amp;DATE(2027,12,31))</f>
        <v>0</v>
      </c>
      <c r="AA29" s="26" t="n">
        <f aca="false">SUM(C29:Z29)</f>
        <v>258</v>
      </c>
    </row>
    <row r="30" customFormat="false" ht="15" hidden="false" customHeight="true" outlineLevel="0" collapsed="false">
      <c r="A30" s="25" t="s">
        <v>36</v>
      </c>
      <c r="B30" s="25" t="str">
        <f aca="false">IFERROR(INDEX('Resumo Grupos'!$AC$3:$AC$38,MATCH($A30,'Resumo Grupos'!$AB$3:$AB$38,0)),"n/d")</f>
        <v>Mercadoria</v>
      </c>
      <c r="C30" s="26" t="n">
        <f aca="false">SUMIFS(Report!$U$10:$U$604,Report!$T$10:$T$604,$A30,Report!$C$10:$C$604,"&gt;="&amp;DATE(2026,1,1),Report!$C$10:$C$604,"&lt;="&amp;DATE(2026,1,31))</f>
        <v>0</v>
      </c>
      <c r="D30" s="26" t="n">
        <f aca="false">SUMIFS(Report!$U$10:$U$604,Report!$T$10:$T$604,$A30,Report!$C$10:$C$604,"&gt;="&amp;DATE(2026,2,1),Report!$C$10:$C$604,"&lt;="&amp;DATE(2026,2,28))</f>
        <v>0</v>
      </c>
      <c r="E30" s="26" t="n">
        <f aca="false">SUMIFS(Report!$U$10:$U$604,Report!$T$10:$T$604,$A30,Report!$C$10:$C$604,"&gt;="&amp;DATE(2026,3,1),Report!$C$10:$C$604,"&lt;="&amp;DATE(2026,3,31))</f>
        <v>0</v>
      </c>
      <c r="F30" s="26" t="n">
        <f aca="false">SUMIFS(Report!$U$10:$U$604,Report!$T$10:$T$604,$A30,Report!$C$10:$C$604,"&gt;="&amp;DATE(2026,4,1),Report!$C$10:$C$604,"&lt;="&amp;DATE(2026,4,30))</f>
        <v>0</v>
      </c>
      <c r="G30" s="26" t="n">
        <f aca="false">SUMIFS(Report!$U$10:$U$604,Report!$T$10:$T$604,$A30,Report!$C$10:$C$604,"&gt;="&amp;DATE(2026,5,1),Report!$C$10:$C$604,"&lt;="&amp;DATE(2026,5,31))</f>
        <v>0</v>
      </c>
      <c r="H30" s="26" t="n">
        <f aca="false">SUMIFS(Report!$U$10:$U$604,Report!$T$10:$T$604,$A30,Report!$C$10:$C$604,"&gt;="&amp;DATE(2026,6,1),Report!$C$10:$C$604,"&lt;="&amp;DATE(2026,6,30))</f>
        <v>0</v>
      </c>
      <c r="I30" s="26" t="n">
        <f aca="false">SUMIFS(Report!$U$10:$U$604,Report!$T$10:$T$604,$A30,Report!$C$10:$C$604,"&gt;="&amp;DATE(2026,7,1),Report!$C$10:$C$604,"&lt;="&amp;DATE(2026,7,31))</f>
        <v>294951.22</v>
      </c>
      <c r="J30" s="26" t="n">
        <f aca="false">SUMIFS(Report!$U$10:$U$604,Report!$T$10:$T$604,$A30,Report!$C$10:$C$604,"&gt;="&amp;DATE(2026,8,1),Report!$C$10:$C$604,"&lt;="&amp;DATE(2026,8,31))</f>
        <v>94242.68</v>
      </c>
      <c r="K30" s="26" t="n">
        <f aca="false">SUMIFS(Report!$U$10:$U$604,Report!$T$10:$T$604,$A30,Report!$C$10:$C$604,"&gt;="&amp;DATE(2026,9,1),Report!$C$10:$C$604,"&lt;="&amp;DATE(2026,9,30))</f>
        <v>5012.84</v>
      </c>
      <c r="L30" s="26" t="n">
        <f aca="false">SUMIFS(Report!$U$10:$U$604,Report!$T$10:$T$604,$A30,Report!$C$10:$C$604,"&gt;="&amp;DATE(2026,10,1),Report!$C$10:$C$604,"&lt;="&amp;DATE(2026,10,31))</f>
        <v>0</v>
      </c>
      <c r="M30" s="26" t="n">
        <f aca="false">SUMIFS(Report!$U$10:$U$604,Report!$T$10:$T$604,$A30,Report!$C$10:$C$604,"&gt;="&amp;DATE(2026,11,1),Report!$C$10:$C$604,"&lt;="&amp;DATE(2026,11,30))</f>
        <v>0</v>
      </c>
      <c r="N30" s="26" t="n">
        <f aca="false">SUMIFS(Report!$U$10:$U$604,Report!$T$10:$T$604,$A30,Report!$C$10:$C$604,"&gt;="&amp;DATE(2026,12,1),Report!$C$10:$C$604,"&lt;="&amp;DATE(2026,12,31))</f>
        <v>0</v>
      </c>
      <c r="O30" s="26" t="n">
        <f aca="false">SUMIFS(Report!$U$10:$U$604,Report!$T$10:$T$604,$A30,Report!$C$10:$C$604,"&gt;="&amp;DATE(2027,1,1),Report!$C$10:$C$604,"&lt;="&amp;DATE(2027,1,31))</f>
        <v>0</v>
      </c>
      <c r="P30" s="26" t="n">
        <f aca="false">SUMIFS(Report!$U$10:$U$604,Report!$T$10:$T$604,$A30,Report!$C$10:$C$604,"&gt;="&amp;DATE(2027,2,1),Report!$C$10:$C$604,"&lt;="&amp;DATE(2027,2,28))</f>
        <v>0</v>
      </c>
      <c r="Q30" s="26" t="n">
        <f aca="false">SUMIFS(Report!$U$10:$U$604,Report!$T$10:$T$604,$A30,Report!$C$10:$C$604,"&gt;="&amp;DATE(2027,3,1),Report!$C$10:$C$604,"&lt;="&amp;DATE(2027,3,31))</f>
        <v>0</v>
      </c>
      <c r="R30" s="26" t="n">
        <f aca="false">SUMIFS(Report!$U$10:$U$604,Report!$T$10:$T$604,$A30,Report!$C$10:$C$604,"&gt;="&amp;DATE(2027,4,1),Report!$C$10:$C$604,"&lt;="&amp;DATE(2027,4,30))</f>
        <v>0</v>
      </c>
      <c r="S30" s="26" t="n">
        <f aca="false">SUMIFS(Report!$U$10:$U$604,Report!$T$10:$T$604,$A30,Report!$C$10:$C$604,"&gt;="&amp;DATE(2027,5,1),Report!$C$10:$C$604,"&lt;="&amp;DATE(2027,5,31))</f>
        <v>0</v>
      </c>
      <c r="T30" s="26" t="n">
        <f aca="false">SUMIFS(Report!$U$10:$U$604,Report!$T$10:$T$604,$A30,Report!$C$10:$C$604,"&gt;="&amp;DATE(2027,6,1),Report!$C$10:$C$604,"&lt;="&amp;DATE(2027,6,30))</f>
        <v>0</v>
      </c>
      <c r="U30" s="26" t="n">
        <f aca="false">SUMIFS(Report!$U$10:$U$604,Report!$T$10:$T$604,$A30,Report!$C$10:$C$604,"&gt;="&amp;DATE(2027,7,1),Report!$C$10:$C$604,"&lt;="&amp;DATE(2027,7,31))</f>
        <v>0</v>
      </c>
      <c r="V30" s="26" t="n">
        <f aca="false">SUMIFS(Report!$U$10:$U$604,Report!$T$10:$T$604,$A30,Report!$C$10:$C$604,"&gt;="&amp;DATE(2027,8,1),Report!$C$10:$C$604,"&lt;="&amp;DATE(2027,8,31))</f>
        <v>0</v>
      </c>
      <c r="W30" s="26" t="n">
        <f aca="false">SUMIFS(Report!$U$10:$U$604,Report!$T$10:$T$604,$A30,Report!$C$10:$C$604,"&gt;="&amp;DATE(2027,9,1),Report!$C$10:$C$604,"&lt;="&amp;DATE(2027,9,30))</f>
        <v>0</v>
      </c>
      <c r="X30" s="26" t="n">
        <f aca="false">SUMIFS(Report!$U$10:$U$604,Report!$T$10:$T$604,$A30,Report!$C$10:$C$604,"&gt;="&amp;DATE(2027,10,1),Report!$C$10:$C$604,"&lt;="&amp;DATE(2027,10,31))</f>
        <v>0</v>
      </c>
      <c r="Y30" s="26" t="n">
        <f aca="false">SUMIFS(Report!$U$10:$U$604,Report!$T$10:$T$604,$A30,Report!$C$10:$C$604,"&gt;="&amp;DATE(2027,11,1),Report!$C$10:$C$604,"&lt;="&amp;DATE(2027,11,30))</f>
        <v>0</v>
      </c>
      <c r="Z30" s="26" t="n">
        <f aca="false">SUMIFS(Report!$U$10:$U$604,Report!$T$10:$T$604,$A30,Report!$C$10:$C$604,"&gt;="&amp;DATE(2027,12,1),Report!$C$10:$C$604,"&lt;="&amp;DATE(2027,12,31))</f>
        <v>0</v>
      </c>
      <c r="AA30" s="26" t="n">
        <f aca="false">SUM(C30:Z30)</f>
        <v>394206.74</v>
      </c>
    </row>
    <row r="31" customFormat="false" ht="15" hidden="false" customHeight="true" outlineLevel="0" collapsed="false">
      <c r="A31" s="25" t="s">
        <v>54</v>
      </c>
      <c r="B31" s="25" t="str">
        <f aca="false">IFERROR(INDEX('Resumo Grupos'!$AC$3:$AC$38,MATCH($A31,'Resumo Grupos'!$AB$3:$AB$38,0)),"n/d")</f>
        <v>Pagamentos outros não operacionais</v>
      </c>
      <c r="C31" s="26" t="n">
        <f aca="false">SUMIFS(Report!$U$10:$U$604,Report!$T$10:$T$604,$A31,Report!$C$10:$C$604,"&gt;="&amp;DATE(2026,1,1),Report!$C$10:$C$604,"&lt;="&amp;DATE(2026,1,31))</f>
        <v>0</v>
      </c>
      <c r="D31" s="26" t="n">
        <f aca="false">SUMIFS(Report!$U$10:$U$604,Report!$T$10:$T$604,$A31,Report!$C$10:$C$604,"&gt;="&amp;DATE(2026,2,1),Report!$C$10:$C$604,"&lt;="&amp;DATE(2026,2,28))</f>
        <v>0</v>
      </c>
      <c r="E31" s="26" t="n">
        <f aca="false">SUMIFS(Report!$U$10:$U$604,Report!$T$10:$T$604,$A31,Report!$C$10:$C$604,"&gt;="&amp;DATE(2026,3,1),Report!$C$10:$C$604,"&lt;="&amp;DATE(2026,3,31))</f>
        <v>0</v>
      </c>
      <c r="F31" s="26" t="n">
        <f aca="false">SUMIFS(Report!$U$10:$U$604,Report!$T$10:$T$604,$A31,Report!$C$10:$C$604,"&gt;="&amp;DATE(2026,4,1),Report!$C$10:$C$604,"&lt;="&amp;DATE(2026,4,30))</f>
        <v>0</v>
      </c>
      <c r="G31" s="26" t="n">
        <f aca="false">SUMIFS(Report!$U$10:$U$604,Report!$T$10:$T$604,$A31,Report!$C$10:$C$604,"&gt;="&amp;DATE(2026,5,1),Report!$C$10:$C$604,"&lt;="&amp;DATE(2026,5,31))</f>
        <v>0</v>
      </c>
      <c r="H31" s="26" t="n">
        <f aca="false">SUMIFS(Report!$U$10:$U$604,Report!$T$10:$T$604,$A31,Report!$C$10:$C$604,"&gt;="&amp;DATE(2026,6,1),Report!$C$10:$C$604,"&lt;="&amp;DATE(2026,6,30))</f>
        <v>0</v>
      </c>
      <c r="I31" s="26" t="n">
        <f aca="false">SUMIFS(Report!$U$10:$U$604,Report!$T$10:$T$604,$A31,Report!$C$10:$C$604,"&gt;="&amp;DATE(2026,7,1),Report!$C$10:$C$604,"&lt;="&amp;DATE(2026,7,31))</f>
        <v>8939.17</v>
      </c>
      <c r="J31" s="26" t="n">
        <f aca="false">SUMIFS(Report!$U$10:$U$604,Report!$T$10:$T$604,$A31,Report!$C$10:$C$604,"&gt;="&amp;DATE(2026,8,1),Report!$C$10:$C$604,"&lt;="&amp;DATE(2026,8,31))</f>
        <v>446.17</v>
      </c>
      <c r="K31" s="26" t="n">
        <f aca="false">SUMIFS(Report!$U$10:$U$604,Report!$T$10:$T$604,$A31,Report!$C$10:$C$604,"&gt;="&amp;DATE(2026,9,1),Report!$C$10:$C$604,"&lt;="&amp;DATE(2026,9,30))</f>
        <v>446.17</v>
      </c>
      <c r="L31" s="26" t="n">
        <f aca="false">SUMIFS(Report!$U$10:$U$604,Report!$T$10:$T$604,$A31,Report!$C$10:$C$604,"&gt;="&amp;DATE(2026,10,1),Report!$C$10:$C$604,"&lt;="&amp;DATE(2026,10,31))</f>
        <v>0</v>
      </c>
      <c r="M31" s="26" t="n">
        <f aca="false">SUMIFS(Report!$U$10:$U$604,Report!$T$10:$T$604,$A31,Report!$C$10:$C$604,"&gt;="&amp;DATE(2026,11,1),Report!$C$10:$C$604,"&lt;="&amp;DATE(2026,11,30))</f>
        <v>0</v>
      </c>
      <c r="N31" s="26" t="n">
        <f aca="false">SUMIFS(Report!$U$10:$U$604,Report!$T$10:$T$604,$A31,Report!$C$10:$C$604,"&gt;="&amp;DATE(2026,12,1),Report!$C$10:$C$604,"&lt;="&amp;DATE(2026,12,31))</f>
        <v>0</v>
      </c>
      <c r="O31" s="26" t="n">
        <f aca="false">SUMIFS(Report!$U$10:$U$604,Report!$T$10:$T$604,$A31,Report!$C$10:$C$604,"&gt;="&amp;DATE(2027,1,1),Report!$C$10:$C$604,"&lt;="&amp;DATE(2027,1,31))</f>
        <v>0</v>
      </c>
      <c r="P31" s="26" t="n">
        <f aca="false">SUMIFS(Report!$U$10:$U$604,Report!$T$10:$T$604,$A31,Report!$C$10:$C$604,"&gt;="&amp;DATE(2027,2,1),Report!$C$10:$C$604,"&lt;="&amp;DATE(2027,2,28))</f>
        <v>0</v>
      </c>
      <c r="Q31" s="26" t="n">
        <f aca="false">SUMIFS(Report!$U$10:$U$604,Report!$T$10:$T$604,$A31,Report!$C$10:$C$604,"&gt;="&amp;DATE(2027,3,1),Report!$C$10:$C$604,"&lt;="&amp;DATE(2027,3,31))</f>
        <v>0</v>
      </c>
      <c r="R31" s="26" t="n">
        <f aca="false">SUMIFS(Report!$U$10:$U$604,Report!$T$10:$T$604,$A31,Report!$C$10:$C$604,"&gt;="&amp;DATE(2027,4,1),Report!$C$10:$C$604,"&lt;="&amp;DATE(2027,4,30))</f>
        <v>0</v>
      </c>
      <c r="S31" s="26" t="n">
        <f aca="false">SUMIFS(Report!$U$10:$U$604,Report!$T$10:$T$604,$A31,Report!$C$10:$C$604,"&gt;="&amp;DATE(2027,5,1),Report!$C$10:$C$604,"&lt;="&amp;DATE(2027,5,31))</f>
        <v>0</v>
      </c>
      <c r="T31" s="26" t="n">
        <f aca="false">SUMIFS(Report!$U$10:$U$604,Report!$T$10:$T$604,$A31,Report!$C$10:$C$604,"&gt;="&amp;DATE(2027,6,1),Report!$C$10:$C$604,"&lt;="&amp;DATE(2027,6,30))</f>
        <v>0</v>
      </c>
      <c r="U31" s="26" t="n">
        <f aca="false">SUMIFS(Report!$U$10:$U$604,Report!$T$10:$T$604,$A31,Report!$C$10:$C$604,"&gt;="&amp;DATE(2027,7,1),Report!$C$10:$C$604,"&lt;="&amp;DATE(2027,7,31))</f>
        <v>0</v>
      </c>
      <c r="V31" s="26" t="n">
        <f aca="false">SUMIFS(Report!$U$10:$U$604,Report!$T$10:$T$604,$A31,Report!$C$10:$C$604,"&gt;="&amp;DATE(2027,8,1),Report!$C$10:$C$604,"&lt;="&amp;DATE(2027,8,31))</f>
        <v>0</v>
      </c>
      <c r="W31" s="26" t="n">
        <f aca="false">SUMIFS(Report!$U$10:$U$604,Report!$T$10:$T$604,$A31,Report!$C$10:$C$604,"&gt;="&amp;DATE(2027,9,1),Report!$C$10:$C$604,"&lt;="&amp;DATE(2027,9,30))</f>
        <v>0</v>
      </c>
      <c r="X31" s="26" t="n">
        <f aca="false">SUMIFS(Report!$U$10:$U$604,Report!$T$10:$T$604,$A31,Report!$C$10:$C$604,"&gt;="&amp;DATE(2027,10,1),Report!$C$10:$C$604,"&lt;="&amp;DATE(2027,10,31))</f>
        <v>0</v>
      </c>
      <c r="Y31" s="26" t="n">
        <f aca="false">SUMIFS(Report!$U$10:$U$604,Report!$T$10:$T$604,$A31,Report!$C$10:$C$604,"&gt;="&amp;DATE(2027,11,1),Report!$C$10:$C$604,"&lt;="&amp;DATE(2027,11,30))</f>
        <v>0</v>
      </c>
      <c r="Z31" s="26" t="n">
        <f aca="false">SUMIFS(Report!$U$10:$U$604,Report!$T$10:$T$604,$A31,Report!$C$10:$C$604,"&gt;="&amp;DATE(2027,12,1),Report!$C$10:$C$604,"&lt;="&amp;DATE(2027,12,31))</f>
        <v>0</v>
      </c>
      <c r="AA31" s="26" t="n">
        <f aca="false">SUM(C31:Z31)</f>
        <v>9831.51</v>
      </c>
    </row>
    <row r="32" customFormat="false" ht="15" hidden="false" customHeight="true" outlineLevel="0" collapsed="false">
      <c r="A32" s="25" t="s">
        <v>581</v>
      </c>
      <c r="B32" s="25" t="str">
        <f aca="false">IFERROR(INDEX('Resumo Grupos'!$AC$3:$AC$38,MATCH($A32,'Resumo Grupos'!$AB$3:$AB$38,0)),"n/d")</f>
        <v>Despesa</v>
      </c>
      <c r="C32" s="26" t="n">
        <f aca="false">SUMIFS(Report!$U$10:$U$604,Report!$T$10:$T$604,$A32,Report!$C$10:$C$604,"&gt;="&amp;DATE(2026,1,1),Report!$C$10:$C$604,"&lt;="&amp;DATE(2026,1,31))</f>
        <v>0</v>
      </c>
      <c r="D32" s="26" t="n">
        <f aca="false">SUMIFS(Report!$U$10:$U$604,Report!$T$10:$T$604,$A32,Report!$C$10:$C$604,"&gt;="&amp;DATE(2026,2,1),Report!$C$10:$C$604,"&lt;="&amp;DATE(2026,2,28))</f>
        <v>0</v>
      </c>
      <c r="E32" s="26" t="n">
        <f aca="false">SUMIFS(Report!$U$10:$U$604,Report!$T$10:$T$604,$A32,Report!$C$10:$C$604,"&gt;="&amp;DATE(2026,3,1),Report!$C$10:$C$604,"&lt;="&amp;DATE(2026,3,31))</f>
        <v>0</v>
      </c>
      <c r="F32" s="26" t="n">
        <f aca="false">SUMIFS(Report!$U$10:$U$604,Report!$T$10:$T$604,$A32,Report!$C$10:$C$604,"&gt;="&amp;DATE(2026,4,1),Report!$C$10:$C$604,"&lt;="&amp;DATE(2026,4,30))</f>
        <v>0</v>
      </c>
      <c r="G32" s="26" t="n">
        <f aca="false">SUMIFS(Report!$U$10:$U$604,Report!$T$10:$T$604,$A32,Report!$C$10:$C$604,"&gt;="&amp;DATE(2026,5,1),Report!$C$10:$C$604,"&lt;="&amp;DATE(2026,5,31))</f>
        <v>0</v>
      </c>
      <c r="H32" s="26" t="n">
        <f aca="false">SUMIFS(Report!$U$10:$U$604,Report!$T$10:$T$604,$A32,Report!$C$10:$C$604,"&gt;="&amp;DATE(2026,6,1),Report!$C$10:$C$604,"&lt;="&amp;DATE(2026,6,30))</f>
        <v>0</v>
      </c>
      <c r="I32" s="26" t="n">
        <f aca="false">SUMIFS(Report!$U$10:$U$604,Report!$T$10:$T$604,$A32,Report!$C$10:$C$604,"&gt;="&amp;DATE(2026,7,1),Report!$C$10:$C$604,"&lt;="&amp;DATE(2026,7,31))</f>
        <v>138.43</v>
      </c>
      <c r="J32" s="26" t="n">
        <f aca="false">SUMIFS(Report!$U$10:$U$604,Report!$T$10:$T$604,$A32,Report!$C$10:$C$604,"&gt;="&amp;DATE(2026,8,1),Report!$C$10:$C$604,"&lt;="&amp;DATE(2026,8,31))</f>
        <v>138.3</v>
      </c>
      <c r="K32" s="26" t="n">
        <f aca="false">SUMIFS(Report!$U$10:$U$604,Report!$T$10:$T$604,$A32,Report!$C$10:$C$604,"&gt;="&amp;DATE(2026,9,1),Report!$C$10:$C$604,"&lt;="&amp;DATE(2026,9,30))</f>
        <v>138.3</v>
      </c>
      <c r="L32" s="26" t="n">
        <f aca="false">SUMIFS(Report!$U$10:$U$604,Report!$T$10:$T$604,$A32,Report!$C$10:$C$604,"&gt;="&amp;DATE(2026,10,1),Report!$C$10:$C$604,"&lt;="&amp;DATE(2026,10,31))</f>
        <v>0</v>
      </c>
      <c r="M32" s="26" t="n">
        <f aca="false">SUMIFS(Report!$U$10:$U$604,Report!$T$10:$T$604,$A32,Report!$C$10:$C$604,"&gt;="&amp;DATE(2026,11,1),Report!$C$10:$C$604,"&lt;="&amp;DATE(2026,11,30))</f>
        <v>0</v>
      </c>
      <c r="N32" s="26" t="n">
        <f aca="false">SUMIFS(Report!$U$10:$U$604,Report!$T$10:$T$604,$A32,Report!$C$10:$C$604,"&gt;="&amp;DATE(2026,12,1),Report!$C$10:$C$604,"&lt;="&amp;DATE(2026,12,31))</f>
        <v>0</v>
      </c>
      <c r="O32" s="26" t="n">
        <f aca="false">SUMIFS(Report!$U$10:$U$604,Report!$T$10:$T$604,$A32,Report!$C$10:$C$604,"&gt;="&amp;DATE(2027,1,1),Report!$C$10:$C$604,"&lt;="&amp;DATE(2027,1,31))</f>
        <v>0</v>
      </c>
      <c r="P32" s="26" t="n">
        <f aca="false">SUMIFS(Report!$U$10:$U$604,Report!$T$10:$T$604,$A32,Report!$C$10:$C$604,"&gt;="&amp;DATE(2027,2,1),Report!$C$10:$C$604,"&lt;="&amp;DATE(2027,2,28))</f>
        <v>0</v>
      </c>
      <c r="Q32" s="26" t="n">
        <f aca="false">SUMIFS(Report!$U$10:$U$604,Report!$T$10:$T$604,$A32,Report!$C$10:$C$604,"&gt;="&amp;DATE(2027,3,1),Report!$C$10:$C$604,"&lt;="&amp;DATE(2027,3,31))</f>
        <v>0</v>
      </c>
      <c r="R32" s="26" t="n">
        <f aca="false">SUMIFS(Report!$U$10:$U$604,Report!$T$10:$T$604,$A32,Report!$C$10:$C$604,"&gt;="&amp;DATE(2027,4,1),Report!$C$10:$C$604,"&lt;="&amp;DATE(2027,4,30))</f>
        <v>0</v>
      </c>
      <c r="S32" s="26" t="n">
        <f aca="false">SUMIFS(Report!$U$10:$U$604,Report!$T$10:$T$604,$A32,Report!$C$10:$C$604,"&gt;="&amp;DATE(2027,5,1),Report!$C$10:$C$604,"&lt;="&amp;DATE(2027,5,31))</f>
        <v>0</v>
      </c>
      <c r="T32" s="26" t="n">
        <f aca="false">SUMIFS(Report!$U$10:$U$604,Report!$T$10:$T$604,$A32,Report!$C$10:$C$604,"&gt;="&amp;DATE(2027,6,1),Report!$C$10:$C$604,"&lt;="&amp;DATE(2027,6,30))</f>
        <v>0</v>
      </c>
      <c r="U32" s="26" t="n">
        <f aca="false">SUMIFS(Report!$U$10:$U$604,Report!$T$10:$T$604,$A32,Report!$C$10:$C$604,"&gt;="&amp;DATE(2027,7,1),Report!$C$10:$C$604,"&lt;="&amp;DATE(2027,7,31))</f>
        <v>0</v>
      </c>
      <c r="V32" s="26" t="n">
        <f aca="false">SUMIFS(Report!$U$10:$U$604,Report!$T$10:$T$604,$A32,Report!$C$10:$C$604,"&gt;="&amp;DATE(2027,8,1),Report!$C$10:$C$604,"&lt;="&amp;DATE(2027,8,31))</f>
        <v>0</v>
      </c>
      <c r="W32" s="26" t="n">
        <f aca="false">SUMIFS(Report!$U$10:$U$604,Report!$T$10:$T$604,$A32,Report!$C$10:$C$604,"&gt;="&amp;DATE(2027,9,1),Report!$C$10:$C$604,"&lt;="&amp;DATE(2027,9,30))</f>
        <v>0</v>
      </c>
      <c r="X32" s="26" t="n">
        <f aca="false">SUMIFS(Report!$U$10:$U$604,Report!$T$10:$T$604,$A32,Report!$C$10:$C$604,"&gt;="&amp;DATE(2027,10,1),Report!$C$10:$C$604,"&lt;="&amp;DATE(2027,10,31))</f>
        <v>0</v>
      </c>
      <c r="Y32" s="26" t="n">
        <f aca="false">SUMIFS(Report!$U$10:$U$604,Report!$T$10:$T$604,$A32,Report!$C$10:$C$604,"&gt;="&amp;DATE(2027,11,1),Report!$C$10:$C$604,"&lt;="&amp;DATE(2027,11,30))</f>
        <v>0</v>
      </c>
      <c r="Z32" s="26" t="n">
        <f aca="false">SUMIFS(Report!$U$10:$U$604,Report!$T$10:$T$604,$A32,Report!$C$10:$C$604,"&gt;="&amp;DATE(2027,12,1),Report!$C$10:$C$604,"&lt;="&amp;DATE(2027,12,31))</f>
        <v>0</v>
      </c>
      <c r="AA32" s="26" t="n">
        <f aca="false">SUM(C32:Z32)</f>
        <v>415.03</v>
      </c>
    </row>
    <row r="33" customFormat="false" ht="15" hidden="false" customHeight="true" outlineLevel="0" collapsed="false">
      <c r="A33" s="25" t="s">
        <v>420</v>
      </c>
      <c r="B33" s="25" t="str">
        <f aca="false">IFERROR(INDEX('Resumo Grupos'!$AC$3:$AC$38,MATCH($A33,'Resumo Grupos'!$AB$3:$AB$38,0)),"n/d")</f>
        <v>Salários</v>
      </c>
      <c r="C33" s="26" t="n">
        <f aca="false">SUMIFS(Report!$U$10:$U$604,Report!$T$10:$T$604,$A33,Report!$C$10:$C$604,"&gt;="&amp;DATE(2026,1,1),Report!$C$10:$C$604,"&lt;="&amp;DATE(2026,1,31))</f>
        <v>0</v>
      </c>
      <c r="D33" s="26" t="n">
        <f aca="false">SUMIFS(Report!$U$10:$U$604,Report!$T$10:$T$604,$A33,Report!$C$10:$C$604,"&gt;="&amp;DATE(2026,2,1),Report!$C$10:$C$604,"&lt;="&amp;DATE(2026,2,28))</f>
        <v>0</v>
      </c>
      <c r="E33" s="26" t="n">
        <f aca="false">SUMIFS(Report!$U$10:$U$604,Report!$T$10:$T$604,$A33,Report!$C$10:$C$604,"&gt;="&amp;DATE(2026,3,1),Report!$C$10:$C$604,"&lt;="&amp;DATE(2026,3,31))</f>
        <v>0</v>
      </c>
      <c r="F33" s="26" t="n">
        <f aca="false">SUMIFS(Report!$U$10:$U$604,Report!$T$10:$T$604,$A33,Report!$C$10:$C$604,"&gt;="&amp;DATE(2026,4,1),Report!$C$10:$C$604,"&lt;="&amp;DATE(2026,4,30))</f>
        <v>0</v>
      </c>
      <c r="G33" s="26" t="n">
        <f aca="false">SUMIFS(Report!$U$10:$U$604,Report!$T$10:$T$604,$A33,Report!$C$10:$C$604,"&gt;="&amp;DATE(2026,5,1),Report!$C$10:$C$604,"&lt;="&amp;DATE(2026,5,31))</f>
        <v>0</v>
      </c>
      <c r="H33" s="26" t="n">
        <f aca="false">SUMIFS(Report!$U$10:$U$604,Report!$T$10:$T$604,$A33,Report!$C$10:$C$604,"&gt;="&amp;DATE(2026,6,1),Report!$C$10:$C$604,"&lt;="&amp;DATE(2026,6,30))</f>
        <v>0</v>
      </c>
      <c r="I33" s="26" t="n">
        <f aca="false">SUMIFS(Report!$U$10:$U$604,Report!$T$10:$T$604,$A33,Report!$C$10:$C$604,"&gt;="&amp;DATE(2026,7,1),Report!$C$10:$C$604,"&lt;="&amp;DATE(2026,7,31))</f>
        <v>16322.67</v>
      </c>
      <c r="J33" s="26" t="n">
        <f aca="false">SUMIFS(Report!$U$10:$U$604,Report!$T$10:$T$604,$A33,Report!$C$10:$C$604,"&gt;="&amp;DATE(2026,8,1),Report!$C$10:$C$604,"&lt;="&amp;DATE(2026,8,31))</f>
        <v>222.91</v>
      </c>
      <c r="K33" s="26" t="n">
        <f aca="false">SUMIFS(Report!$U$10:$U$604,Report!$T$10:$T$604,$A33,Report!$C$10:$C$604,"&gt;="&amp;DATE(2026,9,1),Report!$C$10:$C$604,"&lt;="&amp;DATE(2026,9,30))</f>
        <v>0</v>
      </c>
      <c r="L33" s="26" t="n">
        <f aca="false">SUMIFS(Report!$U$10:$U$604,Report!$T$10:$T$604,$A33,Report!$C$10:$C$604,"&gt;="&amp;DATE(2026,10,1),Report!$C$10:$C$604,"&lt;="&amp;DATE(2026,10,31))</f>
        <v>0</v>
      </c>
      <c r="M33" s="26" t="n">
        <f aca="false">SUMIFS(Report!$U$10:$U$604,Report!$T$10:$T$604,$A33,Report!$C$10:$C$604,"&gt;="&amp;DATE(2026,11,1),Report!$C$10:$C$604,"&lt;="&amp;DATE(2026,11,30))</f>
        <v>0</v>
      </c>
      <c r="N33" s="26" t="n">
        <f aca="false">SUMIFS(Report!$U$10:$U$604,Report!$T$10:$T$604,$A33,Report!$C$10:$C$604,"&gt;="&amp;DATE(2026,12,1),Report!$C$10:$C$604,"&lt;="&amp;DATE(2026,12,31))</f>
        <v>0</v>
      </c>
      <c r="O33" s="26" t="n">
        <f aca="false">SUMIFS(Report!$U$10:$U$604,Report!$T$10:$T$604,$A33,Report!$C$10:$C$604,"&gt;="&amp;DATE(2027,1,1),Report!$C$10:$C$604,"&lt;="&amp;DATE(2027,1,31))</f>
        <v>0</v>
      </c>
      <c r="P33" s="26" t="n">
        <f aca="false">SUMIFS(Report!$U$10:$U$604,Report!$T$10:$T$604,$A33,Report!$C$10:$C$604,"&gt;="&amp;DATE(2027,2,1),Report!$C$10:$C$604,"&lt;="&amp;DATE(2027,2,28))</f>
        <v>0</v>
      </c>
      <c r="Q33" s="26" t="n">
        <f aca="false">SUMIFS(Report!$U$10:$U$604,Report!$T$10:$T$604,$A33,Report!$C$10:$C$604,"&gt;="&amp;DATE(2027,3,1),Report!$C$10:$C$604,"&lt;="&amp;DATE(2027,3,31))</f>
        <v>0</v>
      </c>
      <c r="R33" s="26" t="n">
        <f aca="false">SUMIFS(Report!$U$10:$U$604,Report!$T$10:$T$604,$A33,Report!$C$10:$C$604,"&gt;="&amp;DATE(2027,4,1),Report!$C$10:$C$604,"&lt;="&amp;DATE(2027,4,30))</f>
        <v>0</v>
      </c>
      <c r="S33" s="26" t="n">
        <f aca="false">SUMIFS(Report!$U$10:$U$604,Report!$T$10:$T$604,$A33,Report!$C$10:$C$604,"&gt;="&amp;DATE(2027,5,1),Report!$C$10:$C$604,"&lt;="&amp;DATE(2027,5,31))</f>
        <v>0</v>
      </c>
      <c r="T33" s="26" t="n">
        <f aca="false">SUMIFS(Report!$U$10:$U$604,Report!$T$10:$T$604,$A33,Report!$C$10:$C$604,"&gt;="&amp;DATE(2027,6,1),Report!$C$10:$C$604,"&lt;="&amp;DATE(2027,6,30))</f>
        <v>0</v>
      </c>
      <c r="U33" s="26" t="n">
        <f aca="false">SUMIFS(Report!$U$10:$U$604,Report!$T$10:$T$604,$A33,Report!$C$10:$C$604,"&gt;="&amp;DATE(2027,7,1),Report!$C$10:$C$604,"&lt;="&amp;DATE(2027,7,31))</f>
        <v>0</v>
      </c>
      <c r="V33" s="26" t="n">
        <f aca="false">SUMIFS(Report!$U$10:$U$604,Report!$T$10:$T$604,$A33,Report!$C$10:$C$604,"&gt;="&amp;DATE(2027,8,1),Report!$C$10:$C$604,"&lt;="&amp;DATE(2027,8,31))</f>
        <v>0</v>
      </c>
      <c r="W33" s="26" t="n">
        <f aca="false">SUMIFS(Report!$U$10:$U$604,Report!$T$10:$T$604,$A33,Report!$C$10:$C$604,"&gt;="&amp;DATE(2027,9,1),Report!$C$10:$C$604,"&lt;="&amp;DATE(2027,9,30))</f>
        <v>0</v>
      </c>
      <c r="X33" s="26" t="n">
        <f aca="false">SUMIFS(Report!$U$10:$U$604,Report!$T$10:$T$604,$A33,Report!$C$10:$C$604,"&gt;="&amp;DATE(2027,10,1),Report!$C$10:$C$604,"&lt;="&amp;DATE(2027,10,31))</f>
        <v>0</v>
      </c>
      <c r="Y33" s="26" t="n">
        <f aca="false">SUMIFS(Report!$U$10:$U$604,Report!$T$10:$T$604,$A33,Report!$C$10:$C$604,"&gt;="&amp;DATE(2027,11,1),Report!$C$10:$C$604,"&lt;="&amp;DATE(2027,11,30))</f>
        <v>0</v>
      </c>
      <c r="Z33" s="26" t="n">
        <f aca="false">SUMIFS(Report!$U$10:$U$604,Report!$T$10:$T$604,$A33,Report!$C$10:$C$604,"&gt;="&amp;DATE(2027,12,1),Report!$C$10:$C$604,"&lt;="&amp;DATE(2027,12,31))</f>
        <v>0</v>
      </c>
      <c r="AA33" s="26" t="n">
        <f aca="false">SUM(C33:Z33)</f>
        <v>16545.58</v>
      </c>
    </row>
    <row r="34" customFormat="false" ht="15" hidden="false" customHeight="true" outlineLevel="0" collapsed="false">
      <c r="A34" s="25" t="s">
        <v>515</v>
      </c>
      <c r="B34" s="25" t="str">
        <f aca="false">IFERROR(INDEX('Resumo Grupos'!$AC$3:$AC$38,MATCH($A34,'Resumo Grupos'!$AB$3:$AB$38,0)),"n/d")</f>
        <v>Impostos</v>
      </c>
      <c r="C34" s="26" t="n">
        <f aca="false">SUMIFS(Report!$U$10:$U$604,Report!$T$10:$T$604,$A34,Report!$C$10:$C$604,"&gt;="&amp;DATE(2026,1,1),Report!$C$10:$C$604,"&lt;="&amp;DATE(2026,1,31))</f>
        <v>0</v>
      </c>
      <c r="D34" s="26" t="n">
        <f aca="false">SUMIFS(Report!$U$10:$U$604,Report!$T$10:$T$604,$A34,Report!$C$10:$C$604,"&gt;="&amp;DATE(2026,2,1),Report!$C$10:$C$604,"&lt;="&amp;DATE(2026,2,28))</f>
        <v>0</v>
      </c>
      <c r="E34" s="26" t="n">
        <f aca="false">SUMIFS(Report!$U$10:$U$604,Report!$T$10:$T$604,$A34,Report!$C$10:$C$604,"&gt;="&amp;DATE(2026,3,1),Report!$C$10:$C$604,"&lt;="&amp;DATE(2026,3,31))</f>
        <v>0</v>
      </c>
      <c r="F34" s="26" t="n">
        <f aca="false">SUMIFS(Report!$U$10:$U$604,Report!$T$10:$T$604,$A34,Report!$C$10:$C$604,"&gt;="&amp;DATE(2026,4,1),Report!$C$10:$C$604,"&lt;="&amp;DATE(2026,4,30))</f>
        <v>0</v>
      </c>
      <c r="G34" s="26" t="n">
        <f aca="false">SUMIFS(Report!$U$10:$U$604,Report!$T$10:$T$604,$A34,Report!$C$10:$C$604,"&gt;="&amp;DATE(2026,5,1),Report!$C$10:$C$604,"&lt;="&amp;DATE(2026,5,31))</f>
        <v>0</v>
      </c>
      <c r="H34" s="26" t="n">
        <f aca="false">SUMIFS(Report!$U$10:$U$604,Report!$T$10:$T$604,$A34,Report!$C$10:$C$604,"&gt;="&amp;DATE(2026,6,1),Report!$C$10:$C$604,"&lt;="&amp;DATE(2026,6,30))</f>
        <v>0</v>
      </c>
      <c r="I34" s="26" t="n">
        <f aca="false">SUMIFS(Report!$U$10:$U$604,Report!$T$10:$T$604,$A34,Report!$C$10:$C$604,"&gt;="&amp;DATE(2026,7,1),Report!$C$10:$C$604,"&lt;="&amp;DATE(2026,7,31))</f>
        <v>1596.41</v>
      </c>
      <c r="J34" s="26" t="n">
        <f aca="false">SUMIFS(Report!$U$10:$U$604,Report!$T$10:$T$604,$A34,Report!$C$10:$C$604,"&gt;="&amp;DATE(2026,8,1),Report!$C$10:$C$604,"&lt;="&amp;DATE(2026,8,31))</f>
        <v>0</v>
      </c>
      <c r="K34" s="26" t="n">
        <f aca="false">SUMIFS(Report!$U$10:$U$604,Report!$T$10:$T$604,$A34,Report!$C$10:$C$604,"&gt;="&amp;DATE(2026,9,1),Report!$C$10:$C$604,"&lt;="&amp;DATE(2026,9,30))</f>
        <v>0</v>
      </c>
      <c r="L34" s="26" t="n">
        <f aca="false">SUMIFS(Report!$U$10:$U$604,Report!$T$10:$T$604,$A34,Report!$C$10:$C$604,"&gt;="&amp;DATE(2026,10,1),Report!$C$10:$C$604,"&lt;="&amp;DATE(2026,10,31))</f>
        <v>0</v>
      </c>
      <c r="M34" s="26" t="n">
        <f aca="false">SUMIFS(Report!$U$10:$U$604,Report!$T$10:$T$604,$A34,Report!$C$10:$C$604,"&gt;="&amp;DATE(2026,11,1),Report!$C$10:$C$604,"&lt;="&amp;DATE(2026,11,30))</f>
        <v>0</v>
      </c>
      <c r="N34" s="26" t="n">
        <f aca="false">SUMIFS(Report!$U$10:$U$604,Report!$T$10:$T$604,$A34,Report!$C$10:$C$604,"&gt;="&amp;DATE(2026,12,1),Report!$C$10:$C$604,"&lt;="&amp;DATE(2026,12,31))</f>
        <v>0</v>
      </c>
      <c r="O34" s="26" t="n">
        <f aca="false">SUMIFS(Report!$U$10:$U$604,Report!$T$10:$T$604,$A34,Report!$C$10:$C$604,"&gt;="&amp;DATE(2027,1,1),Report!$C$10:$C$604,"&lt;="&amp;DATE(2027,1,31))</f>
        <v>0</v>
      </c>
      <c r="P34" s="26" t="n">
        <f aca="false">SUMIFS(Report!$U$10:$U$604,Report!$T$10:$T$604,$A34,Report!$C$10:$C$604,"&gt;="&amp;DATE(2027,2,1),Report!$C$10:$C$604,"&lt;="&amp;DATE(2027,2,28))</f>
        <v>0</v>
      </c>
      <c r="Q34" s="26" t="n">
        <f aca="false">SUMIFS(Report!$U$10:$U$604,Report!$T$10:$T$604,$A34,Report!$C$10:$C$604,"&gt;="&amp;DATE(2027,3,1),Report!$C$10:$C$604,"&lt;="&amp;DATE(2027,3,31))</f>
        <v>0</v>
      </c>
      <c r="R34" s="26" t="n">
        <f aca="false">SUMIFS(Report!$U$10:$U$604,Report!$T$10:$T$604,$A34,Report!$C$10:$C$604,"&gt;="&amp;DATE(2027,4,1),Report!$C$10:$C$604,"&lt;="&amp;DATE(2027,4,30))</f>
        <v>0</v>
      </c>
      <c r="S34" s="26" t="n">
        <f aca="false">SUMIFS(Report!$U$10:$U$604,Report!$T$10:$T$604,$A34,Report!$C$10:$C$604,"&gt;="&amp;DATE(2027,5,1),Report!$C$10:$C$604,"&lt;="&amp;DATE(2027,5,31))</f>
        <v>0</v>
      </c>
      <c r="T34" s="26" t="n">
        <f aca="false">SUMIFS(Report!$U$10:$U$604,Report!$T$10:$T$604,$A34,Report!$C$10:$C$604,"&gt;="&amp;DATE(2027,6,1),Report!$C$10:$C$604,"&lt;="&amp;DATE(2027,6,30))</f>
        <v>0</v>
      </c>
      <c r="U34" s="26" t="n">
        <f aca="false">SUMIFS(Report!$U$10:$U$604,Report!$T$10:$T$604,$A34,Report!$C$10:$C$604,"&gt;="&amp;DATE(2027,7,1),Report!$C$10:$C$604,"&lt;="&amp;DATE(2027,7,31))</f>
        <v>0</v>
      </c>
      <c r="V34" s="26" t="n">
        <f aca="false">SUMIFS(Report!$U$10:$U$604,Report!$T$10:$T$604,$A34,Report!$C$10:$C$604,"&gt;="&amp;DATE(2027,8,1),Report!$C$10:$C$604,"&lt;="&amp;DATE(2027,8,31))</f>
        <v>0</v>
      </c>
      <c r="W34" s="26" t="n">
        <f aca="false">SUMIFS(Report!$U$10:$U$604,Report!$T$10:$T$604,$A34,Report!$C$10:$C$604,"&gt;="&amp;DATE(2027,9,1),Report!$C$10:$C$604,"&lt;="&amp;DATE(2027,9,30))</f>
        <v>0</v>
      </c>
      <c r="X34" s="26" t="n">
        <f aca="false">SUMIFS(Report!$U$10:$U$604,Report!$T$10:$T$604,$A34,Report!$C$10:$C$604,"&gt;="&amp;DATE(2027,10,1),Report!$C$10:$C$604,"&lt;="&amp;DATE(2027,10,31))</f>
        <v>0</v>
      </c>
      <c r="Y34" s="26" t="n">
        <f aca="false">SUMIFS(Report!$U$10:$U$604,Report!$T$10:$T$604,$A34,Report!$C$10:$C$604,"&gt;="&amp;DATE(2027,11,1),Report!$C$10:$C$604,"&lt;="&amp;DATE(2027,11,30))</f>
        <v>0</v>
      </c>
      <c r="Z34" s="26" t="n">
        <f aca="false">SUMIFS(Report!$U$10:$U$604,Report!$T$10:$T$604,$A34,Report!$C$10:$C$604,"&gt;="&amp;DATE(2027,12,1),Report!$C$10:$C$604,"&lt;="&amp;DATE(2027,12,31))</f>
        <v>0</v>
      </c>
      <c r="AA34" s="26" t="n">
        <f aca="false">SUM(C34:Z34)</f>
        <v>1596.41</v>
      </c>
    </row>
    <row r="35" customFormat="false" ht="15" hidden="false" customHeight="true" outlineLevel="0" collapsed="false">
      <c r="A35" s="25" t="s">
        <v>201</v>
      </c>
      <c r="B35" s="25" t="str">
        <f aca="false">IFERROR(INDEX('Resumo Grupos'!$AC$3:$AC$38,MATCH($A35,'Resumo Grupos'!$AB$3:$AB$38,0)),"n/d")</f>
        <v>Despesa</v>
      </c>
      <c r="C35" s="26" t="n">
        <f aca="false">SUMIFS(Report!$U$10:$U$604,Report!$T$10:$T$604,$A35,Report!$C$10:$C$604,"&gt;="&amp;DATE(2026,1,1),Report!$C$10:$C$604,"&lt;="&amp;DATE(2026,1,31))</f>
        <v>0</v>
      </c>
      <c r="D35" s="26" t="n">
        <f aca="false">SUMIFS(Report!$U$10:$U$604,Report!$T$10:$T$604,$A35,Report!$C$10:$C$604,"&gt;="&amp;DATE(2026,2,1),Report!$C$10:$C$604,"&lt;="&amp;DATE(2026,2,28))</f>
        <v>0</v>
      </c>
      <c r="E35" s="26" t="n">
        <f aca="false">SUMIFS(Report!$U$10:$U$604,Report!$T$10:$T$604,$A35,Report!$C$10:$C$604,"&gt;="&amp;DATE(2026,3,1),Report!$C$10:$C$604,"&lt;="&amp;DATE(2026,3,31))</f>
        <v>0</v>
      </c>
      <c r="F35" s="26" t="n">
        <f aca="false">SUMIFS(Report!$U$10:$U$604,Report!$T$10:$T$604,$A35,Report!$C$10:$C$604,"&gt;="&amp;DATE(2026,4,1),Report!$C$10:$C$604,"&lt;="&amp;DATE(2026,4,30))</f>
        <v>0</v>
      </c>
      <c r="G35" s="26" t="n">
        <f aca="false">SUMIFS(Report!$U$10:$U$604,Report!$T$10:$T$604,$A35,Report!$C$10:$C$604,"&gt;="&amp;DATE(2026,5,1),Report!$C$10:$C$604,"&lt;="&amp;DATE(2026,5,31))</f>
        <v>0</v>
      </c>
      <c r="H35" s="26" t="n">
        <f aca="false">SUMIFS(Report!$U$10:$U$604,Report!$T$10:$T$604,$A35,Report!$C$10:$C$604,"&gt;="&amp;DATE(2026,6,1),Report!$C$10:$C$604,"&lt;="&amp;DATE(2026,6,30))</f>
        <v>0</v>
      </c>
      <c r="I35" s="26" t="n">
        <f aca="false">SUMIFS(Report!$U$10:$U$604,Report!$T$10:$T$604,$A35,Report!$C$10:$C$604,"&gt;="&amp;DATE(2026,7,1),Report!$C$10:$C$604,"&lt;="&amp;DATE(2026,7,31))</f>
        <v>1071.45</v>
      </c>
      <c r="J35" s="26" t="n">
        <f aca="false">SUMIFS(Report!$U$10:$U$604,Report!$T$10:$T$604,$A35,Report!$C$10:$C$604,"&gt;="&amp;DATE(2026,8,1),Report!$C$10:$C$604,"&lt;="&amp;DATE(2026,8,31))</f>
        <v>666.66</v>
      </c>
      <c r="K35" s="26" t="n">
        <f aca="false">SUMIFS(Report!$U$10:$U$604,Report!$T$10:$T$604,$A35,Report!$C$10:$C$604,"&gt;="&amp;DATE(2026,9,1),Report!$C$10:$C$604,"&lt;="&amp;DATE(2026,9,30))</f>
        <v>0</v>
      </c>
      <c r="L35" s="26" t="n">
        <f aca="false">SUMIFS(Report!$U$10:$U$604,Report!$T$10:$T$604,$A35,Report!$C$10:$C$604,"&gt;="&amp;DATE(2026,10,1),Report!$C$10:$C$604,"&lt;="&amp;DATE(2026,10,31))</f>
        <v>0</v>
      </c>
      <c r="M35" s="26" t="n">
        <f aca="false">SUMIFS(Report!$U$10:$U$604,Report!$T$10:$T$604,$A35,Report!$C$10:$C$604,"&gt;="&amp;DATE(2026,11,1),Report!$C$10:$C$604,"&lt;="&amp;DATE(2026,11,30))</f>
        <v>0</v>
      </c>
      <c r="N35" s="26" t="n">
        <f aca="false">SUMIFS(Report!$U$10:$U$604,Report!$T$10:$T$604,$A35,Report!$C$10:$C$604,"&gt;="&amp;DATE(2026,12,1),Report!$C$10:$C$604,"&lt;="&amp;DATE(2026,12,31))</f>
        <v>0</v>
      </c>
      <c r="O35" s="26" t="n">
        <f aca="false">SUMIFS(Report!$U$10:$U$604,Report!$T$10:$T$604,$A35,Report!$C$10:$C$604,"&gt;="&amp;DATE(2027,1,1),Report!$C$10:$C$604,"&lt;="&amp;DATE(2027,1,31))</f>
        <v>0</v>
      </c>
      <c r="P35" s="26" t="n">
        <f aca="false">SUMIFS(Report!$U$10:$U$604,Report!$T$10:$T$604,$A35,Report!$C$10:$C$604,"&gt;="&amp;DATE(2027,2,1),Report!$C$10:$C$604,"&lt;="&amp;DATE(2027,2,28))</f>
        <v>0</v>
      </c>
      <c r="Q35" s="26" t="n">
        <f aca="false">SUMIFS(Report!$U$10:$U$604,Report!$T$10:$T$604,$A35,Report!$C$10:$C$604,"&gt;="&amp;DATE(2027,3,1),Report!$C$10:$C$604,"&lt;="&amp;DATE(2027,3,31))</f>
        <v>0</v>
      </c>
      <c r="R35" s="26" t="n">
        <f aca="false">SUMIFS(Report!$U$10:$U$604,Report!$T$10:$T$604,$A35,Report!$C$10:$C$604,"&gt;="&amp;DATE(2027,4,1),Report!$C$10:$C$604,"&lt;="&amp;DATE(2027,4,30))</f>
        <v>0</v>
      </c>
      <c r="S35" s="26" t="n">
        <f aca="false">SUMIFS(Report!$U$10:$U$604,Report!$T$10:$T$604,$A35,Report!$C$10:$C$604,"&gt;="&amp;DATE(2027,5,1),Report!$C$10:$C$604,"&lt;="&amp;DATE(2027,5,31))</f>
        <v>0</v>
      </c>
      <c r="T35" s="26" t="n">
        <f aca="false">SUMIFS(Report!$U$10:$U$604,Report!$T$10:$T$604,$A35,Report!$C$10:$C$604,"&gt;="&amp;DATE(2027,6,1),Report!$C$10:$C$604,"&lt;="&amp;DATE(2027,6,30))</f>
        <v>0</v>
      </c>
      <c r="U35" s="26" t="n">
        <f aca="false">SUMIFS(Report!$U$10:$U$604,Report!$T$10:$T$604,$A35,Report!$C$10:$C$604,"&gt;="&amp;DATE(2027,7,1),Report!$C$10:$C$604,"&lt;="&amp;DATE(2027,7,31))</f>
        <v>0</v>
      </c>
      <c r="V35" s="26" t="n">
        <f aca="false">SUMIFS(Report!$U$10:$U$604,Report!$T$10:$T$604,$A35,Report!$C$10:$C$604,"&gt;="&amp;DATE(2027,8,1),Report!$C$10:$C$604,"&lt;="&amp;DATE(2027,8,31))</f>
        <v>0</v>
      </c>
      <c r="W35" s="26" t="n">
        <f aca="false">SUMIFS(Report!$U$10:$U$604,Report!$T$10:$T$604,$A35,Report!$C$10:$C$604,"&gt;="&amp;DATE(2027,9,1),Report!$C$10:$C$604,"&lt;="&amp;DATE(2027,9,30))</f>
        <v>0</v>
      </c>
      <c r="X35" s="26" t="n">
        <f aca="false">SUMIFS(Report!$U$10:$U$604,Report!$T$10:$T$604,$A35,Report!$C$10:$C$604,"&gt;="&amp;DATE(2027,10,1),Report!$C$10:$C$604,"&lt;="&amp;DATE(2027,10,31))</f>
        <v>0</v>
      </c>
      <c r="Y35" s="26" t="n">
        <f aca="false">SUMIFS(Report!$U$10:$U$604,Report!$T$10:$T$604,$A35,Report!$C$10:$C$604,"&gt;="&amp;DATE(2027,11,1),Report!$C$10:$C$604,"&lt;="&amp;DATE(2027,11,30))</f>
        <v>0</v>
      </c>
      <c r="Z35" s="26" t="n">
        <f aca="false">SUMIFS(Report!$U$10:$U$604,Report!$T$10:$T$604,$A35,Report!$C$10:$C$604,"&gt;="&amp;DATE(2027,12,1),Report!$C$10:$C$604,"&lt;="&amp;DATE(2027,12,31))</f>
        <v>0</v>
      </c>
      <c r="AA35" s="26" t="n">
        <f aca="false">SUM(C35:Z35)</f>
        <v>1738.11</v>
      </c>
    </row>
    <row r="36" customFormat="false" ht="15" hidden="false" customHeight="true" outlineLevel="0" collapsed="false">
      <c r="A36" s="25" t="s">
        <v>436</v>
      </c>
      <c r="B36" s="25" t="str">
        <f aca="false">IFERROR(INDEX('Resumo Grupos'!$AC$3:$AC$38,MATCH($A36,'Resumo Grupos'!$AB$3:$AB$38,0)),"n/d")</f>
        <v>Despesa</v>
      </c>
      <c r="C36" s="26" t="n">
        <f aca="false">SUMIFS(Report!$U$10:$U$604,Report!$T$10:$T$604,$A36,Report!$C$10:$C$604,"&gt;="&amp;DATE(2026,1,1),Report!$C$10:$C$604,"&lt;="&amp;DATE(2026,1,31))</f>
        <v>0</v>
      </c>
      <c r="D36" s="26" t="n">
        <f aca="false">SUMIFS(Report!$U$10:$U$604,Report!$T$10:$T$604,$A36,Report!$C$10:$C$604,"&gt;="&amp;DATE(2026,2,1),Report!$C$10:$C$604,"&lt;="&amp;DATE(2026,2,28))</f>
        <v>0</v>
      </c>
      <c r="E36" s="26" t="n">
        <f aca="false">SUMIFS(Report!$U$10:$U$604,Report!$T$10:$T$604,$A36,Report!$C$10:$C$604,"&gt;="&amp;DATE(2026,3,1),Report!$C$10:$C$604,"&lt;="&amp;DATE(2026,3,31))</f>
        <v>0</v>
      </c>
      <c r="F36" s="26" t="n">
        <f aca="false">SUMIFS(Report!$U$10:$U$604,Report!$T$10:$T$604,$A36,Report!$C$10:$C$604,"&gt;="&amp;DATE(2026,4,1),Report!$C$10:$C$604,"&lt;="&amp;DATE(2026,4,30))</f>
        <v>0</v>
      </c>
      <c r="G36" s="26" t="n">
        <f aca="false">SUMIFS(Report!$U$10:$U$604,Report!$T$10:$T$604,$A36,Report!$C$10:$C$604,"&gt;="&amp;DATE(2026,5,1),Report!$C$10:$C$604,"&lt;="&amp;DATE(2026,5,31))</f>
        <v>0</v>
      </c>
      <c r="H36" s="26" t="n">
        <f aca="false">SUMIFS(Report!$U$10:$U$604,Report!$T$10:$T$604,$A36,Report!$C$10:$C$604,"&gt;="&amp;DATE(2026,6,1),Report!$C$10:$C$604,"&lt;="&amp;DATE(2026,6,30))</f>
        <v>0</v>
      </c>
      <c r="I36" s="26" t="n">
        <f aca="false">SUMIFS(Report!$U$10:$U$604,Report!$T$10:$T$604,$A36,Report!$C$10:$C$604,"&gt;="&amp;DATE(2026,7,1),Report!$C$10:$C$604,"&lt;="&amp;DATE(2026,7,31))</f>
        <v>0</v>
      </c>
      <c r="J36" s="26" t="n">
        <f aca="false">SUMIFS(Report!$U$10:$U$604,Report!$T$10:$T$604,$A36,Report!$C$10:$C$604,"&gt;="&amp;DATE(2026,8,1),Report!$C$10:$C$604,"&lt;="&amp;DATE(2026,8,31))</f>
        <v>666.67</v>
      </c>
      <c r="K36" s="26" t="n">
        <f aca="false">SUMIFS(Report!$U$10:$U$604,Report!$T$10:$T$604,$A36,Report!$C$10:$C$604,"&gt;="&amp;DATE(2026,9,1),Report!$C$10:$C$604,"&lt;="&amp;DATE(2026,9,30))</f>
        <v>666.67</v>
      </c>
      <c r="L36" s="26" t="n">
        <f aca="false">SUMIFS(Report!$U$10:$U$604,Report!$T$10:$T$604,$A36,Report!$C$10:$C$604,"&gt;="&amp;DATE(2026,10,1),Report!$C$10:$C$604,"&lt;="&amp;DATE(2026,10,31))</f>
        <v>0</v>
      </c>
      <c r="M36" s="26" t="n">
        <f aca="false">SUMIFS(Report!$U$10:$U$604,Report!$T$10:$T$604,$A36,Report!$C$10:$C$604,"&gt;="&amp;DATE(2026,11,1),Report!$C$10:$C$604,"&lt;="&amp;DATE(2026,11,30))</f>
        <v>0</v>
      </c>
      <c r="N36" s="26" t="n">
        <f aca="false">SUMIFS(Report!$U$10:$U$604,Report!$T$10:$T$604,$A36,Report!$C$10:$C$604,"&gt;="&amp;DATE(2026,12,1),Report!$C$10:$C$604,"&lt;="&amp;DATE(2026,12,31))</f>
        <v>0</v>
      </c>
      <c r="O36" s="26" t="n">
        <f aca="false">SUMIFS(Report!$U$10:$U$604,Report!$T$10:$T$604,$A36,Report!$C$10:$C$604,"&gt;="&amp;DATE(2027,1,1),Report!$C$10:$C$604,"&lt;="&amp;DATE(2027,1,31))</f>
        <v>0</v>
      </c>
      <c r="P36" s="26" t="n">
        <f aca="false">SUMIFS(Report!$U$10:$U$604,Report!$T$10:$T$604,$A36,Report!$C$10:$C$604,"&gt;="&amp;DATE(2027,2,1),Report!$C$10:$C$604,"&lt;="&amp;DATE(2027,2,28))</f>
        <v>0</v>
      </c>
      <c r="Q36" s="26" t="n">
        <f aca="false">SUMIFS(Report!$U$10:$U$604,Report!$T$10:$T$604,$A36,Report!$C$10:$C$604,"&gt;="&amp;DATE(2027,3,1),Report!$C$10:$C$604,"&lt;="&amp;DATE(2027,3,31))</f>
        <v>0</v>
      </c>
      <c r="R36" s="26" t="n">
        <f aca="false">SUMIFS(Report!$U$10:$U$604,Report!$T$10:$T$604,$A36,Report!$C$10:$C$604,"&gt;="&amp;DATE(2027,4,1),Report!$C$10:$C$604,"&lt;="&amp;DATE(2027,4,30))</f>
        <v>0</v>
      </c>
      <c r="S36" s="26" t="n">
        <f aca="false">SUMIFS(Report!$U$10:$U$604,Report!$T$10:$T$604,$A36,Report!$C$10:$C$604,"&gt;="&amp;DATE(2027,5,1),Report!$C$10:$C$604,"&lt;="&amp;DATE(2027,5,31))</f>
        <v>0</v>
      </c>
      <c r="T36" s="26" t="n">
        <f aca="false">SUMIFS(Report!$U$10:$U$604,Report!$T$10:$T$604,$A36,Report!$C$10:$C$604,"&gt;="&amp;DATE(2027,6,1),Report!$C$10:$C$604,"&lt;="&amp;DATE(2027,6,30))</f>
        <v>0</v>
      </c>
      <c r="U36" s="26" t="n">
        <f aca="false">SUMIFS(Report!$U$10:$U$604,Report!$T$10:$T$604,$A36,Report!$C$10:$C$604,"&gt;="&amp;DATE(2027,7,1),Report!$C$10:$C$604,"&lt;="&amp;DATE(2027,7,31))</f>
        <v>0</v>
      </c>
      <c r="V36" s="26" t="n">
        <f aca="false">SUMIFS(Report!$U$10:$U$604,Report!$T$10:$T$604,$A36,Report!$C$10:$C$604,"&gt;="&amp;DATE(2027,8,1),Report!$C$10:$C$604,"&lt;="&amp;DATE(2027,8,31))</f>
        <v>0</v>
      </c>
      <c r="W36" s="26" t="n">
        <f aca="false">SUMIFS(Report!$U$10:$U$604,Report!$T$10:$T$604,$A36,Report!$C$10:$C$604,"&gt;="&amp;DATE(2027,9,1),Report!$C$10:$C$604,"&lt;="&amp;DATE(2027,9,30))</f>
        <v>0</v>
      </c>
      <c r="X36" s="26" t="n">
        <f aca="false">SUMIFS(Report!$U$10:$U$604,Report!$T$10:$T$604,$A36,Report!$C$10:$C$604,"&gt;="&amp;DATE(2027,10,1),Report!$C$10:$C$604,"&lt;="&amp;DATE(2027,10,31))</f>
        <v>0</v>
      </c>
      <c r="Y36" s="26" t="n">
        <f aca="false">SUMIFS(Report!$U$10:$U$604,Report!$T$10:$T$604,$A36,Report!$C$10:$C$604,"&gt;="&amp;DATE(2027,11,1),Report!$C$10:$C$604,"&lt;="&amp;DATE(2027,11,30))</f>
        <v>0</v>
      </c>
      <c r="Z36" s="26" t="n">
        <f aca="false">SUMIFS(Report!$U$10:$U$604,Report!$T$10:$T$604,$A36,Report!$C$10:$C$604,"&gt;="&amp;DATE(2027,12,1),Report!$C$10:$C$604,"&lt;="&amp;DATE(2027,12,31))</f>
        <v>0</v>
      </c>
      <c r="AA36" s="26" t="n">
        <f aca="false">SUM(C36:Z36)</f>
        <v>1333.34</v>
      </c>
    </row>
    <row r="37" customFormat="false" ht="15" hidden="false" customHeight="true" outlineLevel="0" collapsed="false">
      <c r="A37" s="25" t="s">
        <v>338</v>
      </c>
      <c r="B37" s="25" t="str">
        <f aca="false">IFERROR(INDEX('Resumo Grupos'!$AC$3:$AC$38,MATCH($A37,'Resumo Grupos'!$AB$3:$AB$38,0)),"n/d")</f>
        <v>Salários</v>
      </c>
      <c r="C37" s="26" t="n">
        <f aca="false">SUMIFS(Report!$U$10:$U$604,Report!$T$10:$T$604,$A37,Report!$C$10:$C$604,"&gt;="&amp;DATE(2026,1,1),Report!$C$10:$C$604,"&lt;="&amp;DATE(2026,1,31))</f>
        <v>0</v>
      </c>
      <c r="D37" s="26" t="n">
        <f aca="false">SUMIFS(Report!$U$10:$U$604,Report!$T$10:$T$604,$A37,Report!$C$10:$C$604,"&gt;="&amp;DATE(2026,2,1),Report!$C$10:$C$604,"&lt;="&amp;DATE(2026,2,28))</f>
        <v>0</v>
      </c>
      <c r="E37" s="26" t="n">
        <f aca="false">SUMIFS(Report!$U$10:$U$604,Report!$T$10:$T$604,$A37,Report!$C$10:$C$604,"&gt;="&amp;DATE(2026,3,1),Report!$C$10:$C$604,"&lt;="&amp;DATE(2026,3,31))</f>
        <v>0</v>
      </c>
      <c r="F37" s="26" t="n">
        <f aca="false">SUMIFS(Report!$U$10:$U$604,Report!$T$10:$T$604,$A37,Report!$C$10:$C$604,"&gt;="&amp;DATE(2026,4,1),Report!$C$10:$C$604,"&lt;="&amp;DATE(2026,4,30))</f>
        <v>0</v>
      </c>
      <c r="G37" s="26" t="n">
        <f aca="false">SUMIFS(Report!$U$10:$U$604,Report!$T$10:$T$604,$A37,Report!$C$10:$C$604,"&gt;="&amp;DATE(2026,5,1),Report!$C$10:$C$604,"&lt;="&amp;DATE(2026,5,31))</f>
        <v>0</v>
      </c>
      <c r="H37" s="26" t="n">
        <f aca="false">SUMIFS(Report!$U$10:$U$604,Report!$T$10:$T$604,$A37,Report!$C$10:$C$604,"&gt;="&amp;DATE(2026,6,1),Report!$C$10:$C$604,"&lt;="&amp;DATE(2026,6,30))</f>
        <v>0</v>
      </c>
      <c r="I37" s="26" t="n">
        <f aca="false">SUMIFS(Report!$U$10:$U$604,Report!$T$10:$T$604,$A37,Report!$C$10:$C$604,"&gt;="&amp;DATE(2026,7,1),Report!$C$10:$C$604,"&lt;="&amp;DATE(2026,7,31))</f>
        <v>810</v>
      </c>
      <c r="J37" s="26" t="n">
        <f aca="false">SUMIFS(Report!$U$10:$U$604,Report!$T$10:$T$604,$A37,Report!$C$10:$C$604,"&gt;="&amp;DATE(2026,8,1),Report!$C$10:$C$604,"&lt;="&amp;DATE(2026,8,31))</f>
        <v>0</v>
      </c>
      <c r="K37" s="26" t="n">
        <f aca="false">SUMIFS(Report!$U$10:$U$604,Report!$T$10:$T$604,$A37,Report!$C$10:$C$604,"&gt;="&amp;DATE(2026,9,1),Report!$C$10:$C$604,"&lt;="&amp;DATE(2026,9,30))</f>
        <v>0</v>
      </c>
      <c r="L37" s="26" t="n">
        <f aca="false">SUMIFS(Report!$U$10:$U$604,Report!$T$10:$T$604,$A37,Report!$C$10:$C$604,"&gt;="&amp;DATE(2026,10,1),Report!$C$10:$C$604,"&lt;="&amp;DATE(2026,10,31))</f>
        <v>0</v>
      </c>
      <c r="M37" s="26" t="n">
        <f aca="false">SUMIFS(Report!$U$10:$U$604,Report!$T$10:$T$604,$A37,Report!$C$10:$C$604,"&gt;="&amp;DATE(2026,11,1),Report!$C$10:$C$604,"&lt;="&amp;DATE(2026,11,30))</f>
        <v>0</v>
      </c>
      <c r="N37" s="26" t="n">
        <f aca="false">SUMIFS(Report!$U$10:$U$604,Report!$T$10:$T$604,$A37,Report!$C$10:$C$604,"&gt;="&amp;DATE(2026,12,1),Report!$C$10:$C$604,"&lt;="&amp;DATE(2026,12,31))</f>
        <v>0</v>
      </c>
      <c r="O37" s="26" t="n">
        <f aca="false">SUMIFS(Report!$U$10:$U$604,Report!$T$10:$T$604,$A37,Report!$C$10:$C$604,"&gt;="&amp;DATE(2027,1,1),Report!$C$10:$C$604,"&lt;="&amp;DATE(2027,1,31))</f>
        <v>0</v>
      </c>
      <c r="P37" s="26" t="n">
        <f aca="false">SUMIFS(Report!$U$10:$U$604,Report!$T$10:$T$604,$A37,Report!$C$10:$C$604,"&gt;="&amp;DATE(2027,2,1),Report!$C$10:$C$604,"&lt;="&amp;DATE(2027,2,28))</f>
        <v>0</v>
      </c>
      <c r="Q37" s="26" t="n">
        <f aca="false">SUMIFS(Report!$U$10:$U$604,Report!$T$10:$T$604,$A37,Report!$C$10:$C$604,"&gt;="&amp;DATE(2027,3,1),Report!$C$10:$C$604,"&lt;="&amp;DATE(2027,3,31))</f>
        <v>0</v>
      </c>
      <c r="R37" s="26" t="n">
        <f aca="false">SUMIFS(Report!$U$10:$U$604,Report!$T$10:$T$604,$A37,Report!$C$10:$C$604,"&gt;="&amp;DATE(2027,4,1),Report!$C$10:$C$604,"&lt;="&amp;DATE(2027,4,30))</f>
        <v>0</v>
      </c>
      <c r="S37" s="26" t="n">
        <f aca="false">SUMIFS(Report!$U$10:$U$604,Report!$T$10:$T$604,$A37,Report!$C$10:$C$604,"&gt;="&amp;DATE(2027,5,1),Report!$C$10:$C$604,"&lt;="&amp;DATE(2027,5,31))</f>
        <v>0</v>
      </c>
      <c r="T37" s="26" t="n">
        <f aca="false">SUMIFS(Report!$U$10:$U$604,Report!$T$10:$T$604,$A37,Report!$C$10:$C$604,"&gt;="&amp;DATE(2027,6,1),Report!$C$10:$C$604,"&lt;="&amp;DATE(2027,6,30))</f>
        <v>0</v>
      </c>
      <c r="U37" s="26" t="n">
        <f aca="false">SUMIFS(Report!$U$10:$U$604,Report!$T$10:$T$604,$A37,Report!$C$10:$C$604,"&gt;="&amp;DATE(2027,7,1),Report!$C$10:$C$604,"&lt;="&amp;DATE(2027,7,31))</f>
        <v>0</v>
      </c>
      <c r="V37" s="26" t="n">
        <f aca="false">SUMIFS(Report!$U$10:$U$604,Report!$T$10:$T$604,$A37,Report!$C$10:$C$604,"&gt;="&amp;DATE(2027,8,1),Report!$C$10:$C$604,"&lt;="&amp;DATE(2027,8,31))</f>
        <v>0</v>
      </c>
      <c r="W37" s="26" t="n">
        <f aca="false">SUMIFS(Report!$U$10:$U$604,Report!$T$10:$T$604,$A37,Report!$C$10:$C$604,"&gt;="&amp;DATE(2027,9,1),Report!$C$10:$C$604,"&lt;="&amp;DATE(2027,9,30))</f>
        <v>0</v>
      </c>
      <c r="X37" s="26" t="n">
        <f aca="false">SUMIFS(Report!$U$10:$U$604,Report!$T$10:$T$604,$A37,Report!$C$10:$C$604,"&gt;="&amp;DATE(2027,10,1),Report!$C$10:$C$604,"&lt;="&amp;DATE(2027,10,31))</f>
        <v>0</v>
      </c>
      <c r="Y37" s="26" t="n">
        <f aca="false">SUMIFS(Report!$U$10:$U$604,Report!$T$10:$T$604,$A37,Report!$C$10:$C$604,"&gt;="&amp;DATE(2027,11,1),Report!$C$10:$C$604,"&lt;="&amp;DATE(2027,11,30))</f>
        <v>0</v>
      </c>
      <c r="Z37" s="26" t="n">
        <f aca="false">SUMIFS(Report!$U$10:$U$604,Report!$T$10:$T$604,$A37,Report!$C$10:$C$604,"&gt;="&amp;DATE(2027,12,1),Report!$C$10:$C$604,"&lt;="&amp;DATE(2027,12,31))</f>
        <v>0</v>
      </c>
      <c r="AA37" s="26" t="n">
        <f aca="false">SUM(C37:Z37)</f>
        <v>810</v>
      </c>
    </row>
    <row r="38" customFormat="false" ht="15" hidden="false" customHeight="true" outlineLevel="0" collapsed="false">
      <c r="A38" s="27" t="s">
        <v>801</v>
      </c>
      <c r="C38" s="28" t="n">
        <f aca="false">SUM(C2:C37)</f>
        <v>0</v>
      </c>
      <c r="D38" s="28" t="n">
        <f aca="false">SUM(D2:D37)</f>
        <v>0</v>
      </c>
      <c r="E38" s="28" t="n">
        <f aca="false">SUM(E2:E37)</f>
        <v>0</v>
      </c>
      <c r="F38" s="28" t="n">
        <f aca="false">SUM(F2:F37)</f>
        <v>0</v>
      </c>
      <c r="G38" s="28" t="n">
        <f aca="false">SUM(G2:G37)</f>
        <v>0</v>
      </c>
      <c r="H38" s="28" t="n">
        <f aca="false">SUM(H2:H37)</f>
        <v>0</v>
      </c>
      <c r="I38" s="28" t="n">
        <f aca="false">SUM(I2:I37)</f>
        <v>374180.48</v>
      </c>
      <c r="J38" s="28" t="n">
        <f aca="false">SUM(J2:J37)</f>
        <v>117827.68</v>
      </c>
      <c r="K38" s="28" t="n">
        <f aca="false">SUM(K2:K37)</f>
        <v>21876.86</v>
      </c>
      <c r="L38" s="28" t="n">
        <f aca="false">SUM(L2:L37)</f>
        <v>0</v>
      </c>
      <c r="M38" s="28" t="n">
        <f aca="false">SUM(M2:M37)</f>
        <v>0</v>
      </c>
      <c r="N38" s="28" t="n">
        <f aca="false">SUM(N2:N37)</f>
        <v>0</v>
      </c>
      <c r="O38" s="28" t="n">
        <f aca="false">SUM(O2:O37)</f>
        <v>0</v>
      </c>
      <c r="P38" s="28" t="n">
        <f aca="false">SUM(P2:P37)</f>
        <v>0</v>
      </c>
      <c r="Q38" s="28" t="n">
        <f aca="false">SUM(Q2:Q37)</f>
        <v>0</v>
      </c>
      <c r="R38" s="28" t="n">
        <f aca="false">SUM(R2:R37)</f>
        <v>0</v>
      </c>
      <c r="S38" s="28" t="n">
        <f aca="false">SUM(S2:S37)</f>
        <v>0</v>
      </c>
      <c r="T38" s="28" t="n">
        <f aca="false">SUM(T2:T37)</f>
        <v>0</v>
      </c>
      <c r="U38" s="28" t="n">
        <f aca="false">SUM(U2:U37)</f>
        <v>0</v>
      </c>
      <c r="V38" s="28" t="n">
        <f aca="false">SUM(V2:V37)</f>
        <v>0</v>
      </c>
      <c r="W38" s="28" t="n">
        <f aca="false">SUM(W2:W37)</f>
        <v>0</v>
      </c>
      <c r="X38" s="28" t="n">
        <f aca="false">SUM(X2:X37)</f>
        <v>0</v>
      </c>
      <c r="Y38" s="28" t="n">
        <f aca="false">SUM(Y2:Y37)</f>
        <v>0</v>
      </c>
      <c r="Z38" s="28" t="n">
        <f aca="false">SUM(Z2:Z37)</f>
        <v>0</v>
      </c>
      <c r="AA38" s="28" t="n">
        <f aca="false">SUM(C38:Z38)</f>
        <v>513885.02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C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6" min="2" style="1" width="14"/>
    <col collapsed="false" customWidth="true" hidden="false" outlineLevel="0" max="28" min="28" style="1" width="40"/>
    <col collapsed="false" customWidth="true" hidden="false" outlineLevel="0" max="29" min="29" style="1" width="28"/>
  </cols>
  <sheetData>
    <row r="2" customFormat="false" ht="15" hidden="false" customHeight="true" outlineLevel="0" collapsed="false">
      <c r="A2" s="34" t="s">
        <v>803</v>
      </c>
      <c r="B2" s="23" t="s">
        <v>777</v>
      </c>
      <c r="C2" s="23" t="s">
        <v>778</v>
      </c>
      <c r="D2" s="23" t="s">
        <v>779</v>
      </c>
      <c r="E2" s="23" t="s">
        <v>780</v>
      </c>
      <c r="F2" s="23" t="s">
        <v>781</v>
      </c>
      <c r="G2" s="23" t="s">
        <v>782</v>
      </c>
      <c r="H2" s="23" t="s">
        <v>783</v>
      </c>
      <c r="I2" s="23" t="s">
        <v>784</v>
      </c>
      <c r="J2" s="23" t="s">
        <v>785</v>
      </c>
      <c r="K2" s="23" t="s">
        <v>786</v>
      </c>
      <c r="L2" s="23" t="s">
        <v>787</v>
      </c>
      <c r="M2" s="23" t="s">
        <v>788</v>
      </c>
      <c r="N2" s="23" t="s">
        <v>789</v>
      </c>
      <c r="O2" s="23" t="s">
        <v>790</v>
      </c>
      <c r="P2" s="23" t="s">
        <v>791</v>
      </c>
      <c r="Q2" s="23" t="s">
        <v>792</v>
      </c>
      <c r="R2" s="23" t="s">
        <v>793</v>
      </c>
      <c r="S2" s="23" t="s">
        <v>794</v>
      </c>
      <c r="T2" s="23" t="s">
        <v>795</v>
      </c>
      <c r="U2" s="23" t="s">
        <v>796</v>
      </c>
      <c r="V2" s="23" t="s">
        <v>797</v>
      </c>
      <c r="W2" s="23" t="s">
        <v>798</v>
      </c>
      <c r="X2" s="23" t="s">
        <v>799</v>
      </c>
      <c r="Y2" s="23" t="s">
        <v>800</v>
      </c>
      <c r="Z2" s="34" t="s">
        <v>776</v>
      </c>
      <c r="AB2" s="34" t="s">
        <v>804</v>
      </c>
      <c r="AC2" s="34" t="s">
        <v>805</v>
      </c>
    </row>
    <row r="3" customFormat="false" ht="15" hidden="false" customHeight="true" outlineLevel="0" collapsed="false">
      <c r="A3" s="9" t="s">
        <v>806</v>
      </c>
      <c r="B3" s="28" t="n">
        <f aca="false">SUMIFS(Report!$U$10:$U$604,Report!$C$10:$C$604,"&gt;="&amp;DATE(2026,1,1),Report!$C$10:$C$604,"&lt;="&amp;DATE(2026,1,31))</f>
        <v>0</v>
      </c>
      <c r="C3" s="28" t="n">
        <f aca="false">SUMIFS(Report!$U$10:$U$604,Report!$C$10:$C$604,"&gt;="&amp;DATE(2026,2,1),Report!$C$10:$C$604,"&lt;="&amp;DATE(2026,2,28))</f>
        <v>0</v>
      </c>
      <c r="D3" s="28" t="n">
        <f aca="false">SUMIFS(Report!$U$10:$U$604,Report!$C$10:$C$604,"&gt;="&amp;DATE(2026,3,1),Report!$C$10:$C$604,"&lt;="&amp;DATE(2026,3,31))</f>
        <v>0</v>
      </c>
      <c r="E3" s="28" t="n">
        <f aca="false">SUMIFS(Report!$U$10:$U$604,Report!$C$10:$C$604,"&gt;="&amp;DATE(2026,4,1),Report!$C$10:$C$604,"&lt;="&amp;DATE(2026,4,30))</f>
        <v>0</v>
      </c>
      <c r="F3" s="28" t="n">
        <f aca="false">SUMIFS(Report!$U$10:$U$604,Report!$C$10:$C$604,"&gt;="&amp;DATE(2026,5,1),Report!$C$10:$C$604,"&lt;="&amp;DATE(2026,5,31))</f>
        <v>0</v>
      </c>
      <c r="G3" s="28" t="n">
        <f aca="false">SUMIFS(Report!$U$10:$U$604,Report!$C$10:$C$604,"&gt;="&amp;DATE(2026,6,1),Report!$C$10:$C$604,"&lt;="&amp;DATE(2026,6,30))</f>
        <v>0</v>
      </c>
      <c r="H3" s="28" t="n">
        <f aca="false">SUMIFS(Report!$U$10:$U$604,Report!$C$10:$C$604,"&gt;="&amp;DATE(2026,7,1),Report!$C$10:$C$604,"&lt;="&amp;DATE(2026,7,31))</f>
        <v>374180.48</v>
      </c>
      <c r="I3" s="28" t="n">
        <f aca="false">SUMIFS(Report!$U$10:$U$604,Report!$C$10:$C$604,"&gt;="&amp;DATE(2026,8,1),Report!$C$10:$C$604,"&lt;="&amp;DATE(2026,8,31))</f>
        <v>117827.68</v>
      </c>
      <c r="J3" s="28" t="n">
        <f aca="false">SUMIFS(Report!$U$10:$U$604,Report!$C$10:$C$604,"&gt;="&amp;DATE(2026,9,1),Report!$C$10:$C$604,"&lt;="&amp;DATE(2026,9,30))</f>
        <v>21876.86</v>
      </c>
      <c r="K3" s="28" t="n">
        <f aca="false">SUMIFS(Report!$U$10:$U$604,Report!$C$10:$C$604,"&gt;="&amp;DATE(2026,10,1),Report!$C$10:$C$604,"&lt;="&amp;DATE(2026,10,31))</f>
        <v>0</v>
      </c>
      <c r="L3" s="28" t="n">
        <f aca="false">SUMIFS(Report!$U$10:$U$604,Report!$C$10:$C$604,"&gt;="&amp;DATE(2026,11,1),Report!$C$10:$C$604,"&lt;="&amp;DATE(2026,11,30))</f>
        <v>0</v>
      </c>
      <c r="M3" s="28" t="n">
        <f aca="false">SUMIFS(Report!$U$10:$U$604,Report!$C$10:$C$604,"&gt;="&amp;DATE(2026,12,1),Report!$C$10:$C$604,"&lt;="&amp;DATE(2026,12,31))</f>
        <v>0</v>
      </c>
      <c r="N3" s="28" t="n">
        <f aca="false">SUMIFS(Report!$U$10:$U$604,Report!$C$10:$C$604,"&gt;="&amp;DATE(2027,1,1),Report!$C$10:$C$604,"&lt;="&amp;DATE(2027,1,31))</f>
        <v>0</v>
      </c>
      <c r="O3" s="28" t="n">
        <f aca="false">SUMIFS(Report!$U$10:$U$604,Report!$C$10:$C$604,"&gt;="&amp;DATE(2027,2,1),Report!$C$10:$C$604,"&lt;="&amp;DATE(2027,2,28))</f>
        <v>0</v>
      </c>
      <c r="P3" s="28" t="n">
        <f aca="false">SUMIFS(Report!$U$10:$U$604,Report!$C$10:$C$604,"&gt;="&amp;DATE(2027,3,1),Report!$C$10:$C$604,"&lt;="&amp;DATE(2027,3,31))</f>
        <v>0</v>
      </c>
      <c r="Q3" s="28" t="n">
        <f aca="false">SUMIFS(Report!$U$10:$U$604,Report!$C$10:$C$604,"&gt;="&amp;DATE(2027,4,1),Report!$C$10:$C$604,"&lt;="&amp;DATE(2027,4,30))</f>
        <v>0</v>
      </c>
      <c r="R3" s="28" t="n">
        <f aca="false">SUMIFS(Report!$U$10:$U$604,Report!$C$10:$C$604,"&gt;="&amp;DATE(2027,5,1),Report!$C$10:$C$604,"&lt;="&amp;DATE(2027,5,31))</f>
        <v>0</v>
      </c>
      <c r="S3" s="28" t="n">
        <f aca="false">SUMIFS(Report!$U$10:$U$604,Report!$C$10:$C$604,"&gt;="&amp;DATE(2027,6,1),Report!$C$10:$C$604,"&lt;="&amp;DATE(2027,6,30))</f>
        <v>0</v>
      </c>
      <c r="T3" s="28" t="n">
        <f aca="false">SUMIFS(Report!$U$10:$U$604,Report!$C$10:$C$604,"&gt;="&amp;DATE(2027,7,1),Report!$C$10:$C$604,"&lt;="&amp;DATE(2027,7,31))</f>
        <v>0</v>
      </c>
      <c r="U3" s="28" t="n">
        <f aca="false">SUMIFS(Report!$U$10:$U$604,Report!$C$10:$C$604,"&gt;="&amp;DATE(2027,8,1),Report!$C$10:$C$604,"&lt;="&amp;DATE(2027,8,31))</f>
        <v>0</v>
      </c>
      <c r="V3" s="28" t="n">
        <f aca="false">SUMIFS(Report!$U$10:$U$604,Report!$C$10:$C$604,"&gt;="&amp;DATE(2027,9,1),Report!$C$10:$C$604,"&lt;="&amp;DATE(2027,9,30))</f>
        <v>0</v>
      </c>
      <c r="W3" s="28" t="n">
        <f aca="false">SUMIFS(Report!$U$10:$U$604,Report!$C$10:$C$604,"&gt;="&amp;DATE(2027,10,1),Report!$C$10:$C$604,"&lt;="&amp;DATE(2027,10,31))</f>
        <v>0</v>
      </c>
      <c r="X3" s="28" t="n">
        <f aca="false">SUMIFS(Report!$U$10:$U$604,Report!$C$10:$C$604,"&gt;="&amp;DATE(2027,11,1),Report!$C$10:$C$604,"&lt;="&amp;DATE(2027,11,30))</f>
        <v>0</v>
      </c>
      <c r="Y3" s="28" t="n">
        <f aca="false">SUMIFS(Report!$U$10:$U$604,Report!$C$10:$C$604,"&gt;="&amp;DATE(2027,12,1),Report!$C$10:$C$604,"&lt;="&amp;DATE(2027,12,31))</f>
        <v>0</v>
      </c>
      <c r="Z3" s="28" t="n">
        <f aca="false">SUM(B3:Y3)</f>
        <v>513885.02</v>
      </c>
      <c r="AB3" s="25" t="s">
        <v>89</v>
      </c>
      <c r="AC3" s="25" t="s">
        <v>807</v>
      </c>
    </row>
    <row r="4" customFormat="false" ht="15" hidden="false" customHeight="true" outlineLevel="0" collapsed="false">
      <c r="A4" s="25" t="s">
        <v>807</v>
      </c>
      <c r="B4" s="26" t="n">
        <f aca="false">SUMIFS(Report!$U$10:$U$604,Report!$Z$10:$Z$604,"Despesa",Report!$C$10:$C$604,"&gt;="&amp;DATE(2026,1,1),Report!$C$10:$C$604,"&lt;="&amp;DATE(2026,1,31))</f>
        <v>0</v>
      </c>
      <c r="C4" s="26" t="n">
        <f aca="false">SUMIFS(Report!$U$10:$U$604,Report!$Z$10:$Z$604,"Despesa",Report!$C$10:$C$604,"&gt;="&amp;DATE(2026,2,1),Report!$C$10:$C$604,"&lt;="&amp;DATE(2026,2,28))</f>
        <v>0</v>
      </c>
      <c r="D4" s="26" t="n">
        <f aca="false">SUMIFS(Report!$U$10:$U$604,Report!$Z$10:$Z$604,"Despesa",Report!$C$10:$C$604,"&gt;="&amp;DATE(2026,3,1),Report!$C$10:$C$604,"&lt;="&amp;DATE(2026,3,31))</f>
        <v>0</v>
      </c>
      <c r="E4" s="26" t="n">
        <f aca="false">SUMIFS(Report!$U$10:$U$604,Report!$Z$10:$Z$604,"Despesa",Report!$C$10:$C$604,"&gt;="&amp;DATE(2026,4,1),Report!$C$10:$C$604,"&lt;="&amp;DATE(2026,4,30))</f>
        <v>0</v>
      </c>
      <c r="F4" s="26" t="n">
        <f aca="false">SUMIFS(Report!$U$10:$U$604,Report!$Z$10:$Z$604,"Despesa",Report!$C$10:$C$604,"&gt;="&amp;DATE(2026,5,1),Report!$C$10:$C$604,"&lt;="&amp;DATE(2026,5,31))</f>
        <v>0</v>
      </c>
      <c r="G4" s="26" t="n">
        <f aca="false">SUMIFS(Report!$U$10:$U$604,Report!$Z$10:$Z$604,"Despesa",Report!$C$10:$C$604,"&gt;="&amp;DATE(2026,6,1),Report!$C$10:$C$604,"&lt;="&amp;DATE(2026,6,30))</f>
        <v>0</v>
      </c>
      <c r="H4" s="26" t="n">
        <f aca="false">SUMIFS(Report!$U$10:$U$604,Report!$Z$10:$Z$604,"Despesa",Report!$C$10:$C$604,"&gt;="&amp;DATE(2026,7,1),Report!$C$10:$C$604,"&lt;="&amp;DATE(2026,7,31))</f>
        <v>38395.44</v>
      </c>
      <c r="I4" s="26" t="n">
        <f aca="false">SUMIFS(Report!$U$10:$U$604,Report!$Z$10:$Z$604,"Despesa",Report!$C$10:$C$604,"&gt;="&amp;DATE(2026,8,1),Report!$C$10:$C$604,"&lt;="&amp;DATE(2026,8,31))</f>
        <v>16127.27</v>
      </c>
      <c r="J4" s="26" t="n">
        <f aca="false">SUMIFS(Report!$U$10:$U$604,Report!$Z$10:$Z$604,"Despesa",Report!$C$10:$C$604,"&gt;="&amp;DATE(2026,9,1),Report!$C$10:$C$604,"&lt;="&amp;DATE(2026,9,30))</f>
        <v>12020.56</v>
      </c>
      <c r="K4" s="26" t="n">
        <f aca="false">SUMIFS(Report!$U$10:$U$604,Report!$Z$10:$Z$604,"Despesa",Report!$C$10:$C$604,"&gt;="&amp;DATE(2026,10,1),Report!$C$10:$C$604,"&lt;="&amp;DATE(2026,10,31))</f>
        <v>0</v>
      </c>
      <c r="L4" s="26" t="n">
        <f aca="false">SUMIFS(Report!$U$10:$U$604,Report!$Z$10:$Z$604,"Despesa",Report!$C$10:$C$604,"&gt;="&amp;DATE(2026,11,1),Report!$C$10:$C$604,"&lt;="&amp;DATE(2026,11,30))</f>
        <v>0</v>
      </c>
      <c r="M4" s="26" t="n">
        <f aca="false">SUMIFS(Report!$U$10:$U$604,Report!$Z$10:$Z$604,"Despesa",Report!$C$10:$C$604,"&gt;="&amp;DATE(2026,12,1),Report!$C$10:$C$604,"&lt;="&amp;DATE(2026,12,31))</f>
        <v>0</v>
      </c>
      <c r="N4" s="26" t="n">
        <f aca="false">SUMIFS(Report!$U$10:$U$604,Report!$Z$10:$Z$604,"Despesa",Report!$C$10:$C$604,"&gt;="&amp;DATE(2027,1,1),Report!$C$10:$C$604,"&lt;="&amp;DATE(2027,1,31))</f>
        <v>0</v>
      </c>
      <c r="O4" s="26" t="n">
        <f aca="false">SUMIFS(Report!$U$10:$U$604,Report!$Z$10:$Z$604,"Despesa",Report!$C$10:$C$604,"&gt;="&amp;DATE(2027,2,1),Report!$C$10:$C$604,"&lt;="&amp;DATE(2027,2,28))</f>
        <v>0</v>
      </c>
      <c r="P4" s="26" t="n">
        <f aca="false">SUMIFS(Report!$U$10:$U$604,Report!$Z$10:$Z$604,"Despesa",Report!$C$10:$C$604,"&gt;="&amp;DATE(2027,3,1),Report!$C$10:$C$604,"&lt;="&amp;DATE(2027,3,31))</f>
        <v>0</v>
      </c>
      <c r="Q4" s="26" t="n">
        <f aca="false">SUMIFS(Report!$U$10:$U$604,Report!$Z$10:$Z$604,"Despesa",Report!$C$10:$C$604,"&gt;="&amp;DATE(2027,4,1),Report!$C$10:$C$604,"&lt;="&amp;DATE(2027,4,30))</f>
        <v>0</v>
      </c>
      <c r="R4" s="26" t="n">
        <f aca="false">SUMIFS(Report!$U$10:$U$604,Report!$Z$10:$Z$604,"Despesa",Report!$C$10:$C$604,"&gt;="&amp;DATE(2027,5,1),Report!$C$10:$C$604,"&lt;="&amp;DATE(2027,5,31))</f>
        <v>0</v>
      </c>
      <c r="S4" s="26" t="n">
        <f aca="false">SUMIFS(Report!$U$10:$U$604,Report!$Z$10:$Z$604,"Despesa",Report!$C$10:$C$604,"&gt;="&amp;DATE(2027,6,1),Report!$C$10:$C$604,"&lt;="&amp;DATE(2027,6,30))</f>
        <v>0</v>
      </c>
      <c r="T4" s="26" t="n">
        <f aca="false">SUMIFS(Report!$U$10:$U$604,Report!$Z$10:$Z$604,"Despesa",Report!$C$10:$C$604,"&gt;="&amp;DATE(2027,7,1),Report!$C$10:$C$604,"&lt;="&amp;DATE(2027,7,31))</f>
        <v>0</v>
      </c>
      <c r="U4" s="26" t="n">
        <f aca="false">SUMIFS(Report!$U$10:$U$604,Report!$Z$10:$Z$604,"Despesa",Report!$C$10:$C$604,"&gt;="&amp;DATE(2027,8,1),Report!$C$10:$C$604,"&lt;="&amp;DATE(2027,8,31))</f>
        <v>0</v>
      </c>
      <c r="V4" s="26" t="n">
        <f aca="false">SUMIFS(Report!$U$10:$U$604,Report!$Z$10:$Z$604,"Despesa",Report!$C$10:$C$604,"&gt;="&amp;DATE(2027,9,1),Report!$C$10:$C$604,"&lt;="&amp;DATE(2027,9,30))</f>
        <v>0</v>
      </c>
      <c r="W4" s="26" t="n">
        <f aca="false">SUMIFS(Report!$U$10:$U$604,Report!$Z$10:$Z$604,"Despesa",Report!$C$10:$C$604,"&gt;="&amp;DATE(2027,10,1),Report!$C$10:$C$604,"&lt;="&amp;DATE(2027,10,31))</f>
        <v>0</v>
      </c>
      <c r="X4" s="26" t="n">
        <f aca="false">SUMIFS(Report!$U$10:$U$604,Report!$Z$10:$Z$604,"Despesa",Report!$C$10:$C$604,"&gt;="&amp;DATE(2027,11,1),Report!$C$10:$C$604,"&lt;="&amp;DATE(2027,11,30))</f>
        <v>0</v>
      </c>
      <c r="Y4" s="26" t="n">
        <f aca="false">SUMIFS(Report!$U$10:$U$604,Report!$Z$10:$Z$604,"Despesa",Report!$C$10:$C$604,"&gt;="&amp;DATE(2027,12,1),Report!$C$10:$C$604,"&lt;="&amp;DATE(2027,12,31))</f>
        <v>0</v>
      </c>
      <c r="Z4" s="26" t="n">
        <f aca="false">SUM(B4:Y4)</f>
        <v>66543.27</v>
      </c>
      <c r="AB4" s="25" t="s">
        <v>574</v>
      </c>
      <c r="AC4" s="25" t="s">
        <v>808</v>
      </c>
    </row>
    <row r="5" customFormat="false" ht="15" hidden="false" customHeight="true" outlineLevel="0" collapsed="false">
      <c r="A5" s="25" t="s">
        <v>809</v>
      </c>
      <c r="B5" s="26" t="n">
        <f aca="false">SUMIFS(Report!$U$10:$U$604,Report!$Z$10:$Z$604,"Empréstimo",Report!$C$10:$C$604,"&gt;="&amp;DATE(2026,1,1),Report!$C$10:$C$604,"&lt;="&amp;DATE(2026,1,31))</f>
        <v>0</v>
      </c>
      <c r="C5" s="26" t="n">
        <f aca="false">SUMIFS(Report!$U$10:$U$604,Report!$Z$10:$Z$604,"Empréstimo",Report!$C$10:$C$604,"&gt;="&amp;DATE(2026,2,1),Report!$C$10:$C$604,"&lt;="&amp;DATE(2026,2,28))</f>
        <v>0</v>
      </c>
      <c r="D5" s="26" t="n">
        <f aca="false">SUMIFS(Report!$U$10:$U$604,Report!$Z$10:$Z$604,"Empréstimo",Report!$C$10:$C$604,"&gt;="&amp;DATE(2026,3,1),Report!$C$10:$C$604,"&lt;="&amp;DATE(2026,3,31))</f>
        <v>0</v>
      </c>
      <c r="E5" s="26" t="n">
        <f aca="false">SUMIFS(Report!$U$10:$U$604,Report!$Z$10:$Z$604,"Empréstimo",Report!$C$10:$C$604,"&gt;="&amp;DATE(2026,4,1),Report!$C$10:$C$604,"&lt;="&amp;DATE(2026,4,30))</f>
        <v>0</v>
      </c>
      <c r="F5" s="26" t="n">
        <f aca="false">SUMIFS(Report!$U$10:$U$604,Report!$Z$10:$Z$604,"Empréstimo",Report!$C$10:$C$604,"&gt;="&amp;DATE(2026,5,1),Report!$C$10:$C$604,"&lt;="&amp;DATE(2026,5,31))</f>
        <v>0</v>
      </c>
      <c r="G5" s="26" t="n">
        <f aca="false">SUMIFS(Report!$U$10:$U$604,Report!$Z$10:$Z$604,"Empréstimo",Report!$C$10:$C$604,"&gt;="&amp;DATE(2026,6,1),Report!$C$10:$C$604,"&lt;="&amp;DATE(2026,6,30))</f>
        <v>0</v>
      </c>
      <c r="H5" s="26" t="n">
        <f aca="false">SUMIFS(Report!$U$10:$U$604,Report!$Z$10:$Z$604,"Empréstimo",Report!$C$10:$C$604,"&gt;="&amp;DATE(2026,7,1),Report!$C$10:$C$604,"&lt;="&amp;DATE(2026,7,31))</f>
        <v>6504.77</v>
      </c>
      <c r="I5" s="26" t="n">
        <f aca="false">SUMIFS(Report!$U$10:$U$604,Report!$Z$10:$Z$604,"Empréstimo",Report!$C$10:$C$604,"&gt;="&amp;DATE(2026,8,1),Report!$C$10:$C$604,"&lt;="&amp;DATE(2026,8,31))</f>
        <v>6504.77</v>
      </c>
      <c r="J5" s="26" t="n">
        <f aca="false">SUMIFS(Report!$U$10:$U$604,Report!$Z$10:$Z$604,"Empréstimo",Report!$C$10:$C$604,"&gt;="&amp;DATE(2026,9,1),Report!$C$10:$C$604,"&lt;="&amp;DATE(2026,9,30))</f>
        <v>4168.41</v>
      </c>
      <c r="K5" s="26" t="n">
        <f aca="false">SUMIFS(Report!$U$10:$U$604,Report!$Z$10:$Z$604,"Empréstimo",Report!$C$10:$C$604,"&gt;="&amp;DATE(2026,10,1),Report!$C$10:$C$604,"&lt;="&amp;DATE(2026,10,31))</f>
        <v>0</v>
      </c>
      <c r="L5" s="26" t="n">
        <f aca="false">SUMIFS(Report!$U$10:$U$604,Report!$Z$10:$Z$604,"Empréstimo",Report!$C$10:$C$604,"&gt;="&amp;DATE(2026,11,1),Report!$C$10:$C$604,"&lt;="&amp;DATE(2026,11,30))</f>
        <v>0</v>
      </c>
      <c r="M5" s="26" t="n">
        <f aca="false">SUMIFS(Report!$U$10:$U$604,Report!$Z$10:$Z$604,"Empréstimo",Report!$C$10:$C$604,"&gt;="&amp;DATE(2026,12,1),Report!$C$10:$C$604,"&lt;="&amp;DATE(2026,12,31))</f>
        <v>0</v>
      </c>
      <c r="N5" s="26" t="n">
        <f aca="false">SUMIFS(Report!$U$10:$U$604,Report!$Z$10:$Z$604,"Empréstimo",Report!$C$10:$C$604,"&gt;="&amp;DATE(2027,1,1),Report!$C$10:$C$604,"&lt;="&amp;DATE(2027,1,31))</f>
        <v>0</v>
      </c>
      <c r="O5" s="26" t="n">
        <f aca="false">SUMIFS(Report!$U$10:$U$604,Report!$Z$10:$Z$604,"Empréstimo",Report!$C$10:$C$604,"&gt;="&amp;DATE(2027,2,1),Report!$C$10:$C$604,"&lt;="&amp;DATE(2027,2,28))</f>
        <v>0</v>
      </c>
      <c r="P5" s="26" t="n">
        <f aca="false">SUMIFS(Report!$U$10:$U$604,Report!$Z$10:$Z$604,"Empréstimo",Report!$C$10:$C$604,"&gt;="&amp;DATE(2027,3,1),Report!$C$10:$C$604,"&lt;="&amp;DATE(2027,3,31))</f>
        <v>0</v>
      </c>
      <c r="Q5" s="26" t="n">
        <f aca="false">SUMIFS(Report!$U$10:$U$604,Report!$Z$10:$Z$604,"Empréstimo",Report!$C$10:$C$604,"&gt;="&amp;DATE(2027,4,1),Report!$C$10:$C$604,"&lt;="&amp;DATE(2027,4,30))</f>
        <v>0</v>
      </c>
      <c r="R5" s="26" t="n">
        <f aca="false">SUMIFS(Report!$U$10:$U$604,Report!$Z$10:$Z$604,"Empréstimo",Report!$C$10:$C$604,"&gt;="&amp;DATE(2027,5,1),Report!$C$10:$C$604,"&lt;="&amp;DATE(2027,5,31))</f>
        <v>0</v>
      </c>
      <c r="S5" s="26" t="n">
        <f aca="false">SUMIFS(Report!$U$10:$U$604,Report!$Z$10:$Z$604,"Empréstimo",Report!$C$10:$C$604,"&gt;="&amp;DATE(2027,6,1),Report!$C$10:$C$604,"&lt;="&amp;DATE(2027,6,30))</f>
        <v>0</v>
      </c>
      <c r="T5" s="26" t="n">
        <f aca="false">SUMIFS(Report!$U$10:$U$604,Report!$Z$10:$Z$604,"Empréstimo",Report!$C$10:$C$604,"&gt;="&amp;DATE(2027,7,1),Report!$C$10:$C$604,"&lt;="&amp;DATE(2027,7,31))</f>
        <v>0</v>
      </c>
      <c r="U5" s="26" t="n">
        <f aca="false">SUMIFS(Report!$U$10:$U$604,Report!$Z$10:$Z$604,"Empréstimo",Report!$C$10:$C$604,"&gt;="&amp;DATE(2027,8,1),Report!$C$10:$C$604,"&lt;="&amp;DATE(2027,8,31))</f>
        <v>0</v>
      </c>
      <c r="V5" s="26" t="n">
        <f aca="false">SUMIFS(Report!$U$10:$U$604,Report!$Z$10:$Z$604,"Empréstimo",Report!$C$10:$C$604,"&gt;="&amp;DATE(2027,9,1),Report!$C$10:$C$604,"&lt;="&amp;DATE(2027,9,30))</f>
        <v>0</v>
      </c>
      <c r="W5" s="26" t="n">
        <f aca="false">SUMIFS(Report!$U$10:$U$604,Report!$Z$10:$Z$604,"Empréstimo",Report!$C$10:$C$604,"&gt;="&amp;DATE(2027,10,1),Report!$C$10:$C$604,"&lt;="&amp;DATE(2027,10,31))</f>
        <v>0</v>
      </c>
      <c r="X5" s="26" t="n">
        <f aca="false">SUMIFS(Report!$U$10:$U$604,Report!$Z$10:$Z$604,"Empréstimo",Report!$C$10:$C$604,"&gt;="&amp;DATE(2027,11,1),Report!$C$10:$C$604,"&lt;="&amp;DATE(2027,11,30))</f>
        <v>0</v>
      </c>
      <c r="Y5" s="26" t="n">
        <f aca="false">SUMIFS(Report!$U$10:$U$604,Report!$Z$10:$Z$604,"Empréstimo",Report!$C$10:$C$604,"&gt;="&amp;DATE(2027,12,1),Report!$C$10:$C$604,"&lt;="&amp;DATE(2027,12,31))</f>
        <v>0</v>
      </c>
      <c r="Z5" s="26" t="n">
        <f aca="false">SUM(B5:Y5)</f>
        <v>17177.95</v>
      </c>
      <c r="AB5" s="25" t="s">
        <v>610</v>
      </c>
      <c r="AC5" s="25" t="s">
        <v>807</v>
      </c>
    </row>
    <row r="6" customFormat="false" ht="15" hidden="false" customHeight="true" outlineLevel="0" collapsed="false">
      <c r="A6" s="25" t="s">
        <v>810</v>
      </c>
      <c r="B6" s="26" t="n">
        <f aca="false">SUMIFS(Report!$U$10:$U$604,Report!$Z$10:$Z$604,"Impostos",Report!$C$10:$C$604,"&gt;="&amp;DATE(2026,1,1),Report!$C$10:$C$604,"&lt;="&amp;DATE(2026,1,31))</f>
        <v>0</v>
      </c>
      <c r="C6" s="26" t="n">
        <f aca="false">SUMIFS(Report!$U$10:$U$604,Report!$Z$10:$Z$604,"Impostos",Report!$C$10:$C$604,"&gt;="&amp;DATE(2026,2,1),Report!$C$10:$C$604,"&lt;="&amp;DATE(2026,2,28))</f>
        <v>0</v>
      </c>
      <c r="D6" s="26" t="n">
        <f aca="false">SUMIFS(Report!$U$10:$U$604,Report!$Z$10:$Z$604,"Impostos",Report!$C$10:$C$604,"&gt;="&amp;DATE(2026,3,1),Report!$C$10:$C$604,"&lt;="&amp;DATE(2026,3,31))</f>
        <v>0</v>
      </c>
      <c r="E6" s="26" t="n">
        <f aca="false">SUMIFS(Report!$U$10:$U$604,Report!$Z$10:$Z$604,"Impostos",Report!$C$10:$C$604,"&gt;="&amp;DATE(2026,4,1),Report!$C$10:$C$604,"&lt;="&amp;DATE(2026,4,30))</f>
        <v>0</v>
      </c>
      <c r="F6" s="26" t="n">
        <f aca="false">SUMIFS(Report!$U$10:$U$604,Report!$Z$10:$Z$604,"Impostos",Report!$C$10:$C$604,"&gt;="&amp;DATE(2026,5,1),Report!$C$10:$C$604,"&lt;="&amp;DATE(2026,5,31))</f>
        <v>0</v>
      </c>
      <c r="G6" s="26" t="n">
        <f aca="false">SUMIFS(Report!$U$10:$U$604,Report!$Z$10:$Z$604,"Impostos",Report!$C$10:$C$604,"&gt;="&amp;DATE(2026,6,1),Report!$C$10:$C$604,"&lt;="&amp;DATE(2026,6,30))</f>
        <v>0</v>
      </c>
      <c r="H6" s="26" t="n">
        <f aca="false">SUMIFS(Report!$U$10:$U$604,Report!$Z$10:$Z$604,"Impostos",Report!$C$10:$C$604,"&gt;="&amp;DATE(2026,7,1),Report!$C$10:$C$604,"&lt;="&amp;DATE(2026,7,31))</f>
        <v>5741.39</v>
      </c>
      <c r="I6" s="26" t="n">
        <f aca="false">SUMIFS(Report!$U$10:$U$604,Report!$Z$10:$Z$604,"Impostos",Report!$C$10:$C$604,"&gt;="&amp;DATE(2026,8,1),Report!$C$10:$C$604,"&lt;="&amp;DATE(2026,8,31))</f>
        <v>228.88</v>
      </c>
      <c r="J6" s="26" t="n">
        <f aca="false">SUMIFS(Report!$U$10:$U$604,Report!$Z$10:$Z$604,"Impostos",Report!$C$10:$C$604,"&gt;="&amp;DATE(2026,9,1),Report!$C$10:$C$604,"&lt;="&amp;DATE(2026,9,30))</f>
        <v>228.88</v>
      </c>
      <c r="K6" s="26" t="n">
        <f aca="false">SUMIFS(Report!$U$10:$U$604,Report!$Z$10:$Z$604,"Impostos",Report!$C$10:$C$604,"&gt;="&amp;DATE(2026,10,1),Report!$C$10:$C$604,"&lt;="&amp;DATE(2026,10,31))</f>
        <v>0</v>
      </c>
      <c r="L6" s="26" t="n">
        <f aca="false">SUMIFS(Report!$U$10:$U$604,Report!$Z$10:$Z$604,"Impostos",Report!$C$10:$C$604,"&gt;="&amp;DATE(2026,11,1),Report!$C$10:$C$604,"&lt;="&amp;DATE(2026,11,30))</f>
        <v>0</v>
      </c>
      <c r="M6" s="26" t="n">
        <f aca="false">SUMIFS(Report!$U$10:$U$604,Report!$Z$10:$Z$604,"Impostos",Report!$C$10:$C$604,"&gt;="&amp;DATE(2026,12,1),Report!$C$10:$C$604,"&lt;="&amp;DATE(2026,12,31))</f>
        <v>0</v>
      </c>
      <c r="N6" s="26" t="n">
        <f aca="false">SUMIFS(Report!$U$10:$U$604,Report!$Z$10:$Z$604,"Impostos",Report!$C$10:$C$604,"&gt;="&amp;DATE(2027,1,1),Report!$C$10:$C$604,"&lt;="&amp;DATE(2027,1,31))</f>
        <v>0</v>
      </c>
      <c r="O6" s="26" t="n">
        <f aca="false">SUMIFS(Report!$U$10:$U$604,Report!$Z$10:$Z$604,"Impostos",Report!$C$10:$C$604,"&gt;="&amp;DATE(2027,2,1),Report!$C$10:$C$604,"&lt;="&amp;DATE(2027,2,28))</f>
        <v>0</v>
      </c>
      <c r="P6" s="26" t="n">
        <f aca="false">SUMIFS(Report!$U$10:$U$604,Report!$Z$10:$Z$604,"Impostos",Report!$C$10:$C$604,"&gt;="&amp;DATE(2027,3,1),Report!$C$10:$C$604,"&lt;="&amp;DATE(2027,3,31))</f>
        <v>0</v>
      </c>
      <c r="Q6" s="26" t="n">
        <f aca="false">SUMIFS(Report!$U$10:$U$604,Report!$Z$10:$Z$604,"Impostos",Report!$C$10:$C$604,"&gt;="&amp;DATE(2027,4,1),Report!$C$10:$C$604,"&lt;="&amp;DATE(2027,4,30))</f>
        <v>0</v>
      </c>
      <c r="R6" s="26" t="n">
        <f aca="false">SUMIFS(Report!$U$10:$U$604,Report!$Z$10:$Z$604,"Impostos",Report!$C$10:$C$604,"&gt;="&amp;DATE(2027,5,1),Report!$C$10:$C$604,"&lt;="&amp;DATE(2027,5,31))</f>
        <v>0</v>
      </c>
      <c r="S6" s="26" t="n">
        <f aca="false">SUMIFS(Report!$U$10:$U$604,Report!$Z$10:$Z$604,"Impostos",Report!$C$10:$C$604,"&gt;="&amp;DATE(2027,6,1),Report!$C$10:$C$604,"&lt;="&amp;DATE(2027,6,30))</f>
        <v>0</v>
      </c>
      <c r="T6" s="26" t="n">
        <f aca="false">SUMIFS(Report!$U$10:$U$604,Report!$Z$10:$Z$604,"Impostos",Report!$C$10:$C$604,"&gt;="&amp;DATE(2027,7,1),Report!$C$10:$C$604,"&lt;="&amp;DATE(2027,7,31))</f>
        <v>0</v>
      </c>
      <c r="U6" s="26" t="n">
        <f aca="false">SUMIFS(Report!$U$10:$U$604,Report!$Z$10:$Z$604,"Impostos",Report!$C$10:$C$604,"&gt;="&amp;DATE(2027,8,1),Report!$C$10:$C$604,"&lt;="&amp;DATE(2027,8,31))</f>
        <v>0</v>
      </c>
      <c r="V6" s="26" t="n">
        <f aca="false">SUMIFS(Report!$U$10:$U$604,Report!$Z$10:$Z$604,"Impostos",Report!$C$10:$C$604,"&gt;="&amp;DATE(2027,9,1),Report!$C$10:$C$604,"&lt;="&amp;DATE(2027,9,30))</f>
        <v>0</v>
      </c>
      <c r="W6" s="26" t="n">
        <f aca="false">SUMIFS(Report!$U$10:$U$604,Report!$Z$10:$Z$604,"Impostos",Report!$C$10:$C$604,"&gt;="&amp;DATE(2027,10,1),Report!$C$10:$C$604,"&lt;="&amp;DATE(2027,10,31))</f>
        <v>0</v>
      </c>
      <c r="X6" s="26" t="n">
        <f aca="false">SUMIFS(Report!$U$10:$U$604,Report!$Z$10:$Z$604,"Impostos",Report!$C$10:$C$604,"&gt;="&amp;DATE(2027,11,1),Report!$C$10:$C$604,"&lt;="&amp;DATE(2027,11,30))</f>
        <v>0</v>
      </c>
      <c r="Y6" s="26" t="n">
        <f aca="false">SUMIFS(Report!$U$10:$U$604,Report!$Z$10:$Z$604,"Impostos",Report!$C$10:$C$604,"&gt;="&amp;DATE(2027,12,1),Report!$C$10:$C$604,"&lt;="&amp;DATE(2027,12,31))</f>
        <v>0</v>
      </c>
      <c r="Z6" s="26" t="n">
        <f aca="false">SUM(B6:Y6)</f>
        <v>6199.15</v>
      </c>
      <c r="AB6" s="25" t="s">
        <v>195</v>
      </c>
      <c r="AC6" s="25" t="s">
        <v>807</v>
      </c>
    </row>
    <row r="7" customFormat="false" ht="15" hidden="false" customHeight="true" outlineLevel="0" collapsed="false">
      <c r="A7" s="25" t="s">
        <v>811</v>
      </c>
      <c r="B7" s="26" t="n">
        <f aca="false">SUMIFS(Report!$U$10:$U$604,Report!$Z$10:$Z$604,"Mercadoria",Report!$C$10:$C$604,"&gt;="&amp;DATE(2026,1,1),Report!$C$10:$C$604,"&lt;="&amp;DATE(2026,1,31))</f>
        <v>0</v>
      </c>
      <c r="C7" s="26" t="n">
        <f aca="false">SUMIFS(Report!$U$10:$U$604,Report!$Z$10:$Z$604,"Mercadoria",Report!$C$10:$C$604,"&gt;="&amp;DATE(2026,2,1),Report!$C$10:$C$604,"&lt;="&amp;DATE(2026,2,28))</f>
        <v>0</v>
      </c>
      <c r="D7" s="26" t="n">
        <f aca="false">SUMIFS(Report!$U$10:$U$604,Report!$Z$10:$Z$604,"Mercadoria",Report!$C$10:$C$604,"&gt;="&amp;DATE(2026,3,1),Report!$C$10:$C$604,"&lt;="&amp;DATE(2026,3,31))</f>
        <v>0</v>
      </c>
      <c r="E7" s="26" t="n">
        <f aca="false">SUMIFS(Report!$U$10:$U$604,Report!$Z$10:$Z$604,"Mercadoria",Report!$C$10:$C$604,"&gt;="&amp;DATE(2026,4,1),Report!$C$10:$C$604,"&lt;="&amp;DATE(2026,4,30))</f>
        <v>0</v>
      </c>
      <c r="F7" s="26" t="n">
        <f aca="false">SUMIFS(Report!$U$10:$U$604,Report!$Z$10:$Z$604,"Mercadoria",Report!$C$10:$C$604,"&gt;="&amp;DATE(2026,5,1),Report!$C$10:$C$604,"&lt;="&amp;DATE(2026,5,31))</f>
        <v>0</v>
      </c>
      <c r="G7" s="26" t="n">
        <f aca="false">SUMIFS(Report!$U$10:$U$604,Report!$Z$10:$Z$604,"Mercadoria",Report!$C$10:$C$604,"&gt;="&amp;DATE(2026,6,1),Report!$C$10:$C$604,"&lt;="&amp;DATE(2026,6,30))</f>
        <v>0</v>
      </c>
      <c r="H7" s="26" t="n">
        <f aca="false">SUMIFS(Report!$U$10:$U$604,Report!$Z$10:$Z$604,"Mercadoria",Report!$C$10:$C$604,"&gt;="&amp;DATE(2026,7,1),Report!$C$10:$C$604,"&lt;="&amp;DATE(2026,7,31))</f>
        <v>294951.22</v>
      </c>
      <c r="I7" s="26" t="n">
        <f aca="false">SUMIFS(Report!$U$10:$U$604,Report!$Z$10:$Z$604,"Mercadoria",Report!$C$10:$C$604,"&gt;="&amp;DATE(2026,8,1),Report!$C$10:$C$604,"&lt;="&amp;DATE(2026,8,31))</f>
        <v>94242.68</v>
      </c>
      <c r="J7" s="26" t="n">
        <f aca="false">SUMIFS(Report!$U$10:$U$604,Report!$Z$10:$Z$604,"Mercadoria",Report!$C$10:$C$604,"&gt;="&amp;DATE(2026,9,1),Report!$C$10:$C$604,"&lt;="&amp;DATE(2026,9,30))</f>
        <v>5012.84</v>
      </c>
      <c r="K7" s="26" t="n">
        <f aca="false">SUMIFS(Report!$U$10:$U$604,Report!$Z$10:$Z$604,"Mercadoria",Report!$C$10:$C$604,"&gt;="&amp;DATE(2026,10,1),Report!$C$10:$C$604,"&lt;="&amp;DATE(2026,10,31))</f>
        <v>0</v>
      </c>
      <c r="L7" s="26" t="n">
        <f aca="false">SUMIFS(Report!$U$10:$U$604,Report!$Z$10:$Z$604,"Mercadoria",Report!$C$10:$C$604,"&gt;="&amp;DATE(2026,11,1),Report!$C$10:$C$604,"&lt;="&amp;DATE(2026,11,30))</f>
        <v>0</v>
      </c>
      <c r="M7" s="26" t="n">
        <f aca="false">SUMIFS(Report!$U$10:$U$604,Report!$Z$10:$Z$604,"Mercadoria",Report!$C$10:$C$604,"&gt;="&amp;DATE(2026,12,1),Report!$C$10:$C$604,"&lt;="&amp;DATE(2026,12,31))</f>
        <v>0</v>
      </c>
      <c r="N7" s="26" t="n">
        <f aca="false">SUMIFS(Report!$U$10:$U$604,Report!$Z$10:$Z$604,"Mercadoria",Report!$C$10:$C$604,"&gt;="&amp;DATE(2027,1,1),Report!$C$10:$C$604,"&lt;="&amp;DATE(2027,1,31))</f>
        <v>0</v>
      </c>
      <c r="O7" s="26" t="n">
        <f aca="false">SUMIFS(Report!$U$10:$U$604,Report!$Z$10:$Z$604,"Mercadoria",Report!$C$10:$C$604,"&gt;="&amp;DATE(2027,2,1),Report!$C$10:$C$604,"&lt;="&amp;DATE(2027,2,28))</f>
        <v>0</v>
      </c>
      <c r="P7" s="26" t="n">
        <f aca="false">SUMIFS(Report!$U$10:$U$604,Report!$Z$10:$Z$604,"Mercadoria",Report!$C$10:$C$604,"&gt;="&amp;DATE(2027,3,1),Report!$C$10:$C$604,"&lt;="&amp;DATE(2027,3,31))</f>
        <v>0</v>
      </c>
      <c r="Q7" s="26" t="n">
        <f aca="false">SUMIFS(Report!$U$10:$U$604,Report!$Z$10:$Z$604,"Mercadoria",Report!$C$10:$C$604,"&gt;="&amp;DATE(2027,4,1),Report!$C$10:$C$604,"&lt;="&amp;DATE(2027,4,30))</f>
        <v>0</v>
      </c>
      <c r="R7" s="26" t="n">
        <f aca="false">SUMIFS(Report!$U$10:$U$604,Report!$Z$10:$Z$604,"Mercadoria",Report!$C$10:$C$604,"&gt;="&amp;DATE(2027,5,1),Report!$C$10:$C$604,"&lt;="&amp;DATE(2027,5,31))</f>
        <v>0</v>
      </c>
      <c r="S7" s="26" t="n">
        <f aca="false">SUMIFS(Report!$U$10:$U$604,Report!$Z$10:$Z$604,"Mercadoria",Report!$C$10:$C$604,"&gt;="&amp;DATE(2027,6,1),Report!$C$10:$C$604,"&lt;="&amp;DATE(2027,6,30))</f>
        <v>0</v>
      </c>
      <c r="T7" s="26" t="n">
        <f aca="false">SUMIFS(Report!$U$10:$U$604,Report!$Z$10:$Z$604,"Mercadoria",Report!$C$10:$C$604,"&gt;="&amp;DATE(2027,7,1),Report!$C$10:$C$604,"&lt;="&amp;DATE(2027,7,31))</f>
        <v>0</v>
      </c>
      <c r="U7" s="26" t="n">
        <f aca="false">SUMIFS(Report!$U$10:$U$604,Report!$Z$10:$Z$604,"Mercadoria",Report!$C$10:$C$604,"&gt;="&amp;DATE(2027,8,1),Report!$C$10:$C$604,"&lt;="&amp;DATE(2027,8,31))</f>
        <v>0</v>
      </c>
      <c r="V7" s="26" t="n">
        <f aca="false">SUMIFS(Report!$U$10:$U$604,Report!$Z$10:$Z$604,"Mercadoria",Report!$C$10:$C$604,"&gt;="&amp;DATE(2027,9,1),Report!$C$10:$C$604,"&lt;="&amp;DATE(2027,9,30))</f>
        <v>0</v>
      </c>
      <c r="W7" s="26" t="n">
        <f aca="false">SUMIFS(Report!$U$10:$U$604,Report!$Z$10:$Z$604,"Mercadoria",Report!$C$10:$C$604,"&gt;="&amp;DATE(2027,10,1),Report!$C$10:$C$604,"&lt;="&amp;DATE(2027,10,31))</f>
        <v>0</v>
      </c>
      <c r="X7" s="26" t="n">
        <f aca="false">SUMIFS(Report!$U$10:$U$604,Report!$Z$10:$Z$604,"Mercadoria",Report!$C$10:$C$604,"&gt;="&amp;DATE(2027,11,1),Report!$C$10:$C$604,"&lt;="&amp;DATE(2027,11,30))</f>
        <v>0</v>
      </c>
      <c r="Y7" s="26" t="n">
        <f aca="false">SUMIFS(Report!$U$10:$U$604,Report!$Z$10:$Z$604,"Mercadoria",Report!$C$10:$C$604,"&gt;="&amp;DATE(2027,12,1),Report!$C$10:$C$604,"&lt;="&amp;DATE(2027,12,31))</f>
        <v>0</v>
      </c>
      <c r="Z7" s="26" t="n">
        <f aca="false">SUM(B7:Y7)</f>
        <v>394206.74</v>
      </c>
      <c r="AB7" s="25" t="s">
        <v>106</v>
      </c>
      <c r="AC7" s="25" t="s">
        <v>807</v>
      </c>
    </row>
    <row r="8" customFormat="false" ht="15" hidden="false" customHeight="true" outlineLevel="0" collapsed="false">
      <c r="A8" s="25" t="s">
        <v>812</v>
      </c>
      <c r="B8" s="26" t="n">
        <f aca="false">SUMIFS(Report!$U$10:$U$604,Report!$Z$10:$Z$604,"Pagamentos outros não operacionais",Report!$C$10:$C$604,"&gt;="&amp;DATE(2026,1,1),Report!$C$10:$C$604,"&lt;="&amp;DATE(2026,1,31))</f>
        <v>0</v>
      </c>
      <c r="C8" s="26" t="n">
        <f aca="false">SUMIFS(Report!$U$10:$U$604,Report!$Z$10:$Z$604,"Pagamentos outros não operacionais",Report!$C$10:$C$604,"&gt;="&amp;DATE(2026,2,1),Report!$C$10:$C$604,"&lt;="&amp;DATE(2026,2,28))</f>
        <v>0</v>
      </c>
      <c r="D8" s="26" t="n">
        <f aca="false">SUMIFS(Report!$U$10:$U$604,Report!$Z$10:$Z$604,"Pagamentos outros não operacionais",Report!$C$10:$C$604,"&gt;="&amp;DATE(2026,3,1),Report!$C$10:$C$604,"&lt;="&amp;DATE(2026,3,31))</f>
        <v>0</v>
      </c>
      <c r="E8" s="26" t="n">
        <f aca="false">SUMIFS(Report!$U$10:$U$604,Report!$Z$10:$Z$604,"Pagamentos outros não operacionais",Report!$C$10:$C$604,"&gt;="&amp;DATE(2026,4,1),Report!$C$10:$C$604,"&lt;="&amp;DATE(2026,4,30))</f>
        <v>0</v>
      </c>
      <c r="F8" s="26" t="n">
        <f aca="false">SUMIFS(Report!$U$10:$U$604,Report!$Z$10:$Z$604,"Pagamentos outros não operacionais",Report!$C$10:$C$604,"&gt;="&amp;DATE(2026,5,1),Report!$C$10:$C$604,"&lt;="&amp;DATE(2026,5,31))</f>
        <v>0</v>
      </c>
      <c r="G8" s="26" t="n">
        <f aca="false">SUMIFS(Report!$U$10:$U$604,Report!$Z$10:$Z$604,"Pagamentos outros não operacionais",Report!$C$10:$C$604,"&gt;="&amp;DATE(2026,6,1),Report!$C$10:$C$604,"&lt;="&amp;DATE(2026,6,30))</f>
        <v>0</v>
      </c>
      <c r="H8" s="26" t="n">
        <f aca="false">SUMIFS(Report!$U$10:$U$604,Report!$Z$10:$Z$604,"Pagamentos outros não operacionais",Report!$C$10:$C$604,"&gt;="&amp;DATE(2026,7,1),Report!$C$10:$C$604,"&lt;="&amp;DATE(2026,7,31))</f>
        <v>8939.17</v>
      </c>
      <c r="I8" s="26" t="n">
        <f aca="false">SUMIFS(Report!$U$10:$U$604,Report!$Z$10:$Z$604,"Pagamentos outros não operacionais",Report!$C$10:$C$604,"&gt;="&amp;DATE(2026,8,1),Report!$C$10:$C$604,"&lt;="&amp;DATE(2026,8,31))</f>
        <v>446.17</v>
      </c>
      <c r="J8" s="26" t="n">
        <f aca="false">SUMIFS(Report!$U$10:$U$604,Report!$Z$10:$Z$604,"Pagamentos outros não operacionais",Report!$C$10:$C$604,"&gt;="&amp;DATE(2026,9,1),Report!$C$10:$C$604,"&lt;="&amp;DATE(2026,9,30))</f>
        <v>446.17</v>
      </c>
      <c r="K8" s="26" t="n">
        <f aca="false">SUMIFS(Report!$U$10:$U$604,Report!$Z$10:$Z$604,"Pagamentos outros não operacionais",Report!$C$10:$C$604,"&gt;="&amp;DATE(2026,10,1),Report!$C$10:$C$604,"&lt;="&amp;DATE(2026,10,31))</f>
        <v>0</v>
      </c>
      <c r="L8" s="26" t="n">
        <f aca="false">SUMIFS(Report!$U$10:$U$604,Report!$Z$10:$Z$604,"Pagamentos outros não operacionais",Report!$C$10:$C$604,"&gt;="&amp;DATE(2026,11,1),Report!$C$10:$C$604,"&lt;="&amp;DATE(2026,11,30))</f>
        <v>0</v>
      </c>
      <c r="M8" s="26" t="n">
        <f aca="false">SUMIFS(Report!$U$10:$U$604,Report!$Z$10:$Z$604,"Pagamentos outros não operacionais",Report!$C$10:$C$604,"&gt;="&amp;DATE(2026,12,1),Report!$C$10:$C$604,"&lt;="&amp;DATE(2026,12,31))</f>
        <v>0</v>
      </c>
      <c r="N8" s="26" t="n">
        <f aca="false">SUMIFS(Report!$U$10:$U$604,Report!$Z$10:$Z$604,"Pagamentos outros não operacionais",Report!$C$10:$C$604,"&gt;="&amp;DATE(2027,1,1),Report!$C$10:$C$604,"&lt;="&amp;DATE(2027,1,31))</f>
        <v>0</v>
      </c>
      <c r="O8" s="26" t="n">
        <f aca="false">SUMIFS(Report!$U$10:$U$604,Report!$Z$10:$Z$604,"Pagamentos outros não operacionais",Report!$C$10:$C$604,"&gt;="&amp;DATE(2027,2,1),Report!$C$10:$C$604,"&lt;="&amp;DATE(2027,2,28))</f>
        <v>0</v>
      </c>
      <c r="P8" s="26" t="n">
        <f aca="false">SUMIFS(Report!$U$10:$U$604,Report!$Z$10:$Z$604,"Pagamentos outros não operacionais",Report!$C$10:$C$604,"&gt;="&amp;DATE(2027,3,1),Report!$C$10:$C$604,"&lt;="&amp;DATE(2027,3,31))</f>
        <v>0</v>
      </c>
      <c r="Q8" s="26" t="n">
        <f aca="false">SUMIFS(Report!$U$10:$U$604,Report!$Z$10:$Z$604,"Pagamentos outros não operacionais",Report!$C$10:$C$604,"&gt;="&amp;DATE(2027,4,1),Report!$C$10:$C$604,"&lt;="&amp;DATE(2027,4,30))</f>
        <v>0</v>
      </c>
      <c r="R8" s="26" t="n">
        <f aca="false">SUMIFS(Report!$U$10:$U$604,Report!$Z$10:$Z$604,"Pagamentos outros não operacionais",Report!$C$10:$C$604,"&gt;="&amp;DATE(2027,5,1),Report!$C$10:$C$604,"&lt;="&amp;DATE(2027,5,31))</f>
        <v>0</v>
      </c>
      <c r="S8" s="26" t="n">
        <f aca="false">SUMIFS(Report!$U$10:$U$604,Report!$Z$10:$Z$604,"Pagamentos outros não operacionais",Report!$C$10:$C$604,"&gt;="&amp;DATE(2027,6,1),Report!$C$10:$C$604,"&lt;="&amp;DATE(2027,6,30))</f>
        <v>0</v>
      </c>
      <c r="T8" s="26" t="n">
        <f aca="false">SUMIFS(Report!$U$10:$U$604,Report!$Z$10:$Z$604,"Pagamentos outros não operacionais",Report!$C$10:$C$604,"&gt;="&amp;DATE(2027,7,1),Report!$C$10:$C$604,"&lt;="&amp;DATE(2027,7,31))</f>
        <v>0</v>
      </c>
      <c r="U8" s="26" t="n">
        <f aca="false">SUMIFS(Report!$U$10:$U$604,Report!$Z$10:$Z$604,"Pagamentos outros não operacionais",Report!$C$10:$C$604,"&gt;="&amp;DATE(2027,8,1),Report!$C$10:$C$604,"&lt;="&amp;DATE(2027,8,31))</f>
        <v>0</v>
      </c>
      <c r="V8" s="26" t="n">
        <f aca="false">SUMIFS(Report!$U$10:$U$604,Report!$Z$10:$Z$604,"Pagamentos outros não operacionais",Report!$C$10:$C$604,"&gt;="&amp;DATE(2027,9,1),Report!$C$10:$C$604,"&lt;="&amp;DATE(2027,9,30))</f>
        <v>0</v>
      </c>
      <c r="W8" s="26" t="n">
        <f aca="false">SUMIFS(Report!$U$10:$U$604,Report!$Z$10:$Z$604,"Pagamentos outros não operacionais",Report!$C$10:$C$604,"&gt;="&amp;DATE(2027,10,1),Report!$C$10:$C$604,"&lt;="&amp;DATE(2027,10,31))</f>
        <v>0</v>
      </c>
      <c r="X8" s="26" t="n">
        <f aca="false">SUMIFS(Report!$U$10:$U$604,Report!$Z$10:$Z$604,"Pagamentos outros não operacionais",Report!$C$10:$C$604,"&gt;="&amp;DATE(2027,11,1),Report!$C$10:$C$604,"&lt;="&amp;DATE(2027,11,30))</f>
        <v>0</v>
      </c>
      <c r="Y8" s="26" t="n">
        <f aca="false">SUMIFS(Report!$U$10:$U$604,Report!$Z$10:$Z$604,"Pagamentos outros não operacionais",Report!$C$10:$C$604,"&gt;="&amp;DATE(2027,12,1),Report!$C$10:$C$604,"&lt;="&amp;DATE(2027,12,31))</f>
        <v>0</v>
      </c>
      <c r="Z8" s="26" t="n">
        <f aca="false">SUM(B8:Y8)</f>
        <v>9831.51</v>
      </c>
      <c r="AB8" s="25" t="s">
        <v>233</v>
      </c>
      <c r="AC8" s="25" t="s">
        <v>807</v>
      </c>
    </row>
    <row r="9" customFormat="false" ht="15" hidden="false" customHeight="true" outlineLevel="0" collapsed="false">
      <c r="A9" s="25" t="s">
        <v>808</v>
      </c>
      <c r="B9" s="26" t="n">
        <f aca="false">SUMIFS(Report!$U$10:$U$604,Report!$Z$10:$Z$604,"Salários",Report!$C$10:$C$604,"&gt;="&amp;DATE(2026,1,1),Report!$C$10:$C$604,"&lt;="&amp;DATE(2026,1,31))</f>
        <v>0</v>
      </c>
      <c r="C9" s="26" t="n">
        <f aca="false">SUMIFS(Report!$U$10:$U$604,Report!$Z$10:$Z$604,"Salários",Report!$C$10:$C$604,"&gt;="&amp;DATE(2026,2,1),Report!$C$10:$C$604,"&lt;="&amp;DATE(2026,2,28))</f>
        <v>0</v>
      </c>
      <c r="D9" s="26" t="n">
        <f aca="false">SUMIFS(Report!$U$10:$U$604,Report!$Z$10:$Z$604,"Salários",Report!$C$10:$C$604,"&gt;="&amp;DATE(2026,3,1),Report!$C$10:$C$604,"&lt;="&amp;DATE(2026,3,31))</f>
        <v>0</v>
      </c>
      <c r="E9" s="26" t="n">
        <f aca="false">SUMIFS(Report!$U$10:$U$604,Report!$Z$10:$Z$604,"Salários",Report!$C$10:$C$604,"&gt;="&amp;DATE(2026,4,1),Report!$C$10:$C$604,"&lt;="&amp;DATE(2026,4,30))</f>
        <v>0</v>
      </c>
      <c r="F9" s="26" t="n">
        <f aca="false">SUMIFS(Report!$U$10:$U$604,Report!$Z$10:$Z$604,"Salários",Report!$C$10:$C$604,"&gt;="&amp;DATE(2026,5,1),Report!$C$10:$C$604,"&lt;="&amp;DATE(2026,5,31))</f>
        <v>0</v>
      </c>
      <c r="G9" s="26" t="n">
        <f aca="false">SUMIFS(Report!$U$10:$U$604,Report!$Z$10:$Z$604,"Salários",Report!$C$10:$C$604,"&gt;="&amp;DATE(2026,6,1),Report!$C$10:$C$604,"&lt;="&amp;DATE(2026,6,30))</f>
        <v>0</v>
      </c>
      <c r="H9" s="26" t="n">
        <f aca="false">SUMIFS(Report!$U$10:$U$604,Report!$Z$10:$Z$604,"Salários",Report!$C$10:$C$604,"&gt;="&amp;DATE(2026,7,1),Report!$C$10:$C$604,"&lt;="&amp;DATE(2026,7,31))</f>
        <v>19648.49</v>
      </c>
      <c r="I9" s="26" t="n">
        <f aca="false">SUMIFS(Report!$U$10:$U$604,Report!$Z$10:$Z$604,"Salários",Report!$C$10:$C$604,"&gt;="&amp;DATE(2026,8,1),Report!$C$10:$C$604,"&lt;="&amp;DATE(2026,8,31))</f>
        <v>277.91</v>
      </c>
      <c r="J9" s="26" t="n">
        <f aca="false">SUMIFS(Report!$U$10:$U$604,Report!$Z$10:$Z$604,"Salários",Report!$C$10:$C$604,"&gt;="&amp;DATE(2026,9,1),Report!$C$10:$C$604,"&lt;="&amp;DATE(2026,9,30))</f>
        <v>0</v>
      </c>
      <c r="K9" s="26" t="n">
        <f aca="false">SUMIFS(Report!$U$10:$U$604,Report!$Z$10:$Z$604,"Salários",Report!$C$10:$C$604,"&gt;="&amp;DATE(2026,10,1),Report!$C$10:$C$604,"&lt;="&amp;DATE(2026,10,31))</f>
        <v>0</v>
      </c>
      <c r="L9" s="26" t="n">
        <f aca="false">SUMIFS(Report!$U$10:$U$604,Report!$Z$10:$Z$604,"Salários",Report!$C$10:$C$604,"&gt;="&amp;DATE(2026,11,1),Report!$C$10:$C$604,"&lt;="&amp;DATE(2026,11,30))</f>
        <v>0</v>
      </c>
      <c r="M9" s="26" t="n">
        <f aca="false">SUMIFS(Report!$U$10:$U$604,Report!$Z$10:$Z$604,"Salários",Report!$C$10:$C$604,"&gt;="&amp;DATE(2026,12,1),Report!$C$10:$C$604,"&lt;="&amp;DATE(2026,12,31))</f>
        <v>0</v>
      </c>
      <c r="N9" s="26" t="n">
        <f aca="false">SUMIFS(Report!$U$10:$U$604,Report!$Z$10:$Z$604,"Salários",Report!$C$10:$C$604,"&gt;="&amp;DATE(2027,1,1),Report!$C$10:$C$604,"&lt;="&amp;DATE(2027,1,31))</f>
        <v>0</v>
      </c>
      <c r="O9" s="26" t="n">
        <f aca="false">SUMIFS(Report!$U$10:$U$604,Report!$Z$10:$Z$604,"Salários",Report!$C$10:$C$604,"&gt;="&amp;DATE(2027,2,1),Report!$C$10:$C$604,"&lt;="&amp;DATE(2027,2,28))</f>
        <v>0</v>
      </c>
      <c r="P9" s="26" t="n">
        <f aca="false">SUMIFS(Report!$U$10:$U$604,Report!$Z$10:$Z$604,"Salários",Report!$C$10:$C$604,"&gt;="&amp;DATE(2027,3,1),Report!$C$10:$C$604,"&lt;="&amp;DATE(2027,3,31))</f>
        <v>0</v>
      </c>
      <c r="Q9" s="26" t="n">
        <f aca="false">SUMIFS(Report!$U$10:$U$604,Report!$Z$10:$Z$604,"Salários",Report!$C$10:$C$604,"&gt;="&amp;DATE(2027,4,1),Report!$C$10:$C$604,"&lt;="&amp;DATE(2027,4,30))</f>
        <v>0</v>
      </c>
      <c r="R9" s="26" t="n">
        <f aca="false">SUMIFS(Report!$U$10:$U$604,Report!$Z$10:$Z$604,"Salários",Report!$C$10:$C$604,"&gt;="&amp;DATE(2027,5,1),Report!$C$10:$C$604,"&lt;="&amp;DATE(2027,5,31))</f>
        <v>0</v>
      </c>
      <c r="S9" s="26" t="n">
        <f aca="false">SUMIFS(Report!$U$10:$U$604,Report!$Z$10:$Z$604,"Salários",Report!$C$10:$C$604,"&gt;="&amp;DATE(2027,6,1),Report!$C$10:$C$604,"&lt;="&amp;DATE(2027,6,30))</f>
        <v>0</v>
      </c>
      <c r="T9" s="26" t="n">
        <f aca="false">SUMIFS(Report!$U$10:$U$604,Report!$Z$10:$Z$604,"Salários",Report!$C$10:$C$604,"&gt;="&amp;DATE(2027,7,1),Report!$C$10:$C$604,"&lt;="&amp;DATE(2027,7,31))</f>
        <v>0</v>
      </c>
      <c r="U9" s="26" t="n">
        <f aca="false">SUMIFS(Report!$U$10:$U$604,Report!$Z$10:$Z$604,"Salários",Report!$C$10:$C$604,"&gt;="&amp;DATE(2027,8,1),Report!$C$10:$C$604,"&lt;="&amp;DATE(2027,8,31))</f>
        <v>0</v>
      </c>
      <c r="V9" s="26" t="n">
        <f aca="false">SUMIFS(Report!$U$10:$U$604,Report!$Z$10:$Z$604,"Salários",Report!$C$10:$C$604,"&gt;="&amp;DATE(2027,9,1),Report!$C$10:$C$604,"&lt;="&amp;DATE(2027,9,30))</f>
        <v>0</v>
      </c>
      <c r="W9" s="26" t="n">
        <f aca="false">SUMIFS(Report!$U$10:$U$604,Report!$Z$10:$Z$604,"Salários",Report!$C$10:$C$604,"&gt;="&amp;DATE(2027,10,1),Report!$C$10:$C$604,"&lt;="&amp;DATE(2027,10,31))</f>
        <v>0</v>
      </c>
      <c r="X9" s="26" t="n">
        <f aca="false">SUMIFS(Report!$U$10:$U$604,Report!$Z$10:$Z$604,"Salários",Report!$C$10:$C$604,"&gt;="&amp;DATE(2027,11,1),Report!$C$10:$C$604,"&lt;="&amp;DATE(2027,11,30))</f>
        <v>0</v>
      </c>
      <c r="Y9" s="26" t="n">
        <f aca="false">SUMIFS(Report!$U$10:$U$604,Report!$Z$10:$Z$604,"Salários",Report!$C$10:$C$604,"&gt;="&amp;DATE(2027,12,1),Report!$C$10:$C$604,"&lt;="&amp;DATE(2027,12,31))</f>
        <v>0</v>
      </c>
      <c r="Z9" s="26" t="n">
        <f aca="false">SUM(B9:Y9)</f>
        <v>19926.4</v>
      </c>
      <c r="AB9" s="25" t="s">
        <v>491</v>
      </c>
      <c r="AC9" s="25" t="s">
        <v>807</v>
      </c>
    </row>
    <row r="10" customFormat="false" ht="15" hidden="false" customHeight="true" outlineLevel="0" collapsed="false">
      <c r="A10" s="35" t="s">
        <v>813</v>
      </c>
      <c r="B10" s="36" t="n">
        <f aca="false">B3-SUM(B4:B9)</f>
        <v>0</v>
      </c>
      <c r="C10" s="36" t="n">
        <f aca="false">C3-SUM(C4:C9)</f>
        <v>0</v>
      </c>
      <c r="D10" s="36" t="n">
        <f aca="false">D3-SUM(D4:D9)</f>
        <v>0</v>
      </c>
      <c r="E10" s="36" t="n">
        <f aca="false">E3-SUM(E4:E9)</f>
        <v>0</v>
      </c>
      <c r="F10" s="36" t="n">
        <f aca="false">F3-SUM(F4:F9)</f>
        <v>0</v>
      </c>
      <c r="G10" s="36" t="n">
        <f aca="false">G3-SUM(G4:G9)</f>
        <v>0</v>
      </c>
      <c r="H10" s="36" t="n">
        <f aca="false">H3-SUM(H4:H9)</f>
        <v>0</v>
      </c>
      <c r="I10" s="36" t="n">
        <f aca="false">I3-SUM(I4:I9)</f>
        <v>0</v>
      </c>
      <c r="J10" s="36" t="n">
        <f aca="false">J3-SUM(J4:J9)</f>
        <v>0</v>
      </c>
      <c r="K10" s="36" t="n">
        <f aca="false">K3-SUM(K4:K9)</f>
        <v>0</v>
      </c>
      <c r="L10" s="36" t="n">
        <f aca="false">L3-SUM(L4:L9)</f>
        <v>0</v>
      </c>
      <c r="M10" s="36" t="n">
        <f aca="false">M3-SUM(M4:M9)</f>
        <v>0</v>
      </c>
      <c r="N10" s="36" t="n">
        <f aca="false">N3-SUM(N4:N9)</f>
        <v>0</v>
      </c>
      <c r="O10" s="36" t="n">
        <f aca="false">O3-SUM(O4:O9)</f>
        <v>0</v>
      </c>
      <c r="P10" s="36" t="n">
        <f aca="false">P3-SUM(P4:P9)</f>
        <v>0</v>
      </c>
      <c r="Q10" s="36" t="n">
        <f aca="false">Q3-SUM(Q4:Q9)</f>
        <v>0</v>
      </c>
      <c r="R10" s="36" t="n">
        <f aca="false">R3-SUM(R4:R9)</f>
        <v>0</v>
      </c>
      <c r="S10" s="36" t="n">
        <f aca="false">S3-SUM(S4:S9)</f>
        <v>0</v>
      </c>
      <c r="T10" s="36" t="n">
        <f aca="false">T3-SUM(T4:T9)</f>
        <v>0</v>
      </c>
      <c r="U10" s="36" t="n">
        <f aca="false">U3-SUM(U4:U9)</f>
        <v>0</v>
      </c>
      <c r="V10" s="36" t="n">
        <f aca="false">V3-SUM(V4:V9)</f>
        <v>0</v>
      </c>
      <c r="W10" s="36" t="n">
        <f aca="false">W3-SUM(W4:W9)</f>
        <v>0</v>
      </c>
      <c r="X10" s="36" t="n">
        <f aca="false">X3-SUM(X4:X9)</f>
        <v>0</v>
      </c>
      <c r="Y10" s="36" t="n">
        <f aca="false">Y3-SUM(Y4:Y9)</f>
        <v>0</v>
      </c>
      <c r="Z10" s="36" t="n">
        <f aca="false">SUM(B10:Y10)</f>
        <v>0</v>
      </c>
      <c r="AB10" s="25" t="s">
        <v>360</v>
      </c>
      <c r="AC10" s="25" t="s">
        <v>807</v>
      </c>
    </row>
    <row r="11" customFormat="false" ht="15" hidden="false" customHeight="true" outlineLevel="0" collapsed="false">
      <c r="AB11" s="25" t="s">
        <v>70</v>
      </c>
      <c r="AC11" s="25" t="s">
        <v>807</v>
      </c>
    </row>
    <row r="12" customFormat="false" ht="15" hidden="false" customHeight="true" outlineLevel="0" collapsed="false">
      <c r="AB12" s="25" t="s">
        <v>93</v>
      </c>
      <c r="AC12" s="25" t="s">
        <v>809</v>
      </c>
    </row>
    <row r="13" customFormat="false" ht="15" hidden="false" customHeight="true" outlineLevel="0" collapsed="false">
      <c r="AB13" s="25" t="s">
        <v>475</v>
      </c>
      <c r="AC13" s="25" t="s">
        <v>807</v>
      </c>
    </row>
    <row r="14" customFormat="false" ht="15" hidden="false" customHeight="true" outlineLevel="0" collapsed="false">
      <c r="AB14" s="25" t="s">
        <v>284</v>
      </c>
      <c r="AC14" s="25" t="s">
        <v>808</v>
      </c>
    </row>
    <row r="15" customFormat="false" ht="15" hidden="false" customHeight="true" outlineLevel="0" collapsed="false">
      <c r="AB15" s="25" t="s">
        <v>646</v>
      </c>
      <c r="AC15" s="25" t="s">
        <v>808</v>
      </c>
    </row>
    <row r="16" customFormat="false" ht="15" hidden="false" customHeight="true" outlineLevel="0" collapsed="false">
      <c r="AB16" s="25" t="s">
        <v>519</v>
      </c>
      <c r="AC16" s="25" t="s">
        <v>810</v>
      </c>
    </row>
    <row r="17" customFormat="false" ht="15" hidden="false" customHeight="true" outlineLevel="0" collapsed="false">
      <c r="AB17" s="25" t="s">
        <v>31</v>
      </c>
      <c r="AC17" s="25" t="s">
        <v>807</v>
      </c>
    </row>
    <row r="18" customFormat="false" ht="15" hidden="false" customHeight="true" outlineLevel="0" collapsed="false">
      <c r="AB18" s="25" t="s">
        <v>390</v>
      </c>
      <c r="AC18" s="25" t="s">
        <v>807</v>
      </c>
    </row>
    <row r="19" customFormat="false" ht="15" hidden="false" customHeight="true" outlineLevel="0" collapsed="false">
      <c r="AB19" s="25" t="s">
        <v>370</v>
      </c>
      <c r="AC19" s="25" t="s">
        <v>807</v>
      </c>
    </row>
    <row r="20" customFormat="false" ht="15" hidden="false" customHeight="true" outlineLevel="0" collapsed="false">
      <c r="AB20" s="25" t="s">
        <v>152</v>
      </c>
      <c r="AC20" s="25" t="s">
        <v>807</v>
      </c>
    </row>
    <row r="21" customFormat="false" ht="15" hidden="false" customHeight="true" outlineLevel="0" collapsed="false">
      <c r="AB21" s="25" t="s">
        <v>517</v>
      </c>
      <c r="AC21" s="25" t="s">
        <v>810</v>
      </c>
    </row>
    <row r="22" customFormat="false" ht="15" hidden="false" customHeight="true" outlineLevel="0" collapsed="false">
      <c r="AB22" s="25" t="s">
        <v>192</v>
      </c>
      <c r="AC22" s="25" t="s">
        <v>807</v>
      </c>
    </row>
    <row r="23" customFormat="false" ht="15" hidden="false" customHeight="true" outlineLevel="0" collapsed="false">
      <c r="AB23" s="25" t="s">
        <v>362</v>
      </c>
      <c r="AC23" s="25" t="s">
        <v>807</v>
      </c>
    </row>
    <row r="24" customFormat="false" ht="15" hidden="false" customHeight="true" outlineLevel="0" collapsed="false">
      <c r="AB24" s="25" t="s">
        <v>75</v>
      </c>
      <c r="AC24" s="25" t="s">
        <v>810</v>
      </c>
    </row>
    <row r="25" customFormat="false" ht="15" hidden="false" customHeight="true" outlineLevel="0" collapsed="false">
      <c r="AB25" s="25" t="s">
        <v>237</v>
      </c>
      <c r="AC25" s="25" t="s">
        <v>807</v>
      </c>
    </row>
    <row r="26" customFormat="false" ht="15" hidden="false" customHeight="true" outlineLevel="0" collapsed="false">
      <c r="AB26" s="25" t="s">
        <v>347</v>
      </c>
      <c r="AC26" s="25" t="s">
        <v>807</v>
      </c>
    </row>
    <row r="27" customFormat="false" ht="15" hidden="false" customHeight="true" outlineLevel="0" collapsed="false">
      <c r="AB27" s="25" t="s">
        <v>116</v>
      </c>
      <c r="AC27" s="25" t="s">
        <v>807</v>
      </c>
    </row>
    <row r="28" customFormat="false" ht="15" hidden="false" customHeight="true" outlineLevel="0" collapsed="false">
      <c r="AB28" s="25" t="s">
        <v>43</v>
      </c>
      <c r="AC28" s="25" t="s">
        <v>807</v>
      </c>
    </row>
    <row r="29" customFormat="false" ht="15" hidden="false" customHeight="true" outlineLevel="0" collapsed="false">
      <c r="AB29" s="25" t="s">
        <v>61</v>
      </c>
      <c r="AC29" s="25" t="s">
        <v>807</v>
      </c>
    </row>
    <row r="30" customFormat="false" ht="15" hidden="false" customHeight="true" outlineLevel="0" collapsed="false">
      <c r="AB30" s="25" t="s">
        <v>300</v>
      </c>
      <c r="AC30" s="25" t="s">
        <v>807</v>
      </c>
    </row>
    <row r="31" customFormat="false" ht="15" hidden="false" customHeight="true" outlineLevel="0" collapsed="false">
      <c r="AB31" s="25" t="s">
        <v>36</v>
      </c>
      <c r="AC31" s="25" t="s">
        <v>811</v>
      </c>
    </row>
    <row r="32" customFormat="false" ht="15" hidden="false" customHeight="true" outlineLevel="0" collapsed="false">
      <c r="AB32" s="25" t="s">
        <v>54</v>
      </c>
      <c r="AC32" s="25" t="s">
        <v>812</v>
      </c>
    </row>
    <row r="33" customFormat="false" ht="15" hidden="false" customHeight="true" outlineLevel="0" collapsed="false">
      <c r="AB33" s="25" t="s">
        <v>581</v>
      </c>
      <c r="AC33" s="25" t="s">
        <v>807</v>
      </c>
    </row>
    <row r="34" customFormat="false" ht="15" hidden="false" customHeight="true" outlineLevel="0" collapsed="false">
      <c r="AB34" s="25" t="s">
        <v>420</v>
      </c>
      <c r="AC34" s="25" t="s">
        <v>808</v>
      </c>
    </row>
    <row r="35" customFormat="false" ht="15" hidden="false" customHeight="true" outlineLevel="0" collapsed="false">
      <c r="AB35" s="25" t="s">
        <v>515</v>
      </c>
      <c r="AC35" s="25" t="s">
        <v>810</v>
      </c>
    </row>
    <row r="36" customFormat="false" ht="15" hidden="false" customHeight="true" outlineLevel="0" collapsed="false">
      <c r="AB36" s="25" t="s">
        <v>201</v>
      </c>
      <c r="AC36" s="25" t="s">
        <v>807</v>
      </c>
    </row>
    <row r="37" customFormat="false" ht="15" hidden="false" customHeight="true" outlineLevel="0" collapsed="false">
      <c r="AB37" s="25" t="s">
        <v>436</v>
      </c>
      <c r="AC37" s="25" t="s">
        <v>807</v>
      </c>
    </row>
    <row r="38" customFormat="false" ht="15" hidden="false" customHeight="true" outlineLevel="0" collapsed="false">
      <c r="AB38" s="25" t="s">
        <v>338</v>
      </c>
      <c r="AC38" s="25" t="s">
        <v>808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3" min="3" style="0" width="16"/>
  </cols>
  <sheetData>
    <row r="1" customFormat="false" ht="17.35" hidden="false" customHeight="false" outlineLevel="0" collapsed="false">
      <c r="A1" s="37" t="s">
        <v>814</v>
      </c>
      <c r="B1" s="37"/>
      <c r="C1" s="37"/>
      <c r="D1" s="37"/>
    </row>
    <row r="2" customFormat="false" ht="15" hidden="false" customHeight="false" outlineLevel="0" collapsed="false">
      <c r="A2" s="38" t="s">
        <v>815</v>
      </c>
      <c r="B2" s="38"/>
      <c r="C2" s="38"/>
      <c r="D2" s="38"/>
    </row>
    <row r="4" customFormat="false" ht="15" hidden="false" customHeight="false" outlineLevel="0" collapsed="false">
      <c r="A4" s="39" t="s">
        <v>816</v>
      </c>
      <c r="B4" s="39" t="s">
        <v>817</v>
      </c>
      <c r="C4" s="39" t="s">
        <v>818</v>
      </c>
    </row>
    <row r="5" customFormat="false" ht="15" hidden="false" customHeight="false" outlineLevel="0" collapsed="false">
      <c r="A5" s="40" t="s">
        <v>777</v>
      </c>
      <c r="B5" s="40" t="n">
        <v>2026</v>
      </c>
      <c r="C5" s="41" t="n">
        <v>306569.53</v>
      </c>
    </row>
    <row r="6" customFormat="false" ht="15" hidden="false" customHeight="false" outlineLevel="0" collapsed="false">
      <c r="A6" s="40" t="s">
        <v>778</v>
      </c>
      <c r="B6" s="40" t="n">
        <v>2026</v>
      </c>
      <c r="C6" s="41" t="n">
        <v>298653.71</v>
      </c>
    </row>
    <row r="7" customFormat="false" ht="15" hidden="false" customHeight="false" outlineLevel="0" collapsed="false">
      <c r="A7" s="40" t="s">
        <v>779</v>
      </c>
      <c r="B7" s="40" t="n">
        <v>2026</v>
      </c>
      <c r="C7" s="41" t="n">
        <v>344581.2</v>
      </c>
    </row>
    <row r="8" customFormat="false" ht="15" hidden="false" customHeight="false" outlineLevel="0" collapsed="false">
      <c r="A8" s="40" t="s">
        <v>780</v>
      </c>
      <c r="B8" s="40" t="n">
        <v>2026</v>
      </c>
      <c r="C8" s="41" t="n">
        <v>333926.29</v>
      </c>
    </row>
    <row r="9" customFormat="false" ht="15" hidden="false" customHeight="false" outlineLevel="0" collapsed="false">
      <c r="A9" s="40" t="s">
        <v>781</v>
      </c>
      <c r="B9" s="40" t="n">
        <v>2026</v>
      </c>
      <c r="C9" s="41" t="n">
        <v>363676.33</v>
      </c>
    </row>
    <row r="10" customFormat="false" ht="15" hidden="false" customHeight="false" outlineLevel="0" collapsed="false">
      <c r="A10" s="40" t="s">
        <v>782</v>
      </c>
      <c r="B10" s="40" t="n">
        <v>2026</v>
      </c>
      <c r="C10" s="41" t="n">
        <v>352563.43</v>
      </c>
    </row>
    <row r="11" customFormat="false" ht="15" hidden="false" customHeight="false" outlineLevel="0" collapsed="false">
      <c r="A11" s="40" t="s">
        <v>783</v>
      </c>
      <c r="B11" s="40" t="n">
        <v>2026</v>
      </c>
      <c r="C11" s="41" t="n">
        <v>332480.59</v>
      </c>
    </row>
    <row r="12" customFormat="false" ht="15" hidden="false" customHeight="false" outlineLevel="0" collapsed="false">
      <c r="A12" s="40" t="s">
        <v>784</v>
      </c>
      <c r="B12" s="40" t="n">
        <v>2026</v>
      </c>
      <c r="C12" s="42" t="n">
        <v>0</v>
      </c>
    </row>
    <row r="13" customFormat="false" ht="15" hidden="false" customHeight="false" outlineLevel="0" collapsed="false">
      <c r="A13" s="40" t="s">
        <v>785</v>
      </c>
      <c r="B13" s="40" t="n">
        <v>2026</v>
      </c>
      <c r="C13" s="42" t="n">
        <v>0</v>
      </c>
    </row>
    <row r="14" customFormat="false" ht="15" hidden="false" customHeight="false" outlineLevel="0" collapsed="false">
      <c r="A14" s="40" t="s">
        <v>786</v>
      </c>
      <c r="B14" s="40" t="n">
        <v>2026</v>
      </c>
      <c r="C14" s="42" t="n">
        <v>0</v>
      </c>
    </row>
    <row r="15" customFormat="false" ht="15" hidden="false" customHeight="false" outlineLevel="0" collapsed="false">
      <c r="A15" s="40" t="s">
        <v>787</v>
      </c>
      <c r="B15" s="40" t="n">
        <v>2026</v>
      </c>
      <c r="C15" s="42" t="n">
        <v>0</v>
      </c>
    </row>
    <row r="16" customFormat="false" ht="15" hidden="false" customHeight="false" outlineLevel="0" collapsed="false">
      <c r="A16" s="40" t="s">
        <v>788</v>
      </c>
      <c r="B16" s="40" t="n">
        <v>2026</v>
      </c>
      <c r="C16" s="42" t="n">
        <v>0</v>
      </c>
    </row>
    <row r="18" customFormat="false" ht="15" hidden="false" customHeight="false" outlineLevel="0" collapsed="false">
      <c r="A18" s="43" t="s">
        <v>819</v>
      </c>
      <c r="B18" s="43"/>
      <c r="C18" s="44" t="n">
        <v>46230</v>
      </c>
    </row>
    <row r="20" customFormat="false" ht="30" hidden="false" customHeight="true" outlineLevel="0" collapsed="false">
      <c r="A20" s="38" t="s">
        <v>820</v>
      </c>
      <c r="B20" s="38"/>
      <c r="C20" s="38"/>
      <c r="D20" s="38"/>
      <c r="E20" s="38"/>
      <c r="F20" s="38"/>
      <c r="G20" s="38"/>
      <c r="H20" s="38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4" min="3" style="0" width="26"/>
    <col collapsed="false" customWidth="true" hidden="false" outlineLevel="0" max="5" min="5" style="0" width="20"/>
    <col collapsed="false" customWidth="true" hidden="false" outlineLevel="0" max="6" min="6" style="0" width="45"/>
  </cols>
  <sheetData>
    <row r="1" customFormat="false" ht="17.35" hidden="false" customHeight="false" outlineLevel="0" collapsed="false">
      <c r="A1" s="37" t="s">
        <v>821</v>
      </c>
      <c r="B1" s="37"/>
      <c r="C1" s="37"/>
      <c r="D1" s="37"/>
      <c r="E1" s="37"/>
      <c r="F1" s="37"/>
    </row>
    <row r="3" customFormat="false" ht="15" hidden="false" customHeight="false" outlineLevel="0" collapsed="false">
      <c r="A3" s="43" t="s">
        <v>822</v>
      </c>
      <c r="B3" s="43"/>
      <c r="C3" s="43"/>
      <c r="D3" s="43"/>
      <c r="E3" s="45" t="n">
        <v>0.8871</v>
      </c>
      <c r="F3" s="46" t="s">
        <v>823</v>
      </c>
    </row>
    <row r="6" customFormat="false" ht="30" hidden="false" customHeight="true" outlineLevel="0" collapsed="false">
      <c r="A6" s="39" t="s">
        <v>816</v>
      </c>
      <c r="B6" s="39" t="s">
        <v>824</v>
      </c>
      <c r="C6" s="39" t="s">
        <v>825</v>
      </c>
      <c r="D6" s="39" t="s">
        <v>826</v>
      </c>
      <c r="E6" s="39" t="s">
        <v>827</v>
      </c>
    </row>
    <row r="7" customFormat="false" ht="15" hidden="false" customHeight="false" outlineLevel="0" collapsed="false">
      <c r="A7" s="40" t="s">
        <v>777</v>
      </c>
      <c r="B7" s="41" t="n">
        <f aca="false">IFERROR(INDEX('Venda Anual (Base)'!$C$5:$C$16,MATCH($A7,'Venda Anual (Base)'!$A$5:$A$16,0)),"")</f>
        <v>306569.53</v>
      </c>
      <c r="C7" s="41" t="n">
        <f aca="false">IFERROR(IF(INDEX('Venda Anual (Base)'!$C$5:$C$16,MATCH("Fev/2026",'Venda Anual (Base)'!$A$5:$A$16,0))=0,"sem venda p/ mes seguinte",$E$3*INDEX('Venda Anual (Base)'!$C$5:$C$16,MATCH("Fev/2026",'Venda Anual (Base)'!$A$5:$A$16,0))),"")</f>
        <v>264935.706141</v>
      </c>
      <c r="D7" s="41" t="n">
        <f aca="false">IFERROR(INDEX('Resumo Mensal'!$C$2:$C$13,MATCH($A7,'Resumo Mensal'!$A$2:$A$13,0)),0)</f>
        <v>0</v>
      </c>
      <c r="E7" s="41" t="str">
        <f aca="false">IF(AND(ISNUMBER(C7),D7&gt;0),D7-C7,"")</f>
        <v/>
      </c>
    </row>
    <row r="8" customFormat="false" ht="15" hidden="false" customHeight="false" outlineLevel="0" collapsed="false">
      <c r="A8" s="40" t="s">
        <v>778</v>
      </c>
      <c r="B8" s="41" t="n">
        <f aca="false">IFERROR(INDEX('Venda Anual (Base)'!$C$5:$C$16,MATCH($A8,'Venda Anual (Base)'!$A$5:$A$16,0)),"")</f>
        <v>298653.71</v>
      </c>
      <c r="C8" s="41" t="n">
        <f aca="false">IFERROR(IF(INDEX('Venda Anual (Base)'!$C$5:$C$16,MATCH("Mar/2026",'Venda Anual (Base)'!$A$5:$A$16,0))=0,"sem venda p/ mes seguinte",$E$3*INDEX('Venda Anual (Base)'!$C$5:$C$16,MATCH("Mar/2026",'Venda Anual (Base)'!$A$5:$A$16,0))),"")</f>
        <v>305677.98252</v>
      </c>
      <c r="D8" s="41" t="n">
        <f aca="false">IFERROR(INDEX('Resumo Mensal'!$C$2:$C$13,MATCH($A8,'Resumo Mensal'!$A$2:$A$13,0)),0)</f>
        <v>0</v>
      </c>
      <c r="E8" s="41" t="str">
        <f aca="false">IF(AND(ISNUMBER(C8),D8&gt;0),D8-C8,"")</f>
        <v/>
      </c>
    </row>
    <row r="9" customFormat="false" ht="15" hidden="false" customHeight="false" outlineLevel="0" collapsed="false">
      <c r="A9" s="40" t="s">
        <v>779</v>
      </c>
      <c r="B9" s="41" t="n">
        <f aca="false">IFERROR(INDEX('Venda Anual (Base)'!$C$5:$C$16,MATCH($A9,'Venda Anual (Base)'!$A$5:$A$16,0)),"")</f>
        <v>344581.2</v>
      </c>
      <c r="C9" s="41" t="n">
        <f aca="false">IFERROR(IF(INDEX('Venda Anual (Base)'!$C$5:$C$16,MATCH("Abr/2026",'Venda Anual (Base)'!$A$5:$A$16,0))=0,"sem venda p/ mes seguinte",$E$3*INDEX('Venda Anual (Base)'!$C$5:$C$16,MATCH("Abr/2026",'Venda Anual (Base)'!$A$5:$A$16,0))),"")</f>
        <v>296226.011859</v>
      </c>
      <c r="D9" s="41" t="n">
        <f aca="false">IFERROR(INDEX('Resumo Mensal'!$C$2:$C$13,MATCH($A9,'Resumo Mensal'!$A$2:$A$13,0)),0)</f>
        <v>0</v>
      </c>
      <c r="E9" s="41" t="str">
        <f aca="false">IF(AND(ISNUMBER(C9),D9&gt;0),D9-C9,"")</f>
        <v/>
      </c>
    </row>
    <row r="10" customFormat="false" ht="15" hidden="false" customHeight="false" outlineLevel="0" collapsed="false">
      <c r="A10" s="40" t="s">
        <v>780</v>
      </c>
      <c r="B10" s="41" t="n">
        <f aca="false">IFERROR(INDEX('Venda Anual (Base)'!$C$5:$C$16,MATCH($A10,'Venda Anual (Base)'!$A$5:$A$16,0)),"")</f>
        <v>333926.29</v>
      </c>
      <c r="C10" s="41" t="n">
        <f aca="false">IFERROR(IF(INDEX('Venda Anual (Base)'!$C$5:$C$16,MATCH("Mai/2026",'Venda Anual (Base)'!$A$5:$A$16,0))=0,"sem venda p/ mes seguinte",$E$3*INDEX('Venda Anual (Base)'!$C$5:$C$16,MATCH("Mai/2026",'Venda Anual (Base)'!$A$5:$A$16,0))),"")</f>
        <v>322617.272343</v>
      </c>
      <c r="D10" s="41" t="n">
        <f aca="false">IFERROR(INDEX('Resumo Mensal'!$C$2:$C$13,MATCH($A10,'Resumo Mensal'!$A$2:$A$13,0)),0)</f>
        <v>0</v>
      </c>
      <c r="E10" s="41" t="str">
        <f aca="false">IF(AND(ISNUMBER(C10),D10&gt;0),D10-C10,"")</f>
        <v/>
      </c>
    </row>
    <row r="11" customFormat="false" ht="15" hidden="false" customHeight="false" outlineLevel="0" collapsed="false">
      <c r="A11" s="40" t="s">
        <v>781</v>
      </c>
      <c r="B11" s="41" t="n">
        <f aca="false">IFERROR(INDEX('Venda Anual (Base)'!$C$5:$C$16,MATCH($A11,'Venda Anual (Base)'!$A$5:$A$16,0)),"")</f>
        <v>363676.33</v>
      </c>
      <c r="C11" s="41" t="n">
        <f aca="false">IFERROR(IF(INDEX('Venda Anual (Base)'!$C$5:$C$16,MATCH("Jun/2026",'Venda Anual (Base)'!$A$5:$A$16,0))=0,"sem venda p/ mes seguinte",$E$3*INDEX('Venda Anual (Base)'!$C$5:$C$16,MATCH("Jun/2026",'Venda Anual (Base)'!$A$5:$A$16,0))),"")</f>
        <v>312759.018753</v>
      </c>
      <c r="D11" s="41" t="n">
        <f aca="false">IFERROR(INDEX('Resumo Mensal'!$C$2:$C$13,MATCH($A11,'Resumo Mensal'!$A$2:$A$13,0)),0)</f>
        <v>0</v>
      </c>
      <c r="E11" s="41" t="str">
        <f aca="false">IF(AND(ISNUMBER(C11),D11&gt;0),D11-C11,"")</f>
        <v/>
      </c>
    </row>
    <row r="12" customFormat="false" ht="15" hidden="false" customHeight="false" outlineLevel="0" collapsed="false">
      <c r="A12" s="40" t="s">
        <v>782</v>
      </c>
      <c r="B12" s="41" t="n">
        <f aca="false">IFERROR(INDEX('Venda Anual (Base)'!$C$5:$C$16,MATCH($A12,'Venda Anual (Base)'!$A$5:$A$16,0)),"")</f>
        <v>352563.43</v>
      </c>
      <c r="C12" s="41" t="n">
        <f aca="false">IFERROR(IF(INDEX('Venda Anual (Base)'!$C$5:$C$16,MATCH("Jul/2026",'Venda Anual (Base)'!$A$5:$A$16,0))=0,"sem venda p/ mes seguinte",$E$3*INDEX('Venda Anual (Base)'!$C$5:$C$16,MATCH("Jul/2026",'Venda Anual (Base)'!$A$5:$A$16,0))),"")</f>
        <v>294943.531389</v>
      </c>
      <c r="D12" s="41" t="n">
        <f aca="false">IFERROR(INDEX('Resumo Mensal'!$C$2:$C$13,MATCH($A12,'Resumo Mensal'!$A$2:$A$13,0)),0)</f>
        <v>0</v>
      </c>
      <c r="E12" s="41" t="str">
        <f aca="false">IF(AND(ISNUMBER(C12),D12&gt;0),D12-C12,"")</f>
        <v/>
      </c>
    </row>
    <row r="13" customFormat="false" ht="15" hidden="false" customHeight="false" outlineLevel="0" collapsed="false">
      <c r="A13" s="40" t="s">
        <v>783</v>
      </c>
      <c r="B13" s="41" t="n">
        <f aca="false">IFERROR(INDEX('Venda Anual (Base)'!$C$5:$C$16,MATCH($A13,'Venda Anual (Base)'!$A$5:$A$16,0)),"")</f>
        <v>332480.59</v>
      </c>
      <c r="C13" s="41" t="str">
        <f aca="false">IFERROR(IF(INDEX('Venda Anual (Base)'!$C$5:$C$16,MATCH("Ago/2026",'Venda Anual (Base)'!$A$5:$A$16,0))=0,"sem venda p/ mes seguinte",$E$3*INDEX('Venda Anual (Base)'!$C$5:$C$16,MATCH("Ago/2026",'Venda Anual (Base)'!$A$5:$A$16,0))),"")</f>
        <v>sem venda p/ mes seguinte</v>
      </c>
      <c r="D13" s="41" t="n">
        <f aca="false">IFERROR(INDEX('Resumo Mensal'!$C$2:$C$13,MATCH($A13,'Resumo Mensal'!$A$2:$A$13,0)),0)</f>
        <v>294951.22</v>
      </c>
      <c r="E13" s="41" t="str">
        <f aca="false">IF(AND(ISNUMBER(C13),D13&gt;0),D13-C13,"")</f>
        <v/>
      </c>
    </row>
    <row r="14" customFormat="false" ht="15" hidden="false" customHeight="false" outlineLevel="0" collapsed="false">
      <c r="A14" s="40" t="s">
        <v>784</v>
      </c>
      <c r="B14" s="41" t="n">
        <f aca="false">IFERROR(INDEX('Venda Anual (Base)'!$C$5:$C$16,MATCH($A14,'Venda Anual (Base)'!$A$5:$A$16,0)),"")</f>
        <v>0</v>
      </c>
      <c r="C14" s="41" t="str">
        <f aca="false">IFERROR(IF(INDEX('Venda Anual (Base)'!$C$5:$C$16,MATCH("Set/2026",'Venda Anual (Base)'!$A$5:$A$16,0))=0,"sem venda p/ mes seguinte",$E$3*INDEX('Venda Anual (Base)'!$C$5:$C$16,MATCH("Set/2026",'Venda Anual (Base)'!$A$5:$A$16,0))),"")</f>
        <v>sem venda p/ mes seguinte</v>
      </c>
      <c r="D14" s="41" t="n">
        <f aca="false">IFERROR(INDEX('Resumo Mensal'!$C$2:$C$13,MATCH($A14,'Resumo Mensal'!$A$2:$A$13,0)),0)</f>
        <v>94242.68</v>
      </c>
      <c r="E14" s="41" t="str">
        <f aca="false">IF(AND(ISNUMBER(C14),D14&gt;0),D14-C14,"")</f>
        <v/>
      </c>
    </row>
    <row r="15" customFormat="false" ht="15" hidden="false" customHeight="false" outlineLevel="0" collapsed="false">
      <c r="A15" s="40" t="s">
        <v>785</v>
      </c>
      <c r="B15" s="41" t="n">
        <f aca="false">IFERROR(INDEX('Venda Anual (Base)'!$C$5:$C$16,MATCH($A15,'Venda Anual (Base)'!$A$5:$A$16,0)),"")</f>
        <v>0</v>
      </c>
      <c r="C15" s="41" t="str">
        <f aca="false">IFERROR(IF(INDEX('Venda Anual (Base)'!$C$5:$C$16,MATCH("Out/2026",'Venda Anual (Base)'!$A$5:$A$16,0))=0,"sem venda p/ mes seguinte",$E$3*INDEX('Venda Anual (Base)'!$C$5:$C$16,MATCH("Out/2026",'Venda Anual (Base)'!$A$5:$A$16,0))),"")</f>
        <v>sem venda p/ mes seguinte</v>
      </c>
      <c r="D15" s="41" t="n">
        <f aca="false">IFERROR(INDEX('Resumo Mensal'!$C$2:$C$13,MATCH($A15,'Resumo Mensal'!$A$2:$A$13,0)),0)</f>
        <v>5012.84</v>
      </c>
      <c r="E15" s="41" t="str">
        <f aca="false">IF(AND(ISNUMBER(C15),D15&gt;0),D15-C15,"")</f>
        <v/>
      </c>
    </row>
    <row r="16" customFormat="false" ht="15" hidden="false" customHeight="false" outlineLevel="0" collapsed="false">
      <c r="A16" s="40" t="s">
        <v>786</v>
      </c>
      <c r="B16" s="41" t="n">
        <f aca="false">IFERROR(INDEX('Venda Anual (Base)'!$C$5:$C$16,MATCH($A16,'Venda Anual (Base)'!$A$5:$A$16,0)),"")</f>
        <v>0</v>
      </c>
      <c r="C16" s="41" t="str">
        <f aca="false">IFERROR(IF(INDEX('Venda Anual (Base)'!$C$5:$C$16,MATCH("Nov/2026",'Venda Anual (Base)'!$A$5:$A$16,0))=0,"sem venda p/ mes seguinte",$E$3*INDEX('Venda Anual (Base)'!$C$5:$C$16,MATCH("Nov/2026",'Venda Anual (Base)'!$A$5:$A$16,0))),"")</f>
        <v>sem venda p/ mes seguinte</v>
      </c>
      <c r="D16" s="41" t="n">
        <f aca="false">IFERROR(INDEX('Resumo Mensal'!$C$2:$C$13,MATCH($A16,'Resumo Mensal'!$A$2:$A$13,0)),0)</f>
        <v>0</v>
      </c>
      <c r="E16" s="41" t="str">
        <f aca="false">IF(AND(ISNUMBER(C16),D16&gt;0),D16-C16,"")</f>
        <v/>
      </c>
    </row>
    <row r="17" customFormat="false" ht="15" hidden="false" customHeight="false" outlineLevel="0" collapsed="false">
      <c r="A17" s="40" t="s">
        <v>787</v>
      </c>
      <c r="B17" s="41" t="n">
        <f aca="false">IFERROR(INDEX('Venda Anual (Base)'!$C$5:$C$16,MATCH($A17,'Venda Anual (Base)'!$A$5:$A$16,0)),"")</f>
        <v>0</v>
      </c>
      <c r="C17" s="41" t="str">
        <f aca="false">IFERROR(IF(INDEX('Venda Anual (Base)'!$C$5:$C$16,MATCH("Dez/2026",'Venda Anual (Base)'!$A$5:$A$16,0))=0,"sem venda p/ mes seguinte",$E$3*INDEX('Venda Anual (Base)'!$C$5:$C$16,MATCH("Dez/2026",'Venda Anual (Base)'!$A$5:$A$16,0))),"")</f>
        <v>sem venda p/ mes seguinte</v>
      </c>
      <c r="D17" s="41" t="n">
        <f aca="false">IFERROR(INDEX('Resumo Mensal'!$C$2:$C$13,MATCH($A17,'Resumo Mensal'!$A$2:$A$13,0)),0)</f>
        <v>0</v>
      </c>
      <c r="E17" s="41" t="str">
        <f aca="false">IF(AND(ISNUMBER(C17),D17&gt;0),D17-C17,"")</f>
        <v/>
      </c>
    </row>
    <row r="18" customFormat="false" ht="15" hidden="false" customHeight="false" outlineLevel="0" collapsed="false">
      <c r="A18" s="40" t="s">
        <v>788</v>
      </c>
      <c r="B18" s="41" t="n">
        <f aca="false">IFERROR(INDEX('Venda Anual (Base)'!$C$5:$C$16,MATCH($A18,'Venda Anual (Base)'!$A$5:$A$16,0)),"")</f>
        <v>0</v>
      </c>
      <c r="C18" s="41" t="str">
        <f aca="false">IFERROR(IF(INDEX('Venda Anual (Base)'!$C$5:$C$16,MATCH("Jan/2027",'Venda Anual (Base)'!$A$5:$A$16,0))=0,"sem venda p/ mes seguinte",$E$3*INDEX('Venda Anual (Base)'!$C$5:$C$16,MATCH("Jan/2027",'Venda Anual (Base)'!$A$5:$A$16,0))),"")</f>
        <v/>
      </c>
      <c r="D18" s="41" t="n">
        <f aca="false">IFERROR(INDEX('Resumo Mensal'!$C$2:$C$13,MATCH($A18,'Resumo Mensal'!$A$2:$A$13,0)),0)</f>
        <v>0</v>
      </c>
      <c r="E18" s="41" t="str">
        <f aca="false">IF(AND(ISNUMBER(C18),D18&gt;0),D18-C18,"")</f>
        <v/>
      </c>
    </row>
    <row r="19" customFormat="false" ht="15" hidden="false" customHeight="false" outlineLevel="0" collapsed="false">
      <c r="A19" s="47" t="s">
        <v>801</v>
      </c>
      <c r="B19" s="48" t="n">
        <f aca="false">SUM(B7:B18)</f>
        <v>2332451.08</v>
      </c>
      <c r="C19" s="48" t="n">
        <f aca="false">SUM(C7:C18)</f>
        <v>1797159.523005</v>
      </c>
      <c r="D19" s="48" t="n">
        <f aca="false">SUM(D7:D18)</f>
        <v>394206.74</v>
      </c>
      <c r="E19" s="48" t="str">
        <f aca="false">IF(COUNT(E7:E18)=0,"sem dados comparaveis ainda",SUM(E7:E18))</f>
        <v>sem dados comparaveis ainda</v>
      </c>
    </row>
    <row r="21" customFormat="false" ht="45" hidden="false" customHeight="true" outlineLevel="0" collapsed="false">
      <c r="A21" s="38" t="s">
        <v>828</v>
      </c>
      <c r="B21" s="38"/>
      <c r="C21" s="38"/>
      <c r="D21" s="38"/>
      <c r="E21" s="38"/>
      <c r="F21" s="38"/>
    </row>
    <row r="23" customFormat="false" ht="21.75" hidden="false" customHeight="true" outlineLevel="0" collapsed="false">
      <c r="A23" s="49" t="s">
        <v>829</v>
      </c>
      <c r="B23" s="49"/>
      <c r="C23" s="49"/>
      <c r="D23" s="49"/>
      <c r="E23" s="49"/>
      <c r="F23" s="49"/>
    </row>
    <row r="24" customFormat="false" ht="30" hidden="false" customHeight="true" outlineLevel="0" collapsed="false">
      <c r="A24" s="39" t="s">
        <v>830</v>
      </c>
      <c r="B24" s="39" t="s">
        <v>831</v>
      </c>
      <c r="C24" s="39" t="s">
        <v>832</v>
      </c>
      <c r="D24" s="39" t="s">
        <v>833</v>
      </c>
      <c r="E24" s="39" t="s">
        <v>834</v>
      </c>
      <c r="F24" s="39" t="s">
        <v>835</v>
      </c>
    </row>
    <row r="25" customFormat="false" ht="15" hidden="false" customHeight="false" outlineLevel="0" collapsed="false">
      <c r="A25" s="40" t="str">
        <f aca="true">INDEX('Venda Anual (Base)'!$A$5:$A$16,MONTH(TODAY()))</f>
        <v>Jul/2026</v>
      </c>
      <c r="B25" s="50" t="n">
        <f aca="false">'Venda Anual (Base)'!$C$18</f>
        <v>46230</v>
      </c>
      <c r="C25" s="41" t="n">
        <f aca="true">INDEX('Venda Anual (Base)'!$C$5:$C$16,MONTH(TODAY()))</f>
        <v>332480.59</v>
      </c>
      <c r="D25" s="40" t="n">
        <f aca="false">DAY(B25)</f>
        <v>27</v>
      </c>
      <c r="E25" s="40" t="n">
        <f aca="false">DAY(EOMONTH(B25,0))</f>
        <v>31</v>
      </c>
      <c r="F25" s="51" t="n">
        <f aca="false">IFERROR(IF(D25=0,"",C25/D25*E25),"")</f>
        <v>381736.973703704</v>
      </c>
    </row>
    <row r="27" customFormat="false" ht="45" hidden="false" customHeight="true" outlineLevel="0" collapsed="false">
      <c r="A27" s="38" t="s">
        <v>836</v>
      </c>
      <c r="B27" s="38"/>
      <c r="C27" s="38"/>
      <c r="D27" s="38"/>
      <c r="E27" s="38"/>
      <c r="F27" s="38"/>
    </row>
  </sheetData>
  <mergeCells count="5">
    <mergeCell ref="A1:F1"/>
    <mergeCell ref="A3:D3"/>
    <mergeCell ref="A21:F21"/>
    <mergeCell ref="A23:F23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2026-07-27T18:31:52Z</dcterms:created>
  <dc:creator/>
  <dc:description/>
  <dc:language>en-US</dc:language>
  <cp:lastModifiedBy/>
  <dcterms:modified xsi:type="dcterms:W3CDTF">2026-07-28T19:39:54Z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